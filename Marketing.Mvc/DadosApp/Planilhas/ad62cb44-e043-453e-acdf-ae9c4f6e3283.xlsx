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901BDD03-755F-4C9C-A32A-E9575DD35E2C}" xr6:coauthVersionLast="47" xr6:coauthVersionMax="47" xr10:uidLastSave="{00000000-0000-0000-0000-000000000000}"/>
  <bookViews>
    <workbookView xWindow="-108" yWindow="-108" windowWidth="23256" windowHeight="12456" xr2:uid="{5D4652F5-8FB1-4A71-B524-A08B3FBCBF5C}"/>
  </bookViews>
  <sheets>
    <sheet name="Dominos" sheetId="1" r:id="rId1"/>
  </sheets>
  <definedNames>
    <definedName name="_xlnm._FilterDatabase" localSheetId="0" hidden="1">Dominos!$A$1:$K$1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M3" i="1" s="1"/>
  <c r="L8" i="1"/>
  <c r="M8" i="1" s="1"/>
  <c r="L15" i="1"/>
  <c r="M15" i="1" s="1"/>
  <c r="L20" i="1"/>
  <c r="M20" i="1" s="1"/>
  <c r="L27" i="1"/>
  <c r="M27" i="1" s="1"/>
  <c r="L32" i="1"/>
  <c r="M32" i="1" s="1"/>
  <c r="L39" i="1"/>
  <c r="M39" i="1" s="1"/>
  <c r="L44" i="1"/>
  <c r="M44" i="1" s="1"/>
  <c r="L51" i="1"/>
  <c r="M51" i="1" s="1"/>
  <c r="L56" i="1"/>
  <c r="M56" i="1" s="1"/>
  <c r="L63" i="1"/>
  <c r="M63" i="1" s="1"/>
  <c r="L68" i="1"/>
  <c r="M68" i="1" s="1"/>
  <c r="L75" i="1"/>
  <c r="M75" i="1" s="1"/>
  <c r="L80" i="1"/>
  <c r="M80" i="1" s="1"/>
  <c r="L87" i="1"/>
  <c r="M87" i="1" s="1"/>
  <c r="L92" i="1"/>
  <c r="M92" i="1" s="1"/>
  <c r="L99" i="1"/>
  <c r="M99" i="1" s="1"/>
  <c r="L104" i="1"/>
  <c r="M104" i="1" s="1"/>
  <c r="L111" i="1"/>
  <c r="M111" i="1" s="1"/>
  <c r="L116" i="1"/>
  <c r="M116" i="1" s="1"/>
  <c r="L123" i="1"/>
  <c r="M123" i="1" s="1"/>
  <c r="L128" i="1"/>
  <c r="M128" i="1" s="1"/>
  <c r="L135" i="1"/>
  <c r="M135" i="1" s="1"/>
  <c r="L140" i="1"/>
  <c r="M140" i="1" s="1"/>
  <c r="L147" i="1"/>
  <c r="M147" i="1" s="1"/>
  <c r="L152" i="1"/>
  <c r="M152" i="1" s="1"/>
  <c r="L159" i="1"/>
  <c r="M159" i="1" s="1"/>
  <c r="L164" i="1"/>
  <c r="M164" i="1" s="1"/>
  <c r="L171" i="1"/>
  <c r="M171" i="1" s="1"/>
  <c r="L176" i="1"/>
  <c r="M176" i="1" s="1"/>
  <c r="L183" i="1"/>
  <c r="M183" i="1" s="1"/>
  <c r="L188" i="1"/>
  <c r="M188" i="1" s="1"/>
  <c r="L195" i="1"/>
  <c r="M195" i="1" s="1"/>
  <c r="I3" i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I88" i="1"/>
  <c r="L88" i="1" s="1"/>
  <c r="M88" i="1" s="1"/>
  <c r="I89" i="1"/>
  <c r="L89" i="1" s="1"/>
  <c r="M89" i="1" s="1"/>
  <c r="I90" i="1"/>
  <c r="L90" i="1" s="1"/>
  <c r="M90" i="1" s="1"/>
  <c r="I91" i="1"/>
  <c r="L91" i="1" s="1"/>
  <c r="M91" i="1" s="1"/>
  <c r="I92" i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I117" i="1"/>
  <c r="L117" i="1" s="1"/>
  <c r="M117" i="1" s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I124" i="1"/>
  <c r="L124" i="1" s="1"/>
  <c r="M124" i="1" s="1"/>
  <c r="I125" i="1"/>
  <c r="L125" i="1" s="1"/>
  <c r="M125" i="1" s="1"/>
  <c r="I126" i="1"/>
  <c r="L126" i="1" s="1"/>
  <c r="M126" i="1" s="1"/>
  <c r="I127" i="1"/>
  <c r="L127" i="1" s="1"/>
  <c r="M127" i="1" s="1"/>
  <c r="I128" i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I172" i="1"/>
  <c r="L172" i="1" s="1"/>
  <c r="M172" i="1" s="1"/>
  <c r="I173" i="1"/>
  <c r="L173" i="1" s="1"/>
  <c r="M173" i="1" s="1"/>
  <c r="I174" i="1"/>
  <c r="L174" i="1" s="1"/>
  <c r="M174" i="1" s="1"/>
  <c r="I175" i="1"/>
  <c r="L175" i="1" s="1"/>
  <c r="M175" i="1" s="1"/>
  <c r="I176" i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L193" i="1" s="1"/>
  <c r="M193" i="1" s="1"/>
  <c r="I194" i="1"/>
  <c r="L194" i="1" s="1"/>
  <c r="M194" i="1" s="1"/>
  <c r="I195" i="1"/>
  <c r="I2" i="1"/>
  <c r="L2" i="1" s="1"/>
  <c r="M2" i="1" s="1"/>
</calcChain>
</file>

<file path=xl/sharedStrings.xml><?xml version="1.0" encoding="utf-8"?>
<sst xmlns="http://schemas.openxmlformats.org/spreadsheetml/2006/main" count="595" uniqueCount="321">
  <si>
    <t>AnoMes</t>
  </si>
  <si>
    <t>UF</t>
  </si>
  <si>
    <t>Cidade</t>
  </si>
  <si>
    <t>CNPJ</t>
  </si>
  <si>
    <t>Restaurante</t>
  </si>
  <si>
    <t>PEDIDOS_TOTAL</t>
  </si>
  <si>
    <t>Pedidos_Coca</t>
  </si>
  <si>
    <t>Preco_Unitario_Medio</t>
  </si>
  <si>
    <t>SP</t>
  </si>
  <si>
    <t>Americana</t>
  </si>
  <si>
    <t>DOMINOS SP AMERICANA CENTRO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</si>
  <si>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</si>
  <si>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</si>
  <si>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</si>
  <si>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</si>
  <si>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</si>
  <si>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</si>
  <si>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</si>
  <si>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RJ</t>
  </si>
  <si>
    <t>Armação dos Búzios</t>
  </si>
  <si>
    <t>BUZIOS</t>
  </si>
  <si>
    <t>Barra Mansa</t>
  </si>
  <si>
    <t>BARRA MANSA</t>
  </si>
  <si>
    <t>BA</t>
  </si>
  <si>
    <t>Barreiras</t>
  </si>
  <si>
    <t>BARREIRAS</t>
  </si>
  <si>
    <t>Barueri</t>
  </si>
  <si>
    <t>BARUERI CENTRO</t>
  </si>
  <si>
    <t>PA</t>
  </si>
  <si>
    <t>Belém</t>
  </si>
  <si>
    <t>NAZARE</t>
  </si>
  <si>
    <t>BELEM 2</t>
  </si>
  <si>
    <t>MG</t>
  </si>
  <si>
    <t>Belo Horizonte</t>
  </si>
  <si>
    <t>SAVASSI</t>
  </si>
  <si>
    <t>RAJA GABAGLIA</t>
  </si>
  <si>
    <t>PRADO</t>
  </si>
  <si>
    <t>CIDADE NOVA</t>
  </si>
  <si>
    <t>LUXEMBURGO</t>
  </si>
  <si>
    <t>PADRE EUSTAQUIO</t>
  </si>
  <si>
    <t>JARAGUA BH</t>
  </si>
  <si>
    <t>SHOPPING BARREIRO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</si>
  <si>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</si>
  <si>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</si>
  <si>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</si>
  <si>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</si>
  <si>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</si>
  <si>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</si>
  <si>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</si>
  <si>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</si>
  <si>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</si>
  <si>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DOMINOS VICENTE PIRES</t>
  </si>
  <si>
    <t>SUDOESTE</t>
  </si>
  <si>
    <t>109 NORTE</t>
  </si>
  <si>
    <t>AGUAS CLARAS</t>
  </si>
  <si>
    <t>JARDIM BOTANICO</t>
  </si>
  <si>
    <t>LAGO NORTE</t>
  </si>
  <si>
    <t>GILBERTO SALOMAO</t>
  </si>
  <si>
    <t>BRASILIA 211 SUL</t>
  </si>
  <si>
    <t>TAGUATINGA NORTE</t>
  </si>
  <si>
    <t>Cabo Frio</t>
  </si>
  <si>
    <t>CABO FRIO</t>
  </si>
  <si>
    <t>ES</t>
  </si>
  <si>
    <t>Cachoeira de Itapemirim</t>
  </si>
  <si>
    <t>DOMINOS ES CACHOEIRO DE ITAPEMIRIM CENTRO</t>
  </si>
  <si>
    <t>PB</t>
  </si>
  <si>
    <t>Campina Grande</t>
  </si>
  <si>
    <t>CAMPINA GRANDE</t>
  </si>
  <si>
    <t>Campinas</t>
  </si>
  <si>
    <t>CAMPINAS</t>
  </si>
  <si>
    <t>CAMPINAS 3</t>
  </si>
  <si>
    <t>BARAO GERALDO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</si>
  <si>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</si>
  <si>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</si>
  <si>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</si>
  <si>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</si>
  <si>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</si>
  <si>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</si>
  <si>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</si>
  <si>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</si>
  <si>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</si>
  <si>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Fabriciano</t>
  </si>
  <si>
    <t>DOMINOS CORONEL FABRICIANO</t>
  </si>
  <si>
    <t>MT</t>
  </si>
  <si>
    <t>Cuiabá</t>
  </si>
  <si>
    <t>CUIABA</t>
  </si>
  <si>
    <t>PR</t>
  </si>
  <si>
    <t>Curitiba</t>
  </si>
  <si>
    <t>CURITIBA</t>
  </si>
  <si>
    <t>JUVEVE</t>
  </si>
  <si>
    <t>CURITIBA PORTAO</t>
  </si>
  <si>
    <t>DOMINOS PR CURITIBA SANTA FELICIDADE</t>
  </si>
  <si>
    <t>Duque de Caxias</t>
  </si>
  <si>
    <t>SHOPPING OUTLET PREMIUM WASHINGTON LUIS</t>
  </si>
  <si>
    <t>CE</t>
  </si>
  <si>
    <t>FORTALEZA</t>
  </si>
  <si>
    <t>BUENA VISTA</t>
  </si>
  <si>
    <t>PARQUE DO COCO</t>
  </si>
  <si>
    <t>BAIRRO DE FATIMA</t>
  </si>
  <si>
    <t>PRAIA DE IRACEMA</t>
  </si>
  <si>
    <t>MEIRELES</t>
  </si>
  <si>
    <t>Foz do Iguaçu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</si>
  <si>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</si>
  <si>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</si>
  <si>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</si>
  <si>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</si>
  <si>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</si>
  <si>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</si>
  <si>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</si>
  <si>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</si>
  <si>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</si>
  <si>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</si>
  <si>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</si>
  <si>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</si>
  <si>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</si>
  <si>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</si>
  <si>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</si>
  <si>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</si>
  <si>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</si>
  <si>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</si>
  <si>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</si>
  <si>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</si>
  <si>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Jaboatão dos Guararapes</t>
  </si>
  <si>
    <t>PIEDADE</t>
  </si>
  <si>
    <t>João Pessoa</t>
  </si>
  <si>
    <t>BESSA</t>
  </si>
  <si>
    <t>Juiz de Fora</t>
  </si>
  <si>
    <t>JUIZ DE FORA</t>
  </si>
  <si>
    <t>Lajeado</t>
  </si>
  <si>
    <t>DOMINOS LAJEADO</t>
  </si>
  <si>
    <t>Lauro de Freitas</t>
  </si>
  <si>
    <t>LAURO DE FREITAS</t>
  </si>
  <si>
    <t>Londrina</t>
  </si>
  <si>
    <t>LONDRINA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</si>
  <si>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</si>
  <si>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</si>
  <si>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</si>
  <si>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</si>
  <si>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</si>
  <si>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</si>
  <si>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</si>
  <si>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</si>
  <si>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</si>
  <si>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</si>
  <si>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</si>
  <si>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</si>
  <si>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</si>
  <si>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</si>
  <si>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</si>
  <si>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MONTES CLAROS</t>
  </si>
  <si>
    <t>DOMINOS MG MONTES CLAROS JARDIM PALMEIRAS</t>
  </si>
  <si>
    <t>RN</t>
  </si>
  <si>
    <t>Natal</t>
  </si>
  <si>
    <t>DOMINOS RN NATAL TIROL</t>
  </si>
  <si>
    <t>Nilópolis</t>
  </si>
  <si>
    <t>NILOPOLIS</t>
  </si>
  <si>
    <t>Niterói</t>
  </si>
  <si>
    <t>ICARAI</t>
  </si>
  <si>
    <t>AVENIDA SETE</t>
  </si>
  <si>
    <t>ITAIPU</t>
  </si>
  <si>
    <t>Nova Friburgo</t>
  </si>
  <si>
    <t>NOVA FRIBURGO</t>
  </si>
  <si>
    <t>Nova Iguaçu</t>
  </si>
  <si>
    <t>NOVA IGUACU</t>
  </si>
  <si>
    <t>CAXIAS</t>
  </si>
  <si>
    <t>OSASCO</t>
  </si>
  <si>
    <t>AUTONOMISTAS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</si>
  <si>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</si>
  <si>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</si>
  <si>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</si>
  <si>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</si>
  <si>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</si>
  <si>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</si>
  <si>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</si>
  <si>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</si>
  <si>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</si>
  <si>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</si>
  <si>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</si>
  <si>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</si>
  <si>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</si>
  <si>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</si>
  <si>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</si>
  <si>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</si>
  <si>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</si>
  <si>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</si>
  <si>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</si>
  <si>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</si>
  <si>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</si>
  <si>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</si>
  <si>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</si>
  <si>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</si>
  <si>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</si>
  <si>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</si>
  <si>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</si>
  <si>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</si>
  <si>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Pouso Alegre</t>
  </si>
  <si>
    <t>DOMINO'S POUSO ALEGRE</t>
  </si>
  <si>
    <t>Recife</t>
  </si>
  <si>
    <t>GRACAS</t>
  </si>
  <si>
    <t>BOA VIAGEM</t>
  </si>
  <si>
    <t>SETUBAL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</si>
  <si>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</si>
  <si>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</si>
  <si>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</si>
  <si>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</si>
  <si>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</si>
  <si>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</si>
  <si>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</si>
  <si>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</si>
  <si>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Rio de Janeiro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</si>
  <si>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</si>
  <si>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</si>
  <si>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</si>
  <si>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</si>
  <si>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</si>
  <si>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</si>
  <si>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</si>
  <si>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</si>
  <si>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FREGUESIA</t>
  </si>
  <si>
    <t>CATETE</t>
  </si>
  <si>
    <t>MIGUEL LEMOS</t>
  </si>
  <si>
    <t>ARCO VERDE</t>
  </si>
  <si>
    <t>CENTRO</t>
  </si>
  <si>
    <t>ERICO VERISSIMO</t>
  </si>
  <si>
    <t>TIJUCA 2</t>
  </si>
  <si>
    <t>RIO 2</t>
  </si>
  <si>
    <t>CACHAMBI</t>
  </si>
  <si>
    <t>TAQUARA</t>
  </si>
  <si>
    <t>VILA DA PENHA</t>
  </si>
  <si>
    <t>MEIER</t>
  </si>
  <si>
    <t>CAMPO GRANDE RJ</t>
  </si>
  <si>
    <t>RECREIO AMERICAS</t>
  </si>
  <si>
    <t>CAMPO GRANDE 2</t>
  </si>
  <si>
    <t>BONSUCESSO</t>
  </si>
  <si>
    <t>BOTAFOGO</t>
  </si>
  <si>
    <t>CASCADURA</t>
  </si>
  <si>
    <t>LAGOA</t>
  </si>
  <si>
    <t>CONDE DE BONFIM</t>
  </si>
  <si>
    <t>Salvador</t>
  </si>
  <si>
    <t>SALVADOR</t>
  </si>
  <si>
    <t>HORTO FLORESTAL</t>
  </si>
  <si>
    <t>IMBUI</t>
  </si>
  <si>
    <t>PIATA</t>
  </si>
  <si>
    <t>DOMINOS BA SALVADOR STELLA MARIS</t>
  </si>
  <si>
    <t>Santarém</t>
  </si>
  <si>
    <t>SANTAREM</t>
  </si>
  <si>
    <t>Santos</t>
  </si>
  <si>
    <t>SANTOS 2</t>
  </si>
  <si>
    <t>SÃO BERNARDO DO CAMPO</t>
  </si>
  <si>
    <t>KENNEDY</t>
  </si>
  <si>
    <t>CAPITAO CASA</t>
  </si>
  <si>
    <t>São Caetano do Sul</t>
  </si>
  <si>
    <t>SANTA PAULA</t>
  </si>
  <si>
    <t>MA</t>
  </si>
  <si>
    <t>São Luís</t>
  </si>
  <si>
    <t>SAO LUIS</t>
  </si>
  <si>
    <t>SAO LUIS 2</t>
  </si>
  <si>
    <t>São Paulo</t>
  </si>
  <si>
    <t>JARDIM PAULISTA</t>
  </si>
  <si>
    <t>VILA ANDRADE</t>
  </si>
  <si>
    <t>CHACARA STO ANTONIO</t>
  </si>
  <si>
    <t>ALPHAVILLE</t>
  </si>
  <si>
    <t>PINHEIROS</t>
  </si>
  <si>
    <t>LED BARRA FUNDA</t>
  </si>
  <si>
    <t>ACLIMACAO</t>
  </si>
  <si>
    <t>REPUBLICA</t>
  </si>
  <si>
    <t>CAPAO REDONDO</t>
  </si>
  <si>
    <t>PERI PERI</t>
  </si>
  <si>
    <t>JABAQUARA</t>
  </si>
  <si>
    <t>SAO MIGUEL</t>
  </si>
  <si>
    <t>VILA CARRAO</t>
  </si>
  <si>
    <t>PARQUE MANDAQUI</t>
  </si>
  <si>
    <t>VILA CLEMENTINO</t>
  </si>
  <si>
    <t>CAMPO BELO</t>
  </si>
  <si>
    <t>RUA DA MOOCA</t>
  </si>
  <si>
    <t>TATUAPE</t>
  </si>
  <si>
    <t>INTERLAGOS</t>
  </si>
  <si>
    <t>NOVE DE JULHO</t>
  </si>
  <si>
    <t>Serra</t>
  </si>
  <si>
    <t>SERRA</t>
  </si>
  <si>
    <t>Tangará da Serra</t>
  </si>
  <si>
    <t>DOMINOS TANGARA DA SERRA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</si>
  <si>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</si>
  <si>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</si>
  <si>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</si>
  <si>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</si>
  <si>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</si>
  <si>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</si>
  <si>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</si>
  <si>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</si>
  <si>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</si>
  <si>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</si>
  <si>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</si>
  <si>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</si>
  <si>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</si>
  <si>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</si>
  <si>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</si>
  <si>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</si>
  <si>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</si>
  <si>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Vitória da Conquista</t>
  </si>
  <si>
    <t>VITORIA DA CONQUISTA</t>
  </si>
  <si>
    <t>Volta Redonda</t>
  </si>
  <si>
    <t>VOLTA REDONDA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</si>
  <si>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</si>
  <si>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</si>
  <si>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</si>
  <si>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</si>
  <si>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</si>
  <si>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</si>
  <si>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</si>
  <si>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</si>
  <si>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</si>
  <si>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</si>
  <si>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</si>
  <si>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</si>
  <si>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</si>
  <si>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Meta</t>
  </si>
  <si>
    <t>ID_LOJA</t>
  </si>
  <si>
    <t>incidencia</t>
  </si>
  <si>
    <t>QUANTIDADE DE PEDIDOS NÃO CAPTURADOS</t>
  </si>
  <si>
    <t>RECEITA BRUTA NÃO CAPTURADA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</si>
</sst>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&quot;* #,##0.00_);_(&quot;R$&quot;* \(#,##0.00\);_(&quot;R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164" fontId="2" fillId="0" borderId="0" xfId="1" applyNumberFormat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6">
    <cellStyle name="Moeda 2" xfId="5" xr:uid="{D9DCDF95-865E-4D73-A8AB-3ED6836F9488}"/>
    <cellStyle name="Normal" xfId="0" builtinId="0"/>
    <cellStyle name="Normal 2" xfId="1" xr:uid="{E97428AE-9BB7-4D32-B6E8-2D4D2A066F6F}"/>
    <cellStyle name="Normal 3" xfId="3" xr:uid="{9294C0E6-CDC0-4925-AFF4-8B8B3C3FB2F1}"/>
    <cellStyle name="Porcentagem" xfId="2" builtinId="5"/>
    <cellStyle name="Vírgula 2" xfId="4" xr:uid="{E9D74E43-A146-45F1-BD77-2CFD0D483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E6F7-7A01-4B7A-961D-F164DFBDDF37}">
  <dimension ref="A1:M195"/>
  <sheetViews>
    <sheetView tabSelected="1" topLeftCell="A164" zoomScale="85" zoomScaleNormal="85" workbookViewId="0">
      <selection activeCell="C185" sqref="C185"/>
    </sheetView>
  </sheetViews>
  <sheetFormatPr defaultRowHeight="14.4" x14ac:dyDescent="0.3"/>
  <cols>
    <col min="1" max="1" width="10.5546875" bestFit="1" customWidth="1"/>
    <col min="2" max="2" width="5.33203125" bestFit="1" customWidth="1"/>
    <col min="3" max="3" width="23.77734375" bestFit="1" customWidth="1"/>
    <col min="4" max="4" width="10.44140625" bestFit="1" customWidth="1"/>
    <col min="5" max="5" width="16" bestFit="1" customWidth="1"/>
    <col min="6" max="6" width="43.21875" bestFit="1" customWidth="1"/>
    <col min="7" max="7" width="16.6640625" bestFit="1" customWidth="1"/>
    <col min="8" max="8" width="14.88671875" bestFit="1" customWidth="1"/>
    <col min="9" max="9" width="14.88671875" customWidth="1"/>
    <col min="10" max="10" width="7.77734375" bestFit="1" customWidth="1"/>
    <col min="11" max="11" width="21.44140625" bestFit="1" customWidth="1"/>
    <col min="12" max="12" width="41.109375" bestFit="1" customWidth="1"/>
    <col min="13" max="13" width="3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317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318</v>
      </c>
      <c r="J1" s="1" t="s">
        <v>316</v>
      </c>
      <c r="K1" s="1" t="s">
        <v>7</v>
      </c>
      <c r="L1" s="9" t="s">
        <v>319</v>
      </c>
      <c r="M1" s="9" t="s">
        <v>320</v>
      </c>
    </row>
    <row r="2" spans="1:13" x14ac:dyDescent="0.3">
      <c r="A2" s="10">
        <v>46174</v>
      </c>
      <c r="B2" t="s">
        <v>8</v>
      </c>
      <c r="C2" t="s">
        <v>9</v>
      </c>
      <c r="D2" s="1">
        <v>0</v>
      </c>
      <c r="E2" s="2">
        <v>45991327000100</v>
      </c>
      <c r="F2" t="s">
        <v>10</v>
      </c>
      <c r="G2" s="2">
        <v>1385</v>
      </c>
      <c r="H2" s="2">
        <v>684</v>
      </c>
      <c r="I2" s="5">
        <f>H2/G2</f>
        <v>0.49386281588447656</v>
      </c>
      <c r="J2" s="4">
        <v>0.7</v>
      </c>
      <c r="K2" s="3">
        <v>13.539097744360927</v>
      </c>
      <c r="L2" s="8">
        <f t="shared" ref="L2:L65" si="0">H2*J2/I2-H2</f>
        <v>285.49999999999989</v>
      </c>
      <c r="M2" s="7">
        <f t="shared" ref="M2:M65" si="1">L2*K2</f>
        <v>3865.412406015043</v>
      </c>
    </row>
    <row r="3" spans="1:13" x14ac:dyDescent="0.3">
      <c r="A3" s="10">
        <v>46174</v>
      </c>
      <c r="B3" t="s">
        <v>11</v>
      </c>
      <c r="C3" t="s">
        <v>12</v>
      </c>
      <c r="D3" s="1">
        <v>0</v>
      </c>
      <c r="E3" s="2">
        <v>24923389000105</v>
      </c>
      <c r="F3" t="s">
        <v>13</v>
      </c>
      <c r="G3" s="2">
        <v>1732</v>
      </c>
      <c r="H3" s="2">
        <v>572</v>
      </c>
      <c r="I3" s="5">
        <f t="shared" ref="I3:I66" si="2">H3/G3</f>
        <v>0.33025404157043881</v>
      </c>
      <c r="J3" s="4">
        <v>0.7</v>
      </c>
      <c r="K3" s="3">
        <v>14.250711297071179</v>
      </c>
      <c r="L3" s="8">
        <f t="shared" si="0"/>
        <v>640.39999999999986</v>
      </c>
      <c r="M3" s="7">
        <f t="shared" si="1"/>
        <v>9126.1555146443807</v>
      </c>
    </row>
    <row r="4" spans="1:13" x14ac:dyDescent="0.3">
      <c r="A4" s="10">
        <v>46174</v>
      </c>
      <c r="B4" t="s">
        <v>8</v>
      </c>
      <c r="C4" t="s">
        <v>14</v>
      </c>
      <c r="D4" s="1">
        <v>0</v>
      </c>
      <c r="E4" s="2">
        <v>50668787000132</v>
      </c>
      <c r="F4" t="s">
        <v>15</v>
      </c>
      <c r="G4" s="2">
        <v>966</v>
      </c>
      <c r="H4" s="2">
        <v>394</v>
      </c>
      <c r="I4" s="5">
        <f t="shared" si="2"/>
        <v>0.40786749482401657</v>
      </c>
      <c r="J4" s="4">
        <v>0.7</v>
      </c>
      <c r="K4" s="3">
        <v>13.209411764705889</v>
      </c>
      <c r="L4" s="8">
        <f t="shared" si="0"/>
        <v>282.19999999999982</v>
      </c>
      <c r="M4" s="7">
        <f t="shared" si="1"/>
        <v>3727.6959999999995</v>
      </c>
    </row>
    <row r="5" spans="1:13" x14ac:dyDescent="0.3">
      <c r="A5" s="10">
        <v>46174</v>
      </c>
      <c r="B5" t="s">
        <v>8</v>
      </c>
      <c r="C5" t="s">
        <v>16</v>
      </c>
      <c r="D5" s="1">
        <v>0</v>
      </c>
      <c r="E5" s="2">
        <v>42741697000100</v>
      </c>
      <c r="F5" t="s">
        <v>17</v>
      </c>
      <c r="G5" s="2">
        <v>695</v>
      </c>
      <c r="H5" s="2">
        <v>165</v>
      </c>
      <c r="I5" s="5">
        <f t="shared" si="2"/>
        <v>0.23741007194244604</v>
      </c>
      <c r="J5" s="4">
        <v>0.7</v>
      </c>
      <c r="K5" s="3">
        <v>13.802197802197794</v>
      </c>
      <c r="L5" s="8">
        <f t="shared" si="0"/>
        <v>321.49999999999994</v>
      </c>
      <c r="M5" s="7">
        <f t="shared" si="1"/>
        <v>4437.4065934065902</v>
      </c>
    </row>
    <row r="6" spans="1:13" x14ac:dyDescent="0.3">
      <c r="A6" s="10">
        <v>46174</v>
      </c>
      <c r="B6" t="s">
        <v>18</v>
      </c>
      <c r="C6" t="s">
        <v>19</v>
      </c>
      <c r="D6" s="1">
        <v>0</v>
      </c>
      <c r="E6" s="2">
        <v>57162882000109</v>
      </c>
      <c r="F6" t="s">
        <v>20</v>
      </c>
      <c r="G6" s="2">
        <v>923</v>
      </c>
      <c r="H6" s="2">
        <v>447</v>
      </c>
      <c r="I6" s="5">
        <f t="shared" si="2"/>
        <v>0.48429035752979416</v>
      </c>
      <c r="J6" s="4">
        <v>0.7</v>
      </c>
      <c r="K6" s="3">
        <v>13.941224489795962</v>
      </c>
      <c r="L6" s="8">
        <f t="shared" si="0"/>
        <v>199.09999999999991</v>
      </c>
      <c r="M6" s="7">
        <f t="shared" si="1"/>
        <v>2775.6977959183746</v>
      </c>
    </row>
    <row r="7" spans="1:13" x14ac:dyDescent="0.3">
      <c r="A7" s="10">
        <v>46174</v>
      </c>
      <c r="B7" t="s">
        <v>18</v>
      </c>
      <c r="C7" t="s">
        <v>21</v>
      </c>
      <c r="D7" s="1">
        <v>0</v>
      </c>
      <c r="E7" s="2">
        <v>50899851000196</v>
      </c>
      <c r="F7" t="s">
        <v>22</v>
      </c>
      <c r="G7" s="2">
        <v>1732</v>
      </c>
      <c r="H7" s="2">
        <v>911</v>
      </c>
      <c r="I7" s="5">
        <f t="shared" si="2"/>
        <v>0.52598152424942268</v>
      </c>
      <c r="J7" s="4">
        <v>0.7</v>
      </c>
      <c r="K7" s="3">
        <v>14.418965517241439</v>
      </c>
      <c r="L7" s="8">
        <f t="shared" si="0"/>
        <v>301.39999999999986</v>
      </c>
      <c r="M7" s="7">
        <f t="shared" si="1"/>
        <v>4345.876206896568</v>
      </c>
    </row>
    <row r="8" spans="1:13" x14ac:dyDescent="0.3">
      <c r="A8" s="10">
        <v>46174</v>
      </c>
      <c r="B8" t="s">
        <v>23</v>
      </c>
      <c r="C8" t="s">
        <v>24</v>
      </c>
      <c r="D8" s="1">
        <v>0</v>
      </c>
      <c r="E8" s="2">
        <v>19041058000101</v>
      </c>
      <c r="F8" t="s">
        <v>25</v>
      </c>
      <c r="G8" s="2">
        <v>1505</v>
      </c>
      <c r="H8" s="2">
        <v>764</v>
      </c>
      <c r="I8" s="5">
        <f t="shared" si="2"/>
        <v>0.50764119601328905</v>
      </c>
      <c r="J8" s="4">
        <v>0.7</v>
      </c>
      <c r="K8" s="3">
        <v>14.500119047619089</v>
      </c>
      <c r="L8" s="8">
        <f t="shared" si="0"/>
        <v>289.49999999999977</v>
      </c>
      <c r="M8" s="7">
        <f t="shared" si="1"/>
        <v>4197.7844642857226</v>
      </c>
    </row>
    <row r="9" spans="1:13" x14ac:dyDescent="0.3">
      <c r="A9" s="10">
        <v>46174</v>
      </c>
      <c r="B9" t="s">
        <v>8</v>
      </c>
      <c r="C9" t="s">
        <v>26</v>
      </c>
      <c r="D9" s="1">
        <v>0</v>
      </c>
      <c r="E9" s="2">
        <v>55056005001280</v>
      </c>
      <c r="F9" t="s">
        <v>27</v>
      </c>
      <c r="G9" s="2">
        <v>1446</v>
      </c>
      <c r="H9" s="2">
        <v>617</v>
      </c>
      <c r="I9" s="5">
        <f t="shared" si="2"/>
        <v>0.42669432918395572</v>
      </c>
      <c r="J9" s="4">
        <v>0.7</v>
      </c>
      <c r="K9" s="3">
        <v>15.692312500000037</v>
      </c>
      <c r="L9" s="8">
        <f t="shared" si="0"/>
        <v>395.19999999999993</v>
      </c>
      <c r="M9" s="7">
        <f t="shared" si="1"/>
        <v>6201.6019000000133</v>
      </c>
    </row>
    <row r="10" spans="1:13" x14ac:dyDescent="0.3">
      <c r="A10" s="10">
        <v>46174</v>
      </c>
      <c r="B10" t="s">
        <v>28</v>
      </c>
      <c r="C10" t="s">
        <v>29</v>
      </c>
      <c r="D10" s="1">
        <v>0</v>
      </c>
      <c r="E10" s="2">
        <v>13466829000126</v>
      </c>
      <c r="F10" t="s">
        <v>30</v>
      </c>
      <c r="G10" s="2">
        <v>3617</v>
      </c>
      <c r="H10" s="2">
        <v>1940</v>
      </c>
      <c r="I10" s="5">
        <f t="shared" si="2"/>
        <v>0.53635609621233071</v>
      </c>
      <c r="J10" s="4">
        <v>0.7</v>
      </c>
      <c r="K10" s="3">
        <v>15.103679389312955</v>
      </c>
      <c r="L10" s="8">
        <f t="shared" si="0"/>
        <v>591.89999999999964</v>
      </c>
      <c r="M10" s="7">
        <f t="shared" si="1"/>
        <v>8939.8678305343328</v>
      </c>
    </row>
    <row r="11" spans="1:13" x14ac:dyDescent="0.3">
      <c r="A11" s="10">
        <v>46174</v>
      </c>
      <c r="B11" t="s">
        <v>28</v>
      </c>
      <c r="C11" t="s">
        <v>29</v>
      </c>
      <c r="D11" s="1">
        <v>0</v>
      </c>
      <c r="E11" s="2">
        <v>19691128000177</v>
      </c>
      <c r="F11" t="s">
        <v>31</v>
      </c>
      <c r="G11" s="2">
        <v>2102</v>
      </c>
      <c r="H11" s="2">
        <v>1103</v>
      </c>
      <c r="I11" s="5">
        <f t="shared" si="2"/>
        <v>0.52473834443387246</v>
      </c>
      <c r="J11" s="4">
        <v>0.7</v>
      </c>
      <c r="K11" s="3">
        <v>14.238124999999986</v>
      </c>
      <c r="L11" s="8">
        <f t="shared" si="0"/>
        <v>368.39999999999986</v>
      </c>
      <c r="M11" s="7">
        <f t="shared" si="1"/>
        <v>5245.3252499999926</v>
      </c>
    </row>
    <row r="12" spans="1:13" x14ac:dyDescent="0.3">
      <c r="A12" s="10">
        <v>46174</v>
      </c>
      <c r="B12" t="s">
        <v>32</v>
      </c>
      <c r="C12" t="s">
        <v>33</v>
      </c>
      <c r="D12" s="1">
        <v>0</v>
      </c>
      <c r="E12" s="2">
        <v>24840166006620</v>
      </c>
      <c r="F12" t="s">
        <v>34</v>
      </c>
      <c r="G12" s="2">
        <v>4745</v>
      </c>
      <c r="H12" s="2">
        <v>1851</v>
      </c>
      <c r="I12" s="5">
        <f t="shared" si="2"/>
        <v>0.39009483667017913</v>
      </c>
      <c r="J12" s="4">
        <v>0.7</v>
      </c>
      <c r="K12" s="3">
        <v>15.480486026731334</v>
      </c>
      <c r="L12" s="8">
        <f t="shared" si="0"/>
        <v>1470.4999999999995</v>
      </c>
      <c r="M12" s="7">
        <f t="shared" si="1"/>
        <v>22764.054702308422</v>
      </c>
    </row>
    <row r="13" spans="1:13" x14ac:dyDescent="0.3">
      <c r="A13" s="10">
        <v>46174</v>
      </c>
      <c r="B13" t="s">
        <v>32</v>
      </c>
      <c r="C13" t="s">
        <v>33</v>
      </c>
      <c r="D13" s="1">
        <v>0</v>
      </c>
      <c r="E13" s="2">
        <v>24840166006468</v>
      </c>
      <c r="F13" t="s">
        <v>35</v>
      </c>
      <c r="G13" s="2">
        <v>1564</v>
      </c>
      <c r="H13" s="2">
        <v>609</v>
      </c>
      <c r="I13" s="5">
        <f t="shared" si="2"/>
        <v>0.38938618925831203</v>
      </c>
      <c r="J13" s="4">
        <v>0.7</v>
      </c>
      <c r="K13" s="3">
        <v>14.931828908554573</v>
      </c>
      <c r="L13" s="8">
        <f t="shared" si="0"/>
        <v>485.79999999999995</v>
      </c>
      <c r="M13" s="7">
        <f t="shared" si="1"/>
        <v>7253.8824837758111</v>
      </c>
    </row>
    <row r="14" spans="1:13" x14ac:dyDescent="0.3">
      <c r="A14" s="10">
        <v>46174</v>
      </c>
      <c r="B14" t="s">
        <v>32</v>
      </c>
      <c r="C14" t="s">
        <v>33</v>
      </c>
      <c r="D14" s="1">
        <v>0</v>
      </c>
      <c r="E14" s="2">
        <v>24840166006115</v>
      </c>
      <c r="F14" t="s">
        <v>36</v>
      </c>
      <c r="G14" s="2">
        <v>1771</v>
      </c>
      <c r="H14" s="2">
        <v>840</v>
      </c>
      <c r="I14" s="5">
        <f t="shared" si="2"/>
        <v>0.4743083003952569</v>
      </c>
      <c r="J14" s="4">
        <v>0.7</v>
      </c>
      <c r="K14" s="3">
        <v>14.711143695014687</v>
      </c>
      <c r="L14" s="8">
        <f t="shared" si="0"/>
        <v>399.70000000000005</v>
      </c>
      <c r="M14" s="7">
        <f t="shared" si="1"/>
        <v>5880.0441348973709</v>
      </c>
    </row>
    <row r="15" spans="1:13" x14ac:dyDescent="0.3">
      <c r="A15" s="10">
        <v>46174</v>
      </c>
      <c r="B15" t="s">
        <v>32</v>
      </c>
      <c r="C15" t="s">
        <v>33</v>
      </c>
      <c r="D15" s="1">
        <v>0</v>
      </c>
      <c r="E15" s="2">
        <v>24840166005739</v>
      </c>
      <c r="F15" t="s">
        <v>37</v>
      </c>
      <c r="G15" s="2">
        <v>1877</v>
      </c>
      <c r="H15" s="2">
        <v>897</v>
      </c>
      <c r="I15" s="5">
        <f t="shared" si="2"/>
        <v>0.47789025039957378</v>
      </c>
      <c r="J15" s="4">
        <v>0.7</v>
      </c>
      <c r="K15" s="3">
        <v>15.138095238095282</v>
      </c>
      <c r="L15" s="8">
        <f t="shared" si="0"/>
        <v>416.89999999999986</v>
      </c>
      <c r="M15" s="7">
        <f t="shared" si="1"/>
        <v>6311.0719047619214</v>
      </c>
    </row>
    <row r="16" spans="1:13" x14ac:dyDescent="0.3">
      <c r="A16" s="10">
        <v>46174</v>
      </c>
      <c r="B16" t="s">
        <v>32</v>
      </c>
      <c r="C16" t="s">
        <v>33</v>
      </c>
      <c r="D16" s="1">
        <v>0</v>
      </c>
      <c r="E16" s="2">
        <v>55056005001361</v>
      </c>
      <c r="F16" t="s">
        <v>38</v>
      </c>
      <c r="G16" s="2">
        <v>1424</v>
      </c>
      <c r="H16" s="2">
        <v>546</v>
      </c>
      <c r="I16" s="5">
        <f t="shared" si="2"/>
        <v>0.38342696629213485</v>
      </c>
      <c r="J16" s="4">
        <v>0.7</v>
      </c>
      <c r="K16" s="3">
        <v>15.432377049180369</v>
      </c>
      <c r="L16" s="8">
        <f t="shared" si="0"/>
        <v>450.79999999999995</v>
      </c>
      <c r="M16" s="7">
        <f t="shared" si="1"/>
        <v>6956.9155737705096</v>
      </c>
    </row>
    <row r="17" spans="1:13" x14ac:dyDescent="0.3">
      <c r="A17" s="10">
        <v>46174</v>
      </c>
      <c r="B17" t="s">
        <v>32</v>
      </c>
      <c r="C17" t="s">
        <v>33</v>
      </c>
      <c r="D17" s="1">
        <v>0</v>
      </c>
      <c r="E17" s="2">
        <v>24840166006387</v>
      </c>
      <c r="F17" t="s">
        <v>39</v>
      </c>
      <c r="G17" s="2">
        <v>2250</v>
      </c>
      <c r="H17" s="2">
        <v>1021</v>
      </c>
      <c r="I17" s="5">
        <f t="shared" si="2"/>
        <v>0.45377777777777778</v>
      </c>
      <c r="J17" s="4">
        <v>0.7</v>
      </c>
      <c r="K17" s="3">
        <v>14.51513715710723</v>
      </c>
      <c r="L17" s="8">
        <f t="shared" si="0"/>
        <v>553.99999999999977</v>
      </c>
      <c r="M17" s="7">
        <f t="shared" si="1"/>
        <v>8041.385985037402</v>
      </c>
    </row>
    <row r="18" spans="1:13" x14ac:dyDescent="0.3">
      <c r="A18" s="10">
        <v>46174</v>
      </c>
      <c r="B18" t="s">
        <v>32</v>
      </c>
      <c r="C18" t="s">
        <v>33</v>
      </c>
      <c r="D18" s="1">
        <v>0</v>
      </c>
      <c r="E18" s="2">
        <v>58671851000146</v>
      </c>
      <c r="F18" t="s">
        <v>40</v>
      </c>
      <c r="G18" s="2">
        <v>1347</v>
      </c>
      <c r="H18" s="2">
        <v>519</v>
      </c>
      <c r="I18" s="5">
        <f t="shared" si="2"/>
        <v>0.38530066815144765</v>
      </c>
      <c r="J18" s="4">
        <v>0.7</v>
      </c>
      <c r="K18" s="3">
        <v>14.315730337078648</v>
      </c>
      <c r="L18" s="8">
        <f t="shared" si="0"/>
        <v>423.9</v>
      </c>
      <c r="M18" s="7">
        <f t="shared" si="1"/>
        <v>6068.4380898876389</v>
      </c>
    </row>
    <row r="19" spans="1:13" x14ac:dyDescent="0.3">
      <c r="A19" s="10">
        <v>46174</v>
      </c>
      <c r="B19" t="s">
        <v>32</v>
      </c>
      <c r="C19" t="s">
        <v>33</v>
      </c>
      <c r="D19" s="1">
        <v>0</v>
      </c>
      <c r="E19" s="2">
        <v>55056005000128</v>
      </c>
      <c r="F19" t="s">
        <v>41</v>
      </c>
      <c r="G19" s="2">
        <v>1442</v>
      </c>
      <c r="H19" s="2">
        <v>853</v>
      </c>
      <c r="I19" s="5">
        <f t="shared" si="2"/>
        <v>0.59153952843273228</v>
      </c>
      <c r="J19" s="4">
        <v>0.7</v>
      </c>
      <c r="K19" s="3">
        <v>13.462543640897763</v>
      </c>
      <c r="L19" s="8">
        <f t="shared" si="0"/>
        <v>156.39999999999986</v>
      </c>
      <c r="M19" s="7">
        <f t="shared" si="1"/>
        <v>2105.5418254364085</v>
      </c>
    </row>
    <row r="20" spans="1:13" x14ac:dyDescent="0.3">
      <c r="A20" s="10">
        <v>46174</v>
      </c>
      <c r="B20" t="s">
        <v>32</v>
      </c>
      <c r="C20" t="s">
        <v>33</v>
      </c>
      <c r="D20" s="1">
        <v>0</v>
      </c>
      <c r="E20" s="2">
        <v>24840166005658</v>
      </c>
      <c r="F20" t="s">
        <v>42</v>
      </c>
      <c r="G20" s="2">
        <v>1308</v>
      </c>
      <c r="H20" s="2">
        <v>527</v>
      </c>
      <c r="I20" s="5">
        <f t="shared" si="2"/>
        <v>0.4029051987767584</v>
      </c>
      <c r="J20" s="4">
        <v>0.7</v>
      </c>
      <c r="K20" s="3">
        <v>14.576575875486425</v>
      </c>
      <c r="L20" s="8">
        <f t="shared" si="0"/>
        <v>388.6</v>
      </c>
      <c r="M20" s="7">
        <f t="shared" si="1"/>
        <v>5664.4573852140247</v>
      </c>
    </row>
    <row r="21" spans="1:13" x14ac:dyDescent="0.3">
      <c r="A21" s="10">
        <v>46174</v>
      </c>
      <c r="B21" t="s">
        <v>43</v>
      </c>
      <c r="C21" t="s">
        <v>44</v>
      </c>
      <c r="D21" s="1">
        <v>0</v>
      </c>
      <c r="E21" s="2">
        <v>31010714000104</v>
      </c>
      <c r="F21" t="s">
        <v>45</v>
      </c>
      <c r="G21" s="2">
        <v>992</v>
      </c>
      <c r="H21" s="2">
        <v>561</v>
      </c>
      <c r="I21" s="5">
        <f t="shared" si="2"/>
        <v>0.56552419354838712</v>
      </c>
      <c r="J21" s="4">
        <v>0.7</v>
      </c>
      <c r="K21" s="3">
        <v>14.193925233644915</v>
      </c>
      <c r="L21" s="8">
        <f t="shared" si="0"/>
        <v>133.39999999999998</v>
      </c>
      <c r="M21" s="7">
        <f t="shared" si="1"/>
        <v>1893.4696261682313</v>
      </c>
    </row>
    <row r="22" spans="1:13" x14ac:dyDescent="0.3">
      <c r="A22" s="10">
        <v>46174</v>
      </c>
      <c r="B22" t="s">
        <v>43</v>
      </c>
      <c r="C22" t="s">
        <v>44</v>
      </c>
      <c r="D22" s="1">
        <v>0</v>
      </c>
      <c r="E22" s="2">
        <v>60067492000164</v>
      </c>
      <c r="F22" t="s">
        <v>46</v>
      </c>
      <c r="G22" s="2">
        <v>1819</v>
      </c>
      <c r="H22" s="2">
        <v>1493</v>
      </c>
      <c r="I22" s="5">
        <f t="shared" si="2"/>
        <v>0.82078064870808132</v>
      </c>
      <c r="J22" s="4">
        <v>0.7</v>
      </c>
      <c r="K22" s="3">
        <v>13.575723472668752</v>
      </c>
      <c r="L22" s="8">
        <f t="shared" si="0"/>
        <v>-219.70000000000005</v>
      </c>
      <c r="M22" s="7">
        <f t="shared" si="1"/>
        <v>-2982.5864469453254</v>
      </c>
    </row>
    <row r="23" spans="1:13" x14ac:dyDescent="0.3">
      <c r="A23" s="10">
        <v>46174</v>
      </c>
      <c r="B23" t="s">
        <v>8</v>
      </c>
      <c r="C23" t="s">
        <v>47</v>
      </c>
      <c r="D23" s="1">
        <v>0</v>
      </c>
      <c r="E23" s="2">
        <v>45614459000113</v>
      </c>
      <c r="F23" t="s">
        <v>48</v>
      </c>
      <c r="G23" s="2">
        <v>2119</v>
      </c>
      <c r="H23" s="2">
        <v>967</v>
      </c>
      <c r="I23" s="5">
        <f t="shared" si="2"/>
        <v>0.45634733364794716</v>
      </c>
      <c r="J23" s="4">
        <v>0.7</v>
      </c>
      <c r="K23" s="3">
        <v>13.340283400809763</v>
      </c>
      <c r="L23" s="8">
        <f t="shared" si="0"/>
        <v>516.29999999999995</v>
      </c>
      <c r="M23" s="7">
        <f t="shared" si="1"/>
        <v>6887.5883198380807</v>
      </c>
    </row>
    <row r="24" spans="1:13" x14ac:dyDescent="0.3">
      <c r="A24" s="10">
        <v>46174</v>
      </c>
      <c r="B24" t="s">
        <v>49</v>
      </c>
      <c r="C24" t="s">
        <v>50</v>
      </c>
      <c r="D24" s="1">
        <v>0</v>
      </c>
      <c r="E24" s="2">
        <v>20026178000119</v>
      </c>
      <c r="F24" t="s">
        <v>51</v>
      </c>
      <c r="G24" s="2">
        <v>1049</v>
      </c>
      <c r="H24" s="2">
        <v>368</v>
      </c>
      <c r="I24" s="5">
        <f t="shared" si="2"/>
        <v>0.3508102955195424</v>
      </c>
      <c r="J24" s="4">
        <v>0.7</v>
      </c>
      <c r="K24" s="3">
        <v>15.35992366412219</v>
      </c>
      <c r="L24" s="8">
        <f t="shared" si="0"/>
        <v>366.29999999999995</v>
      </c>
      <c r="M24" s="7">
        <f t="shared" si="1"/>
        <v>5626.3400381679576</v>
      </c>
    </row>
    <row r="25" spans="1:13" x14ac:dyDescent="0.3">
      <c r="A25" s="10">
        <v>46174</v>
      </c>
      <c r="B25" t="s">
        <v>49</v>
      </c>
      <c r="C25" t="s">
        <v>50</v>
      </c>
      <c r="D25" s="1">
        <v>0</v>
      </c>
      <c r="E25" s="2">
        <v>16370406000104</v>
      </c>
      <c r="F25" t="s">
        <v>52</v>
      </c>
      <c r="G25" s="2">
        <v>2478</v>
      </c>
      <c r="H25" s="2">
        <v>960</v>
      </c>
      <c r="I25" s="5">
        <f t="shared" si="2"/>
        <v>0.38740920096852299</v>
      </c>
      <c r="J25" s="4">
        <v>0.7</v>
      </c>
      <c r="K25" s="3">
        <v>16.020116731517405</v>
      </c>
      <c r="L25" s="8">
        <f t="shared" si="0"/>
        <v>774.60000000000014</v>
      </c>
      <c r="M25" s="7">
        <f t="shared" si="1"/>
        <v>12409.182420233385</v>
      </c>
    </row>
    <row r="26" spans="1:13" x14ac:dyDescent="0.3">
      <c r="A26" s="10">
        <v>46174</v>
      </c>
      <c r="B26" t="s">
        <v>49</v>
      </c>
      <c r="C26" t="s">
        <v>50</v>
      </c>
      <c r="D26" s="1">
        <v>0</v>
      </c>
      <c r="E26" s="2">
        <v>20175900000187</v>
      </c>
      <c r="F26" t="s">
        <v>53</v>
      </c>
      <c r="G26" s="2">
        <v>4096</v>
      </c>
      <c r="H26" s="2">
        <v>1652</v>
      </c>
      <c r="I26" s="5">
        <f t="shared" si="2"/>
        <v>0.4033203125</v>
      </c>
      <c r="J26" s="4">
        <v>0.7</v>
      </c>
      <c r="K26" s="3">
        <v>14.840401146131597</v>
      </c>
      <c r="L26" s="8">
        <f t="shared" si="0"/>
        <v>1215.1999999999998</v>
      </c>
      <c r="M26" s="7">
        <f t="shared" si="1"/>
        <v>18034.055472779113</v>
      </c>
    </row>
    <row r="27" spans="1:13" x14ac:dyDescent="0.3">
      <c r="A27" s="10">
        <v>46174</v>
      </c>
      <c r="B27" t="s">
        <v>49</v>
      </c>
      <c r="C27" t="s">
        <v>50</v>
      </c>
      <c r="D27" s="1">
        <v>0</v>
      </c>
      <c r="E27" s="2">
        <v>61992406000192</v>
      </c>
      <c r="F27" t="s">
        <v>54</v>
      </c>
      <c r="G27" s="2">
        <v>2422</v>
      </c>
      <c r="H27" s="2">
        <v>910</v>
      </c>
      <c r="I27" s="5">
        <f t="shared" si="2"/>
        <v>0.37572254335260113</v>
      </c>
      <c r="J27" s="4">
        <v>0.7</v>
      </c>
      <c r="K27" s="3">
        <v>16.252153110047772</v>
      </c>
      <c r="L27" s="8">
        <f t="shared" si="0"/>
        <v>785.40000000000009</v>
      </c>
      <c r="M27" s="7">
        <f t="shared" si="1"/>
        <v>12764.441052631521</v>
      </c>
    </row>
    <row r="28" spans="1:13" x14ac:dyDescent="0.3">
      <c r="A28" s="10">
        <v>46174</v>
      </c>
      <c r="B28" t="s">
        <v>49</v>
      </c>
      <c r="C28" t="s">
        <v>50</v>
      </c>
      <c r="D28" s="1">
        <v>0</v>
      </c>
      <c r="E28" s="2">
        <v>23997144000160</v>
      </c>
      <c r="F28" t="s">
        <v>55</v>
      </c>
      <c r="G28" s="2">
        <v>1413</v>
      </c>
      <c r="H28" s="2">
        <v>427</v>
      </c>
      <c r="I28" s="5">
        <f t="shared" si="2"/>
        <v>0.30219391365888182</v>
      </c>
      <c r="J28" s="4">
        <v>0.7</v>
      </c>
      <c r="K28" s="3">
        <v>15.773096446700553</v>
      </c>
      <c r="L28" s="8">
        <f t="shared" si="0"/>
        <v>562.09999999999991</v>
      </c>
      <c r="M28" s="7">
        <f t="shared" si="1"/>
        <v>8866.0575126903786</v>
      </c>
    </row>
    <row r="29" spans="1:13" x14ac:dyDescent="0.3">
      <c r="A29" s="10">
        <v>46174</v>
      </c>
      <c r="B29" t="s">
        <v>49</v>
      </c>
      <c r="C29" t="s">
        <v>50</v>
      </c>
      <c r="D29" s="1">
        <v>0</v>
      </c>
      <c r="E29" s="2">
        <v>25451389000112</v>
      </c>
      <c r="F29" t="s">
        <v>56</v>
      </c>
      <c r="G29" s="2">
        <v>1474</v>
      </c>
      <c r="H29" s="2">
        <v>480</v>
      </c>
      <c r="I29" s="5">
        <f t="shared" si="2"/>
        <v>0.32564450474898238</v>
      </c>
      <c r="J29" s="4">
        <v>0.7</v>
      </c>
      <c r="K29" s="3">
        <v>15.624109589041126</v>
      </c>
      <c r="L29" s="8">
        <f t="shared" si="0"/>
        <v>551.79999999999995</v>
      </c>
      <c r="M29" s="7">
        <f t="shared" si="1"/>
        <v>8621.3836712328921</v>
      </c>
    </row>
    <row r="30" spans="1:13" x14ac:dyDescent="0.3">
      <c r="A30" s="10">
        <v>46174</v>
      </c>
      <c r="B30" t="s">
        <v>49</v>
      </c>
      <c r="C30" t="s">
        <v>50</v>
      </c>
      <c r="D30" s="1">
        <v>0</v>
      </c>
      <c r="E30" s="2">
        <v>54730480000175</v>
      </c>
      <c r="F30" t="s">
        <v>57</v>
      </c>
      <c r="G30" s="2">
        <v>230</v>
      </c>
      <c r="H30" s="2">
        <v>60</v>
      </c>
      <c r="I30" s="5">
        <f t="shared" si="2"/>
        <v>0.2608695652173913</v>
      </c>
      <c r="J30" s="4">
        <v>0.7</v>
      </c>
      <c r="K30" s="3">
        <v>15.682352941176472</v>
      </c>
      <c r="L30" s="8">
        <f t="shared" si="0"/>
        <v>101</v>
      </c>
      <c r="M30" s="7">
        <f t="shared" si="1"/>
        <v>1583.9176470588236</v>
      </c>
    </row>
    <row r="31" spans="1:13" x14ac:dyDescent="0.3">
      <c r="A31" s="10">
        <v>46174</v>
      </c>
      <c r="B31" t="s">
        <v>49</v>
      </c>
      <c r="C31" t="s">
        <v>50</v>
      </c>
      <c r="D31" s="1">
        <v>0</v>
      </c>
      <c r="E31" s="2">
        <v>38428651000150</v>
      </c>
      <c r="F31" t="s">
        <v>58</v>
      </c>
      <c r="G31" s="2">
        <v>1843</v>
      </c>
      <c r="H31" s="2">
        <v>662</v>
      </c>
      <c r="I31" s="5">
        <f t="shared" si="2"/>
        <v>0.35919696147585456</v>
      </c>
      <c r="J31" s="4">
        <v>0.7</v>
      </c>
      <c r="K31" s="3">
        <v>14.702234726688019</v>
      </c>
      <c r="L31" s="8">
        <f t="shared" si="0"/>
        <v>628.10000000000014</v>
      </c>
      <c r="M31" s="7">
        <f t="shared" si="1"/>
        <v>9234.4736318327468</v>
      </c>
    </row>
    <row r="32" spans="1:13" x14ac:dyDescent="0.3">
      <c r="A32" s="10">
        <v>46174</v>
      </c>
      <c r="B32" t="s">
        <v>49</v>
      </c>
      <c r="C32" t="s">
        <v>50</v>
      </c>
      <c r="D32" s="1">
        <v>0</v>
      </c>
      <c r="E32" s="2">
        <v>52493270000185</v>
      </c>
      <c r="F32" t="s">
        <v>59</v>
      </c>
      <c r="G32" s="2">
        <v>1067</v>
      </c>
      <c r="H32" s="2">
        <v>338</v>
      </c>
      <c r="I32" s="5">
        <f t="shared" si="2"/>
        <v>0.316776007497657</v>
      </c>
      <c r="J32" s="4">
        <v>0.7</v>
      </c>
      <c r="K32" s="3">
        <v>16.099999999999991</v>
      </c>
      <c r="L32" s="8">
        <f t="shared" si="0"/>
        <v>408.9</v>
      </c>
      <c r="M32" s="7">
        <f t="shared" si="1"/>
        <v>6583.2899999999954</v>
      </c>
    </row>
    <row r="33" spans="1:13" x14ac:dyDescent="0.3">
      <c r="A33" s="10">
        <v>46174</v>
      </c>
      <c r="B33" t="s">
        <v>18</v>
      </c>
      <c r="C33" t="s">
        <v>60</v>
      </c>
      <c r="D33" s="1">
        <v>0</v>
      </c>
      <c r="E33" s="2">
        <v>21309900000195</v>
      </c>
      <c r="F33" t="s">
        <v>61</v>
      </c>
      <c r="G33" s="2">
        <v>1547</v>
      </c>
      <c r="H33" s="2">
        <v>673</v>
      </c>
      <c r="I33" s="5">
        <f t="shared" si="2"/>
        <v>0.43503555268261151</v>
      </c>
      <c r="J33" s="4">
        <v>0.7</v>
      </c>
      <c r="K33" s="3">
        <v>14.72993421052635</v>
      </c>
      <c r="L33" s="8">
        <f t="shared" si="0"/>
        <v>409.89999999999986</v>
      </c>
      <c r="M33" s="7">
        <f t="shared" si="1"/>
        <v>6037.8000328947492</v>
      </c>
    </row>
    <row r="34" spans="1:13" x14ac:dyDescent="0.3">
      <c r="A34" s="10">
        <v>46174</v>
      </c>
      <c r="B34" t="s">
        <v>62</v>
      </c>
      <c r="C34" t="s">
        <v>63</v>
      </c>
      <c r="D34" s="1">
        <v>0</v>
      </c>
      <c r="E34" s="2">
        <v>46155956000163</v>
      </c>
      <c r="F34" t="s">
        <v>64</v>
      </c>
      <c r="G34" s="2">
        <v>2277</v>
      </c>
      <c r="H34" s="2">
        <v>972</v>
      </c>
      <c r="I34" s="5">
        <f t="shared" si="2"/>
        <v>0.4268774703557312</v>
      </c>
      <c r="J34" s="4">
        <v>0.7</v>
      </c>
      <c r="K34" s="3">
        <v>14.936259842519682</v>
      </c>
      <c r="L34" s="8">
        <f t="shared" si="0"/>
        <v>621.90000000000009</v>
      </c>
      <c r="M34" s="7">
        <f t="shared" si="1"/>
        <v>9288.8599960629908</v>
      </c>
    </row>
    <row r="35" spans="1:13" x14ac:dyDescent="0.3">
      <c r="A35" s="10">
        <v>46174</v>
      </c>
      <c r="B35" t="s">
        <v>65</v>
      </c>
      <c r="C35" t="s">
        <v>66</v>
      </c>
      <c r="D35" s="1">
        <v>0</v>
      </c>
      <c r="E35" s="2">
        <v>65276485000196</v>
      </c>
      <c r="F35" t="s">
        <v>67</v>
      </c>
      <c r="G35" s="2">
        <v>1988</v>
      </c>
      <c r="H35" s="2">
        <v>1160</v>
      </c>
      <c r="I35" s="5">
        <f t="shared" si="2"/>
        <v>0.58350100603621735</v>
      </c>
      <c r="J35" s="4">
        <v>0.7</v>
      </c>
      <c r="K35" s="3">
        <v>13.626637744034658</v>
      </c>
      <c r="L35" s="8">
        <f t="shared" si="0"/>
        <v>231.59999999999991</v>
      </c>
      <c r="M35" s="7">
        <f t="shared" si="1"/>
        <v>3155.9293015184257</v>
      </c>
    </row>
    <row r="36" spans="1:13" x14ac:dyDescent="0.3">
      <c r="A36" s="10">
        <v>46174</v>
      </c>
      <c r="B36" t="s">
        <v>8</v>
      </c>
      <c r="C36" t="s">
        <v>68</v>
      </c>
      <c r="D36" s="1">
        <v>0</v>
      </c>
      <c r="E36" s="2">
        <v>52739207000186</v>
      </c>
      <c r="F36" t="s">
        <v>69</v>
      </c>
      <c r="G36" s="2">
        <v>3414</v>
      </c>
      <c r="H36" s="2">
        <v>1215</v>
      </c>
      <c r="I36" s="5">
        <f t="shared" si="2"/>
        <v>0.35588752196836554</v>
      </c>
      <c r="J36" s="4">
        <v>0.7</v>
      </c>
      <c r="K36" s="3">
        <v>15.677186147186074</v>
      </c>
      <c r="L36" s="8">
        <f t="shared" si="0"/>
        <v>1174.8000000000002</v>
      </c>
      <c r="M36" s="7">
        <f t="shared" si="1"/>
        <v>18417.558285714204</v>
      </c>
    </row>
    <row r="37" spans="1:13" x14ac:dyDescent="0.3">
      <c r="A37" s="10">
        <v>46174</v>
      </c>
      <c r="B37" t="s">
        <v>8</v>
      </c>
      <c r="C37" t="s">
        <v>68</v>
      </c>
      <c r="D37" s="1">
        <v>0</v>
      </c>
      <c r="E37" s="2">
        <v>52739920000120</v>
      </c>
      <c r="F37" t="s">
        <v>70</v>
      </c>
      <c r="G37" s="2">
        <v>1898</v>
      </c>
      <c r="H37" s="2">
        <v>612</v>
      </c>
      <c r="I37" s="5">
        <f t="shared" si="2"/>
        <v>0.32244467860906217</v>
      </c>
      <c r="J37" s="4">
        <v>0.7</v>
      </c>
      <c r="K37" s="3">
        <v>14.904311377245545</v>
      </c>
      <c r="L37" s="8">
        <f t="shared" si="0"/>
        <v>716.59999999999991</v>
      </c>
      <c r="M37" s="7">
        <f t="shared" si="1"/>
        <v>10680.429532934157</v>
      </c>
    </row>
    <row r="38" spans="1:13" x14ac:dyDescent="0.3">
      <c r="A38" s="10">
        <v>46174</v>
      </c>
      <c r="B38" t="s">
        <v>8</v>
      </c>
      <c r="C38" t="s">
        <v>68</v>
      </c>
      <c r="D38" s="1">
        <v>0</v>
      </c>
      <c r="E38" s="2">
        <v>39735734000154</v>
      </c>
      <c r="F38" t="s">
        <v>71</v>
      </c>
      <c r="G38" s="2">
        <v>490</v>
      </c>
      <c r="H38" s="2">
        <v>150</v>
      </c>
      <c r="I38" s="5">
        <f t="shared" si="2"/>
        <v>0.30612244897959184</v>
      </c>
      <c r="J38" s="4">
        <v>0.7</v>
      </c>
      <c r="K38" s="3">
        <v>13.275000000000022</v>
      </c>
      <c r="L38" s="8">
        <f t="shared" si="0"/>
        <v>193</v>
      </c>
      <c r="M38" s="7">
        <f t="shared" si="1"/>
        <v>2562.0750000000044</v>
      </c>
    </row>
    <row r="39" spans="1:13" x14ac:dyDescent="0.3">
      <c r="A39" s="10">
        <v>46174</v>
      </c>
      <c r="B39" t="s">
        <v>72</v>
      </c>
      <c r="C39" t="s">
        <v>73</v>
      </c>
      <c r="D39" s="1">
        <v>0</v>
      </c>
      <c r="E39" s="2">
        <v>53715406000117</v>
      </c>
      <c r="F39" t="s">
        <v>74</v>
      </c>
      <c r="G39" s="2">
        <v>230</v>
      </c>
      <c r="H39" s="2">
        <v>55</v>
      </c>
      <c r="I39" s="5">
        <f t="shared" si="2"/>
        <v>0.2391304347826087</v>
      </c>
      <c r="J39" s="4">
        <v>0.7</v>
      </c>
      <c r="K39" s="3">
        <v>17.3</v>
      </c>
      <c r="L39" s="8">
        <f t="shared" si="0"/>
        <v>106</v>
      </c>
      <c r="M39" s="7">
        <f t="shared" si="1"/>
        <v>1833.8000000000002</v>
      </c>
    </row>
    <row r="40" spans="1:13" x14ac:dyDescent="0.3">
      <c r="A40" s="10">
        <v>46174</v>
      </c>
      <c r="B40" t="s">
        <v>75</v>
      </c>
      <c r="C40" t="s">
        <v>76</v>
      </c>
      <c r="D40" s="1">
        <v>0</v>
      </c>
      <c r="E40" s="2">
        <v>39935443000100</v>
      </c>
      <c r="F40" t="s">
        <v>77</v>
      </c>
      <c r="G40" s="2">
        <v>1676</v>
      </c>
      <c r="H40" s="2">
        <v>554</v>
      </c>
      <c r="I40" s="5">
        <f t="shared" si="2"/>
        <v>0.33054892601431979</v>
      </c>
      <c r="J40" s="4">
        <v>0.7</v>
      </c>
      <c r="K40" s="3">
        <v>15.161626794258398</v>
      </c>
      <c r="L40" s="8">
        <f t="shared" si="0"/>
        <v>619.20000000000005</v>
      </c>
      <c r="M40" s="7">
        <f t="shared" si="1"/>
        <v>9388.0793110047998</v>
      </c>
    </row>
    <row r="41" spans="1:13" x14ac:dyDescent="0.3">
      <c r="A41" s="10">
        <v>46174</v>
      </c>
      <c r="B41" t="s">
        <v>78</v>
      </c>
      <c r="C41" t="s">
        <v>79</v>
      </c>
      <c r="D41" s="1">
        <v>0</v>
      </c>
      <c r="E41" s="2">
        <v>50724770000155</v>
      </c>
      <c r="F41" t="s">
        <v>80</v>
      </c>
      <c r="G41" s="2">
        <v>3458</v>
      </c>
      <c r="H41" s="2">
        <v>1513</v>
      </c>
      <c r="I41" s="5">
        <f t="shared" si="2"/>
        <v>0.43753614806246383</v>
      </c>
      <c r="J41" s="4">
        <v>0.7</v>
      </c>
      <c r="K41" s="3">
        <v>15.033137614678781</v>
      </c>
      <c r="L41" s="8">
        <f t="shared" si="0"/>
        <v>907.59999999999991</v>
      </c>
      <c r="M41" s="7">
        <f t="shared" si="1"/>
        <v>13644.075699082459</v>
      </c>
    </row>
    <row r="42" spans="1:13" x14ac:dyDescent="0.3">
      <c r="A42" s="10">
        <v>46174</v>
      </c>
      <c r="B42" t="s">
        <v>32</v>
      </c>
      <c r="C42" t="s">
        <v>81</v>
      </c>
      <c r="D42" s="1">
        <v>0</v>
      </c>
      <c r="E42" s="2">
        <v>62000582000163</v>
      </c>
      <c r="F42" t="s">
        <v>82</v>
      </c>
      <c r="G42" s="2">
        <v>1093</v>
      </c>
      <c r="H42" s="2">
        <v>448</v>
      </c>
      <c r="I42" s="5">
        <f t="shared" si="2"/>
        <v>0.40988106129917656</v>
      </c>
      <c r="J42" s="4">
        <v>0.7</v>
      </c>
      <c r="K42" s="3">
        <v>14.86989361702131</v>
      </c>
      <c r="L42" s="8">
        <f t="shared" si="0"/>
        <v>317.09999999999991</v>
      </c>
      <c r="M42" s="7">
        <f t="shared" si="1"/>
        <v>4715.2432659574561</v>
      </c>
    </row>
    <row r="43" spans="1:13" x14ac:dyDescent="0.3">
      <c r="A43" s="10">
        <v>46174</v>
      </c>
      <c r="B43" t="s">
        <v>83</v>
      </c>
      <c r="C43" t="s">
        <v>84</v>
      </c>
      <c r="D43" s="1">
        <v>0</v>
      </c>
      <c r="E43" s="2">
        <v>24454462000147</v>
      </c>
      <c r="F43" t="s">
        <v>85</v>
      </c>
      <c r="G43" s="2">
        <v>2780</v>
      </c>
      <c r="H43" s="2">
        <v>1088</v>
      </c>
      <c r="I43" s="5">
        <f t="shared" si="2"/>
        <v>0.39136690647482014</v>
      </c>
      <c r="J43" s="4">
        <v>0.7</v>
      </c>
      <c r="K43" s="3">
        <v>15.412254901960804</v>
      </c>
      <c r="L43" s="8">
        <f t="shared" si="0"/>
        <v>857.99999999999977</v>
      </c>
      <c r="M43" s="7">
        <f t="shared" si="1"/>
        <v>13223.714705882367</v>
      </c>
    </row>
    <row r="44" spans="1:13" x14ac:dyDescent="0.3">
      <c r="A44" s="10">
        <v>46174</v>
      </c>
      <c r="B44" t="s">
        <v>86</v>
      </c>
      <c r="C44" t="s">
        <v>87</v>
      </c>
      <c r="D44" s="1">
        <v>0</v>
      </c>
      <c r="E44" s="2">
        <v>64707770000151</v>
      </c>
      <c r="F44" t="s">
        <v>88</v>
      </c>
      <c r="G44" s="2">
        <v>2041</v>
      </c>
      <c r="H44" s="2">
        <v>763</v>
      </c>
      <c r="I44" s="5">
        <f t="shared" si="2"/>
        <v>0.37383635472807447</v>
      </c>
      <c r="J44" s="4">
        <v>0.7</v>
      </c>
      <c r="K44" s="3">
        <v>14.332092130518179</v>
      </c>
      <c r="L44" s="8">
        <f t="shared" si="0"/>
        <v>665.7</v>
      </c>
      <c r="M44" s="7">
        <f t="shared" si="1"/>
        <v>9540.8737312859521</v>
      </c>
    </row>
    <row r="45" spans="1:13" x14ac:dyDescent="0.3">
      <c r="A45" s="10">
        <v>46174</v>
      </c>
      <c r="B45" t="s">
        <v>86</v>
      </c>
      <c r="C45" t="s">
        <v>87</v>
      </c>
      <c r="D45" s="1">
        <v>0</v>
      </c>
      <c r="E45" s="2">
        <v>28376673000321</v>
      </c>
      <c r="F45" t="s">
        <v>89</v>
      </c>
      <c r="G45" s="2">
        <v>2017</v>
      </c>
      <c r="H45" s="2">
        <v>725</v>
      </c>
      <c r="I45" s="5">
        <f t="shared" si="2"/>
        <v>0.3594447198810114</v>
      </c>
      <c r="J45" s="4">
        <v>0.7</v>
      </c>
      <c r="K45" s="3">
        <v>14.278819188191941</v>
      </c>
      <c r="L45" s="8">
        <f t="shared" si="0"/>
        <v>686.89999999999986</v>
      </c>
      <c r="M45" s="7">
        <f t="shared" si="1"/>
        <v>9808.1209003690419</v>
      </c>
    </row>
    <row r="46" spans="1:13" x14ac:dyDescent="0.3">
      <c r="A46" s="10">
        <v>46174</v>
      </c>
      <c r="B46" t="s">
        <v>86</v>
      </c>
      <c r="C46" t="s">
        <v>87</v>
      </c>
      <c r="D46" s="1">
        <v>0</v>
      </c>
      <c r="E46" s="2">
        <v>62295143000125</v>
      </c>
      <c r="F46" t="s">
        <v>90</v>
      </c>
      <c r="G46" s="2">
        <v>1072</v>
      </c>
      <c r="H46" s="2">
        <v>279</v>
      </c>
      <c r="I46" s="5">
        <f t="shared" si="2"/>
        <v>0.26026119402985076</v>
      </c>
      <c r="J46" s="4">
        <v>0.7</v>
      </c>
      <c r="K46" s="3">
        <v>14.896666666666697</v>
      </c>
      <c r="L46" s="8">
        <f t="shared" si="0"/>
        <v>471.39999999999986</v>
      </c>
      <c r="M46" s="7">
        <f t="shared" si="1"/>
        <v>7022.2886666666791</v>
      </c>
    </row>
    <row r="47" spans="1:13" x14ac:dyDescent="0.3">
      <c r="A47" s="10">
        <v>46174</v>
      </c>
      <c r="B47" t="s">
        <v>86</v>
      </c>
      <c r="C47" t="s">
        <v>87</v>
      </c>
      <c r="D47" s="1">
        <v>0</v>
      </c>
      <c r="E47" s="2">
        <v>64707770000232</v>
      </c>
      <c r="F47" t="s">
        <v>91</v>
      </c>
      <c r="G47" s="2">
        <v>819</v>
      </c>
      <c r="H47" s="2">
        <v>211</v>
      </c>
      <c r="I47" s="5">
        <f t="shared" si="2"/>
        <v>0.2576312576312576</v>
      </c>
      <c r="J47" s="4">
        <v>0.7</v>
      </c>
      <c r="K47" s="3">
        <v>14.973949579831949</v>
      </c>
      <c r="L47" s="8">
        <f t="shared" si="0"/>
        <v>362.30000000000007</v>
      </c>
      <c r="M47" s="7">
        <f t="shared" si="1"/>
        <v>5425.0619327731165</v>
      </c>
    </row>
    <row r="48" spans="1:13" x14ac:dyDescent="0.3">
      <c r="A48" s="10">
        <v>46174</v>
      </c>
      <c r="B48" t="s">
        <v>18</v>
      </c>
      <c r="C48" t="s">
        <v>92</v>
      </c>
      <c r="D48" s="1">
        <v>0</v>
      </c>
      <c r="E48" s="2">
        <v>29683855000146</v>
      </c>
      <c r="F48" t="s">
        <v>93</v>
      </c>
      <c r="G48" s="2">
        <v>2067</v>
      </c>
      <c r="H48" s="2">
        <v>1527</v>
      </c>
      <c r="I48" s="5">
        <f t="shared" si="2"/>
        <v>0.73875181422351233</v>
      </c>
      <c r="J48" s="4">
        <v>0.7</v>
      </c>
      <c r="K48" s="3">
        <v>14.211980830670768</v>
      </c>
      <c r="L48" s="8">
        <f t="shared" si="0"/>
        <v>-80.100000000000136</v>
      </c>
      <c r="M48" s="7">
        <f t="shared" si="1"/>
        <v>-1138.3796645367304</v>
      </c>
    </row>
    <row r="49" spans="1:13" x14ac:dyDescent="0.3">
      <c r="A49" s="10">
        <v>46174</v>
      </c>
      <c r="B49" t="s">
        <v>94</v>
      </c>
      <c r="C49" t="s">
        <v>95</v>
      </c>
      <c r="D49" s="1">
        <v>0</v>
      </c>
      <c r="E49" s="2">
        <v>55056005001957</v>
      </c>
      <c r="F49" t="s">
        <v>96</v>
      </c>
      <c r="G49" s="2">
        <v>1831</v>
      </c>
      <c r="H49" s="2">
        <v>677</v>
      </c>
      <c r="I49" s="5">
        <f t="shared" si="2"/>
        <v>0.36974330966684871</v>
      </c>
      <c r="J49" s="4">
        <v>0.7</v>
      </c>
      <c r="K49" s="3">
        <v>15.716276595744729</v>
      </c>
      <c r="L49" s="8">
        <f t="shared" si="0"/>
        <v>604.70000000000005</v>
      </c>
      <c r="M49" s="7">
        <f t="shared" si="1"/>
        <v>9503.6324574468381</v>
      </c>
    </row>
    <row r="50" spans="1:13" x14ac:dyDescent="0.3">
      <c r="A50" s="10">
        <v>46174</v>
      </c>
      <c r="B50" t="s">
        <v>94</v>
      </c>
      <c r="C50" t="s">
        <v>95</v>
      </c>
      <c r="D50" s="1">
        <v>0</v>
      </c>
      <c r="E50" s="2">
        <v>55056005002090</v>
      </c>
      <c r="F50" t="s">
        <v>97</v>
      </c>
      <c r="G50" s="2">
        <v>1637</v>
      </c>
      <c r="H50" s="2">
        <v>675</v>
      </c>
      <c r="I50" s="5">
        <f t="shared" si="2"/>
        <v>0.41233964569334147</v>
      </c>
      <c r="J50" s="4">
        <v>0.7</v>
      </c>
      <c r="K50" s="3">
        <v>15.711917098445648</v>
      </c>
      <c r="L50" s="8">
        <f t="shared" si="0"/>
        <v>470.89999999999986</v>
      </c>
      <c r="M50" s="7">
        <f t="shared" si="1"/>
        <v>7398.7417616580533</v>
      </c>
    </row>
    <row r="51" spans="1:13" x14ac:dyDescent="0.3">
      <c r="A51" s="10">
        <v>46174</v>
      </c>
      <c r="B51" t="s">
        <v>94</v>
      </c>
      <c r="C51" t="s">
        <v>95</v>
      </c>
      <c r="D51" s="1">
        <v>0</v>
      </c>
      <c r="E51" s="2">
        <v>55056005001604</v>
      </c>
      <c r="F51" t="s">
        <v>99</v>
      </c>
      <c r="G51" s="2">
        <v>1761</v>
      </c>
      <c r="H51" s="2">
        <v>866</v>
      </c>
      <c r="I51" s="5">
        <f t="shared" si="2"/>
        <v>0.49176604202157864</v>
      </c>
      <c r="J51" s="4">
        <v>0.7</v>
      </c>
      <c r="K51" s="3">
        <v>14.726217228464474</v>
      </c>
      <c r="L51" s="8">
        <f t="shared" si="0"/>
        <v>366.69999999999982</v>
      </c>
      <c r="M51" s="7">
        <f t="shared" si="1"/>
        <v>5400.1038576779201</v>
      </c>
    </row>
    <row r="52" spans="1:13" x14ac:dyDescent="0.3">
      <c r="A52" s="10">
        <v>46174</v>
      </c>
      <c r="B52" t="s">
        <v>94</v>
      </c>
      <c r="C52" t="s">
        <v>95</v>
      </c>
      <c r="D52" s="1">
        <v>0</v>
      </c>
      <c r="E52" s="2">
        <v>55056005002171</v>
      </c>
      <c r="F52" t="s">
        <v>100</v>
      </c>
      <c r="G52" s="2">
        <v>2288</v>
      </c>
      <c r="H52" s="2">
        <v>1302</v>
      </c>
      <c r="I52" s="5">
        <f t="shared" si="2"/>
        <v>0.56905594405594406</v>
      </c>
      <c r="J52" s="4">
        <v>0.7</v>
      </c>
      <c r="K52" s="3">
        <v>13.648366013071863</v>
      </c>
      <c r="L52" s="8">
        <f t="shared" si="0"/>
        <v>299.59999999999991</v>
      </c>
      <c r="M52" s="7">
        <f t="shared" si="1"/>
        <v>4089.0504575163291</v>
      </c>
    </row>
    <row r="53" spans="1:13" x14ac:dyDescent="0.3">
      <c r="A53" s="10">
        <v>46174</v>
      </c>
      <c r="B53" t="s">
        <v>86</v>
      </c>
      <c r="C53" t="s">
        <v>101</v>
      </c>
      <c r="D53" s="1">
        <v>0</v>
      </c>
      <c r="E53" s="2">
        <v>61944627000195</v>
      </c>
      <c r="F53" t="s">
        <v>102</v>
      </c>
      <c r="G53" s="2">
        <v>1165</v>
      </c>
      <c r="H53" s="2">
        <v>598</v>
      </c>
      <c r="I53" s="5">
        <f t="shared" si="2"/>
        <v>0.51330472103004288</v>
      </c>
      <c r="J53" s="4">
        <v>0.7</v>
      </c>
      <c r="K53" s="3">
        <v>13.727878787878739</v>
      </c>
      <c r="L53" s="8">
        <f t="shared" si="0"/>
        <v>217.5</v>
      </c>
      <c r="M53" s="7">
        <f t="shared" si="1"/>
        <v>2985.8136363636258</v>
      </c>
    </row>
    <row r="54" spans="1:13" x14ac:dyDescent="0.3">
      <c r="A54" s="10">
        <v>46174</v>
      </c>
      <c r="B54" t="s">
        <v>78</v>
      </c>
      <c r="C54" t="s">
        <v>103</v>
      </c>
      <c r="D54" s="1">
        <v>0</v>
      </c>
      <c r="E54" s="2">
        <v>43675465000155</v>
      </c>
      <c r="F54" t="s">
        <v>104</v>
      </c>
      <c r="G54" s="2">
        <v>2462</v>
      </c>
      <c r="H54" s="2">
        <v>1139</v>
      </c>
      <c r="I54" s="5">
        <f t="shared" si="2"/>
        <v>0.4626320064987815</v>
      </c>
      <c r="J54" s="4">
        <v>0.7</v>
      </c>
      <c r="K54" s="3">
        <v>15.468478964401315</v>
      </c>
      <c r="L54" s="8">
        <f t="shared" si="0"/>
        <v>584.39999999999986</v>
      </c>
      <c r="M54" s="7">
        <f t="shared" si="1"/>
        <v>9039.7791067961261</v>
      </c>
    </row>
    <row r="55" spans="1:13" x14ac:dyDescent="0.3">
      <c r="A55" s="10">
        <v>46174</v>
      </c>
      <c r="B55" t="s">
        <v>11</v>
      </c>
      <c r="C55" t="s">
        <v>105</v>
      </c>
      <c r="D55" s="1">
        <v>0</v>
      </c>
      <c r="E55" s="2">
        <v>24660065000121</v>
      </c>
      <c r="F55" t="s">
        <v>106</v>
      </c>
      <c r="G55" s="2">
        <v>2415</v>
      </c>
      <c r="H55" s="2">
        <v>1059</v>
      </c>
      <c r="I55" s="5">
        <f t="shared" si="2"/>
        <v>0.43850931677018634</v>
      </c>
      <c r="J55" s="4">
        <v>0.7</v>
      </c>
      <c r="K55" s="3">
        <v>15.782547486033392</v>
      </c>
      <c r="L55" s="8">
        <f t="shared" si="0"/>
        <v>631.49999999999977</v>
      </c>
      <c r="M55" s="7">
        <f t="shared" si="1"/>
        <v>9966.6787374300839</v>
      </c>
    </row>
    <row r="56" spans="1:13" x14ac:dyDescent="0.3">
      <c r="A56" s="10">
        <v>46174</v>
      </c>
      <c r="B56" t="s">
        <v>11</v>
      </c>
      <c r="C56" t="s">
        <v>105</v>
      </c>
      <c r="D56" s="1">
        <v>0</v>
      </c>
      <c r="E56" s="2">
        <v>28836652000180</v>
      </c>
      <c r="F56" t="s">
        <v>107</v>
      </c>
      <c r="G56" s="2">
        <v>2788</v>
      </c>
      <c r="H56" s="2">
        <v>1021</v>
      </c>
      <c r="I56" s="5">
        <f t="shared" si="2"/>
        <v>0.36621233859397417</v>
      </c>
      <c r="J56" s="4">
        <v>0.7</v>
      </c>
      <c r="K56" s="3">
        <v>16.135716272600714</v>
      </c>
      <c r="L56" s="8">
        <f t="shared" si="0"/>
        <v>930.59999999999991</v>
      </c>
      <c r="M56" s="7">
        <f t="shared" si="1"/>
        <v>15015.897563282222</v>
      </c>
    </row>
    <row r="57" spans="1:13" x14ac:dyDescent="0.3">
      <c r="A57" s="10">
        <v>46174</v>
      </c>
      <c r="B57" t="s">
        <v>49</v>
      </c>
      <c r="C57" t="s">
        <v>108</v>
      </c>
      <c r="D57" s="1">
        <v>0</v>
      </c>
      <c r="E57" s="2">
        <v>47198534000138</v>
      </c>
      <c r="F57" t="s">
        <v>109</v>
      </c>
      <c r="G57" s="2">
        <v>2205</v>
      </c>
      <c r="H57" s="2">
        <v>822</v>
      </c>
      <c r="I57" s="5">
        <f t="shared" si="2"/>
        <v>0.3727891156462585</v>
      </c>
      <c r="J57" s="4">
        <v>0.7</v>
      </c>
      <c r="K57" s="3">
        <v>15.444312393887779</v>
      </c>
      <c r="L57" s="8">
        <f t="shared" si="0"/>
        <v>721.5</v>
      </c>
      <c r="M57" s="7">
        <f t="shared" si="1"/>
        <v>11143.071392190033</v>
      </c>
    </row>
    <row r="58" spans="1:13" x14ac:dyDescent="0.3">
      <c r="A58" s="10">
        <v>46174</v>
      </c>
      <c r="B58" t="s">
        <v>62</v>
      </c>
      <c r="C58" t="s">
        <v>110</v>
      </c>
      <c r="D58" s="1">
        <v>0</v>
      </c>
      <c r="E58" s="2">
        <v>55682285000180</v>
      </c>
      <c r="F58" t="s">
        <v>111</v>
      </c>
      <c r="G58" s="2">
        <v>1812</v>
      </c>
      <c r="H58" s="2">
        <v>810</v>
      </c>
      <c r="I58" s="5">
        <f t="shared" si="2"/>
        <v>0.44701986754966888</v>
      </c>
      <c r="J58" s="4">
        <v>0.7</v>
      </c>
      <c r="K58" s="3">
        <v>14.352710084033586</v>
      </c>
      <c r="L58" s="8">
        <f t="shared" si="0"/>
        <v>458.40000000000009</v>
      </c>
      <c r="M58" s="7">
        <f t="shared" si="1"/>
        <v>6579.2823025209973</v>
      </c>
    </row>
    <row r="59" spans="1:13" x14ac:dyDescent="0.3">
      <c r="A59" s="10">
        <v>46174</v>
      </c>
      <c r="B59" t="s">
        <v>86</v>
      </c>
      <c r="C59" t="s">
        <v>112</v>
      </c>
      <c r="D59" s="1">
        <v>0</v>
      </c>
      <c r="E59" s="2">
        <v>44994080000113</v>
      </c>
      <c r="F59" t="s">
        <v>113</v>
      </c>
      <c r="G59" s="2">
        <v>745</v>
      </c>
      <c r="H59" s="2">
        <v>213</v>
      </c>
      <c r="I59" s="5">
        <f t="shared" si="2"/>
        <v>0.2859060402684564</v>
      </c>
      <c r="J59" s="4">
        <v>0.7</v>
      </c>
      <c r="K59" s="3">
        <v>13.92222222222224</v>
      </c>
      <c r="L59" s="8">
        <f t="shared" si="0"/>
        <v>308.49999999999989</v>
      </c>
      <c r="M59" s="7">
        <f t="shared" si="1"/>
        <v>4295.0055555555591</v>
      </c>
    </row>
    <row r="60" spans="1:13" x14ac:dyDescent="0.3">
      <c r="A60" s="10">
        <v>46174</v>
      </c>
      <c r="B60" t="s">
        <v>8</v>
      </c>
      <c r="C60" t="s">
        <v>114</v>
      </c>
      <c r="D60" s="1">
        <v>0</v>
      </c>
      <c r="E60" s="2">
        <v>55056005001442</v>
      </c>
      <c r="F60" t="s">
        <v>115</v>
      </c>
      <c r="G60" s="2">
        <v>1468</v>
      </c>
      <c r="H60" s="2">
        <v>553</v>
      </c>
      <c r="I60" s="5">
        <f t="shared" si="2"/>
        <v>0.37670299727520434</v>
      </c>
      <c r="J60" s="4">
        <v>0.7</v>
      </c>
      <c r="K60" s="3">
        <v>15.933470588235332</v>
      </c>
      <c r="L60" s="8">
        <f t="shared" si="0"/>
        <v>474.59999999999991</v>
      </c>
      <c r="M60" s="7">
        <f t="shared" si="1"/>
        <v>7562.0251411764875</v>
      </c>
    </row>
    <row r="61" spans="1:13" x14ac:dyDescent="0.3">
      <c r="A61" s="10">
        <v>46174</v>
      </c>
      <c r="B61" t="s">
        <v>8</v>
      </c>
      <c r="C61" t="s">
        <v>116</v>
      </c>
      <c r="D61" s="1">
        <v>0</v>
      </c>
      <c r="E61" s="2">
        <v>52912647000436</v>
      </c>
      <c r="F61" t="s">
        <v>117</v>
      </c>
      <c r="G61" s="2">
        <v>1431</v>
      </c>
      <c r="H61" s="2">
        <v>438</v>
      </c>
      <c r="I61" s="5">
        <f t="shared" si="2"/>
        <v>0.30607966457023061</v>
      </c>
      <c r="J61" s="4">
        <v>0.7</v>
      </c>
      <c r="K61" s="3">
        <v>14.78310000000004</v>
      </c>
      <c r="L61" s="8">
        <f t="shared" si="0"/>
        <v>563.69999999999982</v>
      </c>
      <c r="M61" s="7">
        <f t="shared" si="1"/>
        <v>8333.2334700000192</v>
      </c>
    </row>
    <row r="62" spans="1:13" x14ac:dyDescent="0.3">
      <c r="A62" s="10">
        <v>46174</v>
      </c>
      <c r="B62" t="s">
        <v>32</v>
      </c>
      <c r="C62" t="s">
        <v>118</v>
      </c>
      <c r="D62" s="1">
        <v>0</v>
      </c>
      <c r="E62" s="2">
        <v>51318025000179</v>
      </c>
      <c r="F62" t="s">
        <v>119</v>
      </c>
      <c r="G62" s="2">
        <v>1627</v>
      </c>
      <c r="H62" s="2">
        <v>645</v>
      </c>
      <c r="I62" s="5">
        <f t="shared" si="2"/>
        <v>0.39643515673017826</v>
      </c>
      <c r="J62" s="4">
        <v>0.7</v>
      </c>
      <c r="K62" s="3">
        <v>14.664705882352985</v>
      </c>
      <c r="L62" s="8">
        <f t="shared" si="0"/>
        <v>493.89999999999986</v>
      </c>
      <c r="M62" s="7">
        <f t="shared" si="1"/>
        <v>7242.8982352941375</v>
      </c>
    </row>
    <row r="63" spans="1:13" x14ac:dyDescent="0.3">
      <c r="A63" s="10">
        <v>46174</v>
      </c>
      <c r="B63" t="s">
        <v>32</v>
      </c>
      <c r="C63" t="s">
        <v>120</v>
      </c>
      <c r="D63" s="1">
        <v>0</v>
      </c>
      <c r="E63" s="2">
        <v>49292826000160</v>
      </c>
      <c r="F63" t="s">
        <v>121</v>
      </c>
      <c r="G63" s="2">
        <v>1039</v>
      </c>
      <c r="H63" s="2">
        <v>478</v>
      </c>
      <c r="I63" s="5">
        <f t="shared" si="2"/>
        <v>0.46005774783445619</v>
      </c>
      <c r="J63" s="4">
        <v>0.7</v>
      </c>
      <c r="K63" s="3">
        <v>13.347368421052687</v>
      </c>
      <c r="L63" s="8">
        <f t="shared" si="0"/>
        <v>249.29999999999995</v>
      </c>
      <c r="M63" s="7">
        <f t="shared" si="1"/>
        <v>3327.4989473684345</v>
      </c>
    </row>
    <row r="64" spans="1:13" x14ac:dyDescent="0.3">
      <c r="A64" s="10">
        <v>46174</v>
      </c>
      <c r="B64" t="s">
        <v>78</v>
      </c>
      <c r="C64" t="s">
        <v>122</v>
      </c>
      <c r="D64" s="1">
        <v>0</v>
      </c>
      <c r="E64" s="2">
        <v>20743683000699</v>
      </c>
      <c r="F64" t="s">
        <v>123</v>
      </c>
      <c r="G64" s="2">
        <v>1503</v>
      </c>
      <c r="H64" s="2">
        <v>573</v>
      </c>
      <c r="I64" s="5">
        <f t="shared" si="2"/>
        <v>0.38123752495009983</v>
      </c>
      <c r="J64" s="4">
        <v>0.7</v>
      </c>
      <c r="K64" s="3">
        <v>14.521660649819552</v>
      </c>
      <c r="L64" s="8">
        <f t="shared" si="0"/>
        <v>479.09999999999991</v>
      </c>
      <c r="M64" s="7">
        <f t="shared" si="1"/>
        <v>6957.3276173285458</v>
      </c>
    </row>
    <row r="65" spans="1:13" x14ac:dyDescent="0.3">
      <c r="A65" s="10">
        <v>46174</v>
      </c>
      <c r="B65" t="s">
        <v>65</v>
      </c>
      <c r="C65" t="s">
        <v>124</v>
      </c>
      <c r="D65" s="1">
        <v>0</v>
      </c>
      <c r="E65" s="2">
        <v>59449391000179</v>
      </c>
      <c r="F65" t="s">
        <v>125</v>
      </c>
      <c r="G65" s="2">
        <v>2075</v>
      </c>
      <c r="H65" s="2">
        <v>1013</v>
      </c>
      <c r="I65" s="5">
        <f t="shared" si="2"/>
        <v>0.48819277108433734</v>
      </c>
      <c r="J65" s="4">
        <v>0.7</v>
      </c>
      <c r="K65" s="3">
        <v>14.302484472049734</v>
      </c>
      <c r="L65" s="8">
        <f t="shared" si="0"/>
        <v>439.49999999999977</v>
      </c>
      <c r="M65" s="7">
        <f t="shared" si="1"/>
        <v>6285.9419254658551</v>
      </c>
    </row>
    <row r="66" spans="1:13" x14ac:dyDescent="0.3">
      <c r="A66" s="10">
        <v>46174</v>
      </c>
      <c r="B66" t="s">
        <v>32</v>
      </c>
      <c r="C66" t="s">
        <v>126</v>
      </c>
      <c r="D66" s="1">
        <v>0</v>
      </c>
      <c r="E66" s="2">
        <v>52247102000290</v>
      </c>
      <c r="F66" t="s">
        <v>127</v>
      </c>
      <c r="G66" s="2">
        <v>2579</v>
      </c>
      <c r="H66" s="2">
        <v>840</v>
      </c>
      <c r="I66" s="5">
        <f t="shared" si="2"/>
        <v>0.32570763861961999</v>
      </c>
      <c r="J66" s="4">
        <v>0.7</v>
      </c>
      <c r="K66" s="3">
        <v>14.227570093457903</v>
      </c>
      <c r="L66" s="8">
        <f t="shared" ref="L66:L129" si="3">H66*J66/I66-H66</f>
        <v>965.30000000000018</v>
      </c>
      <c r="M66" s="7">
        <f t="shared" ref="M66:M129" si="4">L66*K66</f>
        <v>13733.873411214916</v>
      </c>
    </row>
    <row r="67" spans="1:13" x14ac:dyDescent="0.3">
      <c r="A67" s="10">
        <v>46174</v>
      </c>
      <c r="B67" t="s">
        <v>75</v>
      </c>
      <c r="C67" t="s">
        <v>128</v>
      </c>
      <c r="D67" s="1">
        <v>0</v>
      </c>
      <c r="E67" s="2">
        <v>56195938000169</v>
      </c>
      <c r="F67" t="s">
        <v>129</v>
      </c>
      <c r="G67" s="2">
        <v>770</v>
      </c>
      <c r="H67" s="2">
        <v>317</v>
      </c>
      <c r="I67" s="5">
        <f t="shared" ref="I67:I130" si="5">H67/G67</f>
        <v>0.41168831168831171</v>
      </c>
      <c r="J67" s="4">
        <v>0.7</v>
      </c>
      <c r="K67" s="3">
        <v>14.396590909090905</v>
      </c>
      <c r="L67" s="8">
        <f t="shared" si="3"/>
        <v>221.99999999999989</v>
      </c>
      <c r="M67" s="7">
        <f t="shared" si="4"/>
        <v>3196.0431818181792</v>
      </c>
    </row>
    <row r="68" spans="1:13" x14ac:dyDescent="0.3">
      <c r="A68" s="10">
        <v>46174</v>
      </c>
      <c r="B68" t="s">
        <v>23</v>
      </c>
      <c r="C68" t="s">
        <v>130</v>
      </c>
      <c r="D68" s="1">
        <v>0</v>
      </c>
      <c r="E68" s="2">
        <v>27586982000100</v>
      </c>
      <c r="F68" t="s">
        <v>131</v>
      </c>
      <c r="G68" s="2">
        <v>3701</v>
      </c>
      <c r="H68" s="2">
        <v>1949</v>
      </c>
      <c r="I68" s="5">
        <f t="shared" si="5"/>
        <v>0.52661442853282892</v>
      </c>
      <c r="J68" s="4">
        <v>0.7</v>
      </c>
      <c r="K68" s="3">
        <v>15.406202290076239</v>
      </c>
      <c r="L68" s="8">
        <f t="shared" si="3"/>
        <v>641.70000000000027</v>
      </c>
      <c r="M68" s="7">
        <f t="shared" si="4"/>
        <v>9886.1600095419271</v>
      </c>
    </row>
    <row r="69" spans="1:13" x14ac:dyDescent="0.3">
      <c r="A69" s="10">
        <v>46174</v>
      </c>
      <c r="B69" t="s">
        <v>86</v>
      </c>
      <c r="C69" t="s">
        <v>132</v>
      </c>
      <c r="D69" s="1">
        <v>0</v>
      </c>
      <c r="E69" s="2">
        <v>21802064000186</v>
      </c>
      <c r="F69" t="s">
        <v>133</v>
      </c>
      <c r="G69" s="2">
        <v>2150</v>
      </c>
      <c r="H69" s="2">
        <v>640</v>
      </c>
      <c r="I69" s="5">
        <f t="shared" si="5"/>
        <v>0.29767441860465116</v>
      </c>
      <c r="J69" s="4">
        <v>0.7</v>
      </c>
      <c r="K69" s="3">
        <v>14.055128205128195</v>
      </c>
      <c r="L69" s="8">
        <f t="shared" si="3"/>
        <v>865</v>
      </c>
      <c r="M69" s="7">
        <f t="shared" si="4"/>
        <v>12157.685897435889</v>
      </c>
    </row>
    <row r="70" spans="1:13" x14ac:dyDescent="0.3">
      <c r="A70" s="10">
        <v>46174</v>
      </c>
      <c r="B70" t="s">
        <v>134</v>
      </c>
      <c r="C70" t="s">
        <v>135</v>
      </c>
      <c r="D70" s="1">
        <v>0</v>
      </c>
      <c r="E70" s="2">
        <v>47787076000172</v>
      </c>
      <c r="F70" t="s">
        <v>136</v>
      </c>
      <c r="G70" s="2">
        <v>1035</v>
      </c>
      <c r="H70" s="2">
        <v>683</v>
      </c>
      <c r="I70" s="5">
        <f t="shared" si="5"/>
        <v>0.65990338164251205</v>
      </c>
      <c r="J70" s="4">
        <v>0.7</v>
      </c>
      <c r="K70" s="3">
        <v>13.630923076923056</v>
      </c>
      <c r="L70" s="8">
        <f t="shared" si="3"/>
        <v>41.5</v>
      </c>
      <c r="M70" s="7">
        <f t="shared" si="4"/>
        <v>565.68330769230681</v>
      </c>
    </row>
    <row r="71" spans="1:13" x14ac:dyDescent="0.3">
      <c r="A71" s="10">
        <v>46174</v>
      </c>
      <c r="B71" t="s">
        <v>137</v>
      </c>
      <c r="C71" t="s">
        <v>138</v>
      </c>
      <c r="D71" s="1">
        <v>0</v>
      </c>
      <c r="E71" s="2">
        <v>23266167000102</v>
      </c>
      <c r="F71" t="s">
        <v>139</v>
      </c>
      <c r="G71" s="2">
        <v>1443</v>
      </c>
      <c r="H71" s="2">
        <v>646</v>
      </c>
      <c r="I71" s="5">
        <f t="shared" si="5"/>
        <v>0.44767844767844767</v>
      </c>
      <c r="J71" s="4">
        <v>0.7</v>
      </c>
      <c r="K71" s="3">
        <v>13.161333333333385</v>
      </c>
      <c r="L71" s="8">
        <f t="shared" si="3"/>
        <v>364.1</v>
      </c>
      <c r="M71" s="7">
        <f t="shared" si="4"/>
        <v>4792.0414666666857</v>
      </c>
    </row>
    <row r="72" spans="1:13" x14ac:dyDescent="0.3">
      <c r="A72" s="10">
        <v>46174</v>
      </c>
      <c r="B72" t="s">
        <v>140</v>
      </c>
      <c r="C72" t="s">
        <v>141</v>
      </c>
      <c r="D72" s="1">
        <v>0</v>
      </c>
      <c r="E72" s="2">
        <v>27655101000157</v>
      </c>
      <c r="F72" t="s">
        <v>142</v>
      </c>
      <c r="G72" s="2">
        <v>1206</v>
      </c>
      <c r="H72" s="2">
        <v>510</v>
      </c>
      <c r="I72" s="5">
        <f t="shared" si="5"/>
        <v>0.4228855721393035</v>
      </c>
      <c r="J72" s="4">
        <v>0.7</v>
      </c>
      <c r="K72" s="3">
        <v>15.681680000000037</v>
      </c>
      <c r="L72" s="8">
        <f t="shared" si="3"/>
        <v>334.19999999999993</v>
      </c>
      <c r="M72" s="7">
        <f t="shared" si="4"/>
        <v>5240.8174560000116</v>
      </c>
    </row>
    <row r="73" spans="1:13" x14ac:dyDescent="0.3">
      <c r="A73" s="10">
        <v>46174</v>
      </c>
      <c r="B73" t="s">
        <v>140</v>
      </c>
      <c r="C73" t="s">
        <v>141</v>
      </c>
      <c r="D73" s="1">
        <v>0</v>
      </c>
      <c r="E73" s="2">
        <v>27655101000238</v>
      </c>
      <c r="F73" t="s">
        <v>143</v>
      </c>
      <c r="G73" s="2">
        <v>1397</v>
      </c>
      <c r="H73" s="2">
        <v>626</v>
      </c>
      <c r="I73" s="5">
        <f t="shared" si="5"/>
        <v>0.44810307802433785</v>
      </c>
      <c r="J73" s="4">
        <v>0.7</v>
      </c>
      <c r="K73" s="3">
        <v>15.219141914191439</v>
      </c>
      <c r="L73" s="8">
        <f t="shared" si="3"/>
        <v>351.9</v>
      </c>
      <c r="M73" s="7">
        <f t="shared" si="4"/>
        <v>5355.6160396039668</v>
      </c>
    </row>
    <row r="74" spans="1:13" x14ac:dyDescent="0.3">
      <c r="A74" s="10">
        <v>46174</v>
      </c>
      <c r="B74" t="s">
        <v>140</v>
      </c>
      <c r="C74" t="s">
        <v>141</v>
      </c>
      <c r="D74" s="1">
        <v>0</v>
      </c>
      <c r="E74" s="2">
        <v>27655101000319</v>
      </c>
      <c r="F74" t="s">
        <v>144</v>
      </c>
      <c r="G74" s="2">
        <v>1079</v>
      </c>
      <c r="H74" s="2">
        <v>482</v>
      </c>
      <c r="I74" s="5">
        <f t="shared" si="5"/>
        <v>0.44670991658943465</v>
      </c>
      <c r="J74" s="4">
        <v>0.7</v>
      </c>
      <c r="K74" s="3">
        <v>15.426666666666671</v>
      </c>
      <c r="L74" s="8">
        <f t="shared" si="3"/>
        <v>273.29999999999995</v>
      </c>
      <c r="M74" s="7">
        <f t="shared" si="4"/>
        <v>4216.1080000000002</v>
      </c>
    </row>
    <row r="75" spans="1:13" x14ac:dyDescent="0.3">
      <c r="A75" s="10">
        <v>46174</v>
      </c>
      <c r="B75" t="s">
        <v>140</v>
      </c>
      <c r="C75" t="s">
        <v>141</v>
      </c>
      <c r="D75" s="1">
        <v>0</v>
      </c>
      <c r="E75" s="2">
        <v>27655101000408</v>
      </c>
      <c r="F75" t="s">
        <v>145</v>
      </c>
      <c r="G75" s="2">
        <v>1045</v>
      </c>
      <c r="H75" s="2">
        <v>518</v>
      </c>
      <c r="I75" s="5">
        <f t="shared" si="5"/>
        <v>0.49569377990430624</v>
      </c>
      <c r="J75" s="4">
        <v>0.7</v>
      </c>
      <c r="K75" s="3">
        <v>14.347076923076974</v>
      </c>
      <c r="L75" s="8">
        <f t="shared" si="3"/>
        <v>213.49999999999989</v>
      </c>
      <c r="M75" s="7">
        <f t="shared" si="4"/>
        <v>3063.1009230769323</v>
      </c>
    </row>
    <row r="76" spans="1:13" x14ac:dyDescent="0.3">
      <c r="A76" s="10">
        <v>46174</v>
      </c>
      <c r="B76" t="s">
        <v>86</v>
      </c>
      <c r="C76" t="s">
        <v>146</v>
      </c>
      <c r="D76" s="1">
        <v>0</v>
      </c>
      <c r="E76" s="2">
        <v>28249012000173</v>
      </c>
      <c r="F76" t="s">
        <v>147</v>
      </c>
      <c r="G76" s="2">
        <v>1445</v>
      </c>
      <c r="H76" s="2">
        <v>503</v>
      </c>
      <c r="I76" s="5">
        <f t="shared" si="5"/>
        <v>0.34809688581314879</v>
      </c>
      <c r="J76" s="4">
        <v>0.7</v>
      </c>
      <c r="K76" s="3">
        <v>14.05000000000005</v>
      </c>
      <c r="L76" s="8">
        <f t="shared" si="3"/>
        <v>508.49999999999989</v>
      </c>
      <c r="M76" s="7">
        <f t="shared" si="4"/>
        <v>7144.4250000000238</v>
      </c>
    </row>
    <row r="77" spans="1:13" x14ac:dyDescent="0.3">
      <c r="A77" s="10">
        <v>46174</v>
      </c>
      <c r="B77" t="s">
        <v>32</v>
      </c>
      <c r="C77" t="s">
        <v>148</v>
      </c>
      <c r="D77" s="1">
        <v>0</v>
      </c>
      <c r="E77" s="2">
        <v>42748938000215</v>
      </c>
      <c r="F77" t="s">
        <v>149</v>
      </c>
      <c r="G77" s="2">
        <v>2492</v>
      </c>
      <c r="H77" s="2">
        <v>1198</v>
      </c>
      <c r="I77" s="5">
        <f t="shared" si="5"/>
        <v>0.48073836276083465</v>
      </c>
      <c r="J77" s="4">
        <v>0.7</v>
      </c>
      <c r="K77" s="3">
        <v>14.425754716981045</v>
      </c>
      <c r="L77" s="8">
        <f t="shared" si="3"/>
        <v>546.39999999999986</v>
      </c>
      <c r="M77" s="7">
        <f t="shared" si="4"/>
        <v>7882.2323773584412</v>
      </c>
    </row>
    <row r="78" spans="1:13" x14ac:dyDescent="0.3">
      <c r="A78" s="10">
        <v>46174</v>
      </c>
      <c r="B78" t="s">
        <v>32</v>
      </c>
      <c r="C78" t="s">
        <v>148</v>
      </c>
      <c r="D78" s="1">
        <v>0</v>
      </c>
      <c r="E78" s="2">
        <v>42748938000134</v>
      </c>
      <c r="F78" t="s">
        <v>150</v>
      </c>
      <c r="G78" s="2">
        <v>1251</v>
      </c>
      <c r="H78" s="2">
        <v>557</v>
      </c>
      <c r="I78" s="5">
        <f t="shared" si="5"/>
        <v>0.44524380495603516</v>
      </c>
      <c r="J78" s="4">
        <v>0.7</v>
      </c>
      <c r="K78" s="3">
        <v>14.42409090909096</v>
      </c>
      <c r="L78" s="8">
        <f t="shared" si="3"/>
        <v>318.69999999999993</v>
      </c>
      <c r="M78" s="7">
        <f t="shared" si="4"/>
        <v>4596.9577727272881</v>
      </c>
    </row>
    <row r="79" spans="1:13" x14ac:dyDescent="0.3">
      <c r="A79" s="10">
        <v>46174</v>
      </c>
      <c r="B79" t="s">
        <v>151</v>
      </c>
      <c r="C79" t="s">
        <v>152</v>
      </c>
      <c r="D79" s="1">
        <v>0</v>
      </c>
      <c r="E79" s="2">
        <v>47677381000101</v>
      </c>
      <c r="F79" t="s">
        <v>153</v>
      </c>
      <c r="G79" s="2">
        <v>1947</v>
      </c>
      <c r="H79" s="2">
        <v>1069</v>
      </c>
      <c r="I79" s="5">
        <f t="shared" si="5"/>
        <v>0.54904982023626092</v>
      </c>
      <c r="J79" s="4">
        <v>0.7</v>
      </c>
      <c r="K79" s="3">
        <v>13.251656050955464</v>
      </c>
      <c r="L79" s="8">
        <f t="shared" si="3"/>
        <v>293.89999999999986</v>
      </c>
      <c r="M79" s="7">
        <f t="shared" si="4"/>
        <v>3894.6617133758091</v>
      </c>
    </row>
    <row r="80" spans="1:13" x14ac:dyDescent="0.3">
      <c r="A80" s="10">
        <v>46174</v>
      </c>
      <c r="B80" t="s">
        <v>18</v>
      </c>
      <c r="C80" t="s">
        <v>154</v>
      </c>
      <c r="D80" s="1">
        <v>0</v>
      </c>
      <c r="E80" s="2">
        <v>20792407000106</v>
      </c>
      <c r="F80" t="s">
        <v>155</v>
      </c>
      <c r="G80" s="2">
        <v>1864</v>
      </c>
      <c r="H80" s="2">
        <v>529</v>
      </c>
      <c r="I80" s="5">
        <f t="shared" si="5"/>
        <v>0.28379828326180256</v>
      </c>
      <c r="J80" s="4">
        <v>0.7</v>
      </c>
      <c r="K80" s="3">
        <v>14.128215767634909</v>
      </c>
      <c r="L80" s="8">
        <f t="shared" si="3"/>
        <v>775.8</v>
      </c>
      <c r="M80" s="7">
        <f t="shared" si="4"/>
        <v>10960.669792531162</v>
      </c>
    </row>
    <row r="81" spans="1:13" x14ac:dyDescent="0.3">
      <c r="A81" s="10">
        <v>46174</v>
      </c>
      <c r="B81" t="s">
        <v>18</v>
      </c>
      <c r="C81" t="s">
        <v>156</v>
      </c>
      <c r="D81" s="1">
        <v>0</v>
      </c>
      <c r="E81" s="2">
        <v>55854505000105</v>
      </c>
      <c r="F81" t="s">
        <v>157</v>
      </c>
      <c r="G81" s="2">
        <v>2868</v>
      </c>
      <c r="H81" s="2">
        <v>907</v>
      </c>
      <c r="I81" s="5">
        <f t="shared" si="5"/>
        <v>0.31624825662482564</v>
      </c>
      <c r="J81" s="4">
        <v>0.7</v>
      </c>
      <c r="K81" s="3">
        <v>15.676430379746767</v>
      </c>
      <c r="L81" s="8">
        <f t="shared" si="3"/>
        <v>1100.6000000000001</v>
      </c>
      <c r="M81" s="7">
        <f t="shared" si="4"/>
        <v>17253.479275949296</v>
      </c>
    </row>
    <row r="82" spans="1:13" x14ac:dyDescent="0.3">
      <c r="A82" s="10">
        <v>46174</v>
      </c>
      <c r="B82" t="s">
        <v>18</v>
      </c>
      <c r="C82" t="s">
        <v>156</v>
      </c>
      <c r="D82" s="1">
        <v>0</v>
      </c>
      <c r="E82" s="2">
        <v>55856274000179</v>
      </c>
      <c r="F82" t="s">
        <v>158</v>
      </c>
      <c r="G82" s="2">
        <v>3588</v>
      </c>
      <c r="H82" s="2">
        <v>1277</v>
      </c>
      <c r="I82" s="5">
        <f t="shared" si="5"/>
        <v>0.35590858416945376</v>
      </c>
      <c r="J82" s="4">
        <v>0.7</v>
      </c>
      <c r="K82" s="3">
        <v>15.264176776429668</v>
      </c>
      <c r="L82" s="8">
        <f t="shared" si="3"/>
        <v>1234.5999999999999</v>
      </c>
      <c r="M82" s="7">
        <f t="shared" si="4"/>
        <v>18845.152648180068</v>
      </c>
    </row>
    <row r="83" spans="1:13" x14ac:dyDescent="0.3">
      <c r="A83" s="10">
        <v>46174</v>
      </c>
      <c r="B83" t="s">
        <v>18</v>
      </c>
      <c r="C83" t="s">
        <v>156</v>
      </c>
      <c r="D83" s="1">
        <v>0</v>
      </c>
      <c r="E83" s="2">
        <v>48313972000162</v>
      </c>
      <c r="F83" t="s">
        <v>159</v>
      </c>
      <c r="G83" s="2">
        <v>3116</v>
      </c>
      <c r="H83" s="2">
        <v>1270</v>
      </c>
      <c r="I83" s="5">
        <f t="shared" si="5"/>
        <v>0.40757381258023107</v>
      </c>
      <c r="J83" s="4">
        <v>0.7</v>
      </c>
      <c r="K83" s="3">
        <v>14.873333333333223</v>
      </c>
      <c r="L83" s="8">
        <f t="shared" si="3"/>
        <v>911.19999999999982</v>
      </c>
      <c r="M83" s="7">
        <f t="shared" si="4"/>
        <v>13552.58133333323</v>
      </c>
    </row>
    <row r="84" spans="1:13" x14ac:dyDescent="0.3">
      <c r="A84" s="10">
        <v>46174</v>
      </c>
      <c r="B84" t="s">
        <v>18</v>
      </c>
      <c r="C84" t="s">
        <v>160</v>
      </c>
      <c r="D84" s="1">
        <v>0</v>
      </c>
      <c r="E84" s="2">
        <v>46023276000196</v>
      </c>
      <c r="F84" t="s">
        <v>161</v>
      </c>
      <c r="G84" s="2">
        <v>2477</v>
      </c>
      <c r="H84" s="2">
        <v>1525</v>
      </c>
      <c r="I84" s="5">
        <f t="shared" si="5"/>
        <v>0.61566410981025432</v>
      </c>
      <c r="J84" s="4">
        <v>0.7</v>
      </c>
      <c r="K84" s="3">
        <v>13.592551210428224</v>
      </c>
      <c r="L84" s="8">
        <f t="shared" si="3"/>
        <v>208.90000000000009</v>
      </c>
      <c r="M84" s="7">
        <f t="shared" si="4"/>
        <v>2839.4839478584572</v>
      </c>
    </row>
    <row r="85" spans="1:13" x14ac:dyDescent="0.3">
      <c r="A85" s="10">
        <v>46174</v>
      </c>
      <c r="B85" t="s">
        <v>18</v>
      </c>
      <c r="C85" t="s">
        <v>162</v>
      </c>
      <c r="D85" s="1">
        <v>0</v>
      </c>
      <c r="E85" s="2">
        <v>17014738000100</v>
      </c>
      <c r="F85" t="s">
        <v>163</v>
      </c>
      <c r="G85" s="2">
        <v>2282</v>
      </c>
      <c r="H85" s="2">
        <v>861</v>
      </c>
      <c r="I85" s="5">
        <f t="shared" si="5"/>
        <v>0.3773006134969325</v>
      </c>
      <c r="J85" s="4">
        <v>0.7</v>
      </c>
      <c r="K85" s="3">
        <v>14.046253298153038</v>
      </c>
      <c r="L85" s="8">
        <f t="shared" si="3"/>
        <v>736.39999999999986</v>
      </c>
      <c r="M85" s="7">
        <f t="shared" si="4"/>
        <v>10343.660928759895</v>
      </c>
    </row>
    <row r="86" spans="1:13" x14ac:dyDescent="0.3">
      <c r="A86" s="10">
        <v>46174</v>
      </c>
      <c r="B86" t="s">
        <v>18</v>
      </c>
      <c r="C86" t="s">
        <v>162</v>
      </c>
      <c r="D86" s="1">
        <v>0</v>
      </c>
      <c r="E86" s="2">
        <v>60449012000120</v>
      </c>
      <c r="F86" t="s">
        <v>164</v>
      </c>
      <c r="G86" s="2">
        <v>2613</v>
      </c>
      <c r="H86" s="2">
        <v>1174</v>
      </c>
      <c r="I86" s="5">
        <f t="shared" si="5"/>
        <v>0.44929200153080751</v>
      </c>
      <c r="J86" s="4">
        <v>0.7</v>
      </c>
      <c r="K86" s="3">
        <v>16.198133874239236</v>
      </c>
      <c r="L86" s="8">
        <f t="shared" si="3"/>
        <v>655.09999999999991</v>
      </c>
      <c r="M86" s="7">
        <f t="shared" si="4"/>
        <v>10611.397501014122</v>
      </c>
    </row>
    <row r="87" spans="1:13" x14ac:dyDescent="0.3">
      <c r="A87" s="10">
        <v>46174</v>
      </c>
      <c r="B87" t="s">
        <v>8</v>
      </c>
      <c r="C87" t="s">
        <v>165</v>
      </c>
      <c r="D87" s="1">
        <v>0</v>
      </c>
      <c r="E87" s="2">
        <v>55056005000632</v>
      </c>
      <c r="F87" t="s">
        <v>166</v>
      </c>
      <c r="G87" s="2">
        <v>1664</v>
      </c>
      <c r="H87" s="2">
        <v>665</v>
      </c>
      <c r="I87" s="5">
        <f t="shared" si="5"/>
        <v>0.39963942307692307</v>
      </c>
      <c r="J87" s="4">
        <v>0.7</v>
      </c>
      <c r="K87" s="3">
        <v>15.507327188940144</v>
      </c>
      <c r="L87" s="8">
        <f t="shared" si="3"/>
        <v>499.79999999999995</v>
      </c>
      <c r="M87" s="7">
        <f t="shared" si="4"/>
        <v>7750.5621290322833</v>
      </c>
    </row>
    <row r="88" spans="1:13" x14ac:dyDescent="0.3">
      <c r="A88" s="10">
        <v>46174</v>
      </c>
      <c r="B88" t="s">
        <v>28</v>
      </c>
      <c r="C88" t="s">
        <v>167</v>
      </c>
      <c r="D88" s="1">
        <v>0</v>
      </c>
      <c r="E88" s="2">
        <v>43315062000103</v>
      </c>
      <c r="F88" t="s">
        <v>168</v>
      </c>
      <c r="G88" s="2">
        <v>2450</v>
      </c>
      <c r="H88" s="2">
        <v>1331</v>
      </c>
      <c r="I88" s="5">
        <f t="shared" si="5"/>
        <v>0.54326530612244894</v>
      </c>
      <c r="J88" s="4">
        <v>0.7</v>
      </c>
      <c r="K88" s="3">
        <v>15.139839786381684</v>
      </c>
      <c r="L88" s="8">
        <f t="shared" si="3"/>
        <v>384</v>
      </c>
      <c r="M88" s="7">
        <f t="shared" si="4"/>
        <v>5813.6984779705663</v>
      </c>
    </row>
    <row r="89" spans="1:13" x14ac:dyDescent="0.3">
      <c r="A89" s="10">
        <v>46174</v>
      </c>
      <c r="B89" t="s">
        <v>169</v>
      </c>
      <c r="C89" t="s">
        <v>170</v>
      </c>
      <c r="D89" s="1">
        <v>0</v>
      </c>
      <c r="E89" s="2">
        <v>51569934000180</v>
      </c>
      <c r="F89" t="s">
        <v>171</v>
      </c>
      <c r="G89" s="2">
        <v>880</v>
      </c>
      <c r="H89" s="2">
        <v>552</v>
      </c>
      <c r="I89" s="5">
        <f t="shared" si="5"/>
        <v>0.62727272727272732</v>
      </c>
      <c r="J89" s="4">
        <v>0.7</v>
      </c>
      <c r="K89" s="3">
        <v>13.71188118811884</v>
      </c>
      <c r="L89" s="8">
        <f t="shared" si="3"/>
        <v>63.999999999999886</v>
      </c>
      <c r="M89" s="7">
        <f t="shared" si="4"/>
        <v>877.56039603960414</v>
      </c>
    </row>
    <row r="90" spans="1:13" x14ac:dyDescent="0.3">
      <c r="A90" s="10">
        <v>46174</v>
      </c>
      <c r="B90" t="s">
        <v>75</v>
      </c>
      <c r="C90" t="s">
        <v>172</v>
      </c>
      <c r="D90" s="1">
        <v>0</v>
      </c>
      <c r="E90" s="2">
        <v>46091372000171</v>
      </c>
      <c r="F90" t="s">
        <v>173</v>
      </c>
      <c r="G90" s="2">
        <v>719</v>
      </c>
      <c r="H90" s="2">
        <v>197</v>
      </c>
      <c r="I90" s="5">
        <f t="shared" si="5"/>
        <v>0.27399165507649514</v>
      </c>
      <c r="J90" s="4">
        <v>0.7</v>
      </c>
      <c r="K90" s="3">
        <v>14.747058823529409</v>
      </c>
      <c r="L90" s="8">
        <f t="shared" si="3"/>
        <v>306.2999999999999</v>
      </c>
      <c r="M90" s="7">
        <f t="shared" si="4"/>
        <v>4517.0241176470563</v>
      </c>
    </row>
    <row r="91" spans="1:13" x14ac:dyDescent="0.3">
      <c r="A91" s="10">
        <v>46174</v>
      </c>
      <c r="B91" t="s">
        <v>8</v>
      </c>
      <c r="C91" t="s">
        <v>174</v>
      </c>
      <c r="D91" s="1">
        <v>0</v>
      </c>
      <c r="E91" s="2">
        <v>37557897000169</v>
      </c>
      <c r="F91" t="s">
        <v>175</v>
      </c>
      <c r="G91" s="2">
        <v>1397</v>
      </c>
      <c r="H91" s="2">
        <v>517</v>
      </c>
      <c r="I91" s="5">
        <f t="shared" si="5"/>
        <v>0.37007874015748032</v>
      </c>
      <c r="J91" s="4">
        <v>0.7</v>
      </c>
      <c r="K91" s="3">
        <v>14.390094339622683</v>
      </c>
      <c r="L91" s="8">
        <f t="shared" si="3"/>
        <v>460.89999999999986</v>
      </c>
      <c r="M91" s="7">
        <f t="shared" si="4"/>
        <v>6632.3944811320926</v>
      </c>
    </row>
    <row r="92" spans="1:13" x14ac:dyDescent="0.3">
      <c r="A92" s="10">
        <v>46174</v>
      </c>
      <c r="B92" t="s">
        <v>8</v>
      </c>
      <c r="C92" t="s">
        <v>176</v>
      </c>
      <c r="D92" s="1">
        <v>0</v>
      </c>
      <c r="E92" s="2">
        <v>15811307000220</v>
      </c>
      <c r="F92" t="s">
        <v>177</v>
      </c>
      <c r="G92" s="2">
        <v>1951</v>
      </c>
      <c r="H92" s="2">
        <v>630</v>
      </c>
      <c r="I92" s="5">
        <f t="shared" si="5"/>
        <v>0.32291132752434648</v>
      </c>
      <c r="J92" s="4">
        <v>0.7</v>
      </c>
      <c r="K92" s="3">
        <v>15.374630681818159</v>
      </c>
      <c r="L92" s="8">
        <f t="shared" si="3"/>
        <v>735.7</v>
      </c>
      <c r="M92" s="7">
        <f t="shared" si="4"/>
        <v>11311.11579261362</v>
      </c>
    </row>
    <row r="93" spans="1:13" x14ac:dyDescent="0.3">
      <c r="A93" s="10">
        <v>46174</v>
      </c>
      <c r="B93" t="s">
        <v>78</v>
      </c>
      <c r="C93" t="s">
        <v>178</v>
      </c>
      <c r="D93" s="1">
        <v>0</v>
      </c>
      <c r="E93" s="2">
        <v>19206298000208</v>
      </c>
      <c r="F93" t="s">
        <v>179</v>
      </c>
      <c r="G93" s="2">
        <v>1811</v>
      </c>
      <c r="H93" s="2">
        <v>762</v>
      </c>
      <c r="I93" s="5">
        <f t="shared" si="5"/>
        <v>0.42076200993926005</v>
      </c>
      <c r="J93" s="4">
        <v>0.7</v>
      </c>
      <c r="K93" s="3">
        <v>13.571464646464651</v>
      </c>
      <c r="L93" s="8">
        <f t="shared" si="3"/>
        <v>505.70000000000005</v>
      </c>
      <c r="M93" s="7">
        <f t="shared" si="4"/>
        <v>6863.0896717171745</v>
      </c>
    </row>
    <row r="94" spans="1:13" x14ac:dyDescent="0.3">
      <c r="A94" s="10">
        <v>46174</v>
      </c>
      <c r="B94" t="s">
        <v>18</v>
      </c>
      <c r="C94" t="s">
        <v>180</v>
      </c>
      <c r="D94" s="1">
        <v>0</v>
      </c>
      <c r="E94" s="2">
        <v>59759219000111</v>
      </c>
      <c r="F94" t="s">
        <v>181</v>
      </c>
      <c r="G94" s="2">
        <v>1177</v>
      </c>
      <c r="H94" s="2">
        <v>549</v>
      </c>
      <c r="I94" s="5">
        <f t="shared" si="5"/>
        <v>0.46644010195412067</v>
      </c>
      <c r="J94" s="4">
        <v>0.7</v>
      </c>
      <c r="K94" s="3">
        <v>15.021107266436031</v>
      </c>
      <c r="L94" s="8">
        <f t="shared" si="3"/>
        <v>274.89999999999986</v>
      </c>
      <c r="M94" s="7">
        <f t="shared" si="4"/>
        <v>4129.3023875432627</v>
      </c>
    </row>
    <row r="95" spans="1:13" x14ac:dyDescent="0.3">
      <c r="A95" s="10">
        <v>46174</v>
      </c>
      <c r="B95" t="s">
        <v>86</v>
      </c>
      <c r="C95" t="s">
        <v>182</v>
      </c>
      <c r="D95" s="1">
        <v>0</v>
      </c>
      <c r="E95" s="2">
        <v>44051871000100</v>
      </c>
      <c r="F95" t="s">
        <v>183</v>
      </c>
      <c r="G95" s="2">
        <v>964</v>
      </c>
      <c r="H95" s="2">
        <v>377</v>
      </c>
      <c r="I95" s="5">
        <f t="shared" si="5"/>
        <v>0.39107883817427386</v>
      </c>
      <c r="J95" s="4">
        <v>0.7</v>
      </c>
      <c r="K95" s="3">
        <v>13.784076433121042</v>
      </c>
      <c r="L95" s="8">
        <f t="shared" si="3"/>
        <v>297.79999999999995</v>
      </c>
      <c r="M95" s="7">
        <f t="shared" si="4"/>
        <v>4104.8979617834457</v>
      </c>
    </row>
    <row r="96" spans="1:13" x14ac:dyDescent="0.3">
      <c r="A96" s="10">
        <v>46174</v>
      </c>
      <c r="B96" t="s">
        <v>75</v>
      </c>
      <c r="C96" t="s">
        <v>184</v>
      </c>
      <c r="D96" s="1">
        <v>0</v>
      </c>
      <c r="E96" s="2">
        <v>10689976000177</v>
      </c>
      <c r="F96" t="s">
        <v>185</v>
      </c>
      <c r="G96" s="2">
        <v>4487</v>
      </c>
      <c r="H96" s="2">
        <v>1706</v>
      </c>
      <c r="I96" s="5">
        <f t="shared" si="5"/>
        <v>0.38020949409404947</v>
      </c>
      <c r="J96" s="4">
        <v>0.7</v>
      </c>
      <c r="K96" s="3">
        <v>15.055989085948031</v>
      </c>
      <c r="L96" s="8">
        <f t="shared" si="3"/>
        <v>1434.8999999999996</v>
      </c>
      <c r="M96" s="7">
        <f t="shared" si="4"/>
        <v>21603.838739426825</v>
      </c>
    </row>
    <row r="97" spans="1:13" x14ac:dyDescent="0.3">
      <c r="A97" s="10">
        <v>46174</v>
      </c>
      <c r="B97" t="s">
        <v>75</v>
      </c>
      <c r="C97" t="s">
        <v>184</v>
      </c>
      <c r="D97" s="1">
        <v>0</v>
      </c>
      <c r="E97" s="2">
        <v>31613281000181</v>
      </c>
      <c r="F97" t="s">
        <v>186</v>
      </c>
      <c r="G97" s="2">
        <v>4400</v>
      </c>
      <c r="H97" s="2">
        <v>1305</v>
      </c>
      <c r="I97" s="5">
        <f t="shared" si="5"/>
        <v>0.29659090909090907</v>
      </c>
      <c r="J97" s="4">
        <v>0.7</v>
      </c>
      <c r="K97" s="3">
        <v>14.969407114624428</v>
      </c>
      <c r="L97" s="8">
        <f t="shared" si="3"/>
        <v>1775</v>
      </c>
      <c r="M97" s="7">
        <f t="shared" si="4"/>
        <v>26570.697628458358</v>
      </c>
    </row>
    <row r="98" spans="1:13" x14ac:dyDescent="0.3">
      <c r="A98" s="10">
        <v>46174</v>
      </c>
      <c r="B98" t="s">
        <v>75</v>
      </c>
      <c r="C98" t="s">
        <v>184</v>
      </c>
      <c r="D98" s="1">
        <v>0</v>
      </c>
      <c r="E98" s="2">
        <v>34924567000176</v>
      </c>
      <c r="F98" t="s">
        <v>187</v>
      </c>
      <c r="G98" s="2">
        <v>3299</v>
      </c>
      <c r="H98" s="2">
        <v>992</v>
      </c>
      <c r="I98" s="5">
        <f t="shared" si="5"/>
        <v>0.30069718096392845</v>
      </c>
      <c r="J98" s="4">
        <v>0.7</v>
      </c>
      <c r="K98" s="3">
        <v>15.176042216358811</v>
      </c>
      <c r="L98" s="8">
        <f t="shared" si="3"/>
        <v>1317.3000000000002</v>
      </c>
      <c r="M98" s="7">
        <f t="shared" si="4"/>
        <v>19991.400411609466</v>
      </c>
    </row>
    <row r="99" spans="1:13" x14ac:dyDescent="0.3">
      <c r="A99" s="10">
        <v>46174</v>
      </c>
      <c r="B99" t="s">
        <v>75</v>
      </c>
      <c r="C99" t="s">
        <v>184</v>
      </c>
      <c r="D99" s="1">
        <v>0</v>
      </c>
      <c r="E99" s="2">
        <v>36860191000109</v>
      </c>
      <c r="F99" t="s">
        <v>188</v>
      </c>
      <c r="G99" s="2">
        <v>3660</v>
      </c>
      <c r="H99" s="2">
        <v>1275</v>
      </c>
      <c r="I99" s="5">
        <f t="shared" si="5"/>
        <v>0.34836065573770492</v>
      </c>
      <c r="J99" s="4">
        <v>0.7</v>
      </c>
      <c r="K99" s="3">
        <v>15.893938618925777</v>
      </c>
      <c r="L99" s="8">
        <f t="shared" si="3"/>
        <v>1287</v>
      </c>
      <c r="M99" s="7">
        <f t="shared" si="4"/>
        <v>20455.499002557473</v>
      </c>
    </row>
    <row r="100" spans="1:13" x14ac:dyDescent="0.3">
      <c r="A100" s="10">
        <v>46174</v>
      </c>
      <c r="B100" t="s">
        <v>75</v>
      </c>
      <c r="C100" t="s">
        <v>184</v>
      </c>
      <c r="D100" s="1">
        <v>0</v>
      </c>
      <c r="E100" s="2">
        <v>48557307000114</v>
      </c>
      <c r="F100" t="s">
        <v>189</v>
      </c>
      <c r="G100" s="2">
        <v>3009</v>
      </c>
      <c r="H100" s="2">
        <v>965</v>
      </c>
      <c r="I100" s="5">
        <f t="shared" si="5"/>
        <v>0.32070455300764372</v>
      </c>
      <c r="J100" s="4">
        <v>0.7</v>
      </c>
      <c r="K100" s="3">
        <v>15.145853658536629</v>
      </c>
      <c r="L100" s="8">
        <f t="shared" si="3"/>
        <v>1141.3000000000002</v>
      </c>
      <c r="M100" s="7">
        <f t="shared" si="4"/>
        <v>17285.962780487858</v>
      </c>
    </row>
    <row r="101" spans="1:13" x14ac:dyDescent="0.3">
      <c r="A101" s="10">
        <v>46174</v>
      </c>
      <c r="B101" t="s">
        <v>23</v>
      </c>
      <c r="C101" t="s">
        <v>190</v>
      </c>
      <c r="D101" s="1">
        <v>0</v>
      </c>
      <c r="E101" s="2">
        <v>29885098000193</v>
      </c>
      <c r="F101" t="s">
        <v>191</v>
      </c>
      <c r="G101" s="2">
        <v>1093</v>
      </c>
      <c r="H101" s="2">
        <v>553</v>
      </c>
      <c r="I101" s="5">
        <f t="shared" si="5"/>
        <v>0.50594693504117105</v>
      </c>
      <c r="J101" s="4">
        <v>0.7</v>
      </c>
      <c r="K101" s="3">
        <v>14.051428571428616</v>
      </c>
      <c r="L101" s="8">
        <f t="shared" si="3"/>
        <v>212.10000000000002</v>
      </c>
      <c r="M101" s="7">
        <f t="shared" si="4"/>
        <v>2980.30800000001</v>
      </c>
    </row>
    <row r="102" spans="1:13" x14ac:dyDescent="0.3">
      <c r="A102" s="10">
        <v>46174</v>
      </c>
      <c r="B102" t="s">
        <v>192</v>
      </c>
      <c r="C102" t="s">
        <v>193</v>
      </c>
      <c r="D102" s="1">
        <v>0</v>
      </c>
      <c r="E102" s="2">
        <v>22045671000101</v>
      </c>
      <c r="F102" t="s">
        <v>194</v>
      </c>
      <c r="G102" s="2">
        <v>899</v>
      </c>
      <c r="H102" s="2">
        <v>489</v>
      </c>
      <c r="I102" s="5">
        <f t="shared" si="5"/>
        <v>0.54393770856507229</v>
      </c>
      <c r="J102" s="4">
        <v>0.7</v>
      </c>
      <c r="K102" s="3">
        <v>14.203370786516901</v>
      </c>
      <c r="L102" s="8">
        <f t="shared" si="3"/>
        <v>140.29999999999995</v>
      </c>
      <c r="M102" s="7">
        <f t="shared" si="4"/>
        <v>1992.7329213483206</v>
      </c>
    </row>
    <row r="103" spans="1:13" x14ac:dyDescent="0.3">
      <c r="A103" s="10">
        <v>46174</v>
      </c>
      <c r="B103" t="s">
        <v>32</v>
      </c>
      <c r="C103" t="s">
        <v>195</v>
      </c>
      <c r="D103" s="1">
        <v>0</v>
      </c>
      <c r="E103" s="2">
        <v>62288995000195</v>
      </c>
      <c r="F103" t="s">
        <v>196</v>
      </c>
      <c r="G103" s="2">
        <v>1592</v>
      </c>
      <c r="H103" s="2">
        <v>633</v>
      </c>
      <c r="I103" s="5">
        <f t="shared" si="5"/>
        <v>0.39761306532663315</v>
      </c>
      <c r="J103" s="4">
        <v>0.7</v>
      </c>
      <c r="K103" s="3">
        <v>14.621052631578987</v>
      </c>
      <c r="L103" s="8">
        <f t="shared" si="3"/>
        <v>481.39999999999986</v>
      </c>
      <c r="M103" s="7">
        <f t="shared" si="4"/>
        <v>7038.5747368421225</v>
      </c>
    </row>
    <row r="104" spans="1:13" x14ac:dyDescent="0.3">
      <c r="A104" s="10">
        <v>46174</v>
      </c>
      <c r="B104" t="s">
        <v>78</v>
      </c>
      <c r="C104" t="s">
        <v>197</v>
      </c>
      <c r="D104" s="1">
        <v>0</v>
      </c>
      <c r="E104" s="2">
        <v>20743683000427</v>
      </c>
      <c r="F104" t="s">
        <v>198</v>
      </c>
      <c r="G104" s="2">
        <v>2574</v>
      </c>
      <c r="H104" s="2">
        <v>858</v>
      </c>
      <c r="I104" s="5">
        <f t="shared" si="5"/>
        <v>0.33333333333333331</v>
      </c>
      <c r="J104" s="4">
        <v>0.7</v>
      </c>
      <c r="K104" s="3">
        <v>14.773034825870624</v>
      </c>
      <c r="L104" s="8">
        <f t="shared" si="3"/>
        <v>943.79999999999973</v>
      </c>
      <c r="M104" s="7">
        <f t="shared" si="4"/>
        <v>13942.79026865669</v>
      </c>
    </row>
    <row r="105" spans="1:13" x14ac:dyDescent="0.3">
      <c r="A105" s="10">
        <v>46174</v>
      </c>
      <c r="B105" t="s">
        <v>78</v>
      </c>
      <c r="C105" t="s">
        <v>197</v>
      </c>
      <c r="D105" s="1">
        <v>0</v>
      </c>
      <c r="E105" s="2">
        <v>20743683000346</v>
      </c>
      <c r="F105" t="s">
        <v>199</v>
      </c>
      <c r="G105" s="2">
        <v>2378</v>
      </c>
      <c r="H105" s="2">
        <v>853</v>
      </c>
      <c r="I105" s="5">
        <f t="shared" si="5"/>
        <v>0.35870479394449117</v>
      </c>
      <c r="J105" s="4">
        <v>0.7</v>
      </c>
      <c r="K105" s="3">
        <v>14.307637969094886</v>
      </c>
      <c r="L105" s="8">
        <f t="shared" si="3"/>
        <v>811.59999999999968</v>
      </c>
      <c r="M105" s="7">
        <f t="shared" si="4"/>
        <v>11612.078975717404</v>
      </c>
    </row>
    <row r="106" spans="1:13" x14ac:dyDescent="0.3">
      <c r="A106" s="10">
        <v>46174</v>
      </c>
      <c r="B106" t="s">
        <v>78</v>
      </c>
      <c r="C106" t="s">
        <v>197</v>
      </c>
      <c r="D106" s="1">
        <v>0</v>
      </c>
      <c r="E106" s="2">
        <v>20743683000184</v>
      </c>
      <c r="F106" t="s">
        <v>200</v>
      </c>
      <c r="G106" s="2">
        <v>3059</v>
      </c>
      <c r="H106" s="2">
        <v>1269</v>
      </c>
      <c r="I106" s="5">
        <f t="shared" si="5"/>
        <v>0.41484145145472379</v>
      </c>
      <c r="J106" s="4">
        <v>0.7</v>
      </c>
      <c r="K106" s="3">
        <v>14.821598694942752</v>
      </c>
      <c r="L106" s="8">
        <f t="shared" si="3"/>
        <v>872.29999999999973</v>
      </c>
      <c r="M106" s="7">
        <f t="shared" si="4"/>
        <v>12928.880541598559</v>
      </c>
    </row>
    <row r="107" spans="1:13" x14ac:dyDescent="0.3">
      <c r="A107" s="10">
        <v>46174</v>
      </c>
      <c r="B107" t="s">
        <v>78</v>
      </c>
      <c r="C107" t="s">
        <v>197</v>
      </c>
      <c r="D107" s="1">
        <v>0</v>
      </c>
      <c r="E107" s="2">
        <v>20743683000508</v>
      </c>
      <c r="F107" t="s">
        <v>201</v>
      </c>
      <c r="G107" s="2">
        <v>1994</v>
      </c>
      <c r="H107" s="2">
        <v>664</v>
      </c>
      <c r="I107" s="5">
        <f t="shared" si="5"/>
        <v>0.33299899699097291</v>
      </c>
      <c r="J107" s="4">
        <v>0.7</v>
      </c>
      <c r="K107" s="3">
        <v>14.289324009323984</v>
      </c>
      <c r="L107" s="8">
        <f t="shared" si="3"/>
        <v>731.8</v>
      </c>
      <c r="M107" s="7">
        <f t="shared" si="4"/>
        <v>10456.927310023291</v>
      </c>
    </row>
    <row r="108" spans="1:13" x14ac:dyDescent="0.3">
      <c r="A108" s="10">
        <v>46174</v>
      </c>
      <c r="B108" t="s">
        <v>18</v>
      </c>
      <c r="C108" t="s">
        <v>202</v>
      </c>
      <c r="D108" s="1">
        <v>0</v>
      </c>
      <c r="E108" s="2">
        <v>20249984000156</v>
      </c>
      <c r="F108" t="s">
        <v>203</v>
      </c>
      <c r="G108" s="2">
        <v>2189</v>
      </c>
      <c r="H108" s="2">
        <v>791</v>
      </c>
      <c r="I108" s="5">
        <f t="shared" si="5"/>
        <v>0.36135221562357239</v>
      </c>
      <c r="J108" s="4">
        <v>0.7</v>
      </c>
      <c r="K108" s="3">
        <v>14.925072886297411</v>
      </c>
      <c r="L108" s="8">
        <f t="shared" si="3"/>
        <v>741.3</v>
      </c>
      <c r="M108" s="7">
        <f t="shared" si="4"/>
        <v>11063.956530612269</v>
      </c>
    </row>
    <row r="109" spans="1:13" x14ac:dyDescent="0.3">
      <c r="A109" s="10">
        <v>46174</v>
      </c>
      <c r="B109" t="s">
        <v>8</v>
      </c>
      <c r="C109" t="s">
        <v>204</v>
      </c>
      <c r="D109" s="1">
        <v>0</v>
      </c>
      <c r="E109" s="2">
        <v>57674702000178</v>
      </c>
      <c r="F109" t="s">
        <v>205</v>
      </c>
      <c r="G109" s="2">
        <v>1046</v>
      </c>
      <c r="H109" s="2">
        <v>313</v>
      </c>
      <c r="I109" s="5">
        <f t="shared" si="5"/>
        <v>0.29923518164435947</v>
      </c>
      <c r="J109" s="4">
        <v>0.7</v>
      </c>
      <c r="K109" s="3">
        <v>14.648322147651037</v>
      </c>
      <c r="L109" s="8">
        <f t="shared" si="3"/>
        <v>419.19999999999993</v>
      </c>
      <c r="M109" s="7">
        <f t="shared" si="4"/>
        <v>6140.5766442953136</v>
      </c>
    </row>
    <row r="110" spans="1:13" x14ac:dyDescent="0.3">
      <c r="A110" s="10">
        <v>46174</v>
      </c>
      <c r="B110" t="s">
        <v>206</v>
      </c>
      <c r="C110" t="s">
        <v>207</v>
      </c>
      <c r="D110" s="1">
        <v>0</v>
      </c>
      <c r="E110" s="2">
        <v>29315001000107</v>
      </c>
      <c r="F110" t="s">
        <v>208</v>
      </c>
      <c r="G110" s="2">
        <v>1284</v>
      </c>
      <c r="H110" s="2">
        <v>720</v>
      </c>
      <c r="I110" s="5">
        <f t="shared" si="5"/>
        <v>0.56074766355140182</v>
      </c>
      <c r="J110" s="4">
        <v>0.7</v>
      </c>
      <c r="K110" s="3">
        <v>14.406789667896739</v>
      </c>
      <c r="L110" s="8">
        <f t="shared" si="3"/>
        <v>178.79999999999995</v>
      </c>
      <c r="M110" s="7">
        <f t="shared" si="4"/>
        <v>2575.9339926199364</v>
      </c>
    </row>
    <row r="111" spans="1:13" x14ac:dyDescent="0.3">
      <c r="A111" s="10">
        <v>46174</v>
      </c>
      <c r="B111" t="s">
        <v>18</v>
      </c>
      <c r="C111" t="s">
        <v>209</v>
      </c>
      <c r="D111" s="1">
        <v>0</v>
      </c>
      <c r="E111" s="2">
        <v>24840166012867</v>
      </c>
      <c r="F111" t="s">
        <v>210</v>
      </c>
      <c r="G111" s="2">
        <v>2739</v>
      </c>
      <c r="H111" s="2">
        <v>1022</v>
      </c>
      <c r="I111" s="5">
        <f t="shared" si="5"/>
        <v>0.37312887915297555</v>
      </c>
      <c r="J111" s="4">
        <v>0.7</v>
      </c>
      <c r="K111" s="3">
        <v>14.543253493013959</v>
      </c>
      <c r="L111" s="8">
        <f t="shared" si="3"/>
        <v>895.3</v>
      </c>
      <c r="M111" s="7">
        <f t="shared" si="4"/>
        <v>13020.574852295396</v>
      </c>
    </row>
    <row r="112" spans="1:13" x14ac:dyDescent="0.3">
      <c r="A112" s="10">
        <v>46174</v>
      </c>
      <c r="B112" t="s">
        <v>18</v>
      </c>
      <c r="C112" t="s">
        <v>209</v>
      </c>
      <c r="D112" s="1">
        <v>0</v>
      </c>
      <c r="E112" s="2">
        <v>24840166000346</v>
      </c>
      <c r="F112" t="s">
        <v>211</v>
      </c>
      <c r="G112" s="2">
        <v>2265</v>
      </c>
      <c r="H112" s="2">
        <v>799</v>
      </c>
      <c r="I112" s="5">
        <f t="shared" si="5"/>
        <v>0.35275938189845474</v>
      </c>
      <c r="J112" s="4">
        <v>0.7</v>
      </c>
      <c r="K112" s="3">
        <v>15.465400000000034</v>
      </c>
      <c r="L112" s="8">
        <f t="shared" si="3"/>
        <v>786.5</v>
      </c>
      <c r="M112" s="7">
        <f t="shared" si="4"/>
        <v>12163.537100000027</v>
      </c>
    </row>
    <row r="113" spans="1:13" x14ac:dyDescent="0.3">
      <c r="A113" s="10">
        <v>46174</v>
      </c>
      <c r="B113" t="s">
        <v>18</v>
      </c>
      <c r="C113" t="s">
        <v>209</v>
      </c>
      <c r="D113" s="1">
        <v>0</v>
      </c>
      <c r="E113" s="2">
        <v>24901883000179</v>
      </c>
      <c r="F113" t="s">
        <v>212</v>
      </c>
      <c r="G113" s="2">
        <v>2538</v>
      </c>
      <c r="H113" s="2">
        <v>850</v>
      </c>
      <c r="I113" s="5">
        <f t="shared" si="5"/>
        <v>0.33490937746256894</v>
      </c>
      <c r="J113" s="4">
        <v>0.7</v>
      </c>
      <c r="K113" s="3">
        <v>16.381587301587349</v>
      </c>
      <c r="L113" s="8">
        <f t="shared" si="3"/>
        <v>926.60000000000014</v>
      </c>
      <c r="M113" s="7">
        <f t="shared" si="4"/>
        <v>15179.178793650839</v>
      </c>
    </row>
    <row r="114" spans="1:13" x14ac:dyDescent="0.3">
      <c r="A114" s="10">
        <v>46174</v>
      </c>
      <c r="B114" t="s">
        <v>18</v>
      </c>
      <c r="C114" t="s">
        <v>209</v>
      </c>
      <c r="D114" s="1">
        <v>0</v>
      </c>
      <c r="E114" s="2">
        <v>24840166000770</v>
      </c>
      <c r="F114" t="s">
        <v>213</v>
      </c>
      <c r="G114" s="2">
        <v>3131</v>
      </c>
      <c r="H114" s="2">
        <v>1089</v>
      </c>
      <c r="I114" s="5">
        <f t="shared" si="5"/>
        <v>0.3478122005748962</v>
      </c>
      <c r="J114" s="4">
        <v>0.7</v>
      </c>
      <c r="K114" s="3">
        <v>15.636691542288531</v>
      </c>
      <c r="L114" s="8">
        <f t="shared" si="3"/>
        <v>1102.6999999999998</v>
      </c>
      <c r="M114" s="7">
        <f t="shared" si="4"/>
        <v>17242.579763681562</v>
      </c>
    </row>
    <row r="115" spans="1:13" x14ac:dyDescent="0.3">
      <c r="A115" s="10">
        <v>46174</v>
      </c>
      <c r="B115" t="s">
        <v>18</v>
      </c>
      <c r="C115" t="s">
        <v>209</v>
      </c>
      <c r="D115" s="1">
        <v>0</v>
      </c>
      <c r="E115" s="2">
        <v>24840166010228</v>
      </c>
      <c r="F115" t="s">
        <v>214</v>
      </c>
      <c r="G115" s="2">
        <v>2619</v>
      </c>
      <c r="H115" s="2">
        <v>1120</v>
      </c>
      <c r="I115" s="5">
        <f t="shared" si="5"/>
        <v>0.42764413898434517</v>
      </c>
      <c r="J115" s="4">
        <v>0.7</v>
      </c>
      <c r="K115" s="3">
        <v>14.696789473684074</v>
      </c>
      <c r="L115" s="8">
        <f t="shared" si="3"/>
        <v>713.3</v>
      </c>
      <c r="M115" s="7">
        <f t="shared" si="4"/>
        <v>10483.219931578849</v>
      </c>
    </row>
    <row r="116" spans="1:13" x14ac:dyDescent="0.3">
      <c r="A116" s="10">
        <v>46174</v>
      </c>
      <c r="B116" t="s">
        <v>18</v>
      </c>
      <c r="C116" t="s">
        <v>209</v>
      </c>
      <c r="D116" s="1">
        <v>0</v>
      </c>
      <c r="E116" s="2">
        <v>24840166010813</v>
      </c>
      <c r="F116" t="s">
        <v>215</v>
      </c>
      <c r="G116" s="2">
        <v>2389</v>
      </c>
      <c r="H116" s="2">
        <v>815</v>
      </c>
      <c r="I116" s="5">
        <f t="shared" si="5"/>
        <v>0.34114692339891167</v>
      </c>
      <c r="J116" s="4">
        <v>0.7</v>
      </c>
      <c r="K116" s="3">
        <v>15.481761363636355</v>
      </c>
      <c r="L116" s="8">
        <f t="shared" si="3"/>
        <v>857.3</v>
      </c>
      <c r="M116" s="7">
        <f t="shared" si="4"/>
        <v>13272.514017045447</v>
      </c>
    </row>
    <row r="117" spans="1:13" x14ac:dyDescent="0.3">
      <c r="A117" s="10">
        <v>46174</v>
      </c>
      <c r="B117" t="s">
        <v>18</v>
      </c>
      <c r="C117" t="s">
        <v>209</v>
      </c>
      <c r="D117" s="1">
        <v>0</v>
      </c>
      <c r="E117" s="2">
        <v>24840214000215</v>
      </c>
      <c r="F117" t="s">
        <v>216</v>
      </c>
      <c r="G117" s="2">
        <v>2733</v>
      </c>
      <c r="H117" s="2">
        <v>968</v>
      </c>
      <c r="I117" s="5">
        <f t="shared" si="5"/>
        <v>0.35418953530918407</v>
      </c>
      <c r="J117" s="4">
        <v>0.7</v>
      </c>
      <c r="K117" s="3">
        <v>15.308698010849902</v>
      </c>
      <c r="L117" s="8">
        <f t="shared" si="3"/>
        <v>945.09999999999968</v>
      </c>
      <c r="M117" s="7">
        <f t="shared" si="4"/>
        <v>14468.250490054237</v>
      </c>
    </row>
    <row r="118" spans="1:13" x14ac:dyDescent="0.3">
      <c r="A118" s="10">
        <v>46174</v>
      </c>
      <c r="B118" t="s">
        <v>18</v>
      </c>
      <c r="C118" t="s">
        <v>209</v>
      </c>
      <c r="D118" s="1">
        <v>0</v>
      </c>
      <c r="E118" s="2">
        <v>24840166006034</v>
      </c>
      <c r="F118" t="s">
        <v>217</v>
      </c>
      <c r="G118" s="2">
        <v>2166</v>
      </c>
      <c r="H118" s="2">
        <v>810</v>
      </c>
      <c r="I118" s="5">
        <f t="shared" si="5"/>
        <v>0.37396121883656508</v>
      </c>
      <c r="J118" s="4">
        <v>0.7</v>
      </c>
      <c r="K118" s="3">
        <v>15.643956043956004</v>
      </c>
      <c r="L118" s="8">
        <f t="shared" si="3"/>
        <v>706.2</v>
      </c>
      <c r="M118" s="7">
        <f t="shared" si="4"/>
        <v>11047.761758241732</v>
      </c>
    </row>
    <row r="119" spans="1:13" x14ac:dyDescent="0.3">
      <c r="A119" s="10">
        <v>46174</v>
      </c>
      <c r="B119" t="s">
        <v>18</v>
      </c>
      <c r="C119" t="s">
        <v>209</v>
      </c>
      <c r="D119" s="1">
        <v>0</v>
      </c>
      <c r="E119" s="2">
        <v>40448339000170</v>
      </c>
      <c r="F119" t="s">
        <v>218</v>
      </c>
      <c r="G119" s="2">
        <v>2742</v>
      </c>
      <c r="H119" s="2">
        <v>886</v>
      </c>
      <c r="I119" s="5">
        <f t="shared" si="5"/>
        <v>0.32312180889861414</v>
      </c>
      <c r="J119" s="4">
        <v>0.7</v>
      </c>
      <c r="K119" s="3">
        <v>16.003163017031593</v>
      </c>
      <c r="L119" s="8">
        <f t="shared" si="3"/>
        <v>1033.3999999999999</v>
      </c>
      <c r="M119" s="7">
        <f t="shared" si="4"/>
        <v>16537.668661800446</v>
      </c>
    </row>
    <row r="120" spans="1:13" x14ac:dyDescent="0.3">
      <c r="A120" s="10">
        <v>46174</v>
      </c>
      <c r="B120" t="s">
        <v>18</v>
      </c>
      <c r="C120" t="s">
        <v>209</v>
      </c>
      <c r="D120" s="1">
        <v>0</v>
      </c>
      <c r="E120" s="2">
        <v>24840166000427</v>
      </c>
      <c r="F120" t="s">
        <v>219</v>
      </c>
      <c r="G120" s="2">
        <v>3012</v>
      </c>
      <c r="H120" s="2">
        <v>1004</v>
      </c>
      <c r="I120" s="5">
        <f t="shared" si="5"/>
        <v>0.33333333333333331</v>
      </c>
      <c r="J120" s="4">
        <v>0.7</v>
      </c>
      <c r="K120" s="3">
        <v>15.405211864406718</v>
      </c>
      <c r="L120" s="8">
        <f t="shared" si="3"/>
        <v>1104.4000000000001</v>
      </c>
      <c r="M120" s="7">
        <f t="shared" si="4"/>
        <v>17013.51598305078</v>
      </c>
    </row>
    <row r="121" spans="1:13" x14ac:dyDescent="0.3">
      <c r="A121" s="10">
        <v>46174</v>
      </c>
      <c r="B121" t="s">
        <v>18</v>
      </c>
      <c r="C121" t="s">
        <v>209</v>
      </c>
      <c r="D121" s="1">
        <v>0</v>
      </c>
      <c r="E121" s="2">
        <v>24840166000699</v>
      </c>
      <c r="F121" t="s">
        <v>220</v>
      </c>
      <c r="G121" s="2">
        <v>4148</v>
      </c>
      <c r="H121" s="2">
        <v>1547</v>
      </c>
      <c r="I121" s="5">
        <f t="shared" si="5"/>
        <v>0.37295081967213117</v>
      </c>
      <c r="J121" s="4">
        <v>0.7</v>
      </c>
      <c r="K121" s="3">
        <v>14.067459283387425</v>
      </c>
      <c r="L121" s="8">
        <f t="shared" si="3"/>
        <v>1356.5999999999995</v>
      </c>
      <c r="M121" s="7">
        <f t="shared" si="4"/>
        <v>19083.915263843373</v>
      </c>
    </row>
    <row r="122" spans="1:13" x14ac:dyDescent="0.3">
      <c r="A122" s="10">
        <v>46174</v>
      </c>
      <c r="B122" t="s">
        <v>18</v>
      </c>
      <c r="C122" t="s">
        <v>209</v>
      </c>
      <c r="D122" s="1">
        <v>0</v>
      </c>
      <c r="E122" s="2">
        <v>24840166000508</v>
      </c>
      <c r="F122" t="s">
        <v>221</v>
      </c>
      <c r="G122" s="2">
        <v>5689</v>
      </c>
      <c r="H122" s="2">
        <v>2124</v>
      </c>
      <c r="I122" s="5">
        <f t="shared" si="5"/>
        <v>0.37335208296712957</v>
      </c>
      <c r="J122" s="4">
        <v>0.7</v>
      </c>
      <c r="K122" s="3">
        <v>13.85253136531353</v>
      </c>
      <c r="L122" s="8">
        <f t="shared" si="3"/>
        <v>1858.2999999999997</v>
      </c>
      <c r="M122" s="7">
        <f t="shared" si="4"/>
        <v>25742.159036162127</v>
      </c>
    </row>
    <row r="123" spans="1:13" x14ac:dyDescent="0.3">
      <c r="A123" s="10">
        <v>46174</v>
      </c>
      <c r="B123" t="s">
        <v>18</v>
      </c>
      <c r="C123" t="s">
        <v>209</v>
      </c>
      <c r="D123" s="1">
        <v>0</v>
      </c>
      <c r="E123" s="2">
        <v>10861940000129</v>
      </c>
      <c r="F123" t="s">
        <v>222</v>
      </c>
      <c r="G123" s="2">
        <v>3375</v>
      </c>
      <c r="H123" s="2">
        <v>1624</v>
      </c>
      <c r="I123" s="5">
        <f t="shared" si="5"/>
        <v>0.48118518518518516</v>
      </c>
      <c r="J123" s="4">
        <v>0.7</v>
      </c>
      <c r="K123" s="3">
        <v>14.790260416666545</v>
      </c>
      <c r="L123" s="8">
        <f t="shared" si="3"/>
        <v>738.5</v>
      </c>
      <c r="M123" s="7">
        <f t="shared" si="4"/>
        <v>10922.607317708243</v>
      </c>
    </row>
    <row r="124" spans="1:13" x14ac:dyDescent="0.3">
      <c r="A124" s="10">
        <v>46174</v>
      </c>
      <c r="B124" t="s">
        <v>18</v>
      </c>
      <c r="C124" t="s">
        <v>209</v>
      </c>
      <c r="D124" s="1">
        <v>0</v>
      </c>
      <c r="E124" s="2">
        <v>24840166010570</v>
      </c>
      <c r="F124" t="s">
        <v>223</v>
      </c>
      <c r="G124" s="2">
        <v>1798</v>
      </c>
      <c r="H124" s="2">
        <v>639</v>
      </c>
      <c r="I124" s="5">
        <f t="shared" si="5"/>
        <v>0.3553948832035595</v>
      </c>
      <c r="J124" s="4">
        <v>0.7</v>
      </c>
      <c r="K124" s="3">
        <v>15.787349397590379</v>
      </c>
      <c r="L124" s="8">
        <f t="shared" si="3"/>
        <v>619.59999999999991</v>
      </c>
      <c r="M124" s="7">
        <f t="shared" si="4"/>
        <v>9781.8416867469969</v>
      </c>
    </row>
    <row r="125" spans="1:13" x14ac:dyDescent="0.3">
      <c r="A125" s="10">
        <v>46174</v>
      </c>
      <c r="B125" t="s">
        <v>18</v>
      </c>
      <c r="C125" t="s">
        <v>209</v>
      </c>
      <c r="D125" s="1">
        <v>0</v>
      </c>
      <c r="E125" s="2">
        <v>42766874000102</v>
      </c>
      <c r="F125" t="s">
        <v>224</v>
      </c>
      <c r="G125" s="2">
        <v>2528</v>
      </c>
      <c r="H125" s="2">
        <v>788</v>
      </c>
      <c r="I125" s="5">
        <f t="shared" si="5"/>
        <v>0.31170886075949367</v>
      </c>
      <c r="J125" s="4">
        <v>0.7</v>
      </c>
      <c r="K125" s="3">
        <v>16.183324396782794</v>
      </c>
      <c r="L125" s="8">
        <f t="shared" si="3"/>
        <v>981.59999999999968</v>
      </c>
      <c r="M125" s="7">
        <f t="shared" si="4"/>
        <v>15885.551227881986</v>
      </c>
    </row>
    <row r="126" spans="1:13" x14ac:dyDescent="0.3">
      <c r="A126" s="10">
        <v>46174</v>
      </c>
      <c r="B126" t="s">
        <v>18</v>
      </c>
      <c r="C126" t="s">
        <v>209</v>
      </c>
      <c r="D126" s="1">
        <v>0</v>
      </c>
      <c r="E126" s="2">
        <v>44620937000305</v>
      </c>
      <c r="F126" t="s">
        <v>225</v>
      </c>
      <c r="G126" s="2">
        <v>5095</v>
      </c>
      <c r="H126" s="2">
        <v>1528</v>
      </c>
      <c r="I126" s="5">
        <f t="shared" si="5"/>
        <v>0.29990186457311091</v>
      </c>
      <c r="J126" s="4">
        <v>0.7</v>
      </c>
      <c r="K126" s="3">
        <v>16.782815884476424</v>
      </c>
      <c r="L126" s="8">
        <f t="shared" si="3"/>
        <v>2038.4999999999995</v>
      </c>
      <c r="M126" s="7">
        <f t="shared" si="4"/>
        <v>34211.770180505184</v>
      </c>
    </row>
    <row r="127" spans="1:13" x14ac:dyDescent="0.3">
      <c r="A127" s="10">
        <v>46174</v>
      </c>
      <c r="B127" t="s">
        <v>18</v>
      </c>
      <c r="C127" t="s">
        <v>209</v>
      </c>
      <c r="D127" s="1">
        <v>0</v>
      </c>
      <c r="E127" s="2">
        <v>15442958000100</v>
      </c>
      <c r="F127" t="s">
        <v>226</v>
      </c>
      <c r="G127" s="2">
        <v>2365</v>
      </c>
      <c r="H127" s="2">
        <v>791</v>
      </c>
      <c r="I127" s="5">
        <f t="shared" si="5"/>
        <v>0.33446088794926004</v>
      </c>
      <c r="J127" s="4">
        <v>0.7</v>
      </c>
      <c r="K127" s="3">
        <v>16.060814249363798</v>
      </c>
      <c r="L127" s="8">
        <f t="shared" si="3"/>
        <v>864.49999999999977</v>
      </c>
      <c r="M127" s="7">
        <f t="shared" si="4"/>
        <v>13884.573918574999</v>
      </c>
    </row>
    <row r="128" spans="1:13" x14ac:dyDescent="0.3">
      <c r="A128" s="10">
        <v>46174</v>
      </c>
      <c r="B128" t="s">
        <v>18</v>
      </c>
      <c r="C128" t="s">
        <v>209</v>
      </c>
      <c r="D128" s="1">
        <v>0</v>
      </c>
      <c r="E128" s="2">
        <v>40448339000250</v>
      </c>
      <c r="F128" t="s">
        <v>227</v>
      </c>
      <c r="G128" s="2">
        <v>395</v>
      </c>
      <c r="H128" s="2">
        <v>156</v>
      </c>
      <c r="I128" s="5">
        <f t="shared" si="5"/>
        <v>0.39493670886075949</v>
      </c>
      <c r="J128" s="4">
        <v>0.7</v>
      </c>
      <c r="K128" s="3">
        <v>14.679220779220767</v>
      </c>
      <c r="L128" s="8">
        <f t="shared" si="3"/>
        <v>120.5</v>
      </c>
      <c r="M128" s="7">
        <f t="shared" si="4"/>
        <v>1768.8461038961025</v>
      </c>
    </row>
    <row r="129" spans="1:13" x14ac:dyDescent="0.3">
      <c r="A129" s="10">
        <v>46174</v>
      </c>
      <c r="B129" t="s">
        <v>18</v>
      </c>
      <c r="C129" t="s">
        <v>209</v>
      </c>
      <c r="D129" s="1">
        <v>0</v>
      </c>
      <c r="E129" s="2">
        <v>45858277000198</v>
      </c>
      <c r="F129" t="s">
        <v>228</v>
      </c>
      <c r="G129" s="2">
        <v>1679</v>
      </c>
      <c r="H129" s="2">
        <v>720</v>
      </c>
      <c r="I129" s="5">
        <f t="shared" si="5"/>
        <v>0.42882668254913642</v>
      </c>
      <c r="J129" s="4">
        <v>0.7</v>
      </c>
      <c r="K129" s="3">
        <v>14.987878787878833</v>
      </c>
      <c r="L129" s="8">
        <f t="shared" si="3"/>
        <v>455.29999999999973</v>
      </c>
      <c r="M129" s="7">
        <f t="shared" si="4"/>
        <v>6823.9812121212281</v>
      </c>
    </row>
    <row r="130" spans="1:13" x14ac:dyDescent="0.3">
      <c r="A130" s="10">
        <v>46174</v>
      </c>
      <c r="B130" t="s">
        <v>18</v>
      </c>
      <c r="C130" t="s">
        <v>209</v>
      </c>
      <c r="D130" s="1">
        <v>0</v>
      </c>
      <c r="E130" s="2">
        <v>18946221000112</v>
      </c>
      <c r="F130" t="s">
        <v>229</v>
      </c>
      <c r="G130" s="2">
        <v>2562</v>
      </c>
      <c r="H130" s="2">
        <v>958</v>
      </c>
      <c r="I130" s="5">
        <f t="shared" si="5"/>
        <v>0.3739266198282592</v>
      </c>
      <c r="J130" s="4">
        <v>0.7</v>
      </c>
      <c r="K130" s="3">
        <v>15.510310880828966</v>
      </c>
      <c r="L130" s="8">
        <f t="shared" ref="L130:L193" si="6">H130*J130/I130-H130</f>
        <v>835.39999999999964</v>
      </c>
      <c r="M130" s="7">
        <f t="shared" ref="M130:M193" si="7">L130*K130</f>
        <v>12957.313709844513</v>
      </c>
    </row>
    <row r="131" spans="1:13" x14ac:dyDescent="0.3">
      <c r="A131" s="10">
        <v>46174</v>
      </c>
      <c r="B131" t="s">
        <v>18</v>
      </c>
      <c r="C131" t="s">
        <v>209</v>
      </c>
      <c r="D131" s="1">
        <v>0</v>
      </c>
      <c r="E131" s="2">
        <v>24840166012000</v>
      </c>
      <c r="F131" t="s">
        <v>230</v>
      </c>
      <c r="G131" s="2">
        <v>1859</v>
      </c>
      <c r="H131" s="2">
        <v>877</v>
      </c>
      <c r="I131" s="5">
        <f t="shared" ref="I131:I194" si="8">H131/G131</f>
        <v>0.47175901022054867</v>
      </c>
      <c r="J131" s="4">
        <v>0.7</v>
      </c>
      <c r="K131" s="3">
        <v>15.234789272030707</v>
      </c>
      <c r="L131" s="8">
        <f t="shared" si="6"/>
        <v>424.29999999999995</v>
      </c>
      <c r="M131" s="7">
        <f t="shared" si="7"/>
        <v>6464.121088122628</v>
      </c>
    </row>
    <row r="132" spans="1:13" x14ac:dyDescent="0.3">
      <c r="A132" s="10">
        <v>46174</v>
      </c>
      <c r="B132" t="s">
        <v>18</v>
      </c>
      <c r="C132" t="s">
        <v>209</v>
      </c>
      <c r="D132" s="1">
        <v>0</v>
      </c>
      <c r="E132" s="2">
        <v>44620937000216</v>
      </c>
      <c r="F132" t="s">
        <v>231</v>
      </c>
      <c r="G132" s="2">
        <v>4484</v>
      </c>
      <c r="H132" s="2">
        <v>1252</v>
      </c>
      <c r="I132" s="5">
        <f t="shared" si="8"/>
        <v>0.27921498661909011</v>
      </c>
      <c r="J132" s="4">
        <v>0.7</v>
      </c>
      <c r="K132" s="3">
        <v>16.141056105610382</v>
      </c>
      <c r="L132" s="8">
        <f t="shared" si="6"/>
        <v>1886.7999999999997</v>
      </c>
      <c r="M132" s="7">
        <f t="shared" si="7"/>
        <v>30454.944660065663</v>
      </c>
    </row>
    <row r="133" spans="1:13" x14ac:dyDescent="0.3">
      <c r="A133" s="10">
        <v>46174</v>
      </c>
      <c r="B133" t="s">
        <v>18</v>
      </c>
      <c r="C133" t="s">
        <v>209</v>
      </c>
      <c r="D133" s="1">
        <v>0</v>
      </c>
      <c r="E133" s="2">
        <v>24840166012514</v>
      </c>
      <c r="F133" t="s">
        <v>232</v>
      </c>
      <c r="G133" s="2">
        <v>1746</v>
      </c>
      <c r="H133" s="2">
        <v>615</v>
      </c>
      <c r="I133" s="5">
        <f t="shared" si="8"/>
        <v>0.35223367697594504</v>
      </c>
      <c r="J133" s="4">
        <v>0.7</v>
      </c>
      <c r="K133" s="3">
        <v>16.172474226804173</v>
      </c>
      <c r="L133" s="8">
        <f t="shared" si="6"/>
        <v>607.19999999999982</v>
      </c>
      <c r="M133" s="7">
        <f t="shared" si="7"/>
        <v>9819.9263505154904</v>
      </c>
    </row>
    <row r="134" spans="1:13" x14ac:dyDescent="0.3">
      <c r="A134" s="10">
        <v>46174</v>
      </c>
      <c r="B134" t="s">
        <v>18</v>
      </c>
      <c r="C134" t="s">
        <v>209</v>
      </c>
      <c r="D134" s="1">
        <v>0</v>
      </c>
      <c r="E134" s="2">
        <v>3777902000127</v>
      </c>
      <c r="F134" t="s">
        <v>233</v>
      </c>
      <c r="G134" s="2">
        <v>1276</v>
      </c>
      <c r="H134" s="2">
        <v>500</v>
      </c>
      <c r="I134" s="5">
        <f t="shared" si="8"/>
        <v>0.39184952978056425</v>
      </c>
      <c r="J134" s="4">
        <v>0.7</v>
      </c>
      <c r="K134" s="3">
        <v>16.301675977653673</v>
      </c>
      <c r="L134" s="8">
        <f t="shared" si="6"/>
        <v>393.20000000000005</v>
      </c>
      <c r="M134" s="7">
        <f t="shared" si="7"/>
        <v>6409.8189944134247</v>
      </c>
    </row>
    <row r="135" spans="1:13" x14ac:dyDescent="0.3">
      <c r="A135" s="10">
        <v>46174</v>
      </c>
      <c r="B135" t="s">
        <v>18</v>
      </c>
      <c r="C135" t="s">
        <v>209</v>
      </c>
      <c r="D135" s="1">
        <v>0</v>
      </c>
      <c r="E135" s="2">
        <v>24840166000850</v>
      </c>
      <c r="F135" t="s">
        <v>234</v>
      </c>
      <c r="G135" s="2">
        <v>2634</v>
      </c>
      <c r="H135" s="2">
        <v>858</v>
      </c>
      <c r="I135" s="5">
        <f t="shared" si="8"/>
        <v>0.32574031890660593</v>
      </c>
      <c r="J135" s="4">
        <v>0.7</v>
      </c>
      <c r="K135" s="3">
        <v>15.047360774818385</v>
      </c>
      <c r="L135" s="8">
        <f t="shared" si="6"/>
        <v>985.79999999999973</v>
      </c>
      <c r="M135" s="7">
        <f t="shared" si="7"/>
        <v>14833.68825181596</v>
      </c>
    </row>
    <row r="136" spans="1:13" x14ac:dyDescent="0.3">
      <c r="A136" s="10">
        <v>46174</v>
      </c>
      <c r="B136" t="s">
        <v>18</v>
      </c>
      <c r="C136" t="s">
        <v>209</v>
      </c>
      <c r="D136" s="1">
        <v>0</v>
      </c>
      <c r="E136" s="2">
        <v>15442958000290</v>
      </c>
      <c r="F136" t="s">
        <v>235</v>
      </c>
      <c r="G136" s="2">
        <v>1484</v>
      </c>
      <c r="H136" s="2">
        <v>637</v>
      </c>
      <c r="I136" s="5">
        <f t="shared" si="8"/>
        <v>0.42924528301886794</v>
      </c>
      <c r="J136" s="4">
        <v>0.7</v>
      </c>
      <c r="K136" s="3">
        <v>15.857032258064555</v>
      </c>
      <c r="L136" s="8">
        <f t="shared" si="6"/>
        <v>401.79999999999995</v>
      </c>
      <c r="M136" s="7">
        <f t="shared" si="7"/>
        <v>6371.3555612903374</v>
      </c>
    </row>
    <row r="137" spans="1:13" x14ac:dyDescent="0.3">
      <c r="A137" s="10">
        <v>46174</v>
      </c>
      <c r="B137" t="s">
        <v>18</v>
      </c>
      <c r="C137" t="s">
        <v>209</v>
      </c>
      <c r="D137" s="1">
        <v>0</v>
      </c>
      <c r="E137" s="2">
        <v>24840166004171</v>
      </c>
      <c r="F137" t="s">
        <v>236</v>
      </c>
      <c r="G137" s="2">
        <v>2307</v>
      </c>
      <c r="H137" s="2">
        <v>861</v>
      </c>
      <c r="I137" s="5">
        <f t="shared" si="8"/>
        <v>0.37321196358907671</v>
      </c>
      <c r="J137" s="4">
        <v>0.7</v>
      </c>
      <c r="K137" s="3">
        <v>15.328198433420349</v>
      </c>
      <c r="L137" s="8">
        <f t="shared" si="6"/>
        <v>753.89999999999986</v>
      </c>
      <c r="M137" s="7">
        <f t="shared" si="7"/>
        <v>11555.9287989556</v>
      </c>
    </row>
    <row r="138" spans="1:13" x14ac:dyDescent="0.3">
      <c r="A138" s="10">
        <v>46174</v>
      </c>
      <c r="B138" t="s">
        <v>18</v>
      </c>
      <c r="C138" t="s">
        <v>209</v>
      </c>
      <c r="D138" s="1">
        <v>0</v>
      </c>
      <c r="E138" s="2">
        <v>24840166010490</v>
      </c>
      <c r="F138" t="s">
        <v>237</v>
      </c>
      <c r="G138" s="2">
        <v>2318</v>
      </c>
      <c r="H138" s="2">
        <v>761</v>
      </c>
      <c r="I138" s="5">
        <f t="shared" si="8"/>
        <v>0.32830025884383091</v>
      </c>
      <c r="J138" s="4">
        <v>0.7</v>
      </c>
      <c r="K138" s="3">
        <v>15.777759197324427</v>
      </c>
      <c r="L138" s="8">
        <f t="shared" si="6"/>
        <v>861.59999999999968</v>
      </c>
      <c r="M138" s="7">
        <f t="shared" si="7"/>
        <v>13594.117324414721</v>
      </c>
    </row>
    <row r="139" spans="1:13" x14ac:dyDescent="0.3">
      <c r="A139" s="10">
        <v>46174</v>
      </c>
      <c r="B139" t="s">
        <v>23</v>
      </c>
      <c r="C139" t="s">
        <v>238</v>
      </c>
      <c r="D139" s="1">
        <v>0</v>
      </c>
      <c r="E139" s="2">
        <v>57413737000153</v>
      </c>
      <c r="F139" t="s">
        <v>239</v>
      </c>
      <c r="G139" s="2">
        <v>2425</v>
      </c>
      <c r="H139" s="2">
        <v>1040</v>
      </c>
      <c r="I139" s="5">
        <f t="shared" si="8"/>
        <v>0.42886597938144327</v>
      </c>
      <c r="J139" s="4">
        <v>0.7</v>
      </c>
      <c r="K139" s="3">
        <v>16.17358490566038</v>
      </c>
      <c r="L139" s="8">
        <f t="shared" si="6"/>
        <v>657.5</v>
      </c>
      <c r="M139" s="7">
        <f t="shared" si="7"/>
        <v>10634.1320754717</v>
      </c>
    </row>
    <row r="140" spans="1:13" x14ac:dyDescent="0.3">
      <c r="A140" s="10">
        <v>46174</v>
      </c>
      <c r="B140" t="s">
        <v>23</v>
      </c>
      <c r="C140" t="s">
        <v>238</v>
      </c>
      <c r="D140" s="1">
        <v>0</v>
      </c>
      <c r="E140" s="2">
        <v>27492596000140</v>
      </c>
      <c r="F140" t="s">
        <v>240</v>
      </c>
      <c r="G140" s="2">
        <v>2391</v>
      </c>
      <c r="H140" s="2">
        <v>805</v>
      </c>
      <c r="I140" s="5">
        <f t="shared" si="8"/>
        <v>0.3366792137181096</v>
      </c>
      <c r="J140" s="4">
        <v>0.7</v>
      </c>
      <c r="K140" s="3">
        <v>16.465031446540927</v>
      </c>
      <c r="L140" s="8">
        <f t="shared" si="6"/>
        <v>868.69999999999982</v>
      </c>
      <c r="M140" s="7">
        <f t="shared" si="7"/>
        <v>14303.172817610101</v>
      </c>
    </row>
    <row r="141" spans="1:13" x14ac:dyDescent="0.3">
      <c r="A141" s="10">
        <v>46174</v>
      </c>
      <c r="B141" t="s">
        <v>23</v>
      </c>
      <c r="C141" t="s">
        <v>238</v>
      </c>
      <c r="D141" s="1">
        <v>0</v>
      </c>
      <c r="E141" s="2">
        <v>57413737000234</v>
      </c>
      <c r="F141" t="s">
        <v>241</v>
      </c>
      <c r="G141" s="2">
        <v>1611</v>
      </c>
      <c r="H141" s="2">
        <v>645</v>
      </c>
      <c r="I141" s="5">
        <f t="shared" si="8"/>
        <v>0.40037243947858475</v>
      </c>
      <c r="J141" s="4">
        <v>0.7</v>
      </c>
      <c r="K141" s="3">
        <v>16.530219780219827</v>
      </c>
      <c r="L141" s="8">
        <f t="shared" si="6"/>
        <v>482.69999999999982</v>
      </c>
      <c r="M141" s="7">
        <f t="shared" si="7"/>
        <v>7979.1370879121077</v>
      </c>
    </row>
    <row r="142" spans="1:13" x14ac:dyDescent="0.3">
      <c r="A142" s="10">
        <v>46174</v>
      </c>
      <c r="B142" t="s">
        <v>23</v>
      </c>
      <c r="C142" t="s">
        <v>238</v>
      </c>
      <c r="D142" s="1">
        <v>0</v>
      </c>
      <c r="E142" s="2">
        <v>32347471000167</v>
      </c>
      <c r="F142" t="s">
        <v>242</v>
      </c>
      <c r="G142" s="2">
        <v>2582</v>
      </c>
      <c r="H142" s="2">
        <v>1205</v>
      </c>
      <c r="I142" s="5">
        <f t="shared" si="8"/>
        <v>0.46669248644461658</v>
      </c>
      <c r="J142" s="4">
        <v>0.7</v>
      </c>
      <c r="K142" s="3">
        <v>15.079745222929795</v>
      </c>
      <c r="L142" s="8">
        <f t="shared" si="6"/>
        <v>602.39999999999986</v>
      </c>
      <c r="M142" s="7">
        <f t="shared" si="7"/>
        <v>9084.0385222929053</v>
      </c>
    </row>
    <row r="143" spans="1:13" x14ac:dyDescent="0.3">
      <c r="A143" s="10">
        <v>46174</v>
      </c>
      <c r="B143" t="s">
        <v>23</v>
      </c>
      <c r="C143" t="s">
        <v>238</v>
      </c>
      <c r="D143" s="1">
        <v>0</v>
      </c>
      <c r="E143" s="2">
        <v>46596902000133</v>
      </c>
      <c r="F143" t="s">
        <v>243</v>
      </c>
      <c r="G143" s="2">
        <v>1775</v>
      </c>
      <c r="H143" s="2">
        <v>820</v>
      </c>
      <c r="I143" s="5">
        <f t="shared" si="8"/>
        <v>0.46197183098591549</v>
      </c>
      <c r="J143" s="4">
        <v>0.7</v>
      </c>
      <c r="K143" s="3">
        <v>15.535719844358036</v>
      </c>
      <c r="L143" s="8">
        <f t="shared" si="6"/>
        <v>422.5</v>
      </c>
      <c r="M143" s="7">
        <f t="shared" si="7"/>
        <v>6563.8416342412702</v>
      </c>
    </row>
    <row r="144" spans="1:13" x14ac:dyDescent="0.3">
      <c r="A144" s="10">
        <v>46174</v>
      </c>
      <c r="B144" t="s">
        <v>28</v>
      </c>
      <c r="C144" t="s">
        <v>244</v>
      </c>
      <c r="D144" s="1">
        <v>0</v>
      </c>
      <c r="E144" s="2">
        <v>58023296000146</v>
      </c>
      <c r="F144" t="s">
        <v>245</v>
      </c>
      <c r="G144" s="2">
        <v>1916</v>
      </c>
      <c r="H144" s="2">
        <v>1058</v>
      </c>
      <c r="I144" s="5">
        <f t="shared" si="8"/>
        <v>0.55219206680584554</v>
      </c>
      <c r="J144" s="4">
        <v>0.7</v>
      </c>
      <c r="K144" s="3">
        <v>14.856357142857204</v>
      </c>
      <c r="L144" s="8">
        <f t="shared" si="6"/>
        <v>283.19999999999982</v>
      </c>
      <c r="M144" s="7">
        <f t="shared" si="7"/>
        <v>4207.3203428571578</v>
      </c>
    </row>
    <row r="145" spans="1:13" x14ac:dyDescent="0.3">
      <c r="A145" s="10">
        <v>46174</v>
      </c>
      <c r="B145" t="s">
        <v>8</v>
      </c>
      <c r="C145" t="s">
        <v>246</v>
      </c>
      <c r="D145" s="1">
        <v>0</v>
      </c>
      <c r="E145" s="2">
        <v>55056005000551</v>
      </c>
      <c r="F145" t="s">
        <v>247</v>
      </c>
      <c r="G145" s="2">
        <v>2044</v>
      </c>
      <c r="H145" s="2">
        <v>663</v>
      </c>
      <c r="I145" s="5">
        <f t="shared" si="8"/>
        <v>0.32436399217221135</v>
      </c>
      <c r="J145" s="4">
        <v>0.7</v>
      </c>
      <c r="K145" s="3">
        <v>16.031308411215001</v>
      </c>
      <c r="L145" s="8">
        <f t="shared" si="6"/>
        <v>767.8</v>
      </c>
      <c r="M145" s="7">
        <f t="shared" si="7"/>
        <v>12308.838598130877</v>
      </c>
    </row>
    <row r="146" spans="1:13" x14ac:dyDescent="0.3">
      <c r="A146" s="10">
        <v>46174</v>
      </c>
      <c r="B146" t="s">
        <v>8</v>
      </c>
      <c r="C146" t="s">
        <v>248</v>
      </c>
      <c r="D146" s="1">
        <v>0</v>
      </c>
      <c r="E146" s="2">
        <v>55056005001108</v>
      </c>
      <c r="F146" t="s">
        <v>249</v>
      </c>
      <c r="G146" s="2">
        <v>1292</v>
      </c>
      <c r="H146" s="2">
        <v>373</v>
      </c>
      <c r="I146" s="5">
        <f t="shared" si="8"/>
        <v>0.28869969040247678</v>
      </c>
      <c r="J146" s="4">
        <v>0.7</v>
      </c>
      <c r="K146" s="3">
        <v>15.879333333333358</v>
      </c>
      <c r="L146" s="8">
        <f t="shared" si="6"/>
        <v>531.39999999999986</v>
      </c>
      <c r="M146" s="7">
        <f t="shared" si="7"/>
        <v>8438.2777333333452</v>
      </c>
    </row>
    <row r="147" spans="1:13" x14ac:dyDescent="0.3">
      <c r="A147" s="10">
        <v>46174</v>
      </c>
      <c r="B147" t="s">
        <v>8</v>
      </c>
      <c r="C147" t="s">
        <v>248</v>
      </c>
      <c r="D147" s="1">
        <v>0</v>
      </c>
      <c r="E147" s="2">
        <v>55056005000209</v>
      </c>
      <c r="F147" t="s">
        <v>250</v>
      </c>
      <c r="G147" s="2">
        <v>1227</v>
      </c>
      <c r="H147" s="2">
        <v>359</v>
      </c>
      <c r="I147" s="5">
        <f t="shared" si="8"/>
        <v>0.2925835370823146</v>
      </c>
      <c r="J147" s="4">
        <v>0.7</v>
      </c>
      <c r="K147" s="3">
        <v>15.841754385964922</v>
      </c>
      <c r="L147" s="8">
        <f t="shared" si="6"/>
        <v>499.89999999999986</v>
      </c>
      <c r="M147" s="7">
        <f t="shared" si="7"/>
        <v>7919.2930175438623</v>
      </c>
    </row>
    <row r="148" spans="1:13" x14ac:dyDescent="0.3">
      <c r="A148" s="10">
        <v>46174</v>
      </c>
      <c r="B148" t="s">
        <v>8</v>
      </c>
      <c r="C148" t="s">
        <v>251</v>
      </c>
      <c r="D148" s="1">
        <v>0</v>
      </c>
      <c r="E148" s="2">
        <v>55056005000985</v>
      </c>
      <c r="F148" t="s">
        <v>252</v>
      </c>
      <c r="G148" s="2">
        <v>1299</v>
      </c>
      <c r="H148" s="2">
        <v>343</v>
      </c>
      <c r="I148" s="5">
        <f t="shared" si="8"/>
        <v>0.26404926866820633</v>
      </c>
      <c r="J148" s="4">
        <v>0.7</v>
      </c>
      <c r="K148" s="3">
        <v>15.947704918032803</v>
      </c>
      <c r="L148" s="8">
        <f t="shared" si="6"/>
        <v>566.29999999999995</v>
      </c>
      <c r="M148" s="7">
        <f t="shared" si="7"/>
        <v>9031.1852950819757</v>
      </c>
    </row>
    <row r="149" spans="1:13" x14ac:dyDescent="0.3">
      <c r="A149" s="10">
        <v>46174</v>
      </c>
      <c r="B149" t="s">
        <v>253</v>
      </c>
      <c r="C149" t="s">
        <v>254</v>
      </c>
      <c r="D149" s="1">
        <v>0</v>
      </c>
      <c r="E149" s="2">
        <v>49602499000287</v>
      </c>
      <c r="F149" t="s">
        <v>255</v>
      </c>
      <c r="G149" s="2">
        <v>1797</v>
      </c>
      <c r="H149" s="2">
        <v>850</v>
      </c>
      <c r="I149" s="5">
        <f t="shared" si="8"/>
        <v>0.4730105731775181</v>
      </c>
      <c r="J149" s="4">
        <v>0.7</v>
      </c>
      <c r="K149" s="3">
        <v>14.75381263616552</v>
      </c>
      <c r="L149" s="8">
        <f t="shared" si="6"/>
        <v>407.89999999999986</v>
      </c>
      <c r="M149" s="7">
        <f t="shared" si="7"/>
        <v>6018.0801742919139</v>
      </c>
    </row>
    <row r="150" spans="1:13" x14ac:dyDescent="0.3">
      <c r="A150" s="10">
        <v>46174</v>
      </c>
      <c r="B150" t="s">
        <v>253</v>
      </c>
      <c r="C150" t="s">
        <v>254</v>
      </c>
      <c r="D150" s="1">
        <v>0</v>
      </c>
      <c r="E150" s="2">
        <v>49602499000104</v>
      </c>
      <c r="F150" t="s">
        <v>256</v>
      </c>
      <c r="G150" s="2">
        <v>3385</v>
      </c>
      <c r="H150" s="2">
        <v>1454</v>
      </c>
      <c r="I150" s="5">
        <f t="shared" si="8"/>
        <v>0.42954209748892169</v>
      </c>
      <c r="J150" s="4">
        <v>0.7</v>
      </c>
      <c r="K150" s="3">
        <v>14.377522012578453</v>
      </c>
      <c r="L150" s="8">
        <f t="shared" si="6"/>
        <v>915.5</v>
      </c>
      <c r="M150" s="7">
        <f t="shared" si="7"/>
        <v>13162.621402515573</v>
      </c>
    </row>
    <row r="151" spans="1:13" x14ac:dyDescent="0.3">
      <c r="A151" s="10">
        <v>46174</v>
      </c>
      <c r="B151" t="s">
        <v>8</v>
      </c>
      <c r="C151" t="s">
        <v>257</v>
      </c>
      <c r="D151" s="1">
        <v>0</v>
      </c>
      <c r="E151" s="2">
        <v>15811307000140</v>
      </c>
      <c r="F151" t="s">
        <v>258</v>
      </c>
      <c r="G151" s="2">
        <v>4081</v>
      </c>
      <c r="H151" s="2">
        <v>1466</v>
      </c>
      <c r="I151" s="5">
        <f t="shared" si="8"/>
        <v>0.35922567998039695</v>
      </c>
      <c r="J151" s="4">
        <v>0.7</v>
      </c>
      <c r="K151" s="3">
        <v>15.275492021276465</v>
      </c>
      <c r="L151" s="8">
        <f t="shared" si="6"/>
        <v>1390.7000000000003</v>
      </c>
      <c r="M151" s="7">
        <f t="shared" si="7"/>
        <v>21243.626753989185</v>
      </c>
    </row>
    <row r="152" spans="1:13" x14ac:dyDescent="0.3">
      <c r="A152" s="10">
        <v>46174</v>
      </c>
      <c r="B152" t="s">
        <v>8</v>
      </c>
      <c r="C152" t="s">
        <v>257</v>
      </c>
      <c r="D152" s="1">
        <v>0</v>
      </c>
      <c r="E152" s="2">
        <v>23104950000757</v>
      </c>
      <c r="F152" t="s">
        <v>259</v>
      </c>
      <c r="G152" s="2">
        <v>1605</v>
      </c>
      <c r="H152" s="2">
        <v>504</v>
      </c>
      <c r="I152" s="5">
        <f t="shared" si="8"/>
        <v>0.31401869158878504</v>
      </c>
      <c r="J152" s="4">
        <v>0.7</v>
      </c>
      <c r="K152" s="3">
        <v>14.638068181818216</v>
      </c>
      <c r="L152" s="8">
        <f t="shared" si="6"/>
        <v>619.5</v>
      </c>
      <c r="M152" s="7">
        <f t="shared" si="7"/>
        <v>9068.2832386363843</v>
      </c>
    </row>
    <row r="153" spans="1:13" x14ac:dyDescent="0.3">
      <c r="A153" s="10">
        <v>46174</v>
      </c>
      <c r="B153" t="s">
        <v>8</v>
      </c>
      <c r="C153" t="s">
        <v>257</v>
      </c>
      <c r="D153" s="1">
        <v>0</v>
      </c>
      <c r="E153" s="2">
        <v>23104950000161</v>
      </c>
      <c r="F153" t="s">
        <v>260</v>
      </c>
      <c r="G153" s="2">
        <v>2154</v>
      </c>
      <c r="H153" s="2">
        <v>785</v>
      </c>
      <c r="I153" s="5">
        <f t="shared" si="8"/>
        <v>0.36443825441039923</v>
      </c>
      <c r="J153" s="4">
        <v>0.7</v>
      </c>
      <c r="K153" s="3">
        <v>14.971589403973553</v>
      </c>
      <c r="L153" s="8">
        <f t="shared" si="6"/>
        <v>722.80000000000018</v>
      </c>
      <c r="M153" s="7">
        <f t="shared" si="7"/>
        <v>10821.464821192087</v>
      </c>
    </row>
    <row r="154" spans="1:13" x14ac:dyDescent="0.3">
      <c r="A154" s="10">
        <v>46174</v>
      </c>
      <c r="B154" t="s">
        <v>8</v>
      </c>
      <c r="C154" t="s">
        <v>257</v>
      </c>
      <c r="D154" s="1">
        <v>0</v>
      </c>
      <c r="E154" s="2">
        <v>55056005000713</v>
      </c>
      <c r="F154" t="s">
        <v>261</v>
      </c>
      <c r="G154" s="2">
        <v>1156</v>
      </c>
      <c r="H154" s="2">
        <v>538</v>
      </c>
      <c r="I154" s="5">
        <f t="shared" si="8"/>
        <v>0.46539792387543255</v>
      </c>
      <c r="J154" s="4">
        <v>0.7</v>
      </c>
      <c r="K154" s="3">
        <v>15.909180327868878</v>
      </c>
      <c r="L154" s="8">
        <f t="shared" si="6"/>
        <v>271.19999999999993</v>
      </c>
      <c r="M154" s="7">
        <f t="shared" si="7"/>
        <v>4314.569704918039</v>
      </c>
    </row>
    <row r="155" spans="1:13" x14ac:dyDescent="0.3">
      <c r="A155" s="10">
        <v>46174</v>
      </c>
      <c r="B155" t="s">
        <v>8</v>
      </c>
      <c r="C155" t="s">
        <v>257</v>
      </c>
      <c r="D155" s="1">
        <v>0</v>
      </c>
      <c r="E155" s="2">
        <v>52912647000860</v>
      </c>
      <c r="F155" t="s">
        <v>262</v>
      </c>
      <c r="G155" s="2">
        <v>1407</v>
      </c>
      <c r="H155" s="2">
        <v>516</v>
      </c>
      <c r="I155" s="5">
        <f t="shared" si="8"/>
        <v>0.36673773987206826</v>
      </c>
      <c r="J155" s="4">
        <v>0.7</v>
      </c>
      <c r="K155" s="3">
        <v>14.115238095238139</v>
      </c>
      <c r="L155" s="8">
        <f t="shared" si="6"/>
        <v>468.89999999999986</v>
      </c>
      <c r="M155" s="7">
        <f t="shared" si="7"/>
        <v>6618.6351428571616</v>
      </c>
    </row>
    <row r="156" spans="1:13" x14ac:dyDescent="0.3">
      <c r="A156" s="10">
        <v>46174</v>
      </c>
      <c r="B156" t="s">
        <v>8</v>
      </c>
      <c r="C156" t="s">
        <v>257</v>
      </c>
      <c r="D156" s="1">
        <v>0</v>
      </c>
      <c r="E156" s="2">
        <v>26128584000179</v>
      </c>
      <c r="F156" t="s">
        <v>263</v>
      </c>
      <c r="G156" s="2">
        <v>1494</v>
      </c>
      <c r="H156" s="2">
        <v>663</v>
      </c>
      <c r="I156" s="5">
        <f t="shared" si="8"/>
        <v>0.44377510040160645</v>
      </c>
      <c r="J156" s="4">
        <v>0.7</v>
      </c>
      <c r="K156" s="3">
        <v>13.403815261044143</v>
      </c>
      <c r="L156" s="8">
        <f t="shared" si="6"/>
        <v>382.79999999999995</v>
      </c>
      <c r="M156" s="7">
        <f t="shared" si="7"/>
        <v>5130.9804819276969</v>
      </c>
    </row>
    <row r="157" spans="1:13" x14ac:dyDescent="0.3">
      <c r="A157" s="10">
        <v>46174</v>
      </c>
      <c r="B157" t="s">
        <v>8</v>
      </c>
      <c r="C157" t="s">
        <v>257</v>
      </c>
      <c r="D157" s="1">
        <v>0</v>
      </c>
      <c r="E157" s="2">
        <v>52912647000940</v>
      </c>
      <c r="F157" t="s">
        <v>264</v>
      </c>
      <c r="G157" s="2">
        <v>1142</v>
      </c>
      <c r="H157" s="2">
        <v>397</v>
      </c>
      <c r="I157" s="5">
        <f t="shared" si="8"/>
        <v>0.3476357267950963</v>
      </c>
      <c r="J157" s="4">
        <v>0.7</v>
      </c>
      <c r="K157" s="3">
        <v>15.444274809160339</v>
      </c>
      <c r="L157" s="8">
        <f t="shared" si="6"/>
        <v>402.4</v>
      </c>
      <c r="M157" s="7">
        <f t="shared" si="7"/>
        <v>6214.7761832061196</v>
      </c>
    </row>
    <row r="158" spans="1:13" x14ac:dyDescent="0.3">
      <c r="A158" s="10">
        <v>46174</v>
      </c>
      <c r="B158" t="s">
        <v>8</v>
      </c>
      <c r="C158" t="s">
        <v>257</v>
      </c>
      <c r="D158" s="1">
        <v>0</v>
      </c>
      <c r="E158" s="2">
        <v>15811307000654</v>
      </c>
      <c r="F158" t="s">
        <v>265</v>
      </c>
      <c r="G158" s="2">
        <v>3028</v>
      </c>
      <c r="H158" s="2">
        <v>945</v>
      </c>
      <c r="I158" s="5">
        <f t="shared" si="8"/>
        <v>0.31208718626155879</v>
      </c>
      <c r="J158" s="4">
        <v>0.7</v>
      </c>
      <c r="K158" s="3">
        <v>15.947438692098071</v>
      </c>
      <c r="L158" s="8">
        <f t="shared" si="6"/>
        <v>1174.5999999999999</v>
      </c>
      <c r="M158" s="7">
        <f t="shared" si="7"/>
        <v>18731.861487738392</v>
      </c>
    </row>
    <row r="159" spans="1:13" x14ac:dyDescent="0.3">
      <c r="A159" s="10">
        <v>46174</v>
      </c>
      <c r="B159" t="s">
        <v>8</v>
      </c>
      <c r="C159" t="s">
        <v>257</v>
      </c>
      <c r="D159" s="1">
        <v>0</v>
      </c>
      <c r="E159" s="2">
        <v>55056005001019</v>
      </c>
      <c r="F159" t="s">
        <v>266</v>
      </c>
      <c r="G159" s="2">
        <v>1165</v>
      </c>
      <c r="H159" s="2">
        <v>383</v>
      </c>
      <c r="I159" s="5">
        <f t="shared" si="8"/>
        <v>0.32875536480686696</v>
      </c>
      <c r="J159" s="4">
        <v>0.7</v>
      </c>
      <c r="K159" s="3">
        <v>16.403396226415119</v>
      </c>
      <c r="L159" s="8">
        <f t="shared" si="6"/>
        <v>432.49999999999989</v>
      </c>
      <c r="M159" s="7">
        <f t="shared" si="7"/>
        <v>7094.4688679245373</v>
      </c>
    </row>
    <row r="160" spans="1:13" x14ac:dyDescent="0.3">
      <c r="A160" s="10">
        <v>46174</v>
      </c>
      <c r="B160" t="s">
        <v>8</v>
      </c>
      <c r="C160" t="s">
        <v>257</v>
      </c>
      <c r="D160" s="1">
        <v>0</v>
      </c>
      <c r="E160" s="2">
        <v>23104950000595</v>
      </c>
      <c r="F160" t="s">
        <v>267</v>
      </c>
      <c r="G160" s="2">
        <v>1901</v>
      </c>
      <c r="H160" s="2">
        <v>665</v>
      </c>
      <c r="I160" s="5">
        <f t="shared" si="8"/>
        <v>0.3498158863755918</v>
      </c>
      <c r="J160" s="4">
        <v>0.7</v>
      </c>
      <c r="K160" s="3">
        <v>15.303529411764742</v>
      </c>
      <c r="L160" s="8">
        <f t="shared" si="6"/>
        <v>665.69999999999982</v>
      </c>
      <c r="M160" s="7">
        <f t="shared" si="7"/>
        <v>10187.559529411787</v>
      </c>
    </row>
    <row r="161" spans="1:13" x14ac:dyDescent="0.3">
      <c r="A161" s="10">
        <v>46174</v>
      </c>
      <c r="B161" t="s">
        <v>8</v>
      </c>
      <c r="C161" t="s">
        <v>257</v>
      </c>
      <c r="D161" s="1">
        <v>0</v>
      </c>
      <c r="E161" s="2">
        <v>52912647000274</v>
      </c>
      <c r="F161" t="s">
        <v>268</v>
      </c>
      <c r="G161" s="2">
        <v>1443</v>
      </c>
      <c r="H161" s="2">
        <v>526</v>
      </c>
      <c r="I161" s="5">
        <f t="shared" si="8"/>
        <v>0.3645183645183645</v>
      </c>
      <c r="J161" s="4">
        <v>0.7</v>
      </c>
      <c r="K161" s="3">
        <v>14.600000000000037</v>
      </c>
      <c r="L161" s="8">
        <f t="shared" si="6"/>
        <v>484.1</v>
      </c>
      <c r="M161" s="7">
        <f t="shared" si="7"/>
        <v>7067.8600000000179</v>
      </c>
    </row>
    <row r="162" spans="1:13" x14ac:dyDescent="0.3">
      <c r="A162" s="10">
        <v>46174</v>
      </c>
      <c r="B162" t="s">
        <v>8</v>
      </c>
      <c r="C162" t="s">
        <v>257</v>
      </c>
      <c r="D162" s="1">
        <v>0</v>
      </c>
      <c r="E162" s="2">
        <v>60667414000109</v>
      </c>
      <c r="F162" t="s">
        <v>269</v>
      </c>
      <c r="G162" s="2">
        <v>1495</v>
      </c>
      <c r="H162" s="2">
        <v>510</v>
      </c>
      <c r="I162" s="5">
        <f t="shared" si="8"/>
        <v>0.34113712374581939</v>
      </c>
      <c r="J162" s="4">
        <v>0.7</v>
      </c>
      <c r="K162" s="3">
        <v>15.293681318681354</v>
      </c>
      <c r="L162" s="8">
        <f t="shared" si="6"/>
        <v>536.5</v>
      </c>
      <c r="M162" s="7">
        <f t="shared" si="7"/>
        <v>8205.0600274725475</v>
      </c>
    </row>
    <row r="163" spans="1:13" x14ac:dyDescent="0.3">
      <c r="A163" s="10">
        <v>46174</v>
      </c>
      <c r="B163" t="s">
        <v>8</v>
      </c>
      <c r="C163" t="s">
        <v>257</v>
      </c>
      <c r="D163" s="1">
        <v>0</v>
      </c>
      <c r="E163" s="2">
        <v>60482492000120</v>
      </c>
      <c r="F163" t="s">
        <v>270</v>
      </c>
      <c r="G163" s="2">
        <v>1182</v>
      </c>
      <c r="H163" s="2">
        <v>405</v>
      </c>
      <c r="I163" s="5">
        <f t="shared" si="8"/>
        <v>0.34263959390862941</v>
      </c>
      <c r="J163" s="4">
        <v>0.7</v>
      </c>
      <c r="K163" s="3">
        <v>15.132000000000025</v>
      </c>
      <c r="L163" s="8">
        <f t="shared" si="6"/>
        <v>422.40000000000009</v>
      </c>
      <c r="M163" s="7">
        <f t="shared" si="7"/>
        <v>6391.7568000000119</v>
      </c>
    </row>
    <row r="164" spans="1:13" x14ac:dyDescent="0.3">
      <c r="A164" s="10">
        <v>46174</v>
      </c>
      <c r="B164" t="s">
        <v>8</v>
      </c>
      <c r="C164" t="s">
        <v>257</v>
      </c>
      <c r="D164" s="1">
        <v>0</v>
      </c>
      <c r="E164" s="2">
        <v>52912647000517</v>
      </c>
      <c r="F164" t="s">
        <v>271</v>
      </c>
      <c r="G164" s="2">
        <v>1377</v>
      </c>
      <c r="H164" s="2">
        <v>385</v>
      </c>
      <c r="I164" s="5">
        <f t="shared" si="8"/>
        <v>0.27959331880900506</v>
      </c>
      <c r="J164" s="4">
        <v>0.7</v>
      </c>
      <c r="K164" s="3">
        <v>16.817314285714314</v>
      </c>
      <c r="L164" s="8">
        <f t="shared" si="6"/>
        <v>578.90000000000009</v>
      </c>
      <c r="M164" s="7">
        <f t="shared" si="7"/>
        <v>9735.5432400000172</v>
      </c>
    </row>
    <row r="165" spans="1:13" x14ac:dyDescent="0.3">
      <c r="A165" s="10">
        <v>46174</v>
      </c>
      <c r="B165" t="s">
        <v>8</v>
      </c>
      <c r="C165" t="s">
        <v>257</v>
      </c>
      <c r="D165" s="1">
        <v>0</v>
      </c>
      <c r="E165" s="2">
        <v>52912647000193</v>
      </c>
      <c r="F165" t="s">
        <v>272</v>
      </c>
      <c r="G165" s="2">
        <v>2621</v>
      </c>
      <c r="H165" s="2">
        <v>780</v>
      </c>
      <c r="I165" s="5">
        <f t="shared" si="8"/>
        <v>0.29759633727584889</v>
      </c>
      <c r="J165" s="4">
        <v>0.7</v>
      </c>
      <c r="K165" s="3">
        <v>15.143471810089038</v>
      </c>
      <c r="L165" s="8">
        <f t="shared" si="6"/>
        <v>1054.7</v>
      </c>
      <c r="M165" s="7">
        <f t="shared" si="7"/>
        <v>15971.819718100909</v>
      </c>
    </row>
    <row r="166" spans="1:13" x14ac:dyDescent="0.3">
      <c r="A166" s="10">
        <v>46174</v>
      </c>
      <c r="B166" t="s">
        <v>8</v>
      </c>
      <c r="C166" t="s">
        <v>257</v>
      </c>
      <c r="D166" s="1">
        <v>0</v>
      </c>
      <c r="E166" s="2">
        <v>52912647000355</v>
      </c>
      <c r="F166" t="s">
        <v>273</v>
      </c>
      <c r="G166" s="2">
        <v>1366</v>
      </c>
      <c r="H166" s="2">
        <v>469</v>
      </c>
      <c r="I166" s="5">
        <f t="shared" si="8"/>
        <v>0.34333821376281115</v>
      </c>
      <c r="J166" s="4">
        <v>0.7</v>
      </c>
      <c r="K166" s="3">
        <v>15.014039215686308</v>
      </c>
      <c r="L166" s="8">
        <f t="shared" si="6"/>
        <v>487.19999999999982</v>
      </c>
      <c r="M166" s="7">
        <f t="shared" si="7"/>
        <v>7314.839905882367</v>
      </c>
    </row>
    <row r="167" spans="1:13" x14ac:dyDescent="0.3">
      <c r="A167" s="10">
        <v>46174</v>
      </c>
      <c r="B167" t="s">
        <v>8</v>
      </c>
      <c r="C167" t="s">
        <v>257</v>
      </c>
      <c r="D167" s="1">
        <v>0</v>
      </c>
      <c r="E167" s="2">
        <v>65286910000128</v>
      </c>
      <c r="F167" t="s">
        <v>274</v>
      </c>
      <c r="G167" s="2">
        <v>1153</v>
      </c>
      <c r="H167" s="2">
        <v>386</v>
      </c>
      <c r="I167" s="5">
        <f t="shared" si="8"/>
        <v>0.33477883781439721</v>
      </c>
      <c r="J167" s="4">
        <v>0.7</v>
      </c>
      <c r="K167" s="3">
        <v>15.246956521739174</v>
      </c>
      <c r="L167" s="8">
        <f t="shared" si="6"/>
        <v>421.1</v>
      </c>
      <c r="M167" s="7">
        <f t="shared" si="7"/>
        <v>6420.493391304366</v>
      </c>
    </row>
    <row r="168" spans="1:13" x14ac:dyDescent="0.3">
      <c r="A168" s="10">
        <v>46174</v>
      </c>
      <c r="B168" t="s">
        <v>8</v>
      </c>
      <c r="C168" t="s">
        <v>257</v>
      </c>
      <c r="D168" s="1">
        <v>0</v>
      </c>
      <c r="E168" s="2">
        <v>44980313000129</v>
      </c>
      <c r="F168" t="s">
        <v>275</v>
      </c>
      <c r="G168" s="2">
        <v>1472</v>
      </c>
      <c r="H168" s="2">
        <v>463</v>
      </c>
      <c r="I168" s="5">
        <f t="shared" si="8"/>
        <v>0.31453804347826086</v>
      </c>
      <c r="J168" s="4">
        <v>0.7</v>
      </c>
      <c r="K168" s="3">
        <v>13.656550000000031</v>
      </c>
      <c r="L168" s="8">
        <f t="shared" si="6"/>
        <v>567.39999999999986</v>
      </c>
      <c r="M168" s="7">
        <f t="shared" si="7"/>
        <v>7748.726470000016</v>
      </c>
    </row>
    <row r="169" spans="1:13" x14ac:dyDescent="0.3">
      <c r="A169" s="10">
        <v>46174</v>
      </c>
      <c r="B169" t="s">
        <v>8</v>
      </c>
      <c r="C169" t="s">
        <v>257</v>
      </c>
      <c r="D169" s="1">
        <v>0</v>
      </c>
      <c r="E169" s="2">
        <v>55056005000470</v>
      </c>
      <c r="F169" t="s">
        <v>276</v>
      </c>
      <c r="G169" s="2">
        <v>968</v>
      </c>
      <c r="H169" s="2">
        <v>323</v>
      </c>
      <c r="I169" s="5">
        <f t="shared" si="8"/>
        <v>0.33367768595041325</v>
      </c>
      <c r="J169" s="4">
        <v>0.7</v>
      </c>
      <c r="K169" s="3">
        <v>16.933944954128442</v>
      </c>
      <c r="L169" s="8">
        <f t="shared" si="6"/>
        <v>354.59999999999991</v>
      </c>
      <c r="M169" s="7">
        <f t="shared" si="7"/>
        <v>6004.7768807339444</v>
      </c>
    </row>
    <row r="170" spans="1:13" x14ac:dyDescent="0.3">
      <c r="A170" s="10">
        <v>46174</v>
      </c>
      <c r="B170" t="s">
        <v>8</v>
      </c>
      <c r="C170" t="s">
        <v>257</v>
      </c>
      <c r="D170" s="1">
        <v>0</v>
      </c>
      <c r="E170" s="2">
        <v>55056005000802</v>
      </c>
      <c r="F170" t="s">
        <v>277</v>
      </c>
      <c r="G170" s="2">
        <v>1321</v>
      </c>
      <c r="H170" s="2">
        <v>586</v>
      </c>
      <c r="I170" s="5">
        <f t="shared" si="8"/>
        <v>0.44360333080999242</v>
      </c>
      <c r="J170" s="4">
        <v>0.7</v>
      </c>
      <c r="K170" s="3">
        <v>14.877982708933759</v>
      </c>
      <c r="L170" s="8">
        <f t="shared" si="6"/>
        <v>338.69999999999993</v>
      </c>
      <c r="M170" s="7">
        <f t="shared" si="7"/>
        <v>5039.1727435158627</v>
      </c>
    </row>
    <row r="171" spans="1:13" x14ac:dyDescent="0.3">
      <c r="A171" s="10">
        <v>46174</v>
      </c>
      <c r="B171" t="s">
        <v>62</v>
      </c>
      <c r="C171" t="s">
        <v>278</v>
      </c>
      <c r="D171" s="1">
        <v>0</v>
      </c>
      <c r="E171" s="2">
        <v>57438869000130</v>
      </c>
      <c r="F171" t="s">
        <v>279</v>
      </c>
      <c r="G171" s="2">
        <v>1499</v>
      </c>
      <c r="H171" s="2">
        <v>557</v>
      </c>
      <c r="I171" s="5">
        <f t="shared" si="8"/>
        <v>0.37158105403602404</v>
      </c>
      <c r="J171" s="4">
        <v>0.7</v>
      </c>
      <c r="K171" s="3">
        <v>15.560714285714344</v>
      </c>
      <c r="L171" s="8">
        <f t="shared" si="6"/>
        <v>492.29999999999995</v>
      </c>
      <c r="M171" s="7">
        <f t="shared" si="7"/>
        <v>7660.5396428571703</v>
      </c>
    </row>
    <row r="172" spans="1:13" x14ac:dyDescent="0.3">
      <c r="A172" s="10">
        <v>46174</v>
      </c>
      <c r="B172" t="s">
        <v>83</v>
      </c>
      <c r="C172" t="s">
        <v>280</v>
      </c>
      <c r="D172" s="1">
        <v>0</v>
      </c>
      <c r="E172" s="2">
        <v>60219392000106</v>
      </c>
      <c r="F172" t="s">
        <v>281</v>
      </c>
      <c r="G172" s="2">
        <v>1283</v>
      </c>
      <c r="H172" s="2">
        <v>616</v>
      </c>
      <c r="I172" s="5">
        <f t="shared" si="8"/>
        <v>0.48012470771628996</v>
      </c>
      <c r="J172" s="4">
        <v>0.7</v>
      </c>
      <c r="K172" s="3">
        <v>14.882840236686432</v>
      </c>
      <c r="L172" s="8">
        <f t="shared" si="6"/>
        <v>282.09999999999991</v>
      </c>
      <c r="M172" s="7">
        <f t="shared" si="7"/>
        <v>4198.4492307692408</v>
      </c>
    </row>
    <row r="173" spans="1:13" x14ac:dyDescent="0.3">
      <c r="A173" s="10">
        <v>46174</v>
      </c>
      <c r="B173" t="s">
        <v>169</v>
      </c>
      <c r="C173" t="s">
        <v>282</v>
      </c>
      <c r="D173" s="1">
        <v>0</v>
      </c>
      <c r="E173" s="2">
        <v>14382670000124</v>
      </c>
      <c r="F173" t="s">
        <v>283</v>
      </c>
      <c r="G173" s="2">
        <v>1689</v>
      </c>
      <c r="H173" s="2">
        <v>757</v>
      </c>
      <c r="I173" s="5">
        <f t="shared" si="8"/>
        <v>0.44819419775014802</v>
      </c>
      <c r="J173" s="4">
        <v>0.7</v>
      </c>
      <c r="K173" s="3">
        <v>13.763730569948203</v>
      </c>
      <c r="L173" s="8">
        <f t="shared" si="6"/>
        <v>425.29999999999995</v>
      </c>
      <c r="M173" s="7">
        <f t="shared" si="7"/>
        <v>5853.7146113989702</v>
      </c>
    </row>
    <row r="174" spans="1:13" x14ac:dyDescent="0.3">
      <c r="A174" s="10">
        <v>46174</v>
      </c>
      <c r="B174" t="s">
        <v>18</v>
      </c>
      <c r="C174" t="s">
        <v>284</v>
      </c>
      <c r="D174" s="1">
        <v>0</v>
      </c>
      <c r="E174" s="2">
        <v>23049894000100</v>
      </c>
      <c r="F174" t="s">
        <v>285</v>
      </c>
      <c r="G174" s="2">
        <v>2371</v>
      </c>
      <c r="H174" s="2">
        <v>901</v>
      </c>
      <c r="I174" s="5">
        <f t="shared" si="8"/>
        <v>0.38000843525938421</v>
      </c>
      <c r="J174" s="4">
        <v>0.7</v>
      </c>
      <c r="K174" s="3">
        <v>14.517543581616319</v>
      </c>
      <c r="L174" s="8">
        <f t="shared" si="6"/>
        <v>758.69999999999982</v>
      </c>
      <c r="M174" s="7">
        <f t="shared" si="7"/>
        <v>11014.460315372298</v>
      </c>
    </row>
    <row r="175" spans="1:13" x14ac:dyDescent="0.3">
      <c r="A175" s="10">
        <v>46174</v>
      </c>
      <c r="B175" t="s">
        <v>32</v>
      </c>
      <c r="C175" t="s">
        <v>286</v>
      </c>
      <c r="D175" s="1">
        <v>0</v>
      </c>
      <c r="E175" s="2">
        <v>60794397000162</v>
      </c>
      <c r="F175" t="s">
        <v>287</v>
      </c>
      <c r="G175" s="2">
        <v>1836</v>
      </c>
      <c r="H175" s="2">
        <v>798</v>
      </c>
      <c r="I175" s="5">
        <f t="shared" si="8"/>
        <v>0.434640522875817</v>
      </c>
      <c r="J175" s="4">
        <v>0.7</v>
      </c>
      <c r="K175" s="3">
        <v>15.373894736842143</v>
      </c>
      <c r="L175" s="8">
        <f t="shared" si="6"/>
        <v>487.19999999999982</v>
      </c>
      <c r="M175" s="7">
        <f t="shared" si="7"/>
        <v>7490.1615157894894</v>
      </c>
    </row>
    <row r="176" spans="1:13" x14ac:dyDescent="0.3">
      <c r="A176" s="10">
        <v>46174</v>
      </c>
      <c r="B176" t="s">
        <v>32</v>
      </c>
      <c r="C176" t="s">
        <v>288</v>
      </c>
      <c r="D176" s="1">
        <v>0</v>
      </c>
      <c r="E176" s="2">
        <v>13012013000122</v>
      </c>
      <c r="F176" t="s">
        <v>289</v>
      </c>
      <c r="G176" s="2">
        <v>2805</v>
      </c>
      <c r="H176" s="2">
        <v>856</v>
      </c>
      <c r="I176" s="5">
        <f t="shared" si="8"/>
        <v>0.30516934046345812</v>
      </c>
      <c r="J176" s="4">
        <v>0.7</v>
      </c>
      <c r="K176" s="3">
        <v>15.278208232445483</v>
      </c>
      <c r="L176" s="8">
        <f t="shared" si="6"/>
        <v>1107.4999999999998</v>
      </c>
      <c r="M176" s="7">
        <f t="shared" si="7"/>
        <v>16920.61561743337</v>
      </c>
    </row>
    <row r="177" spans="1:13" x14ac:dyDescent="0.3">
      <c r="A177" s="10">
        <v>46174</v>
      </c>
      <c r="B177" t="s">
        <v>32</v>
      </c>
      <c r="C177" t="s">
        <v>288</v>
      </c>
      <c r="D177" s="1">
        <v>0</v>
      </c>
      <c r="E177" s="2">
        <v>24897078000119</v>
      </c>
      <c r="F177" t="s">
        <v>290</v>
      </c>
      <c r="G177" s="2">
        <v>1186</v>
      </c>
      <c r="H177" s="2">
        <v>421</v>
      </c>
      <c r="I177" s="5">
        <f t="shared" si="8"/>
        <v>0.35497470489038785</v>
      </c>
      <c r="J177" s="4">
        <v>0.7</v>
      </c>
      <c r="K177" s="3">
        <v>14.987878787878838</v>
      </c>
      <c r="L177" s="8">
        <f t="shared" si="6"/>
        <v>409.20000000000005</v>
      </c>
      <c r="M177" s="7">
        <f t="shared" si="7"/>
        <v>6133.0400000000209</v>
      </c>
    </row>
    <row r="178" spans="1:13" x14ac:dyDescent="0.3">
      <c r="A178" s="10">
        <v>46174</v>
      </c>
      <c r="B178" t="s">
        <v>32</v>
      </c>
      <c r="C178" t="s">
        <v>291</v>
      </c>
      <c r="D178" s="1">
        <v>0</v>
      </c>
      <c r="E178" s="2">
        <v>42352151000159</v>
      </c>
      <c r="F178" t="s">
        <v>292</v>
      </c>
      <c r="G178" s="2">
        <v>953</v>
      </c>
      <c r="H178" s="2">
        <v>388</v>
      </c>
      <c r="I178" s="5">
        <f t="shared" si="8"/>
        <v>0.40713536201469047</v>
      </c>
      <c r="J178" s="4">
        <v>0.7</v>
      </c>
      <c r="K178" s="3">
        <v>15.651936872309884</v>
      </c>
      <c r="L178" s="8">
        <f t="shared" si="6"/>
        <v>279.09999999999991</v>
      </c>
      <c r="M178" s="7">
        <f t="shared" si="7"/>
        <v>4368.4555810616876</v>
      </c>
    </row>
    <row r="179" spans="1:13" x14ac:dyDescent="0.3">
      <c r="A179" s="10">
        <v>46174</v>
      </c>
      <c r="B179" t="s">
        <v>62</v>
      </c>
      <c r="C179" t="s">
        <v>293</v>
      </c>
      <c r="D179" s="1">
        <v>0</v>
      </c>
      <c r="E179" s="2">
        <v>59701973000109</v>
      </c>
      <c r="F179" t="s">
        <v>294</v>
      </c>
      <c r="G179" s="2">
        <v>2265</v>
      </c>
      <c r="H179" s="2">
        <v>770</v>
      </c>
      <c r="I179" s="5">
        <f t="shared" si="8"/>
        <v>0.33995584988962474</v>
      </c>
      <c r="J179" s="4">
        <v>0.7</v>
      </c>
      <c r="K179" s="3">
        <v>15.56218749999999</v>
      </c>
      <c r="L179" s="8">
        <f t="shared" si="6"/>
        <v>815.5</v>
      </c>
      <c r="M179" s="7">
        <f t="shared" si="7"/>
        <v>12690.963906249992</v>
      </c>
    </row>
    <row r="180" spans="1:13" x14ac:dyDescent="0.3">
      <c r="A180" s="10">
        <v>46174</v>
      </c>
      <c r="B180" t="s">
        <v>62</v>
      </c>
      <c r="C180" t="s">
        <v>293</v>
      </c>
      <c r="D180" s="1">
        <v>0</v>
      </c>
      <c r="E180" s="2">
        <v>59846748000152</v>
      </c>
      <c r="F180" t="s">
        <v>295</v>
      </c>
      <c r="G180" s="2">
        <v>2438</v>
      </c>
      <c r="H180" s="2">
        <v>813</v>
      </c>
      <c r="I180" s="5">
        <f t="shared" si="8"/>
        <v>0.33347005742411812</v>
      </c>
      <c r="J180" s="4">
        <v>0.7</v>
      </c>
      <c r="K180" s="3">
        <v>15.416756756756751</v>
      </c>
      <c r="L180" s="8">
        <f t="shared" si="6"/>
        <v>893.59999999999991</v>
      </c>
      <c r="M180" s="7">
        <f t="shared" si="7"/>
        <v>13776.413837837832</v>
      </c>
    </row>
    <row r="181" spans="1:13" x14ac:dyDescent="0.3">
      <c r="A181" s="10">
        <v>46174</v>
      </c>
      <c r="B181" t="s">
        <v>62</v>
      </c>
      <c r="C181" t="s">
        <v>296</v>
      </c>
      <c r="D181" s="1">
        <v>0</v>
      </c>
      <c r="E181" s="2">
        <v>57439562000153</v>
      </c>
      <c r="F181" t="s">
        <v>297</v>
      </c>
      <c r="G181" s="2">
        <v>2108</v>
      </c>
      <c r="H181" s="2">
        <v>591</v>
      </c>
      <c r="I181" s="5">
        <f t="shared" si="8"/>
        <v>0.28036053130929789</v>
      </c>
      <c r="J181" s="4">
        <v>0.7</v>
      </c>
      <c r="K181" s="3">
        <v>14.88352760736201</v>
      </c>
      <c r="L181" s="8">
        <f t="shared" si="6"/>
        <v>884.60000000000014</v>
      </c>
      <c r="M181" s="7">
        <f t="shared" si="7"/>
        <v>13165.968521472436</v>
      </c>
    </row>
    <row r="182" spans="1:13" x14ac:dyDescent="0.3">
      <c r="A182" s="10">
        <v>46174</v>
      </c>
      <c r="B182" t="s">
        <v>62</v>
      </c>
      <c r="C182" t="s">
        <v>296</v>
      </c>
      <c r="D182" s="1">
        <v>0</v>
      </c>
      <c r="E182" s="2">
        <v>57440222000142</v>
      </c>
      <c r="F182" t="s">
        <v>298</v>
      </c>
      <c r="G182" s="2">
        <v>1428</v>
      </c>
      <c r="H182" s="2">
        <v>470</v>
      </c>
      <c r="I182" s="5">
        <f t="shared" si="8"/>
        <v>0.32913165266106442</v>
      </c>
      <c r="J182" s="4">
        <v>0.7</v>
      </c>
      <c r="K182" s="3">
        <v>15.721585903083721</v>
      </c>
      <c r="L182" s="8">
        <f t="shared" si="6"/>
        <v>529.6</v>
      </c>
      <c r="M182" s="7">
        <f t="shared" si="7"/>
        <v>8326.1518942731382</v>
      </c>
    </row>
    <row r="183" spans="1:13" x14ac:dyDescent="0.3">
      <c r="A183" s="10">
        <v>46174</v>
      </c>
      <c r="B183" t="s">
        <v>23</v>
      </c>
      <c r="C183" t="s">
        <v>299</v>
      </c>
      <c r="D183" s="1">
        <v>0</v>
      </c>
      <c r="E183" s="2">
        <v>27190532000195</v>
      </c>
      <c r="F183" t="s">
        <v>300</v>
      </c>
      <c r="G183" s="2">
        <v>3283</v>
      </c>
      <c r="H183" s="2">
        <v>1309</v>
      </c>
      <c r="I183" s="5">
        <f t="shared" si="8"/>
        <v>0.39872068230277186</v>
      </c>
      <c r="J183" s="4">
        <v>0.7</v>
      </c>
      <c r="K183" s="3">
        <v>15.269933481152917</v>
      </c>
      <c r="L183" s="8">
        <f t="shared" si="6"/>
        <v>989.09999999999991</v>
      </c>
      <c r="M183" s="7">
        <f t="shared" si="7"/>
        <v>15103.491206208348</v>
      </c>
    </row>
    <row r="184" spans="1:13" x14ac:dyDescent="0.3">
      <c r="A184" s="10">
        <v>46174</v>
      </c>
      <c r="B184" t="s">
        <v>18</v>
      </c>
      <c r="C184" t="s">
        <v>301</v>
      </c>
      <c r="D184" s="1">
        <v>0</v>
      </c>
      <c r="E184" s="2">
        <v>13647401000180</v>
      </c>
      <c r="F184" t="s">
        <v>302</v>
      </c>
      <c r="G184" s="2">
        <v>2033</v>
      </c>
      <c r="H184" s="2">
        <v>871</v>
      </c>
      <c r="I184" s="5">
        <f t="shared" si="8"/>
        <v>0.42843089030988685</v>
      </c>
      <c r="J184" s="4">
        <v>0.7</v>
      </c>
      <c r="K184" s="3">
        <v>15.697215189873379</v>
      </c>
      <c r="L184" s="8">
        <f t="shared" si="6"/>
        <v>552.09999999999991</v>
      </c>
      <c r="M184" s="7">
        <f t="shared" si="7"/>
        <v>8666.4325063290908</v>
      </c>
    </row>
    <row r="185" spans="1:13" x14ac:dyDescent="0.3">
      <c r="A185" s="10">
        <v>46174</v>
      </c>
      <c r="B185" t="s">
        <v>94</v>
      </c>
      <c r="C185" t="s">
        <v>95</v>
      </c>
      <c r="D185" s="1">
        <v>0</v>
      </c>
      <c r="E185" s="2">
        <v>49783272000102</v>
      </c>
      <c r="F185" t="s">
        <v>303</v>
      </c>
      <c r="G185" s="2">
        <v>2005</v>
      </c>
      <c r="H185" s="2">
        <v>1782</v>
      </c>
      <c r="I185" s="5">
        <f t="shared" si="8"/>
        <v>0.88877805486284289</v>
      </c>
      <c r="J185" s="4">
        <v>0.7</v>
      </c>
      <c r="K185" s="3">
        <v>12.162545676004697</v>
      </c>
      <c r="L185" s="8">
        <f t="shared" si="6"/>
        <v>-378.50000000000023</v>
      </c>
      <c r="M185" s="7">
        <f t="shared" si="7"/>
        <v>-4603.5235383677809</v>
      </c>
    </row>
    <row r="186" spans="1:13" x14ac:dyDescent="0.3">
      <c r="A186" s="10">
        <v>46174</v>
      </c>
      <c r="B186" t="s">
        <v>32</v>
      </c>
      <c r="C186" t="s">
        <v>126</v>
      </c>
      <c r="D186" s="1">
        <v>0</v>
      </c>
      <c r="E186" s="2">
        <v>52247102000100</v>
      </c>
      <c r="F186" t="s">
        <v>304</v>
      </c>
      <c r="G186" s="2">
        <v>1062</v>
      </c>
      <c r="H186" s="2">
        <v>492</v>
      </c>
      <c r="I186" s="5">
        <f t="shared" si="8"/>
        <v>0.4632768361581921</v>
      </c>
      <c r="J186" s="4">
        <v>0.7</v>
      </c>
      <c r="K186" s="3">
        <v>14.40280898876409</v>
      </c>
      <c r="L186" s="8">
        <f t="shared" si="6"/>
        <v>251.39999999999998</v>
      </c>
      <c r="M186" s="7">
        <f t="shared" si="7"/>
        <v>3620.8661797752916</v>
      </c>
    </row>
    <row r="187" spans="1:13" x14ac:dyDescent="0.3">
      <c r="A187" s="10">
        <v>46174</v>
      </c>
      <c r="B187" t="s">
        <v>28</v>
      </c>
      <c r="C187" t="s">
        <v>244</v>
      </c>
      <c r="D187" s="1">
        <v>0</v>
      </c>
      <c r="E187" s="2">
        <v>58023412000127</v>
      </c>
      <c r="F187" t="s">
        <v>305</v>
      </c>
      <c r="G187" s="2">
        <v>1374</v>
      </c>
      <c r="H187" s="2">
        <v>1205</v>
      </c>
      <c r="I187" s="5">
        <f t="shared" si="8"/>
        <v>0.87700145560407572</v>
      </c>
      <c r="J187" s="4">
        <v>0.7</v>
      </c>
      <c r="K187" s="3">
        <v>14.057575757575783</v>
      </c>
      <c r="L187" s="8">
        <f t="shared" si="6"/>
        <v>-243.20000000000005</v>
      </c>
      <c r="M187" s="7">
        <f t="shared" si="7"/>
        <v>-3418.8024242424312</v>
      </c>
    </row>
    <row r="188" spans="1:13" x14ac:dyDescent="0.3">
      <c r="A188" s="10">
        <v>46174</v>
      </c>
      <c r="B188" t="s">
        <v>78</v>
      </c>
      <c r="C188" t="s">
        <v>197</v>
      </c>
      <c r="D188" s="1">
        <v>0</v>
      </c>
      <c r="E188" s="2">
        <v>20182750000139</v>
      </c>
      <c r="F188" t="s">
        <v>306</v>
      </c>
      <c r="G188" s="2">
        <v>6376</v>
      </c>
      <c r="H188" s="2">
        <v>5438</v>
      </c>
      <c r="I188" s="5">
        <f t="shared" si="8"/>
        <v>0.85288582183186956</v>
      </c>
      <c r="J188" s="4">
        <v>0.7</v>
      </c>
      <c r="K188" s="3">
        <v>11.600874463519306</v>
      </c>
      <c r="L188" s="8">
        <f t="shared" si="6"/>
        <v>-974.80000000000018</v>
      </c>
      <c r="M188" s="7">
        <f t="shared" si="7"/>
        <v>-11308.532427038621</v>
      </c>
    </row>
    <row r="189" spans="1:13" x14ac:dyDescent="0.3">
      <c r="A189" s="10">
        <v>46174</v>
      </c>
      <c r="B189" t="s">
        <v>18</v>
      </c>
      <c r="C189" t="s">
        <v>209</v>
      </c>
      <c r="D189" s="1">
        <v>0</v>
      </c>
      <c r="E189" s="2">
        <v>33154840000320</v>
      </c>
      <c r="F189" t="s">
        <v>307</v>
      </c>
      <c r="G189" s="2">
        <v>5539</v>
      </c>
      <c r="H189" s="2">
        <v>3979</v>
      </c>
      <c r="I189" s="5">
        <f t="shared" si="8"/>
        <v>0.71836071493049292</v>
      </c>
      <c r="J189" s="4">
        <v>0.7</v>
      </c>
      <c r="K189" s="3">
        <v>8.2208026208027452</v>
      </c>
      <c r="L189" s="8">
        <f t="shared" si="6"/>
        <v>-101.70000000000073</v>
      </c>
      <c r="M189" s="7">
        <f t="shared" si="7"/>
        <v>-836.05562653564516</v>
      </c>
    </row>
    <row r="190" spans="1:13" x14ac:dyDescent="0.3">
      <c r="A190" s="10">
        <v>46174</v>
      </c>
      <c r="B190" t="s">
        <v>308</v>
      </c>
      <c r="C190" t="s">
        <v>309</v>
      </c>
      <c r="D190" s="1">
        <v>0</v>
      </c>
      <c r="E190" s="2">
        <v>51806189000145</v>
      </c>
      <c r="F190" t="s">
        <v>310</v>
      </c>
      <c r="G190" s="2">
        <v>1572</v>
      </c>
      <c r="H190" s="2">
        <v>621</v>
      </c>
      <c r="I190" s="5">
        <f t="shared" si="8"/>
        <v>0.39503816793893132</v>
      </c>
      <c r="J190" s="4">
        <v>0.7</v>
      </c>
      <c r="K190" s="3">
        <v>13.541745283018846</v>
      </c>
      <c r="L190" s="8">
        <f t="shared" si="6"/>
        <v>479.39999999999986</v>
      </c>
      <c r="M190" s="7">
        <f t="shared" si="7"/>
        <v>6491.9126886792328</v>
      </c>
    </row>
    <row r="191" spans="1:13" x14ac:dyDescent="0.3">
      <c r="A191" s="10">
        <v>46174</v>
      </c>
      <c r="B191" t="s">
        <v>308</v>
      </c>
      <c r="C191" t="s">
        <v>311</v>
      </c>
      <c r="D191" s="1">
        <v>0</v>
      </c>
      <c r="E191" s="2">
        <v>27429032000163</v>
      </c>
      <c r="F191" t="s">
        <v>312</v>
      </c>
      <c r="G191" s="2">
        <v>2071</v>
      </c>
      <c r="H191" s="2">
        <v>538</v>
      </c>
      <c r="I191" s="5">
        <f t="shared" si="8"/>
        <v>0.25977788507967164</v>
      </c>
      <c r="J191" s="4">
        <v>0.7</v>
      </c>
      <c r="K191" s="3">
        <v>14.592101105845126</v>
      </c>
      <c r="L191" s="8">
        <f t="shared" si="6"/>
        <v>911.7</v>
      </c>
      <c r="M191" s="7">
        <f t="shared" si="7"/>
        <v>13303.618578199003</v>
      </c>
    </row>
    <row r="192" spans="1:13" x14ac:dyDescent="0.3">
      <c r="A192" s="10">
        <v>46174</v>
      </c>
      <c r="B192" t="s">
        <v>308</v>
      </c>
      <c r="C192" t="s">
        <v>313</v>
      </c>
      <c r="D192" s="1">
        <v>0</v>
      </c>
      <c r="E192" s="2">
        <v>25112338000166</v>
      </c>
      <c r="F192" t="s">
        <v>313</v>
      </c>
      <c r="G192" s="2">
        <v>1872</v>
      </c>
      <c r="H192" s="2">
        <v>703</v>
      </c>
      <c r="I192" s="5">
        <f t="shared" si="8"/>
        <v>0.37553418803418803</v>
      </c>
      <c r="J192" s="4">
        <v>0.7</v>
      </c>
      <c r="K192" s="3">
        <v>13.611397058823487</v>
      </c>
      <c r="L192" s="8">
        <f t="shared" si="6"/>
        <v>607.39999999999986</v>
      </c>
      <c r="M192" s="7">
        <f t="shared" si="7"/>
        <v>8267.5625735293834</v>
      </c>
    </row>
    <row r="193" spans="1:13" x14ac:dyDescent="0.3">
      <c r="A193" s="10">
        <v>46174</v>
      </c>
      <c r="B193" t="s">
        <v>8</v>
      </c>
      <c r="C193" t="s">
        <v>116</v>
      </c>
      <c r="D193" s="1">
        <v>0</v>
      </c>
      <c r="E193" s="2">
        <v>52912647000606</v>
      </c>
      <c r="F193" t="s">
        <v>314</v>
      </c>
      <c r="G193" s="2">
        <v>3223</v>
      </c>
      <c r="H193" s="2">
        <v>2152</v>
      </c>
      <c r="I193" s="5">
        <f t="shared" si="8"/>
        <v>0.667700899782811</v>
      </c>
      <c r="J193" s="4">
        <v>0.7</v>
      </c>
      <c r="K193" s="3">
        <v>14.367280769230813</v>
      </c>
      <c r="L193" s="8">
        <f t="shared" si="6"/>
        <v>104.09999999999991</v>
      </c>
      <c r="M193" s="7">
        <f t="shared" si="7"/>
        <v>1495.6339280769264</v>
      </c>
    </row>
    <row r="194" spans="1:13" x14ac:dyDescent="0.3">
      <c r="A194" s="10">
        <v>46174</v>
      </c>
      <c r="B194" t="s">
        <v>8</v>
      </c>
      <c r="C194" t="s">
        <v>257</v>
      </c>
      <c r="D194" s="1">
        <v>0</v>
      </c>
      <c r="E194" s="2">
        <v>12342437000192</v>
      </c>
      <c r="F194" t="s">
        <v>315</v>
      </c>
      <c r="G194" s="2">
        <v>871</v>
      </c>
      <c r="H194" s="2">
        <v>562</v>
      </c>
      <c r="I194" s="5">
        <f t="shared" si="8"/>
        <v>0.64523536165327211</v>
      </c>
      <c r="J194" s="4">
        <v>0.7</v>
      </c>
      <c r="K194" s="3">
        <v>10.988976377952694</v>
      </c>
      <c r="L194" s="8">
        <f t="shared" ref="L194:L195" si="9">H194*J194/I194-H194</f>
        <v>47.699999999999932</v>
      </c>
      <c r="M194" s="7">
        <f t="shared" ref="M194:M195" si="10">L194*K194</f>
        <v>524.17417322834274</v>
      </c>
    </row>
    <row r="195" spans="1:13" x14ac:dyDescent="0.3">
      <c r="A195" s="10">
        <v>46174</v>
      </c>
      <c r="B195" t="s">
        <v>94</v>
      </c>
      <c r="C195" t="s">
        <v>95</v>
      </c>
      <c r="D195" s="1">
        <v>0</v>
      </c>
      <c r="E195" s="2">
        <v>55056005001795</v>
      </c>
      <c r="F195" t="s">
        <v>98</v>
      </c>
      <c r="G195" s="2">
        <v>1371</v>
      </c>
      <c r="H195" s="2">
        <v>592</v>
      </c>
      <c r="I195" s="5">
        <f t="shared" ref="I195" si="11">H195/G195</f>
        <v>0.43180160466812545</v>
      </c>
      <c r="J195" s="4">
        <v>0.7</v>
      </c>
      <c r="K195" s="3">
        <v>14.866492146596906</v>
      </c>
      <c r="L195" s="8">
        <f t="shared" si="9"/>
        <v>367.69999999999993</v>
      </c>
      <c r="M195" s="7">
        <f t="shared" si="10"/>
        <v>5466.4091623036811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2026-07-13T19:25:09Z</dcterms:created>
  <dcterms:modified xsi:type="dcterms:W3CDTF">2026-07-22T23:59:13Z</dcterms:modified>
</cp:coreProperties>
</file>