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54567A22-F89B-4C1B-8E50-5159BC972725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Spoleto" sheetId="1" r:id="rId1"/>
  </sheets>
  <definedNames>
    <definedName name="_xlnm._FilterDatabase" localSheetId="0" hidden="1">Spoleto!$A$1:$N$401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7" i="1"/>
  <c r="M8" i="1"/>
  <c r="M9" i="1"/>
  <c r="M13" i="1"/>
  <c r="M14" i="1"/>
  <c r="M15" i="1"/>
  <c r="M19" i="1"/>
  <c r="M20" i="1"/>
  <c r="M21" i="1"/>
  <c r="M25" i="1"/>
  <c r="M26" i="1"/>
  <c r="M27" i="1"/>
  <c r="M31" i="1"/>
  <c r="M32" i="1"/>
  <c r="M33" i="1"/>
  <c r="M37" i="1"/>
  <c r="M38" i="1"/>
  <c r="M39" i="1"/>
  <c r="M43" i="1"/>
  <c r="M44" i="1"/>
  <c r="M45" i="1"/>
  <c r="M49" i="1"/>
  <c r="M50" i="1"/>
  <c r="M51" i="1"/>
  <c r="M55" i="1"/>
  <c r="M56" i="1"/>
  <c r="M57" i="1"/>
  <c r="M61" i="1"/>
  <c r="M62" i="1"/>
  <c r="M63" i="1"/>
  <c r="M67" i="1"/>
  <c r="M68" i="1"/>
  <c r="M69" i="1"/>
  <c r="M73" i="1"/>
  <c r="M74" i="1"/>
  <c r="M75" i="1"/>
  <c r="M79" i="1"/>
  <c r="M80" i="1"/>
  <c r="M81" i="1"/>
  <c r="M85" i="1"/>
  <c r="M86" i="1"/>
  <c r="M87" i="1"/>
  <c r="M91" i="1"/>
  <c r="M92" i="1"/>
  <c r="M93" i="1"/>
  <c r="M97" i="1"/>
  <c r="M98" i="1"/>
  <c r="M99" i="1"/>
  <c r="M103" i="1"/>
  <c r="M104" i="1"/>
  <c r="M105" i="1"/>
  <c r="M109" i="1"/>
  <c r="M110" i="1"/>
  <c r="M111" i="1"/>
  <c r="M115" i="1"/>
  <c r="M116" i="1"/>
  <c r="M117" i="1"/>
  <c r="M121" i="1"/>
  <c r="M122" i="1"/>
  <c r="M123" i="1"/>
  <c r="M127" i="1"/>
  <c r="M128" i="1"/>
  <c r="M129" i="1"/>
  <c r="M133" i="1"/>
  <c r="M134" i="1"/>
  <c r="M135" i="1"/>
  <c r="M139" i="1"/>
  <c r="M140" i="1"/>
  <c r="M141" i="1"/>
  <c r="M145" i="1"/>
  <c r="M146" i="1"/>
  <c r="M147" i="1"/>
  <c r="M151" i="1"/>
  <c r="M152" i="1"/>
  <c r="M153" i="1"/>
  <c r="M157" i="1"/>
  <c r="M158" i="1"/>
  <c r="M159" i="1"/>
  <c r="M163" i="1"/>
  <c r="M164" i="1"/>
  <c r="M165" i="1"/>
  <c r="M169" i="1"/>
  <c r="M170" i="1"/>
  <c r="M171" i="1"/>
  <c r="M175" i="1"/>
  <c r="M176" i="1"/>
  <c r="M177" i="1"/>
  <c r="M181" i="1"/>
  <c r="M182" i="1"/>
  <c r="M183" i="1"/>
  <c r="M187" i="1"/>
  <c r="M188" i="1"/>
  <c r="M189" i="1"/>
  <c r="M193" i="1"/>
  <c r="M194" i="1"/>
  <c r="M195" i="1"/>
  <c r="M199" i="1"/>
  <c r="M200" i="1"/>
  <c r="M201" i="1"/>
  <c r="M205" i="1"/>
  <c r="M206" i="1"/>
  <c r="M207" i="1"/>
  <c r="M211" i="1"/>
  <c r="M212" i="1"/>
  <c r="M213" i="1"/>
  <c r="M217" i="1"/>
  <c r="M218" i="1"/>
  <c r="M219" i="1"/>
  <c r="M223" i="1"/>
  <c r="M224" i="1"/>
  <c r="M225" i="1"/>
  <c r="M229" i="1"/>
  <c r="M230" i="1"/>
  <c r="M231" i="1"/>
  <c r="M235" i="1"/>
  <c r="M236" i="1"/>
  <c r="M237" i="1"/>
  <c r="M241" i="1"/>
  <c r="M242" i="1"/>
  <c r="M243" i="1"/>
  <c r="M247" i="1"/>
  <c r="M248" i="1"/>
  <c r="M249" i="1"/>
  <c r="M253" i="1"/>
  <c r="M254" i="1"/>
  <c r="M255" i="1"/>
  <c r="M259" i="1"/>
  <c r="M260" i="1"/>
  <c r="M261" i="1"/>
  <c r="M265" i="1"/>
  <c r="M266" i="1"/>
  <c r="M267" i="1"/>
  <c r="M271" i="1"/>
  <c r="M272" i="1"/>
  <c r="M273" i="1"/>
  <c r="M277" i="1"/>
  <c r="M278" i="1"/>
  <c r="M279" i="1"/>
  <c r="M283" i="1"/>
  <c r="M284" i="1"/>
  <c r="M285" i="1"/>
  <c r="M289" i="1"/>
  <c r="M290" i="1"/>
  <c r="M291" i="1"/>
  <c r="M295" i="1"/>
  <c r="M296" i="1"/>
  <c r="M297" i="1"/>
  <c r="M301" i="1"/>
  <c r="M302" i="1"/>
  <c r="M303" i="1"/>
  <c r="M307" i="1"/>
  <c r="M308" i="1"/>
  <c r="M309" i="1"/>
  <c r="M313" i="1"/>
  <c r="M314" i="1"/>
  <c r="M315" i="1"/>
  <c r="M319" i="1"/>
  <c r="M320" i="1"/>
  <c r="M321" i="1"/>
  <c r="M325" i="1"/>
  <c r="M326" i="1"/>
  <c r="M327" i="1"/>
  <c r="M331" i="1"/>
  <c r="M332" i="1"/>
  <c r="M333" i="1"/>
  <c r="M337" i="1"/>
  <c r="M338" i="1"/>
  <c r="M339" i="1"/>
  <c r="M343" i="1"/>
  <c r="M344" i="1"/>
  <c r="M345" i="1"/>
  <c r="M349" i="1"/>
  <c r="M350" i="1"/>
  <c r="M351" i="1"/>
  <c r="M355" i="1"/>
  <c r="M356" i="1"/>
  <c r="M357" i="1"/>
  <c r="M361" i="1"/>
  <c r="M362" i="1"/>
  <c r="M363" i="1"/>
  <c r="M367" i="1"/>
  <c r="M368" i="1"/>
  <c r="M369" i="1"/>
  <c r="M373" i="1"/>
  <c r="M374" i="1"/>
  <c r="M375" i="1"/>
  <c r="M379" i="1"/>
  <c r="M380" i="1"/>
  <c r="M381" i="1"/>
  <c r="M385" i="1"/>
  <c r="M386" i="1"/>
  <c r="M387" i="1"/>
  <c r="M391" i="1"/>
  <c r="M392" i="1"/>
  <c r="M393" i="1"/>
  <c r="M397" i="1"/>
  <c r="M398" i="1"/>
  <c r="M399" i="1"/>
  <c r="L3" i="1"/>
  <c r="L4" i="1"/>
  <c r="M4" i="1" s="1"/>
  <c r="L5" i="1"/>
  <c r="M5" i="1" s="1"/>
  <c r="L6" i="1"/>
  <c r="M6" i="1" s="1"/>
  <c r="L7" i="1"/>
  <c r="L8" i="1"/>
  <c r="L9" i="1"/>
  <c r="L10" i="1"/>
  <c r="M10" i="1" s="1"/>
  <c r="L11" i="1"/>
  <c r="M11" i="1" s="1"/>
  <c r="L12" i="1"/>
  <c r="M12" i="1" s="1"/>
  <c r="L13" i="1"/>
  <c r="L14" i="1"/>
  <c r="L15" i="1"/>
  <c r="L16" i="1"/>
  <c r="M16" i="1" s="1"/>
  <c r="L17" i="1"/>
  <c r="M17" i="1" s="1"/>
  <c r="L18" i="1"/>
  <c r="M18" i="1" s="1"/>
  <c r="L19" i="1"/>
  <c r="L20" i="1"/>
  <c r="L21" i="1"/>
  <c r="L22" i="1"/>
  <c r="M22" i="1" s="1"/>
  <c r="L23" i="1"/>
  <c r="M23" i="1" s="1"/>
  <c r="L24" i="1"/>
  <c r="M24" i="1" s="1"/>
  <c r="L25" i="1"/>
  <c r="L26" i="1"/>
  <c r="L27" i="1"/>
  <c r="L28" i="1"/>
  <c r="M28" i="1" s="1"/>
  <c r="L29" i="1"/>
  <c r="M29" i="1" s="1"/>
  <c r="L30" i="1"/>
  <c r="M30" i="1" s="1"/>
  <c r="L31" i="1"/>
  <c r="L32" i="1"/>
  <c r="L33" i="1"/>
  <c r="L34" i="1"/>
  <c r="M34" i="1" s="1"/>
  <c r="L35" i="1"/>
  <c r="M35" i="1" s="1"/>
  <c r="L36" i="1"/>
  <c r="M36" i="1" s="1"/>
  <c r="L37" i="1"/>
  <c r="L38" i="1"/>
  <c r="L39" i="1"/>
  <c r="L40" i="1"/>
  <c r="M40" i="1" s="1"/>
  <c r="L41" i="1"/>
  <c r="M41" i="1" s="1"/>
  <c r="L42" i="1"/>
  <c r="M42" i="1" s="1"/>
  <c r="L43" i="1"/>
  <c r="L44" i="1"/>
  <c r="L45" i="1"/>
  <c r="L46" i="1"/>
  <c r="M46" i="1" s="1"/>
  <c r="L47" i="1"/>
  <c r="M47" i="1" s="1"/>
  <c r="L48" i="1"/>
  <c r="M48" i="1" s="1"/>
  <c r="L49" i="1"/>
  <c r="L50" i="1"/>
  <c r="L51" i="1"/>
  <c r="L52" i="1"/>
  <c r="M52" i="1" s="1"/>
  <c r="L53" i="1"/>
  <c r="M53" i="1" s="1"/>
  <c r="L54" i="1"/>
  <c r="M54" i="1" s="1"/>
  <c r="L55" i="1"/>
  <c r="L56" i="1"/>
  <c r="L57" i="1"/>
  <c r="L58" i="1"/>
  <c r="M58" i="1" s="1"/>
  <c r="L59" i="1"/>
  <c r="M59" i="1" s="1"/>
  <c r="L60" i="1"/>
  <c r="M60" i="1" s="1"/>
  <c r="L61" i="1"/>
  <c r="L62" i="1"/>
  <c r="L63" i="1"/>
  <c r="L64" i="1"/>
  <c r="M64" i="1" s="1"/>
  <c r="L65" i="1"/>
  <c r="M65" i="1" s="1"/>
  <c r="L66" i="1"/>
  <c r="M66" i="1" s="1"/>
  <c r="L67" i="1"/>
  <c r="L68" i="1"/>
  <c r="L69" i="1"/>
  <c r="L70" i="1"/>
  <c r="M70" i="1" s="1"/>
  <c r="L71" i="1"/>
  <c r="M71" i="1" s="1"/>
  <c r="L72" i="1"/>
  <c r="M72" i="1" s="1"/>
  <c r="L73" i="1"/>
  <c r="L74" i="1"/>
  <c r="L75" i="1"/>
  <c r="L76" i="1"/>
  <c r="M76" i="1" s="1"/>
  <c r="L77" i="1"/>
  <c r="M77" i="1" s="1"/>
  <c r="L78" i="1"/>
  <c r="M78" i="1" s="1"/>
  <c r="L79" i="1"/>
  <c r="L80" i="1"/>
  <c r="L81" i="1"/>
  <c r="L82" i="1"/>
  <c r="M82" i="1" s="1"/>
  <c r="L83" i="1"/>
  <c r="M83" i="1" s="1"/>
  <c r="L84" i="1"/>
  <c r="M84" i="1" s="1"/>
  <c r="L85" i="1"/>
  <c r="L86" i="1"/>
  <c r="L87" i="1"/>
  <c r="L88" i="1"/>
  <c r="M88" i="1" s="1"/>
  <c r="L89" i="1"/>
  <c r="M89" i="1" s="1"/>
  <c r="L90" i="1"/>
  <c r="M90" i="1" s="1"/>
  <c r="L91" i="1"/>
  <c r="L92" i="1"/>
  <c r="L93" i="1"/>
  <c r="L94" i="1"/>
  <c r="M94" i="1" s="1"/>
  <c r="L95" i="1"/>
  <c r="M95" i="1" s="1"/>
  <c r="L96" i="1"/>
  <c r="M96" i="1" s="1"/>
  <c r="L97" i="1"/>
  <c r="L98" i="1"/>
  <c r="L99" i="1"/>
  <c r="L100" i="1"/>
  <c r="M100" i="1" s="1"/>
  <c r="L101" i="1"/>
  <c r="M101" i="1" s="1"/>
  <c r="L102" i="1"/>
  <c r="M102" i="1" s="1"/>
  <c r="L103" i="1"/>
  <c r="L104" i="1"/>
  <c r="L105" i="1"/>
  <c r="L106" i="1"/>
  <c r="M106" i="1" s="1"/>
  <c r="L107" i="1"/>
  <c r="M107" i="1" s="1"/>
  <c r="L108" i="1"/>
  <c r="M108" i="1" s="1"/>
  <c r="L109" i="1"/>
  <c r="L110" i="1"/>
  <c r="L111" i="1"/>
  <c r="L112" i="1"/>
  <c r="M112" i="1" s="1"/>
  <c r="L113" i="1"/>
  <c r="M113" i="1" s="1"/>
  <c r="L114" i="1"/>
  <c r="M114" i="1" s="1"/>
  <c r="L115" i="1"/>
  <c r="L116" i="1"/>
  <c r="L117" i="1"/>
  <c r="L118" i="1"/>
  <c r="M118" i="1" s="1"/>
  <c r="L119" i="1"/>
  <c r="M119" i="1" s="1"/>
  <c r="L120" i="1"/>
  <c r="M120" i="1" s="1"/>
  <c r="L121" i="1"/>
  <c r="L122" i="1"/>
  <c r="L123" i="1"/>
  <c r="L124" i="1"/>
  <c r="M124" i="1" s="1"/>
  <c r="L125" i="1"/>
  <c r="M125" i="1" s="1"/>
  <c r="L126" i="1"/>
  <c r="M126" i="1" s="1"/>
  <c r="L127" i="1"/>
  <c r="L128" i="1"/>
  <c r="L129" i="1"/>
  <c r="L130" i="1"/>
  <c r="M130" i="1" s="1"/>
  <c r="L131" i="1"/>
  <c r="M131" i="1" s="1"/>
  <c r="L132" i="1"/>
  <c r="M132" i="1" s="1"/>
  <c r="L133" i="1"/>
  <c r="L134" i="1"/>
  <c r="L135" i="1"/>
  <c r="L136" i="1"/>
  <c r="M136" i="1" s="1"/>
  <c r="L137" i="1"/>
  <c r="M137" i="1" s="1"/>
  <c r="L138" i="1"/>
  <c r="M138" i="1" s="1"/>
  <c r="L139" i="1"/>
  <c r="L140" i="1"/>
  <c r="L141" i="1"/>
  <c r="L142" i="1"/>
  <c r="M142" i="1" s="1"/>
  <c r="L143" i="1"/>
  <c r="M143" i="1" s="1"/>
  <c r="L144" i="1"/>
  <c r="M144" i="1" s="1"/>
  <c r="L145" i="1"/>
  <c r="L146" i="1"/>
  <c r="L147" i="1"/>
  <c r="L148" i="1"/>
  <c r="M148" i="1" s="1"/>
  <c r="L149" i="1"/>
  <c r="M149" i="1" s="1"/>
  <c r="L150" i="1"/>
  <c r="M150" i="1" s="1"/>
  <c r="L151" i="1"/>
  <c r="L152" i="1"/>
  <c r="L153" i="1"/>
  <c r="L154" i="1"/>
  <c r="M154" i="1" s="1"/>
  <c r="L155" i="1"/>
  <c r="M155" i="1" s="1"/>
  <c r="L156" i="1"/>
  <c r="M156" i="1" s="1"/>
  <c r="L157" i="1"/>
  <c r="L158" i="1"/>
  <c r="L159" i="1"/>
  <c r="L160" i="1"/>
  <c r="M160" i="1" s="1"/>
  <c r="L161" i="1"/>
  <c r="M161" i="1" s="1"/>
  <c r="L162" i="1"/>
  <c r="M162" i="1" s="1"/>
  <c r="L163" i="1"/>
  <c r="L164" i="1"/>
  <c r="L165" i="1"/>
  <c r="L166" i="1"/>
  <c r="M166" i="1" s="1"/>
  <c r="L167" i="1"/>
  <c r="M167" i="1" s="1"/>
  <c r="L168" i="1"/>
  <c r="M168" i="1" s="1"/>
  <c r="L169" i="1"/>
  <c r="L170" i="1"/>
  <c r="L171" i="1"/>
  <c r="L172" i="1"/>
  <c r="M172" i="1" s="1"/>
  <c r="L173" i="1"/>
  <c r="M173" i="1" s="1"/>
  <c r="L174" i="1"/>
  <c r="M174" i="1" s="1"/>
  <c r="L175" i="1"/>
  <c r="L176" i="1"/>
  <c r="L177" i="1"/>
  <c r="L178" i="1"/>
  <c r="M178" i="1" s="1"/>
  <c r="L179" i="1"/>
  <c r="M179" i="1" s="1"/>
  <c r="L180" i="1"/>
  <c r="M180" i="1" s="1"/>
  <c r="L181" i="1"/>
  <c r="L182" i="1"/>
  <c r="L183" i="1"/>
  <c r="L184" i="1"/>
  <c r="M184" i="1" s="1"/>
  <c r="L185" i="1"/>
  <c r="M185" i="1" s="1"/>
  <c r="L186" i="1"/>
  <c r="M186" i="1" s="1"/>
  <c r="L187" i="1"/>
  <c r="L188" i="1"/>
  <c r="L189" i="1"/>
  <c r="L190" i="1"/>
  <c r="M190" i="1" s="1"/>
  <c r="L191" i="1"/>
  <c r="M191" i="1" s="1"/>
  <c r="L192" i="1"/>
  <c r="M192" i="1" s="1"/>
  <c r="L193" i="1"/>
  <c r="L194" i="1"/>
  <c r="L195" i="1"/>
  <c r="L196" i="1"/>
  <c r="M196" i="1" s="1"/>
  <c r="L197" i="1"/>
  <c r="M197" i="1" s="1"/>
  <c r="L198" i="1"/>
  <c r="M198" i="1" s="1"/>
  <c r="L199" i="1"/>
  <c r="L200" i="1"/>
  <c r="L201" i="1"/>
  <c r="L202" i="1"/>
  <c r="M202" i="1" s="1"/>
  <c r="L203" i="1"/>
  <c r="M203" i="1" s="1"/>
  <c r="L204" i="1"/>
  <c r="M204" i="1" s="1"/>
  <c r="L205" i="1"/>
  <c r="L206" i="1"/>
  <c r="L207" i="1"/>
  <c r="L208" i="1"/>
  <c r="M208" i="1" s="1"/>
  <c r="L209" i="1"/>
  <c r="M209" i="1" s="1"/>
  <c r="L210" i="1"/>
  <c r="M210" i="1" s="1"/>
  <c r="L211" i="1"/>
  <c r="L212" i="1"/>
  <c r="L213" i="1"/>
  <c r="L214" i="1"/>
  <c r="M214" i="1" s="1"/>
  <c r="L215" i="1"/>
  <c r="M215" i="1" s="1"/>
  <c r="L216" i="1"/>
  <c r="M216" i="1" s="1"/>
  <c r="L217" i="1"/>
  <c r="L218" i="1"/>
  <c r="L219" i="1"/>
  <c r="L220" i="1"/>
  <c r="M220" i="1" s="1"/>
  <c r="L221" i="1"/>
  <c r="M221" i="1" s="1"/>
  <c r="L222" i="1"/>
  <c r="M222" i="1" s="1"/>
  <c r="L223" i="1"/>
  <c r="L224" i="1"/>
  <c r="L225" i="1"/>
  <c r="L226" i="1"/>
  <c r="M226" i="1" s="1"/>
  <c r="L227" i="1"/>
  <c r="M227" i="1" s="1"/>
  <c r="L228" i="1"/>
  <c r="M228" i="1" s="1"/>
  <c r="L229" i="1"/>
  <c r="L230" i="1"/>
  <c r="L231" i="1"/>
  <c r="L232" i="1"/>
  <c r="M232" i="1" s="1"/>
  <c r="L233" i="1"/>
  <c r="M233" i="1" s="1"/>
  <c r="L234" i="1"/>
  <c r="M234" i="1" s="1"/>
  <c r="L235" i="1"/>
  <c r="L236" i="1"/>
  <c r="L237" i="1"/>
  <c r="L238" i="1"/>
  <c r="M238" i="1" s="1"/>
  <c r="L239" i="1"/>
  <c r="M239" i="1" s="1"/>
  <c r="L240" i="1"/>
  <c r="M240" i="1" s="1"/>
  <c r="L241" i="1"/>
  <c r="L242" i="1"/>
  <c r="L243" i="1"/>
  <c r="L244" i="1"/>
  <c r="M244" i="1" s="1"/>
  <c r="L245" i="1"/>
  <c r="M245" i="1" s="1"/>
  <c r="L246" i="1"/>
  <c r="M246" i="1" s="1"/>
  <c r="L247" i="1"/>
  <c r="L248" i="1"/>
  <c r="L249" i="1"/>
  <c r="L250" i="1"/>
  <c r="M250" i="1" s="1"/>
  <c r="L251" i="1"/>
  <c r="M251" i="1" s="1"/>
  <c r="L252" i="1"/>
  <c r="M252" i="1" s="1"/>
  <c r="L253" i="1"/>
  <c r="L254" i="1"/>
  <c r="L255" i="1"/>
  <c r="L256" i="1"/>
  <c r="M256" i="1" s="1"/>
  <c r="L257" i="1"/>
  <c r="M257" i="1" s="1"/>
  <c r="L258" i="1"/>
  <c r="M258" i="1" s="1"/>
  <c r="L259" i="1"/>
  <c r="L260" i="1"/>
  <c r="L261" i="1"/>
  <c r="L262" i="1"/>
  <c r="M262" i="1" s="1"/>
  <c r="L263" i="1"/>
  <c r="M263" i="1" s="1"/>
  <c r="L264" i="1"/>
  <c r="M264" i="1" s="1"/>
  <c r="L265" i="1"/>
  <c r="L266" i="1"/>
  <c r="L267" i="1"/>
  <c r="L268" i="1"/>
  <c r="M268" i="1" s="1"/>
  <c r="L269" i="1"/>
  <c r="M269" i="1" s="1"/>
  <c r="L270" i="1"/>
  <c r="M270" i="1" s="1"/>
  <c r="L271" i="1"/>
  <c r="L272" i="1"/>
  <c r="L273" i="1"/>
  <c r="L274" i="1"/>
  <c r="M274" i="1" s="1"/>
  <c r="L275" i="1"/>
  <c r="M275" i="1" s="1"/>
  <c r="L276" i="1"/>
  <c r="M276" i="1" s="1"/>
  <c r="L277" i="1"/>
  <c r="L278" i="1"/>
  <c r="L279" i="1"/>
  <c r="L280" i="1"/>
  <c r="M280" i="1" s="1"/>
  <c r="L281" i="1"/>
  <c r="M281" i="1" s="1"/>
  <c r="L282" i="1"/>
  <c r="M282" i="1" s="1"/>
  <c r="L283" i="1"/>
  <c r="L284" i="1"/>
  <c r="L285" i="1"/>
  <c r="L286" i="1"/>
  <c r="M286" i="1" s="1"/>
  <c r="L287" i="1"/>
  <c r="M287" i="1" s="1"/>
  <c r="L288" i="1"/>
  <c r="M288" i="1" s="1"/>
  <c r="L289" i="1"/>
  <c r="L290" i="1"/>
  <c r="L291" i="1"/>
  <c r="L292" i="1"/>
  <c r="M292" i="1" s="1"/>
  <c r="L293" i="1"/>
  <c r="M293" i="1" s="1"/>
  <c r="L294" i="1"/>
  <c r="M294" i="1" s="1"/>
  <c r="L295" i="1"/>
  <c r="L296" i="1"/>
  <c r="L297" i="1"/>
  <c r="L298" i="1"/>
  <c r="M298" i="1" s="1"/>
  <c r="L299" i="1"/>
  <c r="M299" i="1" s="1"/>
  <c r="L300" i="1"/>
  <c r="M300" i="1" s="1"/>
  <c r="L301" i="1"/>
  <c r="L302" i="1"/>
  <c r="L303" i="1"/>
  <c r="L304" i="1"/>
  <c r="M304" i="1" s="1"/>
  <c r="L305" i="1"/>
  <c r="M305" i="1" s="1"/>
  <c r="L306" i="1"/>
  <c r="M306" i="1" s="1"/>
  <c r="L307" i="1"/>
  <c r="L308" i="1"/>
  <c r="L309" i="1"/>
  <c r="L310" i="1"/>
  <c r="M310" i="1" s="1"/>
  <c r="L311" i="1"/>
  <c r="M311" i="1" s="1"/>
  <c r="L312" i="1"/>
  <c r="M312" i="1" s="1"/>
  <c r="L313" i="1"/>
  <c r="L314" i="1"/>
  <c r="L315" i="1"/>
  <c r="L316" i="1"/>
  <c r="M316" i="1" s="1"/>
  <c r="L317" i="1"/>
  <c r="M317" i="1" s="1"/>
  <c r="L318" i="1"/>
  <c r="M318" i="1" s="1"/>
  <c r="L319" i="1"/>
  <c r="L320" i="1"/>
  <c r="L321" i="1"/>
  <c r="L322" i="1"/>
  <c r="M322" i="1" s="1"/>
  <c r="L323" i="1"/>
  <c r="M323" i="1" s="1"/>
  <c r="L324" i="1"/>
  <c r="M324" i="1" s="1"/>
  <c r="L325" i="1"/>
  <c r="L326" i="1"/>
  <c r="L327" i="1"/>
  <c r="L328" i="1"/>
  <c r="M328" i="1" s="1"/>
  <c r="L329" i="1"/>
  <c r="M329" i="1" s="1"/>
  <c r="L330" i="1"/>
  <c r="M330" i="1" s="1"/>
  <c r="L331" i="1"/>
  <c r="L332" i="1"/>
  <c r="L333" i="1"/>
  <c r="L334" i="1"/>
  <c r="M334" i="1" s="1"/>
  <c r="L335" i="1"/>
  <c r="M335" i="1" s="1"/>
  <c r="L336" i="1"/>
  <c r="M336" i="1" s="1"/>
  <c r="L337" i="1"/>
  <c r="L338" i="1"/>
  <c r="L339" i="1"/>
  <c r="L340" i="1"/>
  <c r="M340" i="1" s="1"/>
  <c r="L341" i="1"/>
  <c r="M341" i="1" s="1"/>
  <c r="L342" i="1"/>
  <c r="M342" i="1" s="1"/>
  <c r="L343" i="1"/>
  <c r="L344" i="1"/>
  <c r="L345" i="1"/>
  <c r="L346" i="1"/>
  <c r="M346" i="1" s="1"/>
  <c r="L347" i="1"/>
  <c r="M347" i="1" s="1"/>
  <c r="L348" i="1"/>
  <c r="M348" i="1" s="1"/>
  <c r="L349" i="1"/>
  <c r="L350" i="1"/>
  <c r="L351" i="1"/>
  <c r="L352" i="1"/>
  <c r="M352" i="1" s="1"/>
  <c r="L353" i="1"/>
  <c r="M353" i="1" s="1"/>
  <c r="L354" i="1"/>
  <c r="M354" i="1" s="1"/>
  <c r="L355" i="1"/>
  <c r="L356" i="1"/>
  <c r="L357" i="1"/>
  <c r="L358" i="1"/>
  <c r="M358" i="1" s="1"/>
  <c r="L359" i="1"/>
  <c r="M359" i="1" s="1"/>
  <c r="L360" i="1"/>
  <c r="M360" i="1" s="1"/>
  <c r="L361" i="1"/>
  <c r="L362" i="1"/>
  <c r="L363" i="1"/>
  <c r="L364" i="1"/>
  <c r="M364" i="1" s="1"/>
  <c r="L365" i="1"/>
  <c r="M365" i="1" s="1"/>
  <c r="L366" i="1"/>
  <c r="M366" i="1" s="1"/>
  <c r="L367" i="1"/>
  <c r="L368" i="1"/>
  <c r="L369" i="1"/>
  <c r="L370" i="1"/>
  <c r="M370" i="1" s="1"/>
  <c r="L371" i="1"/>
  <c r="M371" i="1" s="1"/>
  <c r="L372" i="1"/>
  <c r="M372" i="1" s="1"/>
  <c r="L373" i="1"/>
  <c r="L374" i="1"/>
  <c r="L375" i="1"/>
  <c r="L376" i="1"/>
  <c r="M376" i="1" s="1"/>
  <c r="L377" i="1"/>
  <c r="M377" i="1" s="1"/>
  <c r="L378" i="1"/>
  <c r="M378" i="1" s="1"/>
  <c r="L379" i="1"/>
  <c r="L380" i="1"/>
  <c r="L381" i="1"/>
  <c r="L382" i="1"/>
  <c r="M382" i="1" s="1"/>
  <c r="L383" i="1"/>
  <c r="M383" i="1" s="1"/>
  <c r="L384" i="1"/>
  <c r="M384" i="1" s="1"/>
  <c r="L385" i="1"/>
  <c r="L386" i="1"/>
  <c r="L387" i="1"/>
  <c r="L388" i="1"/>
  <c r="M388" i="1" s="1"/>
  <c r="L389" i="1"/>
  <c r="M389" i="1" s="1"/>
  <c r="L390" i="1"/>
  <c r="M390" i="1" s="1"/>
  <c r="L391" i="1"/>
  <c r="L392" i="1"/>
  <c r="L393" i="1"/>
  <c r="L394" i="1"/>
  <c r="M394" i="1" s="1"/>
  <c r="L395" i="1"/>
  <c r="M395" i="1" s="1"/>
  <c r="L396" i="1"/>
  <c r="M396" i="1" s="1"/>
  <c r="L397" i="1"/>
  <c r="L398" i="1"/>
  <c r="L399" i="1"/>
  <c r="L400" i="1"/>
  <c r="M400" i="1" s="1"/>
  <c r="L401" i="1"/>
  <c r="M401" i="1" s="1"/>
  <c r="M2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2" i="1"/>
</calcChain>
</file>

<file path=xl/sharedStrings.xml><?xml version="1.0" encoding="utf-8"?>
<sst xmlns="http://schemas.openxmlformats.org/spreadsheetml/2006/main" count="2414" uniqueCount="1015">
  <si>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</si>
  <si>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</si>
  <si>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</si>
  <si>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</si>
  <si>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</si>
  <si>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</si>
  <si>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</si>
  <si>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</si>
  <si>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</si>
  <si>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</si>
  <si>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Campinas</t>
  </si>
  <si>
    <t>58314585000102</t>
  </si>
  <si>
    <t>SPOLETO PARQUE PRADO SP</t>
  </si>
  <si>
    <t>PB</t>
  </si>
  <si>
    <t>João Pessoa</t>
  </si>
  <si>
    <t>01115099000130</t>
  </si>
  <si>
    <t>SPOLETO EPITACIO MM</t>
  </si>
  <si>
    <t>RJ</t>
  </si>
  <si>
    <t>Rio de Janeiro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</si>
  <si>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</si>
  <si>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</si>
  <si>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</si>
  <si>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</si>
  <si>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</si>
  <si>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</si>
  <si>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</si>
  <si>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</si>
  <si>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</si>
  <si>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</si>
  <si>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</si>
  <si>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</si>
  <si>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</si>
  <si>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</si>
  <si>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Niterói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</si>
  <si>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</si>
  <si>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</si>
  <si>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</si>
  <si>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</si>
  <si>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</si>
  <si>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</si>
  <si>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</si>
  <si>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</si>
  <si>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</si>
  <si>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</si>
  <si>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</si>
  <si>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</si>
  <si>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</si>
  <si>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</si>
  <si>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BA</t>
  </si>
  <si>
    <t>Salvador</t>
  </si>
  <si>
    <t>08280572000183</t>
  </si>
  <si>
    <t>SPOLETO SHOPPING DA BAHIA</t>
  </si>
  <si>
    <t>Guarujá</t>
  </si>
  <si>
    <t>62444460000166</t>
  </si>
  <si>
    <t>SPOLETO – GUARUJÁ</t>
  </si>
  <si>
    <t>Americana</t>
  </si>
  <si>
    <t>Guarulhos</t>
  </si>
  <si>
    <t>12373938000136</t>
  </si>
  <si>
    <t>SPOLETO SHOPPING GUARULHOS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</si>
  <si>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</si>
  <si>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</si>
  <si>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</si>
  <si>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</si>
  <si>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</si>
  <si>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</si>
  <si>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</si>
  <si>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</si>
  <si>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</si>
  <si>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</si>
  <si>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</si>
  <si>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</si>
  <si>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</si>
  <si>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</si>
  <si>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</si>
  <si>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</si>
  <si>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</si>
  <si>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MS</t>
  </si>
  <si>
    <t>07400953000196</t>
  </si>
  <si>
    <t>SPOLETO PATIO BRASIL SHOPPING</t>
  </si>
  <si>
    <t>São José dos Campos</t>
  </si>
  <si>
    <t>08940252000102</t>
  </si>
  <si>
    <t>SPOLETO SHOPPING COLINAS</t>
  </si>
  <si>
    <t>RIO DE JANEIRO</t>
  </si>
  <si>
    <t>SC</t>
  </si>
  <si>
    <t>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</si>
  <si>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</si>
  <si>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</si>
  <si>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</si>
  <si>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</si>
  <si>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</si>
  <si>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</si>
  <si>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</si>
  <si>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</si>
  <si>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</si>
  <si>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</si>
  <si>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</si>
  <si>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</si>
  <si>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</si>
  <si>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Ribeirão Preto</t>
  </si>
  <si>
    <t>22596284000163</t>
  </si>
  <si>
    <t>SPOLETO IGUATEMI RIBEIRAO PRETO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</si>
  <si>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</si>
  <si>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</si>
  <si>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</si>
  <si>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</si>
  <si>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</si>
  <si>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</si>
  <si>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</si>
  <si>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</si>
  <si>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</si>
  <si>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</si>
  <si>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</si>
  <si>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</si>
  <si>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</si>
  <si>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</si>
  <si>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</si>
  <si>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</si>
  <si>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</si>
  <si>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</si>
  <si>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25189243000140</t>
  </si>
  <si>
    <t>SPOLETO SHOPPING CENTER NORTE</t>
  </si>
  <si>
    <t>Ipatinga</t>
  </si>
  <si>
    <t>08496993000146</t>
  </si>
  <si>
    <t>SPOLETO SHOPPING IPATINGA</t>
  </si>
  <si>
    <t>13338594000197</t>
  </si>
  <si>
    <t>SPOLETO SHOPPING BOAVISTA</t>
  </si>
  <si>
    <t>BELO HORIZONTE</t>
  </si>
  <si>
    <t>25900242000243</t>
  </si>
  <si>
    <t>SPOLETO RODOVIARIA BH</t>
  </si>
  <si>
    <t>60935039000203</t>
  </si>
  <si>
    <t>SPOLETO SHOPPING PONTA NEGRA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</si>
  <si>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</si>
  <si>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</si>
  <si>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</si>
  <si>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</si>
  <si>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</si>
  <si>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</si>
  <si>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BARREIRAS</t>
  </si>
  <si>
    <t>19041058000101</t>
  </si>
  <si>
    <t>SPOLETO BARREIRAS RUA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</si>
  <si>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</si>
  <si>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</si>
  <si>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</si>
  <si>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</si>
  <si>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</si>
  <si>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</si>
  <si>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</si>
  <si>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</si>
  <si>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</si>
  <si>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</si>
  <si>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</si>
  <si>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</si>
  <si>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</si>
  <si>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</si>
  <si>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Serra</t>
  </si>
  <si>
    <t>59273034000100</t>
  </si>
  <si>
    <t>SPOLETO ALDEIA DA SERRA MM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</si>
  <si>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</si>
  <si>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</si>
  <si>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</si>
  <si>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</si>
  <si>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</si>
  <si>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</si>
  <si>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</si>
  <si>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</si>
  <si>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</si>
  <si>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</si>
  <si>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</si>
  <si>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</si>
  <si>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</si>
  <si>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</si>
  <si>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</si>
  <si>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</si>
  <si>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</si>
  <si>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</si>
  <si>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</si>
  <si>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</si>
  <si>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</si>
  <si>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</si>
  <si>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</si>
  <si>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</si>
  <si>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</si>
  <si>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</si>
  <si>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</si>
  <si>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</si>
  <si>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</si>
  <si>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10798368000109</t>
  </si>
  <si>
    <t>SPOLETO SHOPPING TOP CENTER</t>
  </si>
  <si>
    <t>Juazeiro do Norte</t>
  </si>
  <si>
    <t>39744752000100</t>
  </si>
  <si>
    <t>SPOLETO PRADO</t>
  </si>
  <si>
    <t>NITEROI</t>
  </si>
  <si>
    <t>PA</t>
  </si>
  <si>
    <t>Belém</t>
  </si>
  <si>
    <t>26544703000174</t>
  </si>
  <si>
    <t>SPOLETO SHOPPING GRAO PARA</t>
  </si>
  <si>
    <t>15324666000172</t>
  </si>
  <si>
    <t>SPOLETO WEST SHOPPING</t>
  </si>
  <si>
    <t>Araraquara</t>
  </si>
  <si>
    <t>Cotia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</si>
  <si>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</si>
  <si>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</si>
  <si>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</si>
  <si>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</si>
  <si>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</si>
  <si>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</si>
  <si>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</si>
  <si>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</si>
  <si>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</si>
  <si>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</si>
  <si>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</si>
  <si>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</si>
  <si>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</si>
  <si>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</si>
  <si>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</si>
  <si>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05821966000103</t>
  </si>
  <si>
    <t>SPOLETO RUA LARGO DO MACHADO</t>
  </si>
  <si>
    <t>08933451000193</t>
  </si>
  <si>
    <t>SPOLETO SHOPPING METRO ITAQUERA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</si>
  <si>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</si>
  <si>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</si>
  <si>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</si>
  <si>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</si>
  <si>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</si>
  <si>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</si>
  <si>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</si>
  <si>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</si>
  <si>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</si>
  <si>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</si>
  <si>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</si>
  <si>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</si>
  <si>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</si>
  <si>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</si>
  <si>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</si>
  <si>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</si>
  <si>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</si>
  <si>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</si>
  <si>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Taubaté</t>
  </si>
  <si>
    <t>16915296000100</t>
  </si>
  <si>
    <t>SPOLETO VIA VALE GARDEN SHOPPING</t>
  </si>
  <si>
    <t>11241042000130</t>
  </si>
  <si>
    <t>SPOLETO BOULEVARD SHOPPING BELEM</t>
  </si>
  <si>
    <t>PI</t>
  </si>
  <si>
    <t>Teresina</t>
  </si>
  <si>
    <t>22426401000140</t>
  </si>
  <si>
    <t>SPOLETO SHOPPING RIO POTY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</si>
  <si>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</si>
  <si>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</si>
  <si>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</si>
  <si>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</si>
  <si>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</si>
  <si>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</si>
  <si>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</si>
  <si>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</si>
  <si>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</si>
  <si>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</si>
  <si>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</si>
  <si>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</si>
  <si>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</si>
  <si>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</si>
  <si>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</si>
  <si>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</si>
  <si>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</si>
  <si>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</si>
  <si>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</si>
  <si>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</si>
  <si>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MT</t>
  </si>
  <si>
    <t>Sinop</t>
  </si>
  <si>
    <t>59844430000132</t>
  </si>
  <si>
    <t>SPOLETO SINOP MT</t>
  </si>
  <si>
    <t>São Caetano do Sul</t>
  </si>
  <si>
    <t>42689548000130</t>
  </si>
  <si>
    <t>SPOLETO RUA SUDOESTE</t>
  </si>
  <si>
    <t>AL</t>
  </si>
  <si>
    <t>RIO LARGO</t>
  </si>
  <si>
    <t>57929965000938</t>
  </si>
  <si>
    <t>SPOLETO AEROPORTO MACEIO</t>
  </si>
  <si>
    <t>48398474000160</t>
  </si>
  <si>
    <t>SPOLETO AMERICANA</t>
  </si>
  <si>
    <t>Londrina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</si>
  <si>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</si>
  <si>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</si>
  <si>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</si>
  <si>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</si>
  <si>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</si>
  <si>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</si>
  <si>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</si>
  <si>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</si>
  <si>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</si>
  <si>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</si>
  <si>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</si>
  <si>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</si>
  <si>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</si>
  <si>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</si>
  <si>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</si>
  <si>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</si>
  <si>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</si>
  <si>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</si>
  <si>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São Roque</t>
  </si>
  <si>
    <t>59957529000140</t>
  </si>
  <si>
    <t>SPOLETO OUTLET CATARINA FASHION</t>
  </si>
  <si>
    <t>62524828000104</t>
  </si>
  <si>
    <t>Duque de Caxias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</si>
  <si>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</si>
  <si>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</si>
  <si>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</si>
  <si>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</si>
  <si>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</si>
  <si>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</si>
  <si>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</si>
  <si>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</si>
  <si>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</si>
  <si>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</si>
  <si>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</si>
  <si>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</si>
  <si>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</si>
  <si>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</si>
  <si>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</si>
  <si>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</si>
  <si>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</si>
  <si>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</si>
  <si>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</si>
  <si>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</si>
  <si>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</si>
  <si>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</si>
  <si>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</si>
  <si>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</si>
  <si>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</si>
  <si>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</si>
  <si>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</si>
  <si>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</si>
  <si>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</si>
  <si>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</si>
  <si>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</si>
  <si>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</si>
  <si>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</si>
  <si>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54769959000115</t>
  </si>
  <si>
    <t>SPOLETO PARQUE DAS BANDEIRAS</t>
  </si>
  <si>
    <t>20248926000108</t>
  </si>
  <si>
    <t>SPOLETO CASA SHOPPING</t>
  </si>
  <si>
    <t>12375906000170</t>
  </si>
  <si>
    <t>SPOLETO CONTINENTAL SHOPPING</t>
  </si>
  <si>
    <t>10508070000109</t>
  </si>
  <si>
    <t>SPOLETO SHOPPING WEST PLAZA</t>
  </si>
  <si>
    <t>MANAUS</t>
  </si>
  <si>
    <t>29036677000242</t>
  </si>
  <si>
    <t>SPOLETO PARK SUMAUMA</t>
  </si>
  <si>
    <t>SPOLETO ROSARIO MM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</si>
  <si>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</si>
  <si>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</si>
  <si>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</si>
  <si>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</si>
  <si>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</si>
  <si>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</si>
  <si>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</si>
  <si>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19594672000109</t>
  </si>
  <si>
    <t>SPOLETO SHOPPING AMERICAS</t>
  </si>
  <si>
    <t>12516052000102</t>
  </si>
  <si>
    <t>SPOLETO LARGO 13</t>
  </si>
  <si>
    <t>45392375000182</t>
  </si>
  <si>
    <t>SPOLETO AGUAS CLARAS MM</t>
  </si>
  <si>
    <t>Votorantim</t>
  </si>
  <si>
    <t>54287914000104</t>
  </si>
  <si>
    <t>SPOLETO SHOPPING IGUATEMI ESPLANADA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</si>
  <si>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</si>
  <si>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</si>
  <si>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</si>
  <si>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</si>
  <si>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</si>
  <si>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</si>
  <si>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</si>
  <si>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</si>
  <si>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</si>
  <si>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</si>
  <si>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</si>
  <si>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</si>
  <si>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</si>
  <si>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29473266000133</t>
  </si>
  <si>
    <t>SPOLETO SHOPPING DO MEIER</t>
  </si>
  <si>
    <t>14383967000104</t>
  </si>
  <si>
    <t>SPOLETO PARK SHOPPING SAO CAETANO</t>
  </si>
  <si>
    <t>Maricá</t>
  </si>
  <si>
    <t>43995795000128</t>
  </si>
  <si>
    <t>SPOLETO POSTO MARICA</t>
  </si>
  <si>
    <t>Cascavel</t>
  </si>
  <si>
    <t>55439655000152</t>
  </si>
  <si>
    <t>SPOLETO CATUAÍ CASCAVEL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</si>
  <si>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</si>
  <si>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</si>
  <si>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</si>
  <si>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</si>
  <si>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</si>
  <si>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</si>
  <si>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</si>
  <si>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</si>
  <si>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</si>
  <si>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</si>
  <si>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</si>
  <si>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</si>
  <si>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</si>
  <si>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Santo André</t>
  </si>
  <si>
    <t>Macaé</t>
  </si>
  <si>
    <t>02685098000193</t>
  </si>
  <si>
    <t>SPOLETO RUA MACAE CAVALEIROS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</si>
  <si>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</si>
  <si>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</si>
  <si>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</si>
  <si>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</si>
  <si>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</si>
  <si>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</si>
  <si>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</si>
  <si>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</si>
  <si>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</si>
  <si>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</si>
  <si>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</si>
  <si>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</si>
  <si>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</si>
  <si>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29683855000146</t>
  </si>
  <si>
    <t>54823738000188</t>
  </si>
  <si>
    <t>SPOLETO TERRACO SHOPPING</t>
  </si>
  <si>
    <t>RR</t>
  </si>
  <si>
    <t>Cabo Frio</t>
  </si>
  <si>
    <t>Cuiabá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</si>
  <si>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</si>
  <si>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</si>
  <si>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</si>
  <si>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</si>
  <si>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</si>
  <si>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</si>
  <si>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</si>
  <si>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</si>
  <si>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</si>
  <si>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</si>
  <si>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</si>
  <si>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</si>
  <si>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</si>
  <si>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</si>
  <si>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</si>
  <si>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</si>
  <si>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</si>
  <si>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13075761000154</t>
  </si>
  <si>
    <t>SPOLETO PICCOLO SHOPPING VIA BRASIL</t>
  </si>
  <si>
    <t>56091014000112</t>
  </si>
  <si>
    <t>SPOLETO SHOPPING NOVO LEBLON</t>
  </si>
  <si>
    <t>12722866000195</t>
  </si>
  <si>
    <t>SPOLETO TIETE PLAZA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</si>
  <si>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</si>
  <si>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</si>
  <si>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</si>
  <si>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</si>
  <si>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</si>
  <si>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</si>
  <si>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</si>
  <si>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</si>
  <si>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</si>
  <si>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</si>
  <si>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</si>
  <si>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10664171000179</t>
  </si>
  <si>
    <t>SPOLETO SHOPPING UNIAO OSASCO</t>
  </si>
  <si>
    <t>42455354000170</t>
  </si>
  <si>
    <t>SPOLETO JARDIM BOTANICO DF</t>
  </si>
  <si>
    <t>02016868000105</t>
  </si>
  <si>
    <t>SPOLETO RIBEIRAO SHOPPING</t>
  </si>
  <si>
    <t>27882444000154</t>
  </si>
  <si>
    <t>SPOLETO CARREFOUR MARGINAL PINHEIROS</t>
  </si>
  <si>
    <t>52448905000122</t>
  </si>
  <si>
    <t>SPOLETO BUENA VISTA</t>
  </si>
  <si>
    <t>05349958000106</t>
  </si>
  <si>
    <t>SPOLETO SHOPPING BARRA</t>
  </si>
  <si>
    <t>Poços de Caldas</t>
  </si>
  <si>
    <t>55006427000199</t>
  </si>
  <si>
    <t>SPOLETO PARTAGE POÇOS DE CALDAS</t>
  </si>
  <si>
    <t>08357350000111</t>
  </si>
  <si>
    <t>SPOLETO SHOPPING D</t>
  </si>
  <si>
    <t>29752612000112</t>
  </si>
  <si>
    <t>SPOLETO PICCOLO HIPER ANDORINHA</t>
  </si>
  <si>
    <t>Valinhos</t>
  </si>
  <si>
    <t>48880146000103</t>
  </si>
  <si>
    <t>SPOLETO PANTANAL SHOPPING MT</t>
  </si>
  <si>
    <t>PE</t>
  </si>
  <si>
    <t>Recife</t>
  </si>
  <si>
    <t>29036677000161</t>
  </si>
  <si>
    <t>SPOLETO AMAZONAS SHOPPING</t>
  </si>
  <si>
    <t>AP</t>
  </si>
  <si>
    <t>Macapá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</si>
  <si>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</si>
  <si>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</si>
  <si>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</si>
  <si>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</si>
  <si>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</si>
  <si>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</si>
  <si>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</si>
  <si>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</si>
  <si>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</si>
  <si>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</si>
  <si>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</si>
  <si>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</si>
  <si>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</si>
  <si>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</si>
  <si>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</si>
  <si>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</si>
  <si>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</si>
  <si>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</si>
  <si>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</si>
  <si>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São Vicente</t>
  </si>
  <si>
    <t>08779218000106</t>
  </si>
  <si>
    <t>SPOLETO BRISAMAR SHOPPING</t>
  </si>
  <si>
    <t>48769661000102</t>
  </si>
  <si>
    <t>SPOLETO SHOPPING MARKET PLACE</t>
  </si>
  <si>
    <t>11265785000140</t>
  </si>
  <si>
    <t>SPOLETO SHOPPING JARDIM SUL</t>
  </si>
  <si>
    <t>Indaiatuba</t>
  </si>
  <si>
    <t>13312258000175</t>
  </si>
  <si>
    <t>SPOLETO POLO SHOPPING INDAIATUBA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</si>
  <si>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</si>
  <si>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</si>
  <si>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</si>
  <si>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</si>
  <si>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</si>
  <si>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</si>
  <si>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</si>
  <si>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</si>
  <si>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</si>
  <si>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</si>
  <si>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</si>
  <si>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</si>
  <si>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</si>
  <si>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</si>
  <si>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</si>
  <si>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</si>
  <si>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</si>
  <si>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</si>
  <si>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</si>
  <si>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</si>
  <si>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</si>
  <si>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Limeira</t>
  </si>
  <si>
    <t>41415981000115</t>
  </si>
  <si>
    <t>SPOLETO QUE GAMA MM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</si>
  <si>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</si>
  <si>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</si>
  <si>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</si>
  <si>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</si>
  <si>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</si>
  <si>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</si>
  <si>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</si>
  <si>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</si>
  <si>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</si>
  <si>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</si>
  <si>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</si>
  <si>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</si>
  <si>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</si>
  <si>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</si>
  <si>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</si>
  <si>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</si>
  <si>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</si>
  <si>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</si>
  <si>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Juiz de Fora</t>
  </si>
  <si>
    <t>09396304000194</t>
  </si>
  <si>
    <t>SPOLETO INDEPENDENCIA SHOPPING</t>
  </si>
  <si>
    <t>49942203000196</t>
  </si>
  <si>
    <t>SPOLETO SHOPPING TACARUNA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</si>
  <si>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</si>
  <si>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</si>
  <si>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</si>
  <si>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</si>
  <si>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</si>
  <si>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</si>
  <si>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</si>
  <si>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</si>
  <si>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</si>
  <si>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</si>
  <si>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</si>
  <si>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</si>
  <si>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</si>
  <si>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06137270000125</t>
  </si>
  <si>
    <t>SPOLETO SHOPPING ELDORADO</t>
  </si>
  <si>
    <t>63358291000104</t>
  </si>
  <si>
    <t>SPOLETO CARREFOUR ARICANDUVA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</si>
  <si>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</si>
  <si>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</si>
  <si>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</si>
  <si>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</si>
  <si>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</si>
  <si>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</si>
  <si>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</si>
  <si>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</si>
  <si>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</si>
  <si>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42458333000109</t>
  </si>
  <si>
    <t>SPOLETO SHOPPING LIGHT</t>
  </si>
  <si>
    <t>Montes Claros</t>
  </si>
  <si>
    <t>40099378000109</t>
  </si>
  <si>
    <t>SPOLETO SHOPPING MONTES CLAROS</t>
  </si>
  <si>
    <t>Rio Claro</t>
  </si>
  <si>
    <t>11217703000192</t>
  </si>
  <si>
    <t>SPOLETO SHOPPING RIO CLARO</t>
  </si>
  <si>
    <t>03475252000165</t>
  </si>
  <si>
    <t>SPOLETO SHOPPING DOWNTOWN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</si>
  <si>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</si>
  <si>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</si>
  <si>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</si>
  <si>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</si>
  <si>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</si>
  <si>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</si>
  <si>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</si>
  <si>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</si>
  <si>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49935650000118</t>
  </si>
  <si>
    <t>SPOLETO GOIANIA SHOPPING</t>
  </si>
  <si>
    <t>VITÓRIA</t>
  </si>
  <si>
    <t>28410090002666</t>
  </si>
  <si>
    <t>SPOLETO SHOPPING MESTRE ALVARO</t>
  </si>
  <si>
    <t>50736088000182</t>
  </si>
  <si>
    <t>Bauru</t>
  </si>
  <si>
    <t>08882696000210</t>
  </si>
  <si>
    <t>SPOLETO BOULEVARD BAURU SHOPPING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</si>
  <si>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</si>
  <si>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</si>
  <si>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</si>
  <si>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</si>
  <si>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</si>
  <si>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</si>
  <si>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</si>
  <si>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</si>
  <si>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</si>
  <si>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</si>
  <si>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</si>
  <si>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</si>
  <si>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</si>
  <si>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</si>
  <si>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</si>
  <si>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</si>
  <si>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</si>
  <si>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59760053000153</t>
  </si>
  <si>
    <t>SPOLETO ARAGUAIA SHOPPING</t>
  </si>
  <si>
    <t>10386814000160</t>
  </si>
  <si>
    <t>SPOLETO PARK SHOPPING DF</t>
  </si>
  <si>
    <t>49939502000171</t>
  </si>
  <si>
    <t>SPOLETO GOLDEN SQUARE SHOPPING</t>
  </si>
  <si>
    <t>Taboão da Serra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</si>
  <si>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</si>
  <si>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</si>
  <si>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</si>
  <si>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</si>
  <si>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</si>
  <si>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</si>
  <si>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</si>
  <si>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</si>
  <si>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</si>
  <si>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</si>
  <si>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</si>
  <si>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</si>
  <si>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</si>
  <si>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São José do Rio Preto</t>
  </si>
  <si>
    <t>12616372000126</t>
  </si>
  <si>
    <t>SPOLETO BOULEVARD SAO GONCALO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</si>
  <si>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</si>
  <si>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</si>
  <si>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</si>
  <si>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</si>
  <si>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</si>
  <si>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</si>
  <si>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</si>
  <si>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</si>
  <si>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</si>
  <si>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</si>
  <si>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</si>
  <si>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</si>
  <si>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</si>
  <si>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</si>
  <si>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</si>
  <si>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</si>
  <si>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</si>
  <si>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</si>
  <si>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</si>
  <si>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</si>
  <si>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17213098000168</t>
  </si>
  <si>
    <t>SPOLETO SHOPPING METRO TUCURUVI</t>
  </si>
  <si>
    <t>09722129000188</t>
  </si>
  <si>
    <t>SPOLETO COMPACTO CARREFOUR LIMAO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</si>
  <si>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</si>
  <si>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</si>
  <si>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</si>
  <si>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</si>
  <si>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</si>
  <si>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</si>
  <si>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</si>
  <si>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</si>
  <si>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</si>
  <si>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</si>
  <si>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</si>
  <si>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</si>
  <si>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</si>
  <si>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</si>
  <si>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</si>
  <si>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</si>
  <si>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</si>
  <si>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</si>
  <si>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</si>
  <si>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</si>
  <si>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</si>
  <si>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</si>
  <si>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</si>
  <si>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</si>
  <si>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39491896000194</t>
  </si>
  <si>
    <t>SPOLETO SHOPPING BOULEVARD TATUAPE</t>
  </si>
  <si>
    <t>19023739000147</t>
  </si>
  <si>
    <t>SPOLETO SHOPPING PARQUE BALNEARIO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</si>
  <si>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</si>
  <si>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</si>
  <si>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</si>
  <si>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</si>
  <si>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</si>
  <si>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</si>
  <si>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</si>
  <si>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</si>
  <si>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</si>
  <si>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</si>
  <si>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</si>
  <si>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</si>
  <si>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</si>
  <si>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</si>
  <si>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</si>
  <si>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</si>
  <si>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</si>
  <si>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</si>
  <si>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</si>
  <si>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</si>
  <si>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</si>
  <si>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SPOLETO SHOPPING RIOMAR FORTALEZA MM</t>
  </si>
  <si>
    <t>06330494000159</t>
  </si>
  <si>
    <t>SPOLETO TAUBATE SHOPPING</t>
  </si>
  <si>
    <t>60996536000130</t>
  </si>
  <si>
    <t>SPOLETO SHOPPING VIA PARQUE</t>
  </si>
  <si>
    <t>Maringá</t>
  </si>
  <si>
    <t>29187070000182</t>
  </si>
  <si>
    <t>SPOLETO SHOPPING CATUAÍ MARINGÁ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</si>
  <si>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</si>
  <si>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</si>
  <si>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</si>
  <si>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</si>
  <si>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</si>
  <si>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</si>
  <si>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</si>
  <si>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</si>
  <si>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</si>
  <si>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</si>
  <si>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</si>
  <si>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</si>
  <si>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03735469000167</t>
  </si>
  <si>
    <t>SPOLETO SHOPPING NOVA AMERICA</t>
  </si>
  <si>
    <t>50625368000113</t>
  </si>
  <si>
    <t>SPOLETO SHOPPING RECIFE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</si>
  <si>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</si>
  <si>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</si>
  <si>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</si>
  <si>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</si>
  <si>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</si>
  <si>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</si>
  <si>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</si>
  <si>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</si>
  <si>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</si>
  <si>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</si>
  <si>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</si>
  <si>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20247266000140</t>
  </si>
  <si>
    <t>SPOLETO TERESINA SHOPPING</t>
  </si>
  <si>
    <t>50826871000137</t>
  </si>
  <si>
    <t>SPOLETO AEROPORTO SALVADOR</t>
  </si>
  <si>
    <t>Feira de Santana</t>
  </si>
  <si>
    <t>31507335000124</t>
  </si>
  <si>
    <t>SPOLETO SHOPPING FEIRA DE SANTANA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</si>
  <si>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</si>
  <si>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</si>
  <si>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</si>
  <si>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</si>
  <si>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</si>
  <si>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</si>
  <si>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10953709000165</t>
  </si>
  <si>
    <t>SPOLETO TERMINAL RODOVIARIO NOVO RIO</t>
  </si>
  <si>
    <t>56873018000152</t>
  </si>
  <si>
    <t>SPOLETO SHOPPING METROPOLE</t>
  </si>
  <si>
    <t>07260582000194</t>
  </si>
  <si>
    <t>SPOLETO NOVO SHOPPING</t>
  </si>
  <si>
    <t>27654153000109</t>
  </si>
  <si>
    <t>Nova Iguaçu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</si>
  <si>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</si>
  <si>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</si>
  <si>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</si>
  <si>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</si>
  <si>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</si>
  <si>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</si>
  <si>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</si>
  <si>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</si>
  <si>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</si>
  <si>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</si>
  <si>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</si>
  <si>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</si>
  <si>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15635107000183</t>
  </si>
  <si>
    <t>63722157000140</t>
  </si>
  <si>
    <t>SPOLETO SHOPPING IGUATEMI RIO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</si>
  <si>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</si>
  <si>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</si>
  <si>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</si>
  <si>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</si>
  <si>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</si>
  <si>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</si>
  <si>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</si>
  <si>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</si>
  <si>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</si>
  <si>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</si>
  <si>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</si>
  <si>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</si>
  <si>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26222441000121</t>
  </si>
  <si>
    <t>SPOLETO RUA MEXICO</t>
  </si>
  <si>
    <t>30216737000107</t>
  </si>
  <si>
    <t>SPOLETO SHOPPING PLAZA MACAE</t>
  </si>
  <si>
    <t>07701837000107</t>
  </si>
  <si>
    <t>SPOLETO CENTRAL PLAZA SHOPPING</t>
  </si>
  <si>
    <t>20720890000113</t>
  </si>
  <si>
    <t>SPOLETO TAGUATINGA PISTAO SUL</t>
  </si>
  <si>
    <t>16874994000105</t>
  </si>
  <si>
    <t>SPOLETO PARK SHOPPING CAMPO GRANDE</t>
  </si>
  <si>
    <t>Araçatuba</t>
  </si>
  <si>
    <t>53621997000163</t>
  </si>
  <si>
    <t>SPOLETO SHOPPING PRAÇA NOVA ARAÇATUBA</t>
  </si>
  <si>
    <t>00154642000145</t>
  </si>
  <si>
    <t>SPOLETO AEROPORTO TOM JOBIM</t>
  </si>
  <si>
    <t>60104805000107</t>
  </si>
  <si>
    <t>SPOLETO SHOPPING CIDADE SOROCABA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</si>
  <si>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</si>
  <si>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</si>
  <si>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</si>
  <si>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</si>
  <si>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</si>
  <si>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</si>
  <si>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</si>
  <si>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</si>
  <si>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</si>
  <si>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</si>
  <si>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</si>
  <si>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</si>
  <si>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</si>
  <si>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05234347000112</t>
  </si>
  <si>
    <t>SPOLETO GRUTA MM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</si>
  <si>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</si>
  <si>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</si>
  <si>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</si>
  <si>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</si>
  <si>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</si>
  <si>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</si>
  <si>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</si>
  <si>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</si>
  <si>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</si>
  <si>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</si>
  <si>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</si>
  <si>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</si>
  <si>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</si>
  <si>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</si>
  <si>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</si>
  <si>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</si>
  <si>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</si>
  <si>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</si>
  <si>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</si>
  <si>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</si>
  <si>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</si>
  <si>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</si>
  <si>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</si>
  <si>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</si>
  <si>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</si>
  <si>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</si>
  <si>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</si>
  <si>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</si>
  <si>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</si>
  <si>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</si>
  <si>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</si>
  <si>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</si>
  <si>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</si>
  <si>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</si>
  <si>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</si>
  <si>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</si>
  <si>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</si>
  <si>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</si>
  <si>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</si>
  <si>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Mauá</t>
  </si>
  <si>
    <t>JOAO PESSOA</t>
  </si>
  <si>
    <t>46380849000139</t>
  </si>
  <si>
    <t>SPOLETO MANGABEIRA SHOPPING</t>
  </si>
  <si>
    <t>47330528000192</t>
  </si>
  <si>
    <t>SPOLETO CAXIAS SHOPPING 2</t>
  </si>
  <si>
    <t>07618678000181</t>
  </si>
  <si>
    <t>SPOLETO GRAND PLAZA SHOPPING</t>
  </si>
  <si>
    <t>TO</t>
  </si>
  <si>
    <t>Palmas</t>
  </si>
  <si>
    <t>43729275000335</t>
  </si>
  <si>
    <t>SPOLETO PALMAS SHOPPING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</si>
  <si>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</si>
  <si>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</si>
  <si>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</si>
  <si>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</si>
  <si>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</si>
  <si>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</si>
  <si>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</si>
  <si>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</si>
  <si>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</si>
  <si>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</si>
  <si>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Roseira</t>
  </si>
  <si>
    <t>23634467000199</t>
  </si>
  <si>
    <t>SPOLETO POSTO ARCO IRIS</t>
  </si>
  <si>
    <t>15526509000140</t>
  </si>
  <si>
    <t>SPOLETO SHOPPING RIOMAR RECIFE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</si>
  <si>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</si>
  <si>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</si>
  <si>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</si>
  <si>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</si>
  <si>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</si>
  <si>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</si>
  <si>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</si>
  <si>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</si>
  <si>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</si>
  <si>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Juazeiro</t>
  </si>
  <si>
    <t>61775604000102</t>
  </si>
  <si>
    <t>SPOLETO JUA GARDEN</t>
  </si>
  <si>
    <t>Bragança Paulista</t>
  </si>
  <si>
    <t>60627200000109</t>
  </si>
  <si>
    <t>SPOLETO SHOPPING BRAGANCA GARDEN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</si>
  <si>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</si>
  <si>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</si>
  <si>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</si>
  <si>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</si>
  <si>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</si>
  <si>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</si>
  <si>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</si>
  <si>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</si>
  <si>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</si>
  <si>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</si>
  <si>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</si>
  <si>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</si>
  <si>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</si>
  <si>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</si>
  <si>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</si>
  <si>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</si>
  <si>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</si>
  <si>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</si>
  <si>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</si>
  <si>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</si>
  <si>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</si>
  <si>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</si>
  <si>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</si>
  <si>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</si>
  <si>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Itaguai</t>
  </si>
  <si>
    <t>15759067000181</t>
  </si>
  <si>
    <t>SPOLETO PATIO MIX</t>
  </si>
  <si>
    <t>SPOLETO SHOPPING ABC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</si>
  <si>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</si>
  <si>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</si>
  <si>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</si>
  <si>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</si>
  <si>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</si>
  <si>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</si>
  <si>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</si>
  <si>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</si>
  <si>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</si>
  <si>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</si>
  <si>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</si>
  <si>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</si>
  <si>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</si>
  <si>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</si>
  <si>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</si>
  <si>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</si>
  <si>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</si>
  <si>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</si>
  <si>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</si>
  <si>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</si>
  <si>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</si>
  <si>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</si>
  <si>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</si>
  <si>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</si>
  <si>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</si>
  <si>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</si>
  <si>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</si>
  <si>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</si>
  <si>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33521035000125</t>
  </si>
  <si>
    <t>SPOLETO SHOPPING IGUATEMI ALPHAVILLE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</si>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</sst>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17A9-E24C-4072-AA56-EB5611FDC070}">
  <dimension ref="A1:N401"/>
  <sheetViews>
    <sheetView tabSelected="1" zoomScale="85" zoomScaleNormal="85" workbookViewId="0">
      <selection activeCell="F15" sqref="F15"/>
    </sheetView>
  </sheetViews>
  <sheetFormatPr defaultRowHeight="14.4" x14ac:dyDescent="0.3"/>
  <cols>
    <col min="1" max="1" width="13.2187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1001</v>
      </c>
      <c r="B1" s="3" t="s">
        <v>1002</v>
      </c>
      <c r="C1" s="3" t="s">
        <v>1003</v>
      </c>
      <c r="D1" s="3" t="s">
        <v>1004</v>
      </c>
      <c r="E1" s="3" t="s">
        <v>1005</v>
      </c>
      <c r="F1" s="3" t="s">
        <v>1006</v>
      </c>
      <c r="G1" s="3" t="s">
        <v>1007</v>
      </c>
      <c r="H1" s="3" t="s">
        <v>1008</v>
      </c>
      <c r="I1" s="6" t="s">
        <v>1011</v>
      </c>
      <c r="J1" s="3" t="s">
        <v>1009</v>
      </c>
      <c r="K1" s="3" t="s">
        <v>1010</v>
      </c>
      <c r="L1" s="6" t="s">
        <v>1012</v>
      </c>
      <c r="M1" s="6" t="s">
        <v>1013</v>
      </c>
      <c r="N1" s="8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5</v>
      </c>
      <c r="G2">
        <v>5422</v>
      </c>
      <c r="H2">
        <v>2695</v>
      </c>
      <c r="I2" s="5">
        <f>H2/G2</f>
        <v>0.49704905938767985</v>
      </c>
      <c r="J2" s="2">
        <v>0.7</v>
      </c>
      <c r="K2" s="4">
        <v>7.01</v>
      </c>
      <c r="L2">
        <f>ROUND(G2*J2,0)-H2</f>
        <v>1100</v>
      </c>
      <c r="M2" s="7">
        <f>L2*K2</f>
        <v>7711</v>
      </c>
    </row>
    <row r="3" spans="1:14" x14ac:dyDescent="0.3">
      <c r="A3" t="s">
        <v>0</v>
      </c>
      <c r="B3" t="s">
        <v>1</v>
      </c>
      <c r="C3" t="s">
        <v>6</v>
      </c>
      <c r="D3" t="s">
        <v>7</v>
      </c>
      <c r="E3" s="1" t="s">
        <v>8</v>
      </c>
      <c r="F3" t="s">
        <v>9</v>
      </c>
      <c r="G3">
        <v>7868</v>
      </c>
      <c r="H3">
        <v>3967</v>
      </c>
      <c r="I3" s="5">
        <f t="shared" ref="I3:I66" si="0">H3/G3</f>
        <v>0.50419420437214035</v>
      </c>
      <c r="J3" s="2">
        <v>0.7</v>
      </c>
      <c r="K3" s="4">
        <v>10.84</v>
      </c>
      <c r="L3">
        <f t="shared" ref="L3:L66" si="1">ROUND(G3*J3,0)-H3</f>
        <v>1541</v>
      </c>
      <c r="M3" s="7">
        <f t="shared" ref="M3:M66" si="2">L3*K3</f>
        <v>16704.439999999999</v>
      </c>
    </row>
    <row r="4" spans="1:14" x14ac:dyDescent="0.3">
      <c r="A4" t="s">
        <v>0</v>
      </c>
      <c r="B4" t="s">
        <v>1</v>
      </c>
      <c r="C4" t="s">
        <v>2</v>
      </c>
      <c r="D4" t="s">
        <v>10</v>
      </c>
      <c r="E4" s="1" t="s">
        <v>11</v>
      </c>
      <c r="F4" t="s">
        <v>12</v>
      </c>
      <c r="G4">
        <v>2571</v>
      </c>
      <c r="H4">
        <v>995</v>
      </c>
      <c r="I4" s="5">
        <f t="shared" si="0"/>
        <v>0.38700894593543367</v>
      </c>
      <c r="J4" s="2">
        <v>0.7</v>
      </c>
      <c r="K4" s="4">
        <v>7.7</v>
      </c>
      <c r="L4">
        <f t="shared" si="1"/>
        <v>805</v>
      </c>
      <c r="M4" s="7">
        <f t="shared" si="2"/>
        <v>6198.5</v>
      </c>
    </row>
    <row r="5" spans="1:14" x14ac:dyDescent="0.3">
      <c r="A5" t="s">
        <v>0</v>
      </c>
      <c r="B5" t="s">
        <v>1</v>
      </c>
      <c r="C5" t="s">
        <v>13</v>
      </c>
      <c r="D5" t="s">
        <v>14</v>
      </c>
      <c r="E5" s="1" t="s">
        <v>15</v>
      </c>
      <c r="F5" t="s">
        <v>16</v>
      </c>
      <c r="G5">
        <v>1283</v>
      </c>
      <c r="H5">
        <v>492</v>
      </c>
      <c r="I5" s="5">
        <f t="shared" si="0"/>
        <v>0.38347622759158223</v>
      </c>
      <c r="J5" s="2">
        <v>0.7</v>
      </c>
      <c r="K5" s="4">
        <v>8.6</v>
      </c>
      <c r="L5">
        <f t="shared" si="1"/>
        <v>406</v>
      </c>
      <c r="M5" s="7">
        <f t="shared" si="2"/>
        <v>3491.6</v>
      </c>
    </row>
    <row r="6" spans="1:14" x14ac:dyDescent="0.3">
      <c r="A6" t="s">
        <v>0</v>
      </c>
      <c r="B6" t="s">
        <v>1</v>
      </c>
      <c r="C6" t="s">
        <v>2</v>
      </c>
      <c r="D6" t="s">
        <v>3</v>
      </c>
      <c r="E6" s="1" t="s">
        <v>19</v>
      </c>
      <c r="F6" t="s">
        <v>20</v>
      </c>
      <c r="G6">
        <v>6204</v>
      </c>
      <c r="H6">
        <v>2949</v>
      </c>
      <c r="I6" s="5">
        <f t="shared" si="0"/>
        <v>0.47533849129593808</v>
      </c>
      <c r="J6" s="2">
        <v>0.7</v>
      </c>
      <c r="K6" s="4">
        <v>9.5</v>
      </c>
      <c r="L6">
        <f t="shared" si="1"/>
        <v>1394</v>
      </c>
      <c r="M6" s="7">
        <f t="shared" si="2"/>
        <v>13243</v>
      </c>
    </row>
    <row r="7" spans="1:14" x14ac:dyDescent="0.3">
      <c r="A7" t="s">
        <v>0</v>
      </c>
      <c r="B7" t="s">
        <v>1</v>
      </c>
      <c r="C7" t="s">
        <v>21</v>
      </c>
      <c r="D7" t="s">
        <v>22</v>
      </c>
      <c r="E7" s="1" t="s">
        <v>23</v>
      </c>
      <c r="F7" t="s">
        <v>24</v>
      </c>
      <c r="G7">
        <v>3863</v>
      </c>
      <c r="H7">
        <v>1924</v>
      </c>
      <c r="I7" s="5">
        <f t="shared" si="0"/>
        <v>0.49805850375355942</v>
      </c>
      <c r="J7" s="2">
        <v>0.7</v>
      </c>
      <c r="K7" s="4">
        <v>7.89</v>
      </c>
      <c r="L7">
        <f t="shared" si="1"/>
        <v>780</v>
      </c>
      <c r="M7" s="7">
        <f t="shared" si="2"/>
        <v>6154.2</v>
      </c>
    </row>
    <row r="8" spans="1:14" x14ac:dyDescent="0.3">
      <c r="A8" t="s">
        <v>0</v>
      </c>
      <c r="B8" t="s">
        <v>1</v>
      </c>
      <c r="C8" t="s">
        <v>21</v>
      </c>
      <c r="D8" t="s">
        <v>22</v>
      </c>
      <c r="E8" s="1" t="s">
        <v>25</v>
      </c>
      <c r="F8" t="s">
        <v>26</v>
      </c>
      <c r="G8">
        <v>2995</v>
      </c>
      <c r="H8">
        <v>1309</v>
      </c>
      <c r="I8" s="5">
        <f t="shared" si="0"/>
        <v>0.43706176961602672</v>
      </c>
      <c r="J8" s="2">
        <v>0.7</v>
      </c>
      <c r="K8" s="4">
        <v>9.24</v>
      </c>
      <c r="L8">
        <f t="shared" si="1"/>
        <v>788</v>
      </c>
      <c r="M8" s="7">
        <f t="shared" si="2"/>
        <v>7281.12</v>
      </c>
    </row>
    <row r="9" spans="1:14" x14ac:dyDescent="0.3">
      <c r="A9" t="s">
        <v>0</v>
      </c>
      <c r="B9" t="s">
        <v>1</v>
      </c>
      <c r="C9" t="s">
        <v>2</v>
      </c>
      <c r="D9" t="s">
        <v>27</v>
      </c>
      <c r="E9" s="1" t="s">
        <v>28</v>
      </c>
      <c r="F9" t="s">
        <v>29</v>
      </c>
      <c r="G9">
        <v>5151</v>
      </c>
      <c r="H9">
        <v>2755</v>
      </c>
      <c r="I9" s="5">
        <f t="shared" si="0"/>
        <v>0.53484760240729956</v>
      </c>
      <c r="J9" s="2">
        <v>0.7</v>
      </c>
      <c r="K9" s="4">
        <v>8.08</v>
      </c>
      <c r="L9">
        <f t="shared" si="1"/>
        <v>851</v>
      </c>
      <c r="M9" s="7">
        <f t="shared" si="2"/>
        <v>6876.08</v>
      </c>
    </row>
    <row r="10" spans="1:14" x14ac:dyDescent="0.3">
      <c r="A10" t="s">
        <v>0</v>
      </c>
      <c r="B10" t="s">
        <v>1</v>
      </c>
      <c r="C10" t="s">
        <v>2</v>
      </c>
      <c r="D10" t="s">
        <v>30</v>
      </c>
      <c r="E10" s="1" t="s">
        <v>31</v>
      </c>
      <c r="F10" t="s">
        <v>32</v>
      </c>
      <c r="G10">
        <v>5576</v>
      </c>
      <c r="H10">
        <v>2644</v>
      </c>
      <c r="I10" s="5">
        <f t="shared" si="0"/>
        <v>0.47417503586800575</v>
      </c>
      <c r="J10" s="2">
        <v>0.7</v>
      </c>
      <c r="K10" s="4">
        <v>7.79</v>
      </c>
      <c r="L10">
        <f t="shared" si="1"/>
        <v>1259</v>
      </c>
      <c r="M10" s="7">
        <f t="shared" si="2"/>
        <v>9807.61</v>
      </c>
    </row>
    <row r="11" spans="1:14" x14ac:dyDescent="0.3">
      <c r="A11" t="s">
        <v>0</v>
      </c>
      <c r="B11" t="s">
        <v>1</v>
      </c>
      <c r="C11" t="s">
        <v>17</v>
      </c>
      <c r="D11" t="s">
        <v>18</v>
      </c>
      <c r="E11" s="1" t="s">
        <v>34</v>
      </c>
      <c r="F11" t="s">
        <v>35</v>
      </c>
      <c r="G11">
        <v>4707</v>
      </c>
      <c r="H11">
        <v>2325</v>
      </c>
      <c r="I11" s="5">
        <f t="shared" si="0"/>
        <v>0.49394518801784576</v>
      </c>
      <c r="J11" s="2">
        <v>0.7</v>
      </c>
      <c r="K11" s="4">
        <v>8.67</v>
      </c>
      <c r="L11">
        <f t="shared" si="1"/>
        <v>970</v>
      </c>
      <c r="M11" s="7">
        <f t="shared" si="2"/>
        <v>8409.9</v>
      </c>
    </row>
    <row r="12" spans="1:14" x14ac:dyDescent="0.3">
      <c r="A12" t="s">
        <v>0</v>
      </c>
      <c r="B12" t="s">
        <v>1</v>
      </c>
      <c r="C12" t="s">
        <v>36</v>
      </c>
      <c r="D12" t="s">
        <v>37</v>
      </c>
      <c r="E12" s="1" t="s">
        <v>38</v>
      </c>
      <c r="F12" t="s">
        <v>39</v>
      </c>
      <c r="G12">
        <v>4033</v>
      </c>
      <c r="H12">
        <v>2210</v>
      </c>
      <c r="I12" s="5">
        <f t="shared" si="0"/>
        <v>0.54797917183238287</v>
      </c>
      <c r="J12" s="2">
        <v>0.7</v>
      </c>
      <c r="K12" s="4">
        <v>8.5399999999999991</v>
      </c>
      <c r="L12">
        <f t="shared" si="1"/>
        <v>613</v>
      </c>
      <c r="M12" s="7">
        <f t="shared" si="2"/>
        <v>5235.0199999999995</v>
      </c>
    </row>
    <row r="13" spans="1:14" x14ac:dyDescent="0.3">
      <c r="A13" t="s">
        <v>0</v>
      </c>
      <c r="B13" t="s">
        <v>1</v>
      </c>
      <c r="C13" t="s">
        <v>40</v>
      </c>
      <c r="D13" t="s">
        <v>41</v>
      </c>
      <c r="E13" s="1" t="s">
        <v>42</v>
      </c>
      <c r="F13" t="s">
        <v>43</v>
      </c>
      <c r="G13">
        <v>3702</v>
      </c>
      <c r="H13">
        <v>1113</v>
      </c>
      <c r="I13" s="5">
        <f t="shared" si="0"/>
        <v>0.30064829821717992</v>
      </c>
      <c r="J13" s="2">
        <v>0.7</v>
      </c>
      <c r="K13" s="4">
        <v>8.06</v>
      </c>
      <c r="L13">
        <f t="shared" si="1"/>
        <v>1478</v>
      </c>
      <c r="M13" s="7">
        <f t="shared" si="2"/>
        <v>11912.68</v>
      </c>
    </row>
    <row r="14" spans="1:14" x14ac:dyDescent="0.3">
      <c r="A14" t="s">
        <v>0</v>
      </c>
      <c r="B14" t="s">
        <v>1</v>
      </c>
      <c r="C14" t="s">
        <v>17</v>
      </c>
      <c r="D14" t="s">
        <v>18</v>
      </c>
      <c r="E14" s="1" t="s">
        <v>44</v>
      </c>
      <c r="F14" t="s">
        <v>45</v>
      </c>
      <c r="G14">
        <v>4550</v>
      </c>
      <c r="H14">
        <v>1719</v>
      </c>
      <c r="I14" s="5">
        <f t="shared" si="0"/>
        <v>0.37780219780219781</v>
      </c>
      <c r="J14" s="2">
        <v>0.7</v>
      </c>
      <c r="K14" s="4">
        <v>8.32</v>
      </c>
      <c r="L14">
        <f t="shared" si="1"/>
        <v>1466</v>
      </c>
      <c r="M14" s="7">
        <f t="shared" si="2"/>
        <v>12197.12</v>
      </c>
    </row>
    <row r="15" spans="1:14" x14ac:dyDescent="0.3">
      <c r="A15" t="s">
        <v>0</v>
      </c>
      <c r="B15" t="s">
        <v>1</v>
      </c>
      <c r="C15" t="s">
        <v>48</v>
      </c>
      <c r="D15" t="s">
        <v>49</v>
      </c>
      <c r="E15" s="1" t="s">
        <v>50</v>
      </c>
      <c r="F15" t="s">
        <v>51</v>
      </c>
      <c r="G15">
        <v>5965</v>
      </c>
      <c r="H15">
        <v>2777</v>
      </c>
      <c r="I15" s="5">
        <f t="shared" si="0"/>
        <v>0.46554903604358761</v>
      </c>
      <c r="J15" s="2">
        <v>0.7</v>
      </c>
      <c r="K15" s="4">
        <v>9.02</v>
      </c>
      <c r="L15">
        <f t="shared" si="1"/>
        <v>1399</v>
      </c>
      <c r="M15" s="7">
        <f t="shared" si="2"/>
        <v>12618.98</v>
      </c>
    </row>
    <row r="16" spans="1:14" x14ac:dyDescent="0.3">
      <c r="A16" t="s">
        <v>0</v>
      </c>
      <c r="B16" t="s">
        <v>1</v>
      </c>
      <c r="C16" t="s">
        <v>2</v>
      </c>
      <c r="D16" t="s">
        <v>52</v>
      </c>
      <c r="E16" s="1" t="s">
        <v>53</v>
      </c>
      <c r="F16" t="s">
        <v>54</v>
      </c>
      <c r="G16">
        <v>629</v>
      </c>
      <c r="H16">
        <v>323</v>
      </c>
      <c r="I16" s="5">
        <f t="shared" si="0"/>
        <v>0.51351351351351349</v>
      </c>
      <c r="J16" s="2">
        <v>0.7</v>
      </c>
      <c r="K16" s="4">
        <v>8.85</v>
      </c>
      <c r="L16">
        <f t="shared" si="1"/>
        <v>117</v>
      </c>
      <c r="M16" s="7">
        <f t="shared" si="2"/>
        <v>1035.45</v>
      </c>
    </row>
    <row r="17" spans="1:13" x14ac:dyDescent="0.3">
      <c r="A17" t="s">
        <v>0</v>
      </c>
      <c r="B17" t="s">
        <v>1</v>
      </c>
      <c r="C17" t="s">
        <v>2</v>
      </c>
      <c r="D17" t="s">
        <v>56</v>
      </c>
      <c r="E17" s="1" t="s">
        <v>57</v>
      </c>
      <c r="F17" t="s">
        <v>58</v>
      </c>
      <c r="G17">
        <v>5576</v>
      </c>
      <c r="H17">
        <v>3269</v>
      </c>
      <c r="I17" s="5">
        <f t="shared" si="0"/>
        <v>0.58626255380200865</v>
      </c>
      <c r="J17" s="2">
        <v>0.7</v>
      </c>
      <c r="K17" s="4">
        <v>9.8699999999999992</v>
      </c>
      <c r="L17">
        <f t="shared" si="1"/>
        <v>634</v>
      </c>
      <c r="M17" s="7">
        <f t="shared" si="2"/>
        <v>6257.58</v>
      </c>
    </row>
    <row r="18" spans="1:13" x14ac:dyDescent="0.3">
      <c r="A18" t="s">
        <v>0</v>
      </c>
      <c r="B18" t="s">
        <v>1</v>
      </c>
      <c r="C18" t="s">
        <v>17</v>
      </c>
      <c r="D18" t="s">
        <v>18</v>
      </c>
      <c r="E18" s="1" t="s">
        <v>59</v>
      </c>
      <c r="F18" t="s">
        <v>60</v>
      </c>
      <c r="G18">
        <v>6175</v>
      </c>
      <c r="H18">
        <v>2423</v>
      </c>
      <c r="I18" s="5">
        <f t="shared" si="0"/>
        <v>0.39238866396761135</v>
      </c>
      <c r="J18" s="2">
        <v>0.7</v>
      </c>
      <c r="K18" s="4">
        <v>8.69</v>
      </c>
      <c r="L18">
        <f t="shared" si="1"/>
        <v>1900</v>
      </c>
      <c r="M18" s="7">
        <f t="shared" si="2"/>
        <v>16511</v>
      </c>
    </row>
    <row r="19" spans="1:13" x14ac:dyDescent="0.3">
      <c r="A19" t="s">
        <v>0</v>
      </c>
      <c r="B19" t="s">
        <v>1</v>
      </c>
      <c r="C19" t="s">
        <v>21</v>
      </c>
      <c r="D19" t="s">
        <v>61</v>
      </c>
      <c r="E19" s="1" t="s">
        <v>62</v>
      </c>
      <c r="F19" t="s">
        <v>63</v>
      </c>
      <c r="G19">
        <v>2897</v>
      </c>
      <c r="H19">
        <v>1481</v>
      </c>
      <c r="I19" s="5">
        <f t="shared" si="0"/>
        <v>0.5112185018985157</v>
      </c>
      <c r="J19" s="2">
        <v>0.7</v>
      </c>
      <c r="K19" s="4">
        <v>8.6199999999999992</v>
      </c>
      <c r="L19">
        <f t="shared" si="1"/>
        <v>547</v>
      </c>
      <c r="M19" s="7">
        <f t="shared" si="2"/>
        <v>4715.1399999999994</v>
      </c>
    </row>
    <row r="20" spans="1:13" x14ac:dyDescent="0.3">
      <c r="A20" t="s">
        <v>0</v>
      </c>
      <c r="B20" t="s">
        <v>1</v>
      </c>
      <c r="C20" t="s">
        <v>2</v>
      </c>
      <c r="D20" t="s">
        <v>64</v>
      </c>
      <c r="E20" s="1" t="s">
        <v>65</v>
      </c>
      <c r="F20" t="s">
        <v>66</v>
      </c>
      <c r="G20">
        <v>5517</v>
      </c>
      <c r="H20">
        <v>2793</v>
      </c>
      <c r="I20" s="5">
        <f t="shared" si="0"/>
        <v>0.50625339858618812</v>
      </c>
      <c r="J20" s="2">
        <v>0.7</v>
      </c>
      <c r="K20" s="4">
        <v>8.66</v>
      </c>
      <c r="L20">
        <f t="shared" si="1"/>
        <v>1069</v>
      </c>
      <c r="M20" s="7">
        <f t="shared" si="2"/>
        <v>9257.5400000000009</v>
      </c>
    </row>
    <row r="21" spans="1:13" x14ac:dyDescent="0.3">
      <c r="A21" t="s">
        <v>0</v>
      </c>
      <c r="B21" t="s">
        <v>1</v>
      </c>
      <c r="C21" t="s">
        <v>17</v>
      </c>
      <c r="D21" t="s">
        <v>67</v>
      </c>
      <c r="E21" s="1" t="s">
        <v>68</v>
      </c>
      <c r="F21" t="s">
        <v>69</v>
      </c>
      <c r="G21">
        <v>570</v>
      </c>
      <c r="H21">
        <v>217</v>
      </c>
      <c r="I21" s="5">
        <f t="shared" si="0"/>
        <v>0.38070175438596493</v>
      </c>
      <c r="J21" s="2">
        <v>0.7</v>
      </c>
      <c r="K21" s="4">
        <v>9.9700000000000006</v>
      </c>
      <c r="L21">
        <f t="shared" si="1"/>
        <v>182</v>
      </c>
      <c r="M21" s="7">
        <f t="shared" si="2"/>
        <v>1814.5400000000002</v>
      </c>
    </row>
    <row r="22" spans="1:13" x14ac:dyDescent="0.3">
      <c r="A22" t="s">
        <v>0</v>
      </c>
      <c r="B22" t="s">
        <v>1</v>
      </c>
      <c r="C22" t="s">
        <v>70</v>
      </c>
      <c r="D22" t="s">
        <v>71</v>
      </c>
      <c r="E22" s="1" t="s">
        <v>72</v>
      </c>
      <c r="F22" t="s">
        <v>73</v>
      </c>
      <c r="G22">
        <v>2333</v>
      </c>
      <c r="H22">
        <v>1286</v>
      </c>
      <c r="I22" s="5">
        <f t="shared" si="0"/>
        <v>0.5512216030861552</v>
      </c>
      <c r="J22" s="2">
        <v>0.7</v>
      </c>
      <c r="K22" s="4">
        <v>9.17</v>
      </c>
      <c r="L22">
        <f t="shared" si="1"/>
        <v>347</v>
      </c>
      <c r="M22" s="7">
        <f t="shared" si="2"/>
        <v>3181.99</v>
      </c>
    </row>
    <row r="23" spans="1:13" x14ac:dyDescent="0.3">
      <c r="A23" t="s">
        <v>0</v>
      </c>
      <c r="B23" t="s">
        <v>1</v>
      </c>
      <c r="C23" t="s">
        <v>40</v>
      </c>
      <c r="D23" t="s">
        <v>41</v>
      </c>
      <c r="E23" s="1" t="s">
        <v>77</v>
      </c>
      <c r="F23" t="s">
        <v>78</v>
      </c>
      <c r="G23">
        <v>5014</v>
      </c>
      <c r="H23">
        <v>2978</v>
      </c>
      <c r="I23" s="5">
        <f t="shared" si="0"/>
        <v>0.59393697646589549</v>
      </c>
      <c r="J23" s="2">
        <v>0.7</v>
      </c>
      <c r="K23" s="4">
        <v>8.23</v>
      </c>
      <c r="L23">
        <f t="shared" si="1"/>
        <v>532</v>
      </c>
      <c r="M23" s="7">
        <f t="shared" si="2"/>
        <v>4378.3600000000006</v>
      </c>
    </row>
    <row r="24" spans="1:13" x14ac:dyDescent="0.3">
      <c r="A24" t="s">
        <v>0</v>
      </c>
      <c r="B24" t="s">
        <v>1</v>
      </c>
      <c r="C24" t="s">
        <v>2</v>
      </c>
      <c r="D24" t="s">
        <v>79</v>
      </c>
      <c r="E24" s="1" t="s">
        <v>80</v>
      </c>
      <c r="F24" t="s">
        <v>81</v>
      </c>
      <c r="G24">
        <v>3853</v>
      </c>
      <c r="H24">
        <v>2026</v>
      </c>
      <c r="I24" s="5">
        <f t="shared" si="0"/>
        <v>0.5258240332208669</v>
      </c>
      <c r="J24" s="2">
        <v>0.7</v>
      </c>
      <c r="K24" s="4">
        <v>7.47</v>
      </c>
      <c r="L24">
        <f t="shared" si="1"/>
        <v>671</v>
      </c>
      <c r="M24" s="7">
        <f t="shared" si="2"/>
        <v>5012.37</v>
      </c>
    </row>
    <row r="25" spans="1:13" x14ac:dyDescent="0.3">
      <c r="A25" t="s">
        <v>0</v>
      </c>
      <c r="B25" t="s">
        <v>1</v>
      </c>
      <c r="C25" t="s">
        <v>40</v>
      </c>
      <c r="D25" t="s">
        <v>85</v>
      </c>
      <c r="E25" s="1" t="s">
        <v>86</v>
      </c>
      <c r="F25" t="s">
        <v>87</v>
      </c>
      <c r="G25">
        <v>2369</v>
      </c>
      <c r="H25">
        <v>1270</v>
      </c>
      <c r="I25" s="5">
        <f t="shared" si="0"/>
        <v>0.53609117771211479</v>
      </c>
      <c r="J25" s="2">
        <v>0.7</v>
      </c>
      <c r="K25" s="4">
        <v>8.43</v>
      </c>
      <c r="L25">
        <f t="shared" si="1"/>
        <v>388</v>
      </c>
      <c r="M25" s="7">
        <f t="shared" si="2"/>
        <v>3270.8399999999997</v>
      </c>
    </row>
    <row r="26" spans="1:13" x14ac:dyDescent="0.3">
      <c r="A26" t="s">
        <v>0</v>
      </c>
      <c r="B26" t="s">
        <v>1</v>
      </c>
      <c r="C26" t="s">
        <v>88</v>
      </c>
      <c r="D26" t="s">
        <v>89</v>
      </c>
      <c r="E26" s="1" t="s">
        <v>90</v>
      </c>
      <c r="F26" t="s">
        <v>91</v>
      </c>
      <c r="G26">
        <v>2911</v>
      </c>
      <c r="H26">
        <v>1659</v>
      </c>
      <c r="I26" s="5">
        <f t="shared" si="0"/>
        <v>0.56990724836825835</v>
      </c>
      <c r="J26" s="2">
        <v>0.7</v>
      </c>
      <c r="K26" s="4">
        <v>6.96</v>
      </c>
      <c r="L26">
        <f t="shared" si="1"/>
        <v>379</v>
      </c>
      <c r="M26" s="7">
        <f t="shared" si="2"/>
        <v>2637.84</v>
      </c>
    </row>
    <row r="27" spans="1:13" x14ac:dyDescent="0.3">
      <c r="A27" t="s">
        <v>0</v>
      </c>
      <c r="B27" t="s">
        <v>1</v>
      </c>
      <c r="C27" t="s">
        <v>48</v>
      </c>
      <c r="D27" t="s">
        <v>92</v>
      </c>
      <c r="E27" s="1" t="s">
        <v>93</v>
      </c>
      <c r="F27" t="s">
        <v>94</v>
      </c>
      <c r="G27">
        <v>3679</v>
      </c>
      <c r="H27">
        <v>2149</v>
      </c>
      <c r="I27" s="5">
        <f t="shared" si="0"/>
        <v>0.58412612122859475</v>
      </c>
      <c r="J27" s="2">
        <v>0.7</v>
      </c>
      <c r="K27" s="4">
        <v>7.08</v>
      </c>
      <c r="L27">
        <f t="shared" si="1"/>
        <v>426</v>
      </c>
      <c r="M27" s="7">
        <f t="shared" si="2"/>
        <v>3016.08</v>
      </c>
    </row>
    <row r="28" spans="1:13" x14ac:dyDescent="0.3">
      <c r="A28" t="s">
        <v>0</v>
      </c>
      <c r="B28" t="s">
        <v>1</v>
      </c>
      <c r="C28" t="s">
        <v>2</v>
      </c>
      <c r="D28" t="s">
        <v>95</v>
      </c>
      <c r="E28" s="1" t="s">
        <v>96</v>
      </c>
      <c r="F28" t="s">
        <v>97</v>
      </c>
      <c r="G28">
        <v>1720</v>
      </c>
      <c r="H28">
        <v>758</v>
      </c>
      <c r="I28" s="5">
        <f t="shared" si="0"/>
        <v>0.44069767441860463</v>
      </c>
      <c r="J28" s="2">
        <v>0.7</v>
      </c>
      <c r="K28" s="4">
        <v>9.1</v>
      </c>
      <c r="L28">
        <f t="shared" si="1"/>
        <v>446</v>
      </c>
      <c r="M28" s="7">
        <f t="shared" si="2"/>
        <v>4058.6</v>
      </c>
    </row>
    <row r="29" spans="1:13" x14ac:dyDescent="0.3">
      <c r="A29" t="s">
        <v>0</v>
      </c>
      <c r="B29" t="s">
        <v>1</v>
      </c>
      <c r="C29" t="s">
        <v>2</v>
      </c>
      <c r="D29" t="s">
        <v>98</v>
      </c>
      <c r="E29" s="1" t="s">
        <v>99</v>
      </c>
      <c r="F29" t="s">
        <v>100</v>
      </c>
      <c r="G29">
        <v>3481</v>
      </c>
      <c r="H29">
        <v>2004</v>
      </c>
      <c r="I29" s="5">
        <f t="shared" si="0"/>
        <v>0.57569663889686873</v>
      </c>
      <c r="J29" s="2">
        <v>0.7</v>
      </c>
      <c r="K29" s="4">
        <v>7.87</v>
      </c>
      <c r="L29">
        <f t="shared" si="1"/>
        <v>433</v>
      </c>
      <c r="M29" s="7">
        <f t="shared" si="2"/>
        <v>3407.71</v>
      </c>
    </row>
    <row r="30" spans="1:13" x14ac:dyDescent="0.3">
      <c r="A30" t="s">
        <v>0</v>
      </c>
      <c r="B30" t="s">
        <v>1</v>
      </c>
      <c r="C30" t="s">
        <v>101</v>
      </c>
      <c r="D30" t="s">
        <v>102</v>
      </c>
      <c r="E30" s="1" t="s">
        <v>103</v>
      </c>
      <c r="F30" t="s">
        <v>104</v>
      </c>
      <c r="G30">
        <v>3243</v>
      </c>
      <c r="H30">
        <v>1940</v>
      </c>
      <c r="I30" s="5">
        <f t="shared" si="0"/>
        <v>0.59821153253160653</v>
      </c>
      <c r="J30" s="2">
        <v>0.7</v>
      </c>
      <c r="K30" s="4">
        <v>6.67</v>
      </c>
      <c r="L30">
        <f t="shared" si="1"/>
        <v>330</v>
      </c>
      <c r="M30" s="7">
        <f t="shared" si="2"/>
        <v>2201.1</v>
      </c>
    </row>
    <row r="31" spans="1:13" x14ac:dyDescent="0.3">
      <c r="A31" t="s">
        <v>0</v>
      </c>
      <c r="B31" t="s">
        <v>1</v>
      </c>
      <c r="C31" t="s">
        <v>21</v>
      </c>
      <c r="D31" t="s">
        <v>105</v>
      </c>
      <c r="E31" s="1" t="s">
        <v>106</v>
      </c>
      <c r="F31" t="s">
        <v>107</v>
      </c>
      <c r="G31">
        <v>2602</v>
      </c>
      <c r="H31">
        <v>1471</v>
      </c>
      <c r="I31" s="5">
        <f t="shared" si="0"/>
        <v>0.56533435818601074</v>
      </c>
      <c r="J31" s="2">
        <v>0.7</v>
      </c>
      <c r="K31" s="4">
        <v>8.6999999999999993</v>
      </c>
      <c r="L31">
        <f t="shared" si="1"/>
        <v>350</v>
      </c>
      <c r="M31" s="7">
        <f t="shared" si="2"/>
        <v>3044.9999999999995</v>
      </c>
    </row>
    <row r="32" spans="1:13" x14ac:dyDescent="0.3">
      <c r="A32" t="s">
        <v>0</v>
      </c>
      <c r="B32" t="s">
        <v>1</v>
      </c>
      <c r="C32" t="s">
        <v>2</v>
      </c>
      <c r="D32" t="s">
        <v>108</v>
      </c>
      <c r="E32" s="1" t="s">
        <v>109</v>
      </c>
      <c r="F32" t="s">
        <v>110</v>
      </c>
      <c r="G32">
        <v>4290</v>
      </c>
      <c r="H32">
        <v>1839</v>
      </c>
      <c r="I32" s="5">
        <f t="shared" si="0"/>
        <v>0.42867132867132868</v>
      </c>
      <c r="J32" s="2">
        <v>0.7</v>
      </c>
      <c r="K32" s="4">
        <v>8.35</v>
      </c>
      <c r="L32">
        <f t="shared" si="1"/>
        <v>1164</v>
      </c>
      <c r="M32" s="7">
        <f t="shared" si="2"/>
        <v>9719.4</v>
      </c>
    </row>
    <row r="33" spans="1:13" x14ac:dyDescent="0.3">
      <c r="A33" t="s">
        <v>0</v>
      </c>
      <c r="B33" t="s">
        <v>1</v>
      </c>
      <c r="C33" t="s">
        <v>74</v>
      </c>
      <c r="D33" t="s">
        <v>111</v>
      </c>
      <c r="E33" s="1" t="s">
        <v>112</v>
      </c>
      <c r="F33" t="s">
        <v>113</v>
      </c>
      <c r="G33">
        <v>4323</v>
      </c>
      <c r="H33">
        <v>2368</v>
      </c>
      <c r="I33" s="5">
        <f t="shared" si="0"/>
        <v>0.54776775387462406</v>
      </c>
      <c r="J33" s="2">
        <v>0.7</v>
      </c>
      <c r="K33" s="4">
        <v>8.2899999999999991</v>
      </c>
      <c r="L33">
        <f t="shared" si="1"/>
        <v>658</v>
      </c>
      <c r="M33" s="7">
        <f t="shared" si="2"/>
        <v>5454.82</v>
      </c>
    </row>
    <row r="34" spans="1:13" x14ac:dyDescent="0.3">
      <c r="A34" t="s">
        <v>0</v>
      </c>
      <c r="B34" t="s">
        <v>1</v>
      </c>
      <c r="C34" t="s">
        <v>2</v>
      </c>
      <c r="D34" t="s">
        <v>3</v>
      </c>
      <c r="E34" s="1" t="s">
        <v>114</v>
      </c>
      <c r="F34" t="s">
        <v>115</v>
      </c>
      <c r="G34">
        <v>1357</v>
      </c>
      <c r="H34">
        <v>546</v>
      </c>
      <c r="I34" s="5">
        <f t="shared" si="0"/>
        <v>0.40235814296241712</v>
      </c>
      <c r="J34" s="2">
        <v>0.7</v>
      </c>
      <c r="K34" s="4">
        <v>9.58</v>
      </c>
      <c r="L34">
        <f t="shared" si="1"/>
        <v>404</v>
      </c>
      <c r="M34" s="7">
        <f t="shared" si="2"/>
        <v>3870.32</v>
      </c>
    </row>
    <row r="35" spans="1:13" x14ac:dyDescent="0.3">
      <c r="A35" t="s">
        <v>0</v>
      </c>
      <c r="B35" t="s">
        <v>1</v>
      </c>
      <c r="C35" t="s">
        <v>17</v>
      </c>
      <c r="D35" t="s">
        <v>18</v>
      </c>
      <c r="E35" s="1" t="s">
        <v>116</v>
      </c>
      <c r="F35" t="s">
        <v>117</v>
      </c>
      <c r="G35">
        <v>3536</v>
      </c>
      <c r="H35">
        <v>1854</v>
      </c>
      <c r="I35" s="5">
        <f t="shared" si="0"/>
        <v>0.52432126696832582</v>
      </c>
      <c r="J35" s="2">
        <v>0.7</v>
      </c>
      <c r="K35" s="4">
        <v>8.32</v>
      </c>
      <c r="L35">
        <f t="shared" si="1"/>
        <v>621</v>
      </c>
      <c r="M35" s="7">
        <f t="shared" si="2"/>
        <v>5166.72</v>
      </c>
    </row>
    <row r="36" spans="1:13" x14ac:dyDescent="0.3">
      <c r="A36" t="s">
        <v>0</v>
      </c>
      <c r="B36" t="s">
        <v>1</v>
      </c>
      <c r="C36" t="s">
        <v>2</v>
      </c>
      <c r="D36" t="s">
        <v>3</v>
      </c>
      <c r="E36" s="1" t="s">
        <v>119</v>
      </c>
      <c r="F36" t="s">
        <v>120</v>
      </c>
      <c r="G36">
        <v>6583</v>
      </c>
      <c r="H36">
        <v>4143</v>
      </c>
      <c r="I36" s="5">
        <f t="shared" si="0"/>
        <v>0.62934832143399666</v>
      </c>
      <c r="J36" s="2">
        <v>0.7</v>
      </c>
      <c r="K36" s="4">
        <v>8.3699999999999992</v>
      </c>
      <c r="L36">
        <f t="shared" si="1"/>
        <v>465</v>
      </c>
      <c r="M36" s="7">
        <f t="shared" si="2"/>
        <v>3892.0499999999997</v>
      </c>
    </row>
    <row r="37" spans="1:13" x14ac:dyDescent="0.3">
      <c r="A37" t="s">
        <v>0</v>
      </c>
      <c r="B37" t="s">
        <v>1</v>
      </c>
      <c r="C37" t="s">
        <v>21</v>
      </c>
      <c r="D37" t="s">
        <v>121</v>
      </c>
      <c r="E37" s="1" t="s">
        <v>122</v>
      </c>
      <c r="F37" t="s">
        <v>123</v>
      </c>
      <c r="G37">
        <v>4944</v>
      </c>
      <c r="H37">
        <v>2141</v>
      </c>
      <c r="I37" s="5">
        <f t="shared" si="0"/>
        <v>0.43305016181229772</v>
      </c>
      <c r="J37" s="2">
        <v>0.7</v>
      </c>
      <c r="K37" s="4">
        <v>9.66</v>
      </c>
      <c r="L37">
        <f t="shared" si="1"/>
        <v>1320</v>
      </c>
      <c r="M37" s="7">
        <f t="shared" si="2"/>
        <v>12751.2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s="1" t="s">
        <v>124</v>
      </c>
      <c r="F38" t="s">
        <v>125</v>
      </c>
      <c r="G38">
        <v>2514</v>
      </c>
      <c r="H38">
        <v>1058</v>
      </c>
      <c r="I38" s="5">
        <f t="shared" si="0"/>
        <v>0.42084327764518698</v>
      </c>
      <c r="J38" s="2">
        <v>0.7</v>
      </c>
      <c r="K38" s="4">
        <v>8.51</v>
      </c>
      <c r="L38">
        <f t="shared" si="1"/>
        <v>702</v>
      </c>
      <c r="M38" s="7">
        <f t="shared" si="2"/>
        <v>5974.0199999999995</v>
      </c>
    </row>
    <row r="39" spans="1:13" x14ac:dyDescent="0.3">
      <c r="A39" t="s">
        <v>0</v>
      </c>
      <c r="B39" t="s">
        <v>1</v>
      </c>
      <c r="C39" t="s">
        <v>21</v>
      </c>
      <c r="D39" t="s">
        <v>126</v>
      </c>
      <c r="E39" s="1" t="s">
        <v>127</v>
      </c>
      <c r="F39" t="s">
        <v>128</v>
      </c>
      <c r="G39">
        <v>3862</v>
      </c>
      <c r="H39">
        <v>2061</v>
      </c>
      <c r="I39" s="5">
        <f t="shared" si="0"/>
        <v>0.53366131538063177</v>
      </c>
      <c r="J39" s="2">
        <v>0.7</v>
      </c>
      <c r="K39" s="4">
        <v>8.99</v>
      </c>
      <c r="L39">
        <f t="shared" si="1"/>
        <v>642</v>
      </c>
      <c r="M39" s="7">
        <f t="shared" si="2"/>
        <v>5771.58</v>
      </c>
    </row>
    <row r="40" spans="1:13" x14ac:dyDescent="0.3">
      <c r="A40" t="s">
        <v>0</v>
      </c>
      <c r="B40" t="s">
        <v>1</v>
      </c>
      <c r="C40" t="s">
        <v>70</v>
      </c>
      <c r="D40" t="s">
        <v>71</v>
      </c>
      <c r="E40" s="1" t="s">
        <v>129</v>
      </c>
      <c r="F40" t="s">
        <v>130</v>
      </c>
      <c r="G40">
        <v>4321</v>
      </c>
      <c r="H40">
        <v>2274</v>
      </c>
      <c r="I40" s="5">
        <f t="shared" si="0"/>
        <v>0.52626706780837773</v>
      </c>
      <c r="J40" s="2">
        <v>0.7</v>
      </c>
      <c r="K40" s="4">
        <v>8.3699999999999992</v>
      </c>
      <c r="L40">
        <f t="shared" si="1"/>
        <v>751</v>
      </c>
      <c r="M40" s="7">
        <f t="shared" si="2"/>
        <v>6285.869999999999</v>
      </c>
    </row>
    <row r="41" spans="1:13" x14ac:dyDescent="0.3">
      <c r="A41" t="s">
        <v>0</v>
      </c>
      <c r="B41" t="s">
        <v>1</v>
      </c>
      <c r="C41" t="s">
        <v>40</v>
      </c>
      <c r="D41" t="s">
        <v>41</v>
      </c>
      <c r="E41" s="1" t="s">
        <v>131</v>
      </c>
      <c r="F41" t="s">
        <v>132</v>
      </c>
      <c r="G41">
        <v>4863</v>
      </c>
      <c r="H41">
        <v>2710</v>
      </c>
      <c r="I41" s="5">
        <f t="shared" si="0"/>
        <v>0.55726917540612786</v>
      </c>
      <c r="J41" s="2">
        <v>0.7</v>
      </c>
      <c r="K41" s="4">
        <v>8.27</v>
      </c>
      <c r="L41">
        <f t="shared" si="1"/>
        <v>694</v>
      </c>
      <c r="M41" s="7">
        <f t="shared" si="2"/>
        <v>5739.38</v>
      </c>
    </row>
    <row r="42" spans="1:13" x14ac:dyDescent="0.3">
      <c r="A42" t="s">
        <v>0</v>
      </c>
      <c r="B42" t="s">
        <v>1</v>
      </c>
      <c r="C42" t="s">
        <v>6</v>
      </c>
      <c r="D42" t="s">
        <v>133</v>
      </c>
      <c r="E42" s="1" t="s">
        <v>134</v>
      </c>
      <c r="F42" t="s">
        <v>135</v>
      </c>
      <c r="G42">
        <v>1922</v>
      </c>
      <c r="H42">
        <v>906</v>
      </c>
      <c r="I42" s="5">
        <f t="shared" si="0"/>
        <v>0.47138397502601459</v>
      </c>
      <c r="J42" s="2">
        <v>0.7</v>
      </c>
      <c r="K42" s="4">
        <v>8.02</v>
      </c>
      <c r="L42">
        <f t="shared" si="1"/>
        <v>439</v>
      </c>
      <c r="M42" s="7">
        <f t="shared" si="2"/>
        <v>3520.7799999999997</v>
      </c>
    </row>
    <row r="43" spans="1:13" x14ac:dyDescent="0.3">
      <c r="A43" t="s">
        <v>0</v>
      </c>
      <c r="B43" t="s">
        <v>1</v>
      </c>
      <c r="C43" t="s">
        <v>48</v>
      </c>
      <c r="D43" t="s">
        <v>137</v>
      </c>
      <c r="E43" s="1" t="s">
        <v>138</v>
      </c>
      <c r="F43" t="s">
        <v>139</v>
      </c>
      <c r="G43">
        <v>1639</v>
      </c>
      <c r="H43">
        <v>819</v>
      </c>
      <c r="I43" s="5">
        <f t="shared" si="0"/>
        <v>0.49969493593654668</v>
      </c>
      <c r="J43" s="2">
        <v>0.7</v>
      </c>
      <c r="K43" s="4">
        <v>7.07</v>
      </c>
      <c r="L43">
        <f t="shared" si="1"/>
        <v>328</v>
      </c>
      <c r="M43" s="7">
        <f t="shared" si="2"/>
        <v>2318.96</v>
      </c>
    </row>
    <row r="44" spans="1:13" x14ac:dyDescent="0.3">
      <c r="A44" t="s">
        <v>0</v>
      </c>
      <c r="B44" t="s">
        <v>1</v>
      </c>
      <c r="C44" t="s">
        <v>17</v>
      </c>
      <c r="D44" t="s">
        <v>82</v>
      </c>
      <c r="E44" s="1" t="s">
        <v>140</v>
      </c>
      <c r="F44" t="s">
        <v>141</v>
      </c>
      <c r="G44">
        <v>3879</v>
      </c>
      <c r="H44">
        <v>1861</v>
      </c>
      <c r="I44" s="5">
        <f t="shared" si="0"/>
        <v>0.4797628254704821</v>
      </c>
      <c r="J44" s="2">
        <v>0.7</v>
      </c>
      <c r="K44" s="4">
        <v>7.8</v>
      </c>
      <c r="L44">
        <f t="shared" si="1"/>
        <v>854</v>
      </c>
      <c r="M44" s="7">
        <f t="shared" si="2"/>
        <v>6661.2</v>
      </c>
    </row>
    <row r="45" spans="1:13" x14ac:dyDescent="0.3">
      <c r="A45" t="s">
        <v>0</v>
      </c>
      <c r="B45" t="s">
        <v>1</v>
      </c>
      <c r="C45" t="s">
        <v>17</v>
      </c>
      <c r="D45" t="s">
        <v>142</v>
      </c>
      <c r="E45" s="1" t="s">
        <v>143</v>
      </c>
      <c r="F45" t="s">
        <v>144</v>
      </c>
      <c r="G45">
        <v>4163</v>
      </c>
      <c r="H45">
        <v>2266</v>
      </c>
      <c r="I45" s="5">
        <f t="shared" si="0"/>
        <v>0.54431900072063411</v>
      </c>
      <c r="J45" s="2">
        <v>0.7</v>
      </c>
      <c r="K45" s="4">
        <v>8.23</v>
      </c>
      <c r="L45">
        <f t="shared" si="1"/>
        <v>648</v>
      </c>
      <c r="M45" s="7">
        <f t="shared" si="2"/>
        <v>5333.04</v>
      </c>
    </row>
    <row r="46" spans="1:13" x14ac:dyDescent="0.3">
      <c r="A46" t="s">
        <v>0</v>
      </c>
      <c r="B46" t="s">
        <v>1</v>
      </c>
      <c r="C46" t="s">
        <v>101</v>
      </c>
      <c r="D46" t="s">
        <v>145</v>
      </c>
      <c r="E46" s="1" t="s">
        <v>146</v>
      </c>
      <c r="F46" t="s">
        <v>147</v>
      </c>
      <c r="G46">
        <v>1426</v>
      </c>
      <c r="H46">
        <v>799</v>
      </c>
      <c r="I46" s="5">
        <f t="shared" si="0"/>
        <v>0.56030855539971947</v>
      </c>
      <c r="J46" s="2">
        <v>0.7</v>
      </c>
      <c r="K46" s="4">
        <v>8.33</v>
      </c>
      <c r="L46">
        <f t="shared" si="1"/>
        <v>199</v>
      </c>
      <c r="M46" s="7">
        <f t="shared" si="2"/>
        <v>1657.67</v>
      </c>
    </row>
    <row r="47" spans="1:13" x14ac:dyDescent="0.3">
      <c r="A47" t="s">
        <v>0</v>
      </c>
      <c r="B47" t="s">
        <v>1</v>
      </c>
      <c r="C47" t="s">
        <v>36</v>
      </c>
      <c r="D47" t="s">
        <v>148</v>
      </c>
      <c r="E47" s="1" t="s">
        <v>149</v>
      </c>
      <c r="F47" t="s">
        <v>150</v>
      </c>
      <c r="G47">
        <v>5516</v>
      </c>
      <c r="H47">
        <v>3059</v>
      </c>
      <c r="I47" s="5">
        <f t="shared" si="0"/>
        <v>0.55456852791878175</v>
      </c>
      <c r="J47" s="2">
        <v>0.7</v>
      </c>
      <c r="K47" s="4">
        <v>7.79</v>
      </c>
      <c r="L47">
        <f t="shared" si="1"/>
        <v>802</v>
      </c>
      <c r="M47" s="7">
        <f t="shared" si="2"/>
        <v>6247.58</v>
      </c>
    </row>
    <row r="48" spans="1:13" x14ac:dyDescent="0.3">
      <c r="A48" t="s">
        <v>0</v>
      </c>
      <c r="B48" t="s">
        <v>1</v>
      </c>
      <c r="C48" t="s">
        <v>17</v>
      </c>
      <c r="D48" t="s">
        <v>18</v>
      </c>
      <c r="E48" s="1" t="s">
        <v>151</v>
      </c>
      <c r="F48" t="s">
        <v>152</v>
      </c>
      <c r="G48">
        <v>4536</v>
      </c>
      <c r="H48">
        <v>2398</v>
      </c>
      <c r="I48" s="5">
        <f t="shared" si="0"/>
        <v>0.52865961199294531</v>
      </c>
      <c r="J48" s="2">
        <v>0.7</v>
      </c>
      <c r="K48" s="4">
        <v>7.73</v>
      </c>
      <c r="L48">
        <f t="shared" si="1"/>
        <v>777</v>
      </c>
      <c r="M48" s="7">
        <f t="shared" si="2"/>
        <v>6006.21</v>
      </c>
    </row>
    <row r="49" spans="1:13" x14ac:dyDescent="0.3">
      <c r="A49" t="s">
        <v>0</v>
      </c>
      <c r="B49" t="s">
        <v>1</v>
      </c>
      <c r="C49" t="s">
        <v>36</v>
      </c>
      <c r="D49" t="s">
        <v>154</v>
      </c>
      <c r="E49" s="1" t="s">
        <v>155</v>
      </c>
      <c r="F49" t="s">
        <v>156</v>
      </c>
      <c r="G49">
        <v>1166</v>
      </c>
      <c r="H49">
        <v>485</v>
      </c>
      <c r="I49" s="5">
        <f t="shared" si="0"/>
        <v>0.41595197255574612</v>
      </c>
      <c r="J49" s="2">
        <v>0.7</v>
      </c>
      <c r="K49" s="4">
        <v>9.4499999999999993</v>
      </c>
      <c r="L49">
        <f t="shared" si="1"/>
        <v>331</v>
      </c>
      <c r="M49" s="7">
        <f t="shared" si="2"/>
        <v>3127.95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s="1" t="s">
        <v>157</v>
      </c>
      <c r="F50" t="s">
        <v>158</v>
      </c>
      <c r="G50">
        <v>5393</v>
      </c>
      <c r="H50">
        <v>3079</v>
      </c>
      <c r="I50" s="5">
        <f t="shared" si="0"/>
        <v>0.57092527350268862</v>
      </c>
      <c r="J50" s="2">
        <v>0.7</v>
      </c>
      <c r="K50" s="4">
        <v>7.14</v>
      </c>
      <c r="L50">
        <f t="shared" si="1"/>
        <v>696</v>
      </c>
      <c r="M50" s="7">
        <f t="shared" si="2"/>
        <v>4969.4399999999996</v>
      </c>
    </row>
    <row r="51" spans="1:13" x14ac:dyDescent="0.3">
      <c r="A51" t="s">
        <v>0</v>
      </c>
      <c r="B51" t="s">
        <v>1</v>
      </c>
      <c r="C51" t="s">
        <v>2</v>
      </c>
      <c r="D51" t="s">
        <v>160</v>
      </c>
      <c r="E51" s="1" t="s">
        <v>161</v>
      </c>
      <c r="F51" t="s">
        <v>162</v>
      </c>
      <c r="G51">
        <v>2097</v>
      </c>
      <c r="H51">
        <v>1046</v>
      </c>
      <c r="I51" s="5">
        <f t="shared" si="0"/>
        <v>0.4988078206962327</v>
      </c>
      <c r="J51" s="2">
        <v>0.7</v>
      </c>
      <c r="K51" s="4">
        <v>8.99</v>
      </c>
      <c r="L51">
        <f t="shared" si="1"/>
        <v>422</v>
      </c>
      <c r="M51" s="7">
        <f t="shared" si="2"/>
        <v>3793.78</v>
      </c>
    </row>
    <row r="52" spans="1:13" x14ac:dyDescent="0.3">
      <c r="A52" t="s">
        <v>0</v>
      </c>
      <c r="B52" t="s">
        <v>1</v>
      </c>
      <c r="C52" t="s">
        <v>163</v>
      </c>
      <c r="D52" t="s">
        <v>164</v>
      </c>
      <c r="E52" s="1" t="s">
        <v>165</v>
      </c>
      <c r="F52" t="s">
        <v>166</v>
      </c>
      <c r="G52">
        <v>4218</v>
      </c>
      <c r="H52">
        <v>2349</v>
      </c>
      <c r="I52" s="5">
        <f t="shared" si="0"/>
        <v>0.55689900426742533</v>
      </c>
      <c r="J52" s="2">
        <v>0.7</v>
      </c>
      <c r="K52" s="4">
        <v>7.43</v>
      </c>
      <c r="L52">
        <f t="shared" si="1"/>
        <v>604</v>
      </c>
      <c r="M52" s="7">
        <f t="shared" si="2"/>
        <v>4487.72</v>
      </c>
    </row>
    <row r="53" spans="1:13" x14ac:dyDescent="0.3">
      <c r="A53" t="s">
        <v>0</v>
      </c>
      <c r="B53" t="s">
        <v>1</v>
      </c>
      <c r="C53" t="s">
        <v>17</v>
      </c>
      <c r="D53" t="s">
        <v>82</v>
      </c>
      <c r="E53" s="1" t="s">
        <v>167</v>
      </c>
      <c r="F53" t="s">
        <v>168</v>
      </c>
      <c r="G53">
        <v>2680</v>
      </c>
      <c r="H53">
        <v>900</v>
      </c>
      <c r="I53" s="5">
        <f t="shared" si="0"/>
        <v>0.33582089552238809</v>
      </c>
      <c r="J53" s="2">
        <v>0.7</v>
      </c>
      <c r="K53" s="4">
        <v>8.33</v>
      </c>
      <c r="L53">
        <f t="shared" si="1"/>
        <v>976</v>
      </c>
      <c r="M53" s="7">
        <f t="shared" si="2"/>
        <v>8130.08</v>
      </c>
    </row>
    <row r="54" spans="1:13" x14ac:dyDescent="0.3">
      <c r="A54" t="s">
        <v>0</v>
      </c>
      <c r="B54" t="s">
        <v>1</v>
      </c>
      <c r="C54" t="s">
        <v>21</v>
      </c>
      <c r="D54" t="s">
        <v>22</v>
      </c>
      <c r="E54" s="1" t="s">
        <v>169</v>
      </c>
      <c r="F54" t="s">
        <v>170</v>
      </c>
      <c r="G54">
        <v>5995</v>
      </c>
      <c r="H54">
        <v>2649</v>
      </c>
      <c r="I54" s="5">
        <f t="shared" si="0"/>
        <v>0.44186822351959965</v>
      </c>
      <c r="J54" s="2">
        <v>0.7</v>
      </c>
      <c r="K54" s="4">
        <v>8.19</v>
      </c>
      <c r="L54">
        <f t="shared" si="1"/>
        <v>1548</v>
      </c>
      <c r="M54" s="7">
        <f t="shared" si="2"/>
        <v>12678.119999999999</v>
      </c>
    </row>
    <row r="55" spans="1:13" x14ac:dyDescent="0.3">
      <c r="A55" t="s">
        <v>0</v>
      </c>
      <c r="B55" t="s">
        <v>1</v>
      </c>
      <c r="C55" t="s">
        <v>171</v>
      </c>
      <c r="D55" t="s">
        <v>172</v>
      </c>
      <c r="E55" s="1" t="s">
        <v>173</v>
      </c>
      <c r="F55" t="s">
        <v>174</v>
      </c>
      <c r="G55">
        <v>4421</v>
      </c>
      <c r="H55">
        <v>2625</v>
      </c>
      <c r="I55" s="5">
        <f t="shared" si="0"/>
        <v>0.59375706853653021</v>
      </c>
      <c r="J55" s="2">
        <v>0.7</v>
      </c>
      <c r="K55" s="4">
        <v>8.1999999999999993</v>
      </c>
      <c r="L55">
        <f t="shared" si="1"/>
        <v>470</v>
      </c>
      <c r="M55" s="7">
        <f t="shared" si="2"/>
        <v>3853.9999999999995</v>
      </c>
    </row>
    <row r="56" spans="1:13" x14ac:dyDescent="0.3">
      <c r="A56" t="s">
        <v>0</v>
      </c>
      <c r="B56" t="s">
        <v>1</v>
      </c>
      <c r="C56" t="s">
        <v>2</v>
      </c>
      <c r="D56" t="s">
        <v>30</v>
      </c>
      <c r="E56" s="1" t="s">
        <v>175</v>
      </c>
      <c r="F56" t="s">
        <v>176</v>
      </c>
      <c r="G56">
        <v>2360</v>
      </c>
      <c r="H56">
        <v>1276</v>
      </c>
      <c r="I56" s="5">
        <f t="shared" si="0"/>
        <v>0.54067796610169494</v>
      </c>
      <c r="J56" s="2">
        <v>0.7</v>
      </c>
      <c r="K56" s="4">
        <v>8.5</v>
      </c>
      <c r="L56">
        <f t="shared" si="1"/>
        <v>376</v>
      </c>
      <c r="M56" s="7">
        <f t="shared" si="2"/>
        <v>3196</v>
      </c>
    </row>
    <row r="57" spans="1:13" x14ac:dyDescent="0.3">
      <c r="A57" t="s">
        <v>0</v>
      </c>
      <c r="B57" t="s">
        <v>1</v>
      </c>
      <c r="C57" t="s">
        <v>21</v>
      </c>
      <c r="D57" t="s">
        <v>22</v>
      </c>
      <c r="E57" s="1" t="s">
        <v>177</v>
      </c>
      <c r="F57" t="s">
        <v>178</v>
      </c>
      <c r="G57">
        <v>5874</v>
      </c>
      <c r="H57">
        <v>2973</v>
      </c>
      <c r="I57" s="5">
        <f t="shared" si="0"/>
        <v>0.50612870275791622</v>
      </c>
      <c r="J57" s="2">
        <v>0.7</v>
      </c>
      <c r="K57" s="4">
        <v>8.4499999999999993</v>
      </c>
      <c r="L57">
        <f t="shared" si="1"/>
        <v>1139</v>
      </c>
      <c r="M57" s="7">
        <f t="shared" si="2"/>
        <v>9624.5499999999993</v>
      </c>
    </row>
    <row r="58" spans="1:13" x14ac:dyDescent="0.3">
      <c r="A58" t="s">
        <v>0</v>
      </c>
      <c r="B58" t="s">
        <v>1</v>
      </c>
      <c r="C58" t="s">
        <v>70</v>
      </c>
      <c r="D58" t="s">
        <v>71</v>
      </c>
      <c r="E58" s="1" t="s">
        <v>179</v>
      </c>
      <c r="F58" t="s">
        <v>180</v>
      </c>
      <c r="G58">
        <v>6840</v>
      </c>
      <c r="H58">
        <v>3521</v>
      </c>
      <c r="I58" s="5">
        <f t="shared" si="0"/>
        <v>0.51476608187134498</v>
      </c>
      <c r="J58" s="2">
        <v>0.7</v>
      </c>
      <c r="K58" s="4">
        <v>8.93</v>
      </c>
      <c r="L58">
        <f t="shared" si="1"/>
        <v>1267</v>
      </c>
      <c r="M58" s="7">
        <f t="shared" si="2"/>
        <v>11314.31</v>
      </c>
    </row>
    <row r="59" spans="1:13" x14ac:dyDescent="0.3">
      <c r="A59" t="s">
        <v>0</v>
      </c>
      <c r="B59" t="s">
        <v>1</v>
      </c>
      <c r="C59" t="s">
        <v>21</v>
      </c>
      <c r="D59" t="s">
        <v>22</v>
      </c>
      <c r="E59" s="1" t="s">
        <v>181</v>
      </c>
      <c r="F59" t="s">
        <v>182</v>
      </c>
      <c r="G59">
        <v>3364</v>
      </c>
      <c r="H59">
        <v>1313</v>
      </c>
      <c r="I59" s="5">
        <f t="shared" si="0"/>
        <v>0.39030915576694414</v>
      </c>
      <c r="J59" s="2">
        <v>0.7</v>
      </c>
      <c r="K59" s="4">
        <v>8.4600000000000009</v>
      </c>
      <c r="L59">
        <f t="shared" si="1"/>
        <v>1042</v>
      </c>
      <c r="M59" s="7">
        <f t="shared" si="2"/>
        <v>8815.3200000000015</v>
      </c>
    </row>
    <row r="60" spans="1:13" x14ac:dyDescent="0.3">
      <c r="A60" t="s">
        <v>0</v>
      </c>
      <c r="B60" t="s">
        <v>1</v>
      </c>
      <c r="C60" t="s">
        <v>83</v>
      </c>
      <c r="D60" t="s">
        <v>183</v>
      </c>
      <c r="E60" s="1" t="s">
        <v>184</v>
      </c>
      <c r="F60" t="s">
        <v>185</v>
      </c>
      <c r="G60">
        <v>1088</v>
      </c>
      <c r="H60">
        <v>520</v>
      </c>
      <c r="I60" s="5">
        <f t="shared" si="0"/>
        <v>0.47794117647058826</v>
      </c>
      <c r="J60" s="2">
        <v>0.7</v>
      </c>
      <c r="K60" s="4">
        <v>7.71</v>
      </c>
      <c r="L60">
        <f t="shared" si="1"/>
        <v>242</v>
      </c>
      <c r="M60" s="7">
        <f t="shared" si="2"/>
        <v>1865.82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s="1" t="s">
        <v>186</v>
      </c>
      <c r="F61" t="s">
        <v>187</v>
      </c>
      <c r="G61">
        <v>3733</v>
      </c>
      <c r="H61">
        <v>1698</v>
      </c>
      <c r="I61" s="5">
        <f t="shared" si="0"/>
        <v>0.45486204125368335</v>
      </c>
      <c r="J61" s="2">
        <v>0.7</v>
      </c>
      <c r="K61" s="4">
        <v>8.68</v>
      </c>
      <c r="L61">
        <f t="shared" si="1"/>
        <v>915</v>
      </c>
      <c r="M61" s="7">
        <f t="shared" si="2"/>
        <v>7942.2</v>
      </c>
    </row>
    <row r="62" spans="1:13" x14ac:dyDescent="0.3">
      <c r="A62" t="s">
        <v>0</v>
      </c>
      <c r="B62" t="s">
        <v>1</v>
      </c>
      <c r="C62" t="s">
        <v>21</v>
      </c>
      <c r="D62" t="s">
        <v>22</v>
      </c>
      <c r="E62" s="1" t="s">
        <v>189</v>
      </c>
      <c r="F62" t="s">
        <v>190</v>
      </c>
      <c r="G62">
        <v>3498</v>
      </c>
      <c r="H62">
        <v>1312</v>
      </c>
      <c r="I62" s="5">
        <f t="shared" si="0"/>
        <v>0.37507146941109204</v>
      </c>
      <c r="J62" s="2">
        <v>0.7</v>
      </c>
      <c r="K62" s="4">
        <v>8.68</v>
      </c>
      <c r="L62">
        <f t="shared" si="1"/>
        <v>1137</v>
      </c>
      <c r="M62" s="7">
        <f t="shared" si="2"/>
        <v>9869.16</v>
      </c>
    </row>
    <row r="63" spans="1:13" x14ac:dyDescent="0.3">
      <c r="A63" t="s">
        <v>0</v>
      </c>
      <c r="B63" t="s">
        <v>1</v>
      </c>
      <c r="C63" t="s">
        <v>192</v>
      </c>
      <c r="D63" t="s">
        <v>193</v>
      </c>
      <c r="E63" s="1" t="s">
        <v>194</v>
      </c>
      <c r="F63" t="s">
        <v>195</v>
      </c>
      <c r="G63">
        <v>4647</v>
      </c>
      <c r="H63">
        <v>2532</v>
      </c>
      <c r="I63" s="5">
        <f t="shared" si="0"/>
        <v>0.5448676565526146</v>
      </c>
      <c r="J63" s="2">
        <v>0.7</v>
      </c>
      <c r="K63" s="4">
        <v>8.16</v>
      </c>
      <c r="L63">
        <f t="shared" si="1"/>
        <v>721</v>
      </c>
      <c r="M63" s="7">
        <f t="shared" si="2"/>
        <v>5883.36</v>
      </c>
    </row>
    <row r="64" spans="1:13" x14ac:dyDescent="0.3">
      <c r="A64" t="s">
        <v>0</v>
      </c>
      <c r="B64" t="s">
        <v>1</v>
      </c>
      <c r="C64" t="s">
        <v>17</v>
      </c>
      <c r="D64" t="s">
        <v>18</v>
      </c>
      <c r="E64" s="1" t="s">
        <v>196</v>
      </c>
      <c r="F64" t="s">
        <v>197</v>
      </c>
      <c r="G64">
        <v>3600</v>
      </c>
      <c r="H64">
        <v>1700</v>
      </c>
      <c r="I64" s="5">
        <f t="shared" si="0"/>
        <v>0.47222222222222221</v>
      </c>
      <c r="J64" s="2">
        <v>0.7</v>
      </c>
      <c r="K64" s="4">
        <v>9.14</v>
      </c>
      <c r="L64">
        <f t="shared" si="1"/>
        <v>820</v>
      </c>
      <c r="M64" s="7">
        <f t="shared" si="2"/>
        <v>7494.8</v>
      </c>
    </row>
    <row r="65" spans="1:13" x14ac:dyDescent="0.3">
      <c r="A65" t="s">
        <v>0</v>
      </c>
      <c r="B65" t="s">
        <v>1</v>
      </c>
      <c r="C65" t="s">
        <v>17</v>
      </c>
      <c r="D65" t="s">
        <v>201</v>
      </c>
      <c r="E65" s="1" t="s">
        <v>202</v>
      </c>
      <c r="F65" t="s">
        <v>203</v>
      </c>
      <c r="G65">
        <v>3118</v>
      </c>
      <c r="H65">
        <v>1955</v>
      </c>
      <c r="I65" s="5">
        <f t="shared" si="0"/>
        <v>0.62700449005772929</v>
      </c>
      <c r="J65" s="2">
        <v>0.7</v>
      </c>
      <c r="K65" s="4">
        <v>8.89</v>
      </c>
      <c r="L65">
        <f t="shared" si="1"/>
        <v>228</v>
      </c>
      <c r="M65" s="7">
        <f t="shared" si="2"/>
        <v>2026.92</v>
      </c>
    </row>
    <row r="66" spans="1:13" x14ac:dyDescent="0.3">
      <c r="A66" t="s">
        <v>0</v>
      </c>
      <c r="B66" t="s">
        <v>1</v>
      </c>
      <c r="C66" t="s">
        <v>2</v>
      </c>
      <c r="D66" t="s">
        <v>199</v>
      </c>
      <c r="E66" s="1" t="s">
        <v>204</v>
      </c>
      <c r="F66" t="s">
        <v>205</v>
      </c>
      <c r="G66">
        <v>3945</v>
      </c>
      <c r="H66">
        <v>2252</v>
      </c>
      <c r="I66" s="5">
        <f t="shared" si="0"/>
        <v>0.57084917617237008</v>
      </c>
      <c r="J66" s="2">
        <v>0.7</v>
      </c>
      <c r="K66" s="4">
        <v>8.08</v>
      </c>
      <c r="L66">
        <f t="shared" si="1"/>
        <v>510</v>
      </c>
      <c r="M66" s="7">
        <f t="shared" si="2"/>
        <v>4120.8</v>
      </c>
    </row>
    <row r="67" spans="1:13" x14ac:dyDescent="0.3">
      <c r="A67" t="s">
        <v>0</v>
      </c>
      <c r="B67" t="s">
        <v>1</v>
      </c>
      <c r="C67" t="s">
        <v>6</v>
      </c>
      <c r="D67" t="s">
        <v>7</v>
      </c>
      <c r="E67" s="1" t="s">
        <v>206</v>
      </c>
      <c r="F67" t="s">
        <v>207</v>
      </c>
      <c r="G67">
        <v>2550</v>
      </c>
      <c r="H67">
        <v>1030</v>
      </c>
      <c r="I67" s="5">
        <f t="shared" ref="I67:I130" si="3">H67/G67</f>
        <v>0.40392156862745099</v>
      </c>
      <c r="J67" s="2">
        <v>0.7</v>
      </c>
      <c r="K67" s="4">
        <v>10.8</v>
      </c>
      <c r="L67">
        <f t="shared" ref="L67:L130" si="4">ROUND(G67*J67,0)-H67</f>
        <v>755</v>
      </c>
      <c r="M67" s="7">
        <f t="shared" ref="M67:M130" si="5">L67*K67</f>
        <v>8154.0000000000009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s="1" t="s">
        <v>208</v>
      </c>
      <c r="F68" t="s">
        <v>209</v>
      </c>
      <c r="G68">
        <v>8207</v>
      </c>
      <c r="H68">
        <v>4938</v>
      </c>
      <c r="I68" s="5">
        <f t="shared" si="3"/>
        <v>0.60168149140977212</v>
      </c>
      <c r="J68" s="2">
        <v>0.7</v>
      </c>
      <c r="K68" s="4">
        <v>8.48</v>
      </c>
      <c r="L68">
        <f t="shared" si="4"/>
        <v>807</v>
      </c>
      <c r="M68" s="7">
        <f t="shared" si="5"/>
        <v>6843.3600000000006</v>
      </c>
    </row>
    <row r="69" spans="1:13" x14ac:dyDescent="0.3">
      <c r="A69" t="s">
        <v>0</v>
      </c>
      <c r="B69" t="s">
        <v>1</v>
      </c>
      <c r="C69" t="s">
        <v>2</v>
      </c>
      <c r="D69" t="s">
        <v>79</v>
      </c>
      <c r="E69" s="1" t="s">
        <v>210</v>
      </c>
      <c r="F69" t="s">
        <v>211</v>
      </c>
      <c r="G69">
        <v>4108</v>
      </c>
      <c r="H69">
        <v>1924</v>
      </c>
      <c r="I69" s="5">
        <f t="shared" si="3"/>
        <v>0.46835443037974683</v>
      </c>
      <c r="J69" s="2">
        <v>0.7</v>
      </c>
      <c r="K69" s="4">
        <v>8.4700000000000006</v>
      </c>
      <c r="L69">
        <f t="shared" si="4"/>
        <v>952</v>
      </c>
      <c r="M69" s="7">
        <f t="shared" si="5"/>
        <v>8063.4400000000005</v>
      </c>
    </row>
    <row r="70" spans="1:13" x14ac:dyDescent="0.3">
      <c r="A70" t="s">
        <v>0</v>
      </c>
      <c r="B70" t="s">
        <v>1</v>
      </c>
      <c r="C70" t="s">
        <v>21</v>
      </c>
      <c r="D70" t="s">
        <v>212</v>
      </c>
      <c r="E70" s="1" t="s">
        <v>213</v>
      </c>
      <c r="F70" t="s">
        <v>214</v>
      </c>
      <c r="G70">
        <v>1367</v>
      </c>
      <c r="H70">
        <v>565</v>
      </c>
      <c r="I70" s="5">
        <f t="shared" si="3"/>
        <v>0.41331382589612292</v>
      </c>
      <c r="J70" s="2">
        <v>0.7</v>
      </c>
      <c r="K70" s="4">
        <v>7.68</v>
      </c>
      <c r="L70">
        <f t="shared" si="4"/>
        <v>392</v>
      </c>
      <c r="M70" s="7">
        <f t="shared" si="5"/>
        <v>3010.56</v>
      </c>
    </row>
    <row r="71" spans="1:13" x14ac:dyDescent="0.3">
      <c r="A71" t="s">
        <v>0</v>
      </c>
      <c r="B71" t="s">
        <v>1</v>
      </c>
      <c r="C71" t="s">
        <v>17</v>
      </c>
      <c r="D71" t="s">
        <v>18</v>
      </c>
      <c r="E71" s="1" t="s">
        <v>215</v>
      </c>
      <c r="F71" t="s">
        <v>216</v>
      </c>
      <c r="G71">
        <v>8435</v>
      </c>
      <c r="H71">
        <v>4665</v>
      </c>
      <c r="I71" s="5">
        <f t="shared" si="3"/>
        <v>0.55305275637225848</v>
      </c>
      <c r="J71" s="2">
        <v>0.7</v>
      </c>
      <c r="K71" s="4">
        <v>6.64</v>
      </c>
      <c r="L71">
        <f t="shared" si="4"/>
        <v>1240</v>
      </c>
      <c r="M71" s="7">
        <f t="shared" si="5"/>
        <v>8233.6</v>
      </c>
    </row>
    <row r="72" spans="1:13" x14ac:dyDescent="0.3">
      <c r="A72" t="s">
        <v>0</v>
      </c>
      <c r="B72" t="s">
        <v>1</v>
      </c>
      <c r="C72" t="s">
        <v>2</v>
      </c>
      <c r="D72" t="s">
        <v>3</v>
      </c>
      <c r="E72" s="1" t="s">
        <v>217</v>
      </c>
      <c r="F72" t="s">
        <v>218</v>
      </c>
      <c r="G72">
        <v>4232</v>
      </c>
      <c r="H72">
        <v>2492</v>
      </c>
      <c r="I72" s="5">
        <f t="shared" si="3"/>
        <v>0.58884688090737236</v>
      </c>
      <c r="J72" s="2">
        <v>0.7</v>
      </c>
      <c r="K72" s="4">
        <v>9.6300000000000008</v>
      </c>
      <c r="L72">
        <f t="shared" si="4"/>
        <v>470</v>
      </c>
      <c r="M72" s="7">
        <f t="shared" si="5"/>
        <v>4526.1000000000004</v>
      </c>
    </row>
    <row r="73" spans="1:13" x14ac:dyDescent="0.3">
      <c r="A73" t="s">
        <v>0</v>
      </c>
      <c r="B73" t="s">
        <v>1</v>
      </c>
      <c r="C73" t="s">
        <v>21</v>
      </c>
      <c r="D73" t="s">
        <v>219</v>
      </c>
      <c r="E73" s="1" t="s">
        <v>220</v>
      </c>
      <c r="F73" t="s">
        <v>221</v>
      </c>
      <c r="G73">
        <v>3413</v>
      </c>
      <c r="H73">
        <v>1727</v>
      </c>
      <c r="I73" s="5">
        <f t="shared" si="3"/>
        <v>0.50600644594198652</v>
      </c>
      <c r="J73" s="2">
        <v>0.7</v>
      </c>
      <c r="K73" s="4">
        <v>8.69</v>
      </c>
      <c r="L73">
        <f t="shared" si="4"/>
        <v>662</v>
      </c>
      <c r="M73" s="7">
        <f t="shared" si="5"/>
        <v>5752.78</v>
      </c>
    </row>
    <row r="74" spans="1:13" x14ac:dyDescent="0.3">
      <c r="A74" t="s">
        <v>0</v>
      </c>
      <c r="B74" t="s">
        <v>1</v>
      </c>
      <c r="C74" t="s">
        <v>76</v>
      </c>
      <c r="D74" t="s">
        <v>222</v>
      </c>
      <c r="E74" s="1" t="s">
        <v>223</v>
      </c>
      <c r="F74" t="s">
        <v>224</v>
      </c>
      <c r="G74">
        <v>2259</v>
      </c>
      <c r="H74">
        <v>947</v>
      </c>
      <c r="I74" s="5">
        <f t="shared" si="3"/>
        <v>0.41921204072598495</v>
      </c>
      <c r="J74" s="2">
        <v>0.7</v>
      </c>
      <c r="K74" s="4">
        <v>7.97</v>
      </c>
      <c r="L74">
        <f t="shared" si="4"/>
        <v>634</v>
      </c>
      <c r="M74" s="7">
        <f t="shared" si="5"/>
        <v>5052.9799999999996</v>
      </c>
    </row>
    <row r="75" spans="1:13" x14ac:dyDescent="0.3">
      <c r="A75" t="s">
        <v>0</v>
      </c>
      <c r="B75" t="s">
        <v>1</v>
      </c>
      <c r="C75" t="s">
        <v>225</v>
      </c>
      <c r="D75" t="s">
        <v>226</v>
      </c>
      <c r="E75" s="1" t="s">
        <v>227</v>
      </c>
      <c r="F75" t="s">
        <v>228</v>
      </c>
      <c r="G75">
        <v>5627</v>
      </c>
      <c r="H75">
        <v>2940</v>
      </c>
      <c r="I75" s="5">
        <f t="shared" si="3"/>
        <v>0.52248089568153544</v>
      </c>
      <c r="J75" s="2">
        <v>0.7</v>
      </c>
      <c r="K75" s="4">
        <v>7.52</v>
      </c>
      <c r="L75">
        <f t="shared" si="4"/>
        <v>999</v>
      </c>
      <c r="M75" s="7">
        <f t="shared" si="5"/>
        <v>7512.48</v>
      </c>
    </row>
    <row r="76" spans="1:13" x14ac:dyDescent="0.3">
      <c r="A76" t="s">
        <v>0</v>
      </c>
      <c r="B76" t="s">
        <v>1</v>
      </c>
      <c r="C76" t="s">
        <v>17</v>
      </c>
      <c r="D76" t="s">
        <v>229</v>
      </c>
      <c r="E76" s="1" t="s">
        <v>230</v>
      </c>
      <c r="F76" t="s">
        <v>231</v>
      </c>
      <c r="G76">
        <v>1935</v>
      </c>
      <c r="H76">
        <v>1064</v>
      </c>
      <c r="I76" s="5">
        <f t="shared" si="3"/>
        <v>0.54987080103359176</v>
      </c>
      <c r="J76" s="2">
        <v>0.7</v>
      </c>
      <c r="K76" s="4">
        <v>6.46</v>
      </c>
      <c r="L76">
        <f t="shared" si="4"/>
        <v>291</v>
      </c>
      <c r="M76" s="7">
        <f t="shared" si="5"/>
        <v>1879.86</v>
      </c>
    </row>
    <row r="77" spans="1:13" x14ac:dyDescent="0.3">
      <c r="A77" t="s">
        <v>0</v>
      </c>
      <c r="B77" t="s">
        <v>1</v>
      </c>
      <c r="C77" t="s">
        <v>21</v>
      </c>
      <c r="D77" t="s">
        <v>232</v>
      </c>
      <c r="E77" s="1" t="s">
        <v>233</v>
      </c>
      <c r="F77" t="s">
        <v>234</v>
      </c>
      <c r="G77">
        <v>3681</v>
      </c>
      <c r="H77">
        <v>1671</v>
      </c>
      <c r="I77" s="5">
        <f t="shared" si="3"/>
        <v>0.4539527302363488</v>
      </c>
      <c r="J77" s="2">
        <v>0.7</v>
      </c>
      <c r="K77" s="4">
        <v>9.26</v>
      </c>
      <c r="L77">
        <f t="shared" si="4"/>
        <v>906</v>
      </c>
      <c r="M77" s="7">
        <f t="shared" si="5"/>
        <v>8389.56</v>
      </c>
    </row>
    <row r="78" spans="1:13" x14ac:dyDescent="0.3">
      <c r="A78" t="s">
        <v>0</v>
      </c>
      <c r="B78" t="s">
        <v>1</v>
      </c>
      <c r="C78" t="s">
        <v>40</v>
      </c>
      <c r="D78" t="s">
        <v>41</v>
      </c>
      <c r="E78" s="1" t="s">
        <v>235</v>
      </c>
      <c r="F78" t="s">
        <v>236</v>
      </c>
      <c r="G78">
        <v>1730</v>
      </c>
      <c r="H78">
        <v>954</v>
      </c>
      <c r="I78" s="5">
        <f t="shared" si="3"/>
        <v>0.55144508670520231</v>
      </c>
      <c r="J78" s="2">
        <v>0.7</v>
      </c>
      <c r="K78" s="4">
        <v>8.32</v>
      </c>
      <c r="L78">
        <f t="shared" si="4"/>
        <v>257</v>
      </c>
      <c r="M78" s="7">
        <f t="shared" si="5"/>
        <v>2138.2400000000002</v>
      </c>
    </row>
    <row r="79" spans="1:13" x14ac:dyDescent="0.3">
      <c r="A79" t="s">
        <v>0</v>
      </c>
      <c r="B79" t="s">
        <v>1</v>
      </c>
      <c r="C79" t="s">
        <v>2</v>
      </c>
      <c r="D79" t="s">
        <v>237</v>
      </c>
      <c r="E79" s="1" t="s">
        <v>238</v>
      </c>
      <c r="F79" t="s">
        <v>239</v>
      </c>
      <c r="G79">
        <v>1970</v>
      </c>
      <c r="H79">
        <v>1146</v>
      </c>
      <c r="I79" s="5">
        <f t="shared" si="3"/>
        <v>0.58172588832487304</v>
      </c>
      <c r="J79" s="2">
        <v>0.7</v>
      </c>
      <c r="K79" s="4">
        <v>8.17</v>
      </c>
      <c r="L79">
        <f t="shared" si="4"/>
        <v>233</v>
      </c>
      <c r="M79" s="7">
        <f t="shared" si="5"/>
        <v>1903.61</v>
      </c>
    </row>
    <row r="80" spans="1:13" x14ac:dyDescent="0.3">
      <c r="A80" t="s">
        <v>0</v>
      </c>
      <c r="B80" t="s">
        <v>1</v>
      </c>
      <c r="C80" t="s">
        <v>192</v>
      </c>
      <c r="D80" t="s">
        <v>193</v>
      </c>
      <c r="E80" s="1" t="s">
        <v>240</v>
      </c>
      <c r="F80" t="s">
        <v>241</v>
      </c>
      <c r="G80">
        <v>6785</v>
      </c>
      <c r="H80">
        <v>4316</v>
      </c>
      <c r="I80" s="5">
        <f t="shared" si="3"/>
        <v>0.63610906411201185</v>
      </c>
      <c r="J80" s="2">
        <v>0.7</v>
      </c>
      <c r="K80" s="4">
        <v>8.32</v>
      </c>
      <c r="L80">
        <f t="shared" si="4"/>
        <v>434</v>
      </c>
      <c r="M80" s="7">
        <f t="shared" si="5"/>
        <v>3610.88</v>
      </c>
    </row>
    <row r="81" spans="1:13" x14ac:dyDescent="0.3">
      <c r="A81" t="s">
        <v>0</v>
      </c>
      <c r="B81" t="s">
        <v>1</v>
      </c>
      <c r="C81" t="s">
        <v>242</v>
      </c>
      <c r="D81" t="s">
        <v>243</v>
      </c>
      <c r="E81" s="1" t="s">
        <v>244</v>
      </c>
      <c r="F81" t="s">
        <v>245</v>
      </c>
      <c r="G81">
        <v>3045</v>
      </c>
      <c r="H81">
        <v>1657</v>
      </c>
      <c r="I81" s="5">
        <f t="shared" si="3"/>
        <v>0.5441707717569787</v>
      </c>
      <c r="J81" s="2">
        <v>0.7</v>
      </c>
      <c r="K81" s="4">
        <v>8.85</v>
      </c>
      <c r="L81">
        <f t="shared" si="4"/>
        <v>475</v>
      </c>
      <c r="M81" s="7">
        <f t="shared" si="5"/>
        <v>4203.75</v>
      </c>
    </row>
    <row r="82" spans="1:13" x14ac:dyDescent="0.3">
      <c r="A82" t="s">
        <v>0</v>
      </c>
      <c r="B82" t="s">
        <v>1</v>
      </c>
      <c r="C82" t="s">
        <v>2</v>
      </c>
      <c r="D82" t="s">
        <v>246</v>
      </c>
      <c r="E82" s="1" t="s">
        <v>247</v>
      </c>
      <c r="F82" t="s">
        <v>248</v>
      </c>
      <c r="G82">
        <v>4239</v>
      </c>
      <c r="H82">
        <v>2143</v>
      </c>
      <c r="I82" s="5">
        <f t="shared" si="3"/>
        <v>0.50554376032083037</v>
      </c>
      <c r="J82" s="2">
        <v>0.7</v>
      </c>
      <c r="K82" s="4">
        <v>7.88</v>
      </c>
      <c r="L82">
        <f t="shared" si="4"/>
        <v>824</v>
      </c>
      <c r="M82" s="7">
        <f t="shared" si="5"/>
        <v>6493.12</v>
      </c>
    </row>
    <row r="83" spans="1:13" x14ac:dyDescent="0.3">
      <c r="A83" t="s">
        <v>0</v>
      </c>
      <c r="B83" t="s">
        <v>1</v>
      </c>
      <c r="C83" t="s">
        <v>2</v>
      </c>
      <c r="D83" t="s">
        <v>10</v>
      </c>
      <c r="E83" s="1" t="s">
        <v>249</v>
      </c>
      <c r="F83" t="s">
        <v>250</v>
      </c>
      <c r="G83">
        <v>5204</v>
      </c>
      <c r="H83">
        <v>3136</v>
      </c>
      <c r="I83" s="5">
        <f t="shared" si="3"/>
        <v>0.60261337432744044</v>
      </c>
      <c r="J83" s="2">
        <v>0.7</v>
      </c>
      <c r="K83" s="4">
        <v>8.81</v>
      </c>
      <c r="L83">
        <f t="shared" si="4"/>
        <v>507</v>
      </c>
      <c r="M83" s="7">
        <f t="shared" si="5"/>
        <v>4466.67</v>
      </c>
    </row>
    <row r="84" spans="1:13" x14ac:dyDescent="0.3">
      <c r="A84" t="s">
        <v>0</v>
      </c>
      <c r="B84" t="s">
        <v>1</v>
      </c>
      <c r="C84" t="s">
        <v>101</v>
      </c>
      <c r="D84" t="s">
        <v>102</v>
      </c>
      <c r="E84" s="1" t="s">
        <v>251</v>
      </c>
      <c r="F84" t="s">
        <v>252</v>
      </c>
      <c r="G84">
        <v>3869</v>
      </c>
      <c r="H84">
        <v>1810</v>
      </c>
      <c r="I84" s="5">
        <f t="shared" si="3"/>
        <v>0.46782114241406048</v>
      </c>
      <c r="J84" s="2">
        <v>0.7</v>
      </c>
      <c r="K84" s="4">
        <v>7.68</v>
      </c>
      <c r="L84">
        <f t="shared" si="4"/>
        <v>898</v>
      </c>
      <c r="M84" s="7">
        <f t="shared" si="5"/>
        <v>6896.6399999999994</v>
      </c>
    </row>
    <row r="85" spans="1:13" x14ac:dyDescent="0.3">
      <c r="A85" t="s">
        <v>0</v>
      </c>
      <c r="B85" t="s">
        <v>1</v>
      </c>
      <c r="C85" t="s">
        <v>2</v>
      </c>
      <c r="D85" t="s">
        <v>253</v>
      </c>
      <c r="E85" s="1" t="s">
        <v>254</v>
      </c>
      <c r="F85" t="s">
        <v>255</v>
      </c>
      <c r="G85">
        <v>7493</v>
      </c>
      <c r="H85">
        <v>4231</v>
      </c>
      <c r="I85" s="5">
        <f t="shared" si="3"/>
        <v>0.56466034965968237</v>
      </c>
      <c r="J85" s="2">
        <v>0.7</v>
      </c>
      <c r="K85" s="4">
        <v>8.57</v>
      </c>
      <c r="L85">
        <f t="shared" si="4"/>
        <v>1014</v>
      </c>
      <c r="M85" s="7">
        <f t="shared" si="5"/>
        <v>8689.98</v>
      </c>
    </row>
    <row r="86" spans="1:13" x14ac:dyDescent="0.3">
      <c r="A86" t="s">
        <v>0</v>
      </c>
      <c r="B86" t="s">
        <v>1</v>
      </c>
      <c r="C86" t="s">
        <v>2</v>
      </c>
      <c r="D86" t="s">
        <v>256</v>
      </c>
      <c r="E86" s="1" t="s">
        <v>257</v>
      </c>
      <c r="F86" t="s">
        <v>258</v>
      </c>
      <c r="G86">
        <v>1704</v>
      </c>
      <c r="H86">
        <v>718</v>
      </c>
      <c r="I86" s="5">
        <f t="shared" si="3"/>
        <v>0.42136150234741782</v>
      </c>
      <c r="J86" s="2">
        <v>0.7</v>
      </c>
      <c r="K86" s="4">
        <v>8.58</v>
      </c>
      <c r="L86">
        <f t="shared" si="4"/>
        <v>475</v>
      </c>
      <c r="M86" s="7">
        <f t="shared" si="5"/>
        <v>4075.5</v>
      </c>
    </row>
    <row r="87" spans="1:13" x14ac:dyDescent="0.3">
      <c r="A87" t="s">
        <v>0</v>
      </c>
      <c r="B87" t="s">
        <v>1</v>
      </c>
      <c r="C87" t="s">
        <v>17</v>
      </c>
      <c r="D87" t="s">
        <v>33</v>
      </c>
      <c r="E87" s="1" t="s">
        <v>260</v>
      </c>
      <c r="F87" t="s">
        <v>261</v>
      </c>
      <c r="G87">
        <v>5420</v>
      </c>
      <c r="H87">
        <v>2186</v>
      </c>
      <c r="I87" s="5">
        <f t="shared" si="3"/>
        <v>0.40332103321033208</v>
      </c>
      <c r="J87" s="2">
        <v>0.7</v>
      </c>
      <c r="K87" s="4">
        <v>8.09</v>
      </c>
      <c r="L87">
        <f t="shared" si="4"/>
        <v>1608</v>
      </c>
      <c r="M87" s="7">
        <f t="shared" si="5"/>
        <v>13008.72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s="1" t="s">
        <v>262</v>
      </c>
      <c r="F88" t="s">
        <v>263</v>
      </c>
      <c r="G88">
        <v>5477</v>
      </c>
      <c r="H88">
        <v>2659</v>
      </c>
      <c r="I88" s="5">
        <f t="shared" si="3"/>
        <v>0.48548475442760636</v>
      </c>
      <c r="J88" s="2">
        <v>0.7</v>
      </c>
      <c r="K88" s="4">
        <v>8.01</v>
      </c>
      <c r="L88">
        <f t="shared" si="4"/>
        <v>1175</v>
      </c>
      <c r="M88" s="7">
        <f t="shared" si="5"/>
        <v>9411.75</v>
      </c>
    </row>
    <row r="89" spans="1:13" x14ac:dyDescent="0.3">
      <c r="A89" t="s">
        <v>0</v>
      </c>
      <c r="B89" t="s">
        <v>1</v>
      </c>
      <c r="C89" t="s">
        <v>2</v>
      </c>
      <c r="D89" t="s">
        <v>3</v>
      </c>
      <c r="E89" s="1" t="s">
        <v>264</v>
      </c>
      <c r="F89" t="s">
        <v>265</v>
      </c>
      <c r="G89">
        <v>5136</v>
      </c>
      <c r="H89">
        <v>2885</v>
      </c>
      <c r="I89" s="5">
        <f t="shared" si="3"/>
        <v>0.56172118380062308</v>
      </c>
      <c r="J89" s="2">
        <v>0.7</v>
      </c>
      <c r="K89" s="4">
        <v>8.59</v>
      </c>
      <c r="L89">
        <f t="shared" si="4"/>
        <v>710</v>
      </c>
      <c r="M89" s="7">
        <f t="shared" si="5"/>
        <v>6098.9</v>
      </c>
    </row>
    <row r="90" spans="1:13" x14ac:dyDescent="0.3">
      <c r="A90" t="s">
        <v>0</v>
      </c>
      <c r="B90" t="s">
        <v>1</v>
      </c>
      <c r="C90" t="s">
        <v>266</v>
      </c>
      <c r="D90" t="s">
        <v>267</v>
      </c>
      <c r="E90" s="1" t="s">
        <v>268</v>
      </c>
      <c r="F90" t="s">
        <v>269</v>
      </c>
      <c r="G90">
        <v>2777</v>
      </c>
      <c r="H90">
        <v>1308</v>
      </c>
      <c r="I90" s="5">
        <f t="shared" si="3"/>
        <v>0.47101188332733163</v>
      </c>
      <c r="J90" s="2">
        <v>0.7</v>
      </c>
      <c r="K90" s="4">
        <v>7.46</v>
      </c>
      <c r="L90">
        <f t="shared" si="4"/>
        <v>636</v>
      </c>
      <c r="M90" s="7">
        <f t="shared" si="5"/>
        <v>4744.5600000000004</v>
      </c>
    </row>
    <row r="91" spans="1:13" x14ac:dyDescent="0.3">
      <c r="A91" t="s">
        <v>0</v>
      </c>
      <c r="B91" t="s">
        <v>1</v>
      </c>
      <c r="C91" t="s">
        <v>40</v>
      </c>
      <c r="D91" t="s">
        <v>85</v>
      </c>
      <c r="E91" s="1" t="s">
        <v>271</v>
      </c>
      <c r="F91" t="s">
        <v>272</v>
      </c>
      <c r="G91">
        <v>5148</v>
      </c>
      <c r="H91">
        <v>1828</v>
      </c>
      <c r="I91" s="5">
        <f t="shared" si="3"/>
        <v>0.35508935508935507</v>
      </c>
      <c r="J91" s="2">
        <v>0.7</v>
      </c>
      <c r="K91" s="4">
        <v>7.74</v>
      </c>
      <c r="L91">
        <f t="shared" si="4"/>
        <v>1776</v>
      </c>
      <c r="M91" s="7">
        <f t="shared" si="5"/>
        <v>13746.24</v>
      </c>
    </row>
    <row r="92" spans="1:13" x14ac:dyDescent="0.3">
      <c r="A92" t="s">
        <v>0</v>
      </c>
      <c r="B92" t="s">
        <v>1</v>
      </c>
      <c r="C92" t="s">
        <v>273</v>
      </c>
      <c r="D92" t="s">
        <v>274</v>
      </c>
      <c r="E92" s="1" t="s">
        <v>275</v>
      </c>
      <c r="F92" t="s">
        <v>276</v>
      </c>
      <c r="G92">
        <v>2073</v>
      </c>
      <c r="H92">
        <v>1275</v>
      </c>
      <c r="I92" s="5">
        <f t="shared" si="3"/>
        <v>0.61505065123010128</v>
      </c>
      <c r="J92" s="2">
        <v>0.7</v>
      </c>
      <c r="K92" s="4">
        <v>8.3699999999999992</v>
      </c>
      <c r="L92">
        <f t="shared" si="4"/>
        <v>176</v>
      </c>
      <c r="M92" s="7">
        <f t="shared" si="5"/>
        <v>1473.12</v>
      </c>
    </row>
    <row r="93" spans="1:13" x14ac:dyDescent="0.3">
      <c r="A93" t="s">
        <v>0</v>
      </c>
      <c r="B93" t="s">
        <v>1</v>
      </c>
      <c r="C93" t="s">
        <v>2</v>
      </c>
      <c r="D93" t="s">
        <v>55</v>
      </c>
      <c r="E93" s="1" t="s">
        <v>277</v>
      </c>
      <c r="F93" t="s">
        <v>278</v>
      </c>
      <c r="G93">
        <v>1198</v>
      </c>
      <c r="H93">
        <v>553</v>
      </c>
      <c r="I93" s="5">
        <f t="shared" si="3"/>
        <v>0.46160267111853087</v>
      </c>
      <c r="J93" s="2">
        <v>0.7</v>
      </c>
      <c r="K93" s="4">
        <v>7.35</v>
      </c>
      <c r="L93">
        <f t="shared" si="4"/>
        <v>286</v>
      </c>
      <c r="M93" s="7">
        <f t="shared" si="5"/>
        <v>2102.1</v>
      </c>
    </row>
    <row r="94" spans="1:13" x14ac:dyDescent="0.3">
      <c r="A94" t="s">
        <v>0</v>
      </c>
      <c r="B94" t="s">
        <v>1</v>
      </c>
      <c r="C94" t="s">
        <v>280</v>
      </c>
      <c r="D94" t="s">
        <v>281</v>
      </c>
      <c r="E94" s="1" t="s">
        <v>282</v>
      </c>
      <c r="F94" t="s">
        <v>283</v>
      </c>
      <c r="G94">
        <v>2537</v>
      </c>
      <c r="H94">
        <v>1311</v>
      </c>
      <c r="I94" s="5">
        <f t="shared" si="3"/>
        <v>0.51675206937327556</v>
      </c>
      <c r="J94" s="2">
        <v>0.7</v>
      </c>
      <c r="K94" s="4">
        <v>6.94</v>
      </c>
      <c r="L94">
        <f t="shared" si="4"/>
        <v>465</v>
      </c>
      <c r="M94" s="7">
        <f t="shared" si="5"/>
        <v>3227.1000000000004</v>
      </c>
    </row>
    <row r="95" spans="1:13" x14ac:dyDescent="0.3">
      <c r="A95" t="s">
        <v>0</v>
      </c>
      <c r="B95" t="s">
        <v>1</v>
      </c>
      <c r="C95" t="s">
        <v>192</v>
      </c>
      <c r="D95" t="s">
        <v>193</v>
      </c>
      <c r="E95" s="1" t="s">
        <v>284</v>
      </c>
      <c r="F95" t="s">
        <v>285</v>
      </c>
      <c r="G95">
        <v>2842</v>
      </c>
      <c r="H95">
        <v>1554</v>
      </c>
      <c r="I95" s="5">
        <f t="shared" si="3"/>
        <v>0.54679802955665024</v>
      </c>
      <c r="J95" s="2">
        <v>0.7</v>
      </c>
      <c r="K95" s="4">
        <v>8.31</v>
      </c>
      <c r="L95">
        <f t="shared" si="4"/>
        <v>435</v>
      </c>
      <c r="M95" s="7">
        <f t="shared" si="5"/>
        <v>3614.8500000000004</v>
      </c>
    </row>
    <row r="96" spans="1:13" x14ac:dyDescent="0.3">
      <c r="A96" t="s">
        <v>0</v>
      </c>
      <c r="B96" t="s">
        <v>1</v>
      </c>
      <c r="C96" t="s">
        <v>48</v>
      </c>
      <c r="D96" t="s">
        <v>286</v>
      </c>
      <c r="E96" s="1" t="s">
        <v>287</v>
      </c>
      <c r="F96" t="s">
        <v>288</v>
      </c>
      <c r="G96">
        <v>3469</v>
      </c>
      <c r="H96">
        <v>1894</v>
      </c>
      <c r="I96" s="5">
        <f t="shared" si="3"/>
        <v>0.54597866820409335</v>
      </c>
      <c r="J96" s="2">
        <v>0.7</v>
      </c>
      <c r="K96" s="4">
        <v>7.95</v>
      </c>
      <c r="L96">
        <f t="shared" si="4"/>
        <v>534</v>
      </c>
      <c r="M96" s="7">
        <f t="shared" si="5"/>
        <v>4245.3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s="1" t="s">
        <v>289</v>
      </c>
      <c r="F97" t="s">
        <v>290</v>
      </c>
      <c r="G97">
        <v>5462</v>
      </c>
      <c r="H97">
        <v>2937</v>
      </c>
      <c r="I97" s="5">
        <f t="shared" si="3"/>
        <v>0.53771512266569021</v>
      </c>
      <c r="J97" s="2">
        <v>0.7</v>
      </c>
      <c r="K97" s="4">
        <v>8.1300000000000008</v>
      </c>
      <c r="L97">
        <f t="shared" si="4"/>
        <v>886</v>
      </c>
      <c r="M97" s="7">
        <f t="shared" si="5"/>
        <v>7203.18</v>
      </c>
    </row>
    <row r="98" spans="1:13" x14ac:dyDescent="0.3">
      <c r="A98" t="s">
        <v>0</v>
      </c>
      <c r="B98" t="s">
        <v>1</v>
      </c>
      <c r="C98" t="s">
        <v>2</v>
      </c>
      <c r="D98" t="s">
        <v>291</v>
      </c>
      <c r="E98" s="1" t="s">
        <v>292</v>
      </c>
      <c r="F98" t="s">
        <v>293</v>
      </c>
      <c r="G98">
        <v>3859</v>
      </c>
      <c r="H98">
        <v>1776</v>
      </c>
      <c r="I98" s="5">
        <f t="shared" si="3"/>
        <v>0.46022285566208865</v>
      </c>
      <c r="J98" s="2">
        <v>0.7</v>
      </c>
      <c r="K98" s="4">
        <v>8.9700000000000006</v>
      </c>
      <c r="L98">
        <f t="shared" si="4"/>
        <v>925</v>
      </c>
      <c r="M98" s="7">
        <f t="shared" si="5"/>
        <v>8297.25</v>
      </c>
    </row>
    <row r="99" spans="1:13" x14ac:dyDescent="0.3">
      <c r="A99" t="s">
        <v>0</v>
      </c>
      <c r="B99" t="s">
        <v>1</v>
      </c>
      <c r="C99" t="s">
        <v>2</v>
      </c>
      <c r="D99" t="s">
        <v>10</v>
      </c>
      <c r="E99" s="1" t="s">
        <v>294</v>
      </c>
      <c r="F99" t="s">
        <v>295</v>
      </c>
      <c r="G99">
        <v>3125</v>
      </c>
      <c r="H99">
        <v>1831</v>
      </c>
      <c r="I99" s="5">
        <f t="shared" si="3"/>
        <v>0.58592</v>
      </c>
      <c r="J99" s="2">
        <v>0.7</v>
      </c>
      <c r="K99" s="4">
        <v>8.89</v>
      </c>
      <c r="L99">
        <f t="shared" si="4"/>
        <v>357</v>
      </c>
      <c r="M99" s="7">
        <f t="shared" si="5"/>
        <v>3173.73</v>
      </c>
    </row>
    <row r="100" spans="1:13" x14ac:dyDescent="0.3">
      <c r="A100" t="s">
        <v>0</v>
      </c>
      <c r="B100" t="s">
        <v>1</v>
      </c>
      <c r="C100" t="s">
        <v>17</v>
      </c>
      <c r="D100" t="s">
        <v>18</v>
      </c>
      <c r="E100" s="1" t="s">
        <v>296</v>
      </c>
      <c r="F100" t="s">
        <v>297</v>
      </c>
      <c r="G100">
        <v>3980</v>
      </c>
      <c r="H100">
        <v>2235</v>
      </c>
      <c r="I100" s="5">
        <f t="shared" si="3"/>
        <v>0.56155778894472363</v>
      </c>
      <c r="J100" s="2">
        <v>0.7</v>
      </c>
      <c r="K100" s="4">
        <v>8.4600000000000009</v>
      </c>
      <c r="L100">
        <f t="shared" si="4"/>
        <v>551</v>
      </c>
      <c r="M100" s="7">
        <f t="shared" si="5"/>
        <v>4661.46</v>
      </c>
    </row>
    <row r="101" spans="1:13" x14ac:dyDescent="0.3">
      <c r="A101" t="s">
        <v>0</v>
      </c>
      <c r="B101" t="s">
        <v>1</v>
      </c>
      <c r="C101" t="s">
        <v>2</v>
      </c>
      <c r="D101" t="s">
        <v>298</v>
      </c>
      <c r="E101" s="1" t="s">
        <v>299</v>
      </c>
      <c r="F101" t="s">
        <v>300</v>
      </c>
      <c r="G101">
        <v>2307</v>
      </c>
      <c r="H101">
        <v>1557</v>
      </c>
      <c r="I101" s="5">
        <f t="shared" si="3"/>
        <v>0.67490247074122234</v>
      </c>
      <c r="J101" s="2">
        <v>0.7</v>
      </c>
      <c r="K101" s="4">
        <v>8.89</v>
      </c>
      <c r="L101">
        <f t="shared" si="4"/>
        <v>58</v>
      </c>
      <c r="M101" s="7">
        <f t="shared" si="5"/>
        <v>515.62</v>
      </c>
    </row>
    <row r="102" spans="1:13" x14ac:dyDescent="0.3">
      <c r="A102" t="s">
        <v>0</v>
      </c>
      <c r="B102" t="s">
        <v>1</v>
      </c>
      <c r="C102" t="s">
        <v>83</v>
      </c>
      <c r="D102" t="s">
        <v>303</v>
      </c>
      <c r="E102" s="1" t="s">
        <v>304</v>
      </c>
      <c r="F102" t="s">
        <v>305</v>
      </c>
      <c r="G102">
        <v>1407</v>
      </c>
      <c r="H102">
        <v>534</v>
      </c>
      <c r="I102" s="5">
        <f t="shared" si="3"/>
        <v>0.3795309168443497</v>
      </c>
      <c r="J102" s="2">
        <v>0.7</v>
      </c>
      <c r="K102" s="4">
        <v>8.42</v>
      </c>
      <c r="L102">
        <f t="shared" si="4"/>
        <v>451</v>
      </c>
      <c r="M102" s="7">
        <f t="shared" si="5"/>
        <v>3797.42</v>
      </c>
    </row>
    <row r="103" spans="1:13" x14ac:dyDescent="0.3">
      <c r="A103" t="s">
        <v>0</v>
      </c>
      <c r="B103" t="s">
        <v>1</v>
      </c>
      <c r="C103" t="s">
        <v>40</v>
      </c>
      <c r="D103" t="s">
        <v>41</v>
      </c>
      <c r="E103" s="1" t="s">
        <v>306</v>
      </c>
      <c r="F103" t="s">
        <v>307</v>
      </c>
      <c r="G103">
        <v>1846</v>
      </c>
      <c r="H103">
        <v>745</v>
      </c>
      <c r="I103" s="5">
        <f t="shared" si="3"/>
        <v>0.4035752979414951</v>
      </c>
      <c r="J103" s="2">
        <v>0.7</v>
      </c>
      <c r="K103" s="4">
        <v>8.7100000000000009</v>
      </c>
      <c r="L103">
        <f t="shared" si="4"/>
        <v>547</v>
      </c>
      <c r="M103" s="7">
        <f t="shared" si="5"/>
        <v>4764.3700000000008</v>
      </c>
    </row>
    <row r="104" spans="1:13" x14ac:dyDescent="0.3">
      <c r="A104" t="s">
        <v>0</v>
      </c>
      <c r="B104" t="s">
        <v>1</v>
      </c>
      <c r="C104" t="s">
        <v>2</v>
      </c>
      <c r="D104" t="s">
        <v>136</v>
      </c>
      <c r="E104" s="1" t="s">
        <v>308</v>
      </c>
      <c r="F104" t="s">
        <v>309</v>
      </c>
      <c r="G104">
        <v>2630</v>
      </c>
      <c r="H104">
        <v>1353</v>
      </c>
      <c r="I104" s="5">
        <f t="shared" si="3"/>
        <v>0.51444866920152088</v>
      </c>
      <c r="J104" s="2">
        <v>0.7</v>
      </c>
      <c r="K104" s="4">
        <v>8.9600000000000009</v>
      </c>
      <c r="L104">
        <f t="shared" si="4"/>
        <v>488</v>
      </c>
      <c r="M104" s="7">
        <f t="shared" si="5"/>
        <v>4372.4800000000005</v>
      </c>
    </row>
    <row r="105" spans="1:13" x14ac:dyDescent="0.3">
      <c r="A105" t="s">
        <v>0</v>
      </c>
      <c r="B105" t="s">
        <v>1</v>
      </c>
      <c r="C105" t="s">
        <v>2</v>
      </c>
      <c r="D105" t="s">
        <v>56</v>
      </c>
      <c r="E105" s="1" t="s">
        <v>310</v>
      </c>
      <c r="F105" t="s">
        <v>311</v>
      </c>
      <c r="G105">
        <v>5013</v>
      </c>
      <c r="H105">
        <v>2526</v>
      </c>
      <c r="I105" s="5">
        <f t="shared" si="3"/>
        <v>0.50388988629563136</v>
      </c>
      <c r="J105" s="2">
        <v>0.7</v>
      </c>
      <c r="K105" s="4">
        <v>9.85</v>
      </c>
      <c r="L105">
        <f t="shared" si="4"/>
        <v>983</v>
      </c>
      <c r="M105" s="7">
        <f t="shared" si="5"/>
        <v>9682.5499999999993</v>
      </c>
    </row>
    <row r="106" spans="1:13" x14ac:dyDescent="0.3">
      <c r="A106" t="s">
        <v>0</v>
      </c>
      <c r="B106" t="s">
        <v>1</v>
      </c>
      <c r="C106" t="s">
        <v>36</v>
      </c>
      <c r="D106" t="s">
        <v>154</v>
      </c>
      <c r="E106" s="1" t="s">
        <v>312</v>
      </c>
      <c r="F106" t="s">
        <v>313</v>
      </c>
      <c r="G106">
        <v>3289</v>
      </c>
      <c r="H106">
        <v>1697</v>
      </c>
      <c r="I106" s="5">
        <f t="shared" si="3"/>
        <v>0.51596229857099418</v>
      </c>
      <c r="J106" s="2">
        <v>0.7</v>
      </c>
      <c r="K106" s="4">
        <v>7.82</v>
      </c>
      <c r="L106">
        <f t="shared" si="4"/>
        <v>605</v>
      </c>
      <c r="M106" s="7">
        <f t="shared" si="5"/>
        <v>4731.1000000000004</v>
      </c>
    </row>
    <row r="107" spans="1:13" x14ac:dyDescent="0.3">
      <c r="A107" t="s">
        <v>0</v>
      </c>
      <c r="B107" t="s">
        <v>1</v>
      </c>
      <c r="C107" t="s">
        <v>74</v>
      </c>
      <c r="D107" t="s">
        <v>111</v>
      </c>
      <c r="E107" s="1" t="s">
        <v>314</v>
      </c>
      <c r="F107" t="s">
        <v>315</v>
      </c>
      <c r="G107">
        <v>2563</v>
      </c>
      <c r="H107">
        <v>1332</v>
      </c>
      <c r="I107" s="5">
        <f t="shared" si="3"/>
        <v>0.51970347249317206</v>
      </c>
      <c r="J107" s="2">
        <v>0.7</v>
      </c>
      <c r="K107" s="4">
        <v>8.6</v>
      </c>
      <c r="L107">
        <f t="shared" si="4"/>
        <v>462</v>
      </c>
      <c r="M107" s="7">
        <f t="shared" si="5"/>
        <v>3973.2</v>
      </c>
    </row>
    <row r="108" spans="1:13" x14ac:dyDescent="0.3">
      <c r="A108" t="s">
        <v>0</v>
      </c>
      <c r="B108" t="s">
        <v>1</v>
      </c>
      <c r="C108" t="s">
        <v>40</v>
      </c>
      <c r="D108" t="s">
        <v>153</v>
      </c>
      <c r="E108" s="1" t="s">
        <v>318</v>
      </c>
      <c r="F108" t="s">
        <v>319</v>
      </c>
      <c r="G108">
        <v>4926</v>
      </c>
      <c r="H108">
        <v>2468</v>
      </c>
      <c r="I108" s="5">
        <f t="shared" si="3"/>
        <v>0.50101502233049122</v>
      </c>
      <c r="J108" s="2">
        <v>0.7</v>
      </c>
      <c r="K108" s="4">
        <v>8.18</v>
      </c>
      <c r="L108">
        <f t="shared" si="4"/>
        <v>980</v>
      </c>
      <c r="M108" s="7">
        <f t="shared" si="5"/>
        <v>8016.4</v>
      </c>
    </row>
    <row r="109" spans="1:13" x14ac:dyDescent="0.3">
      <c r="A109" t="s">
        <v>0</v>
      </c>
      <c r="B109" t="s">
        <v>1</v>
      </c>
      <c r="C109" t="s">
        <v>17</v>
      </c>
      <c r="D109" t="s">
        <v>18</v>
      </c>
      <c r="E109" s="1" t="s">
        <v>320</v>
      </c>
      <c r="F109" t="s">
        <v>321</v>
      </c>
      <c r="G109">
        <v>4000</v>
      </c>
      <c r="H109">
        <v>2812</v>
      </c>
      <c r="I109" s="5">
        <f t="shared" si="3"/>
        <v>0.70299999999999996</v>
      </c>
      <c r="J109" s="2">
        <v>0.7</v>
      </c>
      <c r="K109" s="4">
        <v>8.17</v>
      </c>
      <c r="L109">
        <f t="shared" si="4"/>
        <v>-12</v>
      </c>
      <c r="M109" s="7">
        <f t="shared" si="5"/>
        <v>-98.039999999999992</v>
      </c>
    </row>
    <row r="110" spans="1:13" x14ac:dyDescent="0.3">
      <c r="A110" t="s">
        <v>0</v>
      </c>
      <c r="B110" t="s">
        <v>1</v>
      </c>
      <c r="C110" t="s">
        <v>83</v>
      </c>
      <c r="D110" t="s">
        <v>322</v>
      </c>
      <c r="E110" s="1" t="s">
        <v>323</v>
      </c>
      <c r="F110" t="s">
        <v>324</v>
      </c>
      <c r="G110">
        <v>4095</v>
      </c>
      <c r="H110">
        <v>2106</v>
      </c>
      <c r="I110" s="5">
        <f t="shared" si="3"/>
        <v>0.51428571428571423</v>
      </c>
      <c r="J110" s="2">
        <v>0.7</v>
      </c>
      <c r="K110" s="4">
        <v>7.95</v>
      </c>
      <c r="L110">
        <f t="shared" si="4"/>
        <v>761</v>
      </c>
      <c r="M110" s="7">
        <f t="shared" si="5"/>
        <v>6049.95</v>
      </c>
    </row>
    <row r="111" spans="1:13" x14ac:dyDescent="0.3">
      <c r="A111" t="s">
        <v>0</v>
      </c>
      <c r="B111" t="s">
        <v>1</v>
      </c>
      <c r="C111" t="s">
        <v>101</v>
      </c>
      <c r="D111" t="s">
        <v>102</v>
      </c>
      <c r="E111" s="1" t="s">
        <v>325</v>
      </c>
      <c r="F111" t="s">
        <v>326</v>
      </c>
      <c r="G111">
        <v>3608</v>
      </c>
      <c r="H111">
        <v>1996</v>
      </c>
      <c r="I111" s="5">
        <f t="shared" si="3"/>
        <v>0.55321507760532151</v>
      </c>
      <c r="J111" s="2">
        <v>0.7</v>
      </c>
      <c r="K111" s="4">
        <v>6.64</v>
      </c>
      <c r="L111">
        <f t="shared" si="4"/>
        <v>530</v>
      </c>
      <c r="M111" s="7">
        <f t="shared" si="5"/>
        <v>3519.2</v>
      </c>
    </row>
    <row r="112" spans="1:13" x14ac:dyDescent="0.3">
      <c r="A112" t="s">
        <v>0</v>
      </c>
      <c r="B112" t="s">
        <v>1</v>
      </c>
      <c r="C112" t="s">
        <v>17</v>
      </c>
      <c r="D112" t="s">
        <v>327</v>
      </c>
      <c r="E112" s="1" t="s">
        <v>328</v>
      </c>
      <c r="F112" t="s">
        <v>329</v>
      </c>
      <c r="G112">
        <v>2056</v>
      </c>
      <c r="H112">
        <v>773</v>
      </c>
      <c r="I112" s="5">
        <f t="shared" si="3"/>
        <v>0.37597276264591439</v>
      </c>
      <c r="J112" s="2">
        <v>0.7</v>
      </c>
      <c r="K112" s="4">
        <v>9.09</v>
      </c>
      <c r="L112">
        <f t="shared" si="4"/>
        <v>666</v>
      </c>
      <c r="M112" s="7">
        <f t="shared" si="5"/>
        <v>6053.94</v>
      </c>
    </row>
    <row r="113" spans="1:13" x14ac:dyDescent="0.3">
      <c r="A113" t="s">
        <v>0</v>
      </c>
      <c r="B113" t="s">
        <v>1</v>
      </c>
      <c r="C113" t="s">
        <v>83</v>
      </c>
      <c r="D113" t="s">
        <v>330</v>
      </c>
      <c r="E113" s="1" t="s">
        <v>331</v>
      </c>
      <c r="F113" t="s">
        <v>332</v>
      </c>
      <c r="G113">
        <v>2445</v>
      </c>
      <c r="H113">
        <v>855</v>
      </c>
      <c r="I113" s="5">
        <f t="shared" si="3"/>
        <v>0.34969325153374231</v>
      </c>
      <c r="J113" s="2">
        <v>0.7</v>
      </c>
      <c r="K113" s="4">
        <v>8.43</v>
      </c>
      <c r="L113">
        <f t="shared" si="4"/>
        <v>857</v>
      </c>
      <c r="M113" s="7">
        <f t="shared" si="5"/>
        <v>7224.5099999999993</v>
      </c>
    </row>
    <row r="114" spans="1:13" x14ac:dyDescent="0.3">
      <c r="A114" t="s">
        <v>0</v>
      </c>
      <c r="B114" t="s">
        <v>1</v>
      </c>
      <c r="C114" t="s">
        <v>17</v>
      </c>
      <c r="D114" t="s">
        <v>201</v>
      </c>
      <c r="E114" s="1" t="s">
        <v>333</v>
      </c>
      <c r="F114" t="s">
        <v>334</v>
      </c>
      <c r="G114">
        <v>2533</v>
      </c>
      <c r="H114">
        <v>1165</v>
      </c>
      <c r="I114" s="5">
        <f t="shared" si="3"/>
        <v>0.45992893801816026</v>
      </c>
      <c r="J114" s="2">
        <v>0.7</v>
      </c>
      <c r="K114" s="4">
        <v>8.56</v>
      </c>
      <c r="L114">
        <f t="shared" si="4"/>
        <v>608</v>
      </c>
      <c r="M114" s="7">
        <f t="shared" si="5"/>
        <v>5204.4800000000005</v>
      </c>
    </row>
    <row r="115" spans="1:13" x14ac:dyDescent="0.3">
      <c r="A115" t="s">
        <v>0</v>
      </c>
      <c r="B115" t="s">
        <v>1</v>
      </c>
      <c r="C115" t="s">
        <v>2</v>
      </c>
      <c r="D115" t="s">
        <v>10</v>
      </c>
      <c r="E115" s="1" t="s">
        <v>336</v>
      </c>
      <c r="F115" t="s">
        <v>337</v>
      </c>
      <c r="G115">
        <v>2642</v>
      </c>
      <c r="H115">
        <v>1442</v>
      </c>
      <c r="I115" s="5">
        <f t="shared" si="3"/>
        <v>0.54579863739591217</v>
      </c>
      <c r="J115" s="2">
        <v>0.7</v>
      </c>
      <c r="K115" s="4">
        <v>8.7100000000000009</v>
      </c>
      <c r="L115">
        <f t="shared" si="4"/>
        <v>407</v>
      </c>
      <c r="M115" s="7">
        <f t="shared" si="5"/>
        <v>3544.9700000000003</v>
      </c>
    </row>
    <row r="116" spans="1:13" x14ac:dyDescent="0.3">
      <c r="A116" t="s">
        <v>0</v>
      </c>
      <c r="B116" t="s">
        <v>1</v>
      </c>
      <c r="C116" t="s">
        <v>17</v>
      </c>
      <c r="D116" t="s">
        <v>18</v>
      </c>
      <c r="E116" s="1" t="s">
        <v>338</v>
      </c>
      <c r="F116" t="s">
        <v>339</v>
      </c>
      <c r="G116">
        <v>2100</v>
      </c>
      <c r="H116">
        <v>1438</v>
      </c>
      <c r="I116" s="5">
        <f t="shared" si="3"/>
        <v>0.68476190476190479</v>
      </c>
      <c r="J116" s="2">
        <v>0.7</v>
      </c>
      <c r="K116" s="4">
        <v>7</v>
      </c>
      <c r="L116">
        <f t="shared" si="4"/>
        <v>32</v>
      </c>
      <c r="M116" s="7">
        <f t="shared" si="5"/>
        <v>224</v>
      </c>
    </row>
    <row r="117" spans="1:13" x14ac:dyDescent="0.3">
      <c r="A117" t="s">
        <v>0</v>
      </c>
      <c r="B117" t="s">
        <v>1</v>
      </c>
      <c r="C117" t="s">
        <v>2</v>
      </c>
      <c r="D117" t="s">
        <v>3</v>
      </c>
      <c r="E117" s="1" t="s">
        <v>340</v>
      </c>
      <c r="F117" t="s">
        <v>341</v>
      </c>
      <c r="G117">
        <v>3164</v>
      </c>
      <c r="H117">
        <v>1628</v>
      </c>
      <c r="I117" s="5">
        <f t="shared" si="3"/>
        <v>0.51453855878634636</v>
      </c>
      <c r="J117" s="2">
        <v>0.7</v>
      </c>
      <c r="K117" s="4">
        <v>8.25</v>
      </c>
      <c r="L117">
        <f t="shared" si="4"/>
        <v>587</v>
      </c>
      <c r="M117" s="7">
        <f t="shared" si="5"/>
        <v>4842.75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s="1" t="s">
        <v>342</v>
      </c>
      <c r="F118" t="s">
        <v>343</v>
      </c>
      <c r="G118">
        <v>3790</v>
      </c>
      <c r="H118">
        <v>2161</v>
      </c>
      <c r="I118" s="5">
        <f t="shared" si="3"/>
        <v>0.57018469656992088</v>
      </c>
      <c r="J118" s="2">
        <v>0.7</v>
      </c>
      <c r="K118" s="4">
        <v>7.83</v>
      </c>
      <c r="L118">
        <f t="shared" si="4"/>
        <v>492</v>
      </c>
      <c r="M118" s="7">
        <f t="shared" si="5"/>
        <v>3852.36</v>
      </c>
    </row>
    <row r="119" spans="1:13" x14ac:dyDescent="0.3">
      <c r="A119" t="s">
        <v>0</v>
      </c>
      <c r="B119" t="s">
        <v>1</v>
      </c>
      <c r="C119" t="s">
        <v>70</v>
      </c>
      <c r="D119" t="s">
        <v>344</v>
      </c>
      <c r="E119" s="1" t="s">
        <v>345</v>
      </c>
      <c r="F119" t="s">
        <v>346</v>
      </c>
      <c r="G119">
        <v>2790</v>
      </c>
      <c r="H119">
        <v>1553</v>
      </c>
      <c r="I119" s="5">
        <f t="shared" si="3"/>
        <v>0.5566308243727599</v>
      </c>
      <c r="J119" s="2">
        <v>0.7</v>
      </c>
      <c r="K119" s="4">
        <v>8.24</v>
      </c>
      <c r="L119">
        <f t="shared" si="4"/>
        <v>400</v>
      </c>
      <c r="M119" s="7">
        <f t="shared" si="5"/>
        <v>3296</v>
      </c>
    </row>
    <row r="120" spans="1:13" x14ac:dyDescent="0.3">
      <c r="A120" t="s">
        <v>0</v>
      </c>
      <c r="B120" t="s">
        <v>1</v>
      </c>
      <c r="C120" t="s">
        <v>17</v>
      </c>
      <c r="D120" t="s">
        <v>18</v>
      </c>
      <c r="E120" s="1" t="s">
        <v>159</v>
      </c>
      <c r="F120" t="s">
        <v>347</v>
      </c>
      <c r="G120">
        <v>3320</v>
      </c>
      <c r="H120">
        <v>1582</v>
      </c>
      <c r="I120" s="5">
        <f t="shared" si="3"/>
        <v>0.47650602409638554</v>
      </c>
      <c r="J120" s="2">
        <v>0.7</v>
      </c>
      <c r="K120" s="4">
        <v>8.09</v>
      </c>
      <c r="L120">
        <f t="shared" si="4"/>
        <v>742</v>
      </c>
      <c r="M120" s="7">
        <f t="shared" si="5"/>
        <v>6002.78</v>
      </c>
    </row>
    <row r="121" spans="1:13" x14ac:dyDescent="0.3">
      <c r="A121" t="s">
        <v>0</v>
      </c>
      <c r="B121" t="s">
        <v>1</v>
      </c>
      <c r="C121" t="s">
        <v>17</v>
      </c>
      <c r="D121" t="s">
        <v>18</v>
      </c>
      <c r="E121" s="1" t="s">
        <v>348</v>
      </c>
      <c r="F121" t="s">
        <v>349</v>
      </c>
      <c r="G121">
        <v>7503</v>
      </c>
      <c r="H121">
        <v>4004</v>
      </c>
      <c r="I121" s="5">
        <f t="shared" si="3"/>
        <v>0.53365320538451289</v>
      </c>
      <c r="J121" s="2">
        <v>0.7</v>
      </c>
      <c r="K121" s="4">
        <v>7.86</v>
      </c>
      <c r="L121">
        <f t="shared" si="4"/>
        <v>1248</v>
      </c>
      <c r="M121" s="7">
        <f t="shared" si="5"/>
        <v>9809.2800000000007</v>
      </c>
    </row>
    <row r="122" spans="1:13" x14ac:dyDescent="0.3">
      <c r="A122" t="s">
        <v>0</v>
      </c>
      <c r="B122" t="s">
        <v>1</v>
      </c>
      <c r="C122" t="s">
        <v>2</v>
      </c>
      <c r="D122" t="s">
        <v>350</v>
      </c>
      <c r="E122" s="1" t="s">
        <v>351</v>
      </c>
      <c r="F122" t="s">
        <v>352</v>
      </c>
      <c r="G122">
        <v>3618</v>
      </c>
      <c r="H122">
        <v>1690</v>
      </c>
      <c r="I122" s="5">
        <f t="shared" si="3"/>
        <v>0.46710889994472082</v>
      </c>
      <c r="J122" s="2">
        <v>0.7</v>
      </c>
      <c r="K122" s="4">
        <v>7.97</v>
      </c>
      <c r="L122">
        <f t="shared" si="4"/>
        <v>843</v>
      </c>
      <c r="M122" s="7">
        <f t="shared" si="5"/>
        <v>6718.71</v>
      </c>
    </row>
    <row r="123" spans="1:13" x14ac:dyDescent="0.3">
      <c r="A123" t="s">
        <v>0</v>
      </c>
      <c r="B123" t="s">
        <v>1</v>
      </c>
      <c r="C123" t="s">
        <v>2</v>
      </c>
      <c r="D123" t="s">
        <v>3</v>
      </c>
      <c r="E123" s="1" t="s">
        <v>353</v>
      </c>
      <c r="F123" t="s">
        <v>354</v>
      </c>
      <c r="G123">
        <v>4368</v>
      </c>
      <c r="H123">
        <v>2193</v>
      </c>
      <c r="I123" s="5">
        <f t="shared" si="3"/>
        <v>0.50206043956043955</v>
      </c>
      <c r="J123" s="2">
        <v>0.7</v>
      </c>
      <c r="K123" s="4">
        <v>8.85</v>
      </c>
      <c r="L123">
        <f t="shared" si="4"/>
        <v>865</v>
      </c>
      <c r="M123" s="7">
        <f t="shared" si="5"/>
        <v>7655.25</v>
      </c>
    </row>
    <row r="124" spans="1:13" x14ac:dyDescent="0.3">
      <c r="A124" t="s">
        <v>0</v>
      </c>
      <c r="B124" t="s">
        <v>1</v>
      </c>
      <c r="C124" t="s">
        <v>17</v>
      </c>
      <c r="D124" t="s">
        <v>82</v>
      </c>
      <c r="E124" s="1" t="s">
        <v>355</v>
      </c>
      <c r="F124" t="s">
        <v>356</v>
      </c>
      <c r="G124">
        <v>5690</v>
      </c>
      <c r="H124">
        <v>3225</v>
      </c>
      <c r="I124" s="5">
        <f t="shared" si="3"/>
        <v>0.56678383128295251</v>
      </c>
      <c r="J124" s="2">
        <v>0.7</v>
      </c>
      <c r="K124" s="4">
        <v>8.9700000000000006</v>
      </c>
      <c r="L124">
        <f t="shared" si="4"/>
        <v>758</v>
      </c>
      <c r="M124" s="7">
        <f t="shared" si="5"/>
        <v>6799.26</v>
      </c>
    </row>
    <row r="125" spans="1:13" x14ac:dyDescent="0.3">
      <c r="A125" t="s">
        <v>0</v>
      </c>
      <c r="B125" t="s">
        <v>1</v>
      </c>
      <c r="C125" t="s">
        <v>2</v>
      </c>
      <c r="D125" t="s">
        <v>3</v>
      </c>
      <c r="E125" s="1" t="s">
        <v>357</v>
      </c>
      <c r="F125" t="s">
        <v>358</v>
      </c>
      <c r="G125">
        <v>3023</v>
      </c>
      <c r="H125">
        <v>1629</v>
      </c>
      <c r="I125" s="5">
        <f t="shared" si="3"/>
        <v>0.5388686735031426</v>
      </c>
      <c r="J125" s="2">
        <v>0.7</v>
      </c>
      <c r="K125" s="4">
        <v>8.58</v>
      </c>
      <c r="L125">
        <f t="shared" si="4"/>
        <v>487</v>
      </c>
      <c r="M125" s="7">
        <f t="shared" si="5"/>
        <v>4178.46</v>
      </c>
    </row>
    <row r="126" spans="1:13" x14ac:dyDescent="0.3">
      <c r="A126" t="s">
        <v>0</v>
      </c>
      <c r="B126" t="s">
        <v>1</v>
      </c>
      <c r="C126" t="s">
        <v>40</v>
      </c>
      <c r="D126" t="s">
        <v>85</v>
      </c>
      <c r="E126" s="1" t="s">
        <v>359</v>
      </c>
      <c r="F126" t="s">
        <v>360</v>
      </c>
      <c r="G126">
        <v>2921</v>
      </c>
      <c r="H126">
        <v>1103</v>
      </c>
      <c r="I126" s="5">
        <f t="shared" si="3"/>
        <v>0.37761040739472784</v>
      </c>
      <c r="J126" s="2">
        <v>0.7</v>
      </c>
      <c r="K126" s="4">
        <v>8.69</v>
      </c>
      <c r="L126">
        <f t="shared" si="4"/>
        <v>942</v>
      </c>
      <c r="M126" s="7">
        <f t="shared" si="5"/>
        <v>8185.98</v>
      </c>
    </row>
    <row r="127" spans="1:13" x14ac:dyDescent="0.3">
      <c r="A127" t="s">
        <v>0</v>
      </c>
      <c r="B127" t="s">
        <v>1</v>
      </c>
      <c r="C127" t="s">
        <v>2</v>
      </c>
      <c r="D127" t="s">
        <v>361</v>
      </c>
      <c r="E127" s="1" t="s">
        <v>362</v>
      </c>
      <c r="F127" t="s">
        <v>363</v>
      </c>
      <c r="G127">
        <v>3572</v>
      </c>
      <c r="H127">
        <v>2121</v>
      </c>
      <c r="I127" s="5">
        <f t="shared" si="3"/>
        <v>0.59378499440089583</v>
      </c>
      <c r="J127" s="2">
        <v>0.7</v>
      </c>
      <c r="K127" s="4">
        <v>9.18</v>
      </c>
      <c r="L127">
        <f t="shared" si="4"/>
        <v>379</v>
      </c>
      <c r="M127" s="7">
        <f t="shared" si="5"/>
        <v>3479.22</v>
      </c>
    </row>
    <row r="128" spans="1:13" x14ac:dyDescent="0.3">
      <c r="A128" t="s">
        <v>0</v>
      </c>
      <c r="B128" t="s">
        <v>1</v>
      </c>
      <c r="C128" t="s">
        <v>101</v>
      </c>
      <c r="D128" t="s">
        <v>364</v>
      </c>
      <c r="E128" s="1" t="s">
        <v>365</v>
      </c>
      <c r="F128" t="s">
        <v>366</v>
      </c>
      <c r="G128">
        <v>2116</v>
      </c>
      <c r="H128">
        <v>1279</v>
      </c>
      <c r="I128" s="5">
        <f t="shared" si="3"/>
        <v>0.60444234404536867</v>
      </c>
      <c r="J128" s="2">
        <v>0.7</v>
      </c>
      <c r="K128" s="4">
        <v>7.56</v>
      </c>
      <c r="L128">
        <f t="shared" si="4"/>
        <v>202</v>
      </c>
      <c r="M128" s="7">
        <f t="shared" si="5"/>
        <v>1527.12</v>
      </c>
    </row>
    <row r="129" spans="1:13" x14ac:dyDescent="0.3">
      <c r="A129" t="s">
        <v>0</v>
      </c>
      <c r="B129" t="s">
        <v>1</v>
      </c>
      <c r="C129" t="s">
        <v>74</v>
      </c>
      <c r="D129" t="s">
        <v>75</v>
      </c>
      <c r="E129" s="1" t="s">
        <v>367</v>
      </c>
      <c r="F129" t="s">
        <v>368</v>
      </c>
      <c r="G129">
        <v>2391</v>
      </c>
      <c r="H129">
        <v>1449</v>
      </c>
      <c r="I129" s="5">
        <f t="shared" si="3"/>
        <v>0.60602258469259729</v>
      </c>
      <c r="J129" s="2">
        <v>0.7</v>
      </c>
      <c r="K129" s="4">
        <v>7.45</v>
      </c>
      <c r="L129">
        <f t="shared" si="4"/>
        <v>225</v>
      </c>
      <c r="M129" s="7">
        <f t="shared" si="5"/>
        <v>1676.25</v>
      </c>
    </row>
    <row r="130" spans="1:13" x14ac:dyDescent="0.3">
      <c r="A130" t="s">
        <v>0</v>
      </c>
      <c r="B130" t="s">
        <v>1</v>
      </c>
      <c r="C130" t="s">
        <v>2</v>
      </c>
      <c r="D130" t="s">
        <v>3</v>
      </c>
      <c r="E130" s="1" t="s">
        <v>369</v>
      </c>
      <c r="F130" t="s">
        <v>370</v>
      </c>
      <c r="G130">
        <v>3708</v>
      </c>
      <c r="H130">
        <v>1631</v>
      </c>
      <c r="I130" s="5">
        <f t="shared" si="3"/>
        <v>0.43985976267529664</v>
      </c>
      <c r="J130" s="2">
        <v>0.7</v>
      </c>
      <c r="K130" s="4">
        <v>8.1199999999999992</v>
      </c>
      <c r="L130">
        <f t="shared" si="4"/>
        <v>965</v>
      </c>
      <c r="M130" s="7">
        <f t="shared" si="5"/>
        <v>7835.7999999999993</v>
      </c>
    </row>
    <row r="131" spans="1:13" x14ac:dyDescent="0.3">
      <c r="A131" t="s">
        <v>0</v>
      </c>
      <c r="B131" t="s">
        <v>1</v>
      </c>
      <c r="C131" t="s">
        <v>21</v>
      </c>
      <c r="D131" t="s">
        <v>371</v>
      </c>
      <c r="E131" s="1" t="s">
        <v>372</v>
      </c>
      <c r="F131" t="s">
        <v>373</v>
      </c>
      <c r="G131">
        <v>1332</v>
      </c>
      <c r="H131">
        <v>663</v>
      </c>
      <c r="I131" s="5">
        <f t="shared" ref="I131:I194" si="6">H131/G131</f>
        <v>0.49774774774774777</v>
      </c>
      <c r="J131" s="2">
        <v>0.7</v>
      </c>
      <c r="K131" s="4">
        <v>7.24</v>
      </c>
      <c r="L131">
        <f t="shared" ref="L131:L194" si="7">ROUND(G131*J131,0)-H131</f>
        <v>269</v>
      </c>
      <c r="M131" s="7">
        <f t="shared" ref="M131:M194" si="8">L131*K131</f>
        <v>1947.56</v>
      </c>
    </row>
    <row r="132" spans="1:13" x14ac:dyDescent="0.3">
      <c r="A132" t="s">
        <v>0</v>
      </c>
      <c r="B132" t="s">
        <v>1</v>
      </c>
      <c r="C132" t="s">
        <v>74</v>
      </c>
      <c r="D132" t="s">
        <v>279</v>
      </c>
      <c r="E132" s="1" t="s">
        <v>374</v>
      </c>
      <c r="F132" t="s">
        <v>375</v>
      </c>
      <c r="G132">
        <v>4219</v>
      </c>
      <c r="H132">
        <v>1845</v>
      </c>
      <c r="I132" s="5">
        <f t="shared" si="6"/>
        <v>0.43730741881962548</v>
      </c>
      <c r="J132" s="2">
        <v>0.7</v>
      </c>
      <c r="K132" s="4">
        <v>8.1199999999999992</v>
      </c>
      <c r="L132">
        <f t="shared" si="7"/>
        <v>1108</v>
      </c>
      <c r="M132" s="7">
        <f t="shared" si="8"/>
        <v>8996.9599999999991</v>
      </c>
    </row>
    <row r="133" spans="1:13" x14ac:dyDescent="0.3">
      <c r="A133" t="s">
        <v>0</v>
      </c>
      <c r="B133" t="s">
        <v>1</v>
      </c>
      <c r="C133" t="s">
        <v>17</v>
      </c>
      <c r="D133" t="s">
        <v>18</v>
      </c>
      <c r="E133" s="1" t="s">
        <v>377</v>
      </c>
      <c r="F133" t="s">
        <v>378</v>
      </c>
      <c r="G133">
        <v>3146</v>
      </c>
      <c r="H133">
        <v>1618</v>
      </c>
      <c r="I133" s="5">
        <f t="shared" si="6"/>
        <v>0.51430387794024157</v>
      </c>
      <c r="J133" s="2">
        <v>0.7</v>
      </c>
      <c r="K133" s="4">
        <v>7.15</v>
      </c>
      <c r="L133">
        <f t="shared" si="7"/>
        <v>584</v>
      </c>
      <c r="M133" s="7">
        <f t="shared" si="8"/>
        <v>4175.6000000000004</v>
      </c>
    </row>
    <row r="134" spans="1:13" x14ac:dyDescent="0.3">
      <c r="A134" t="s">
        <v>0</v>
      </c>
      <c r="B134" t="s">
        <v>1</v>
      </c>
      <c r="C134" t="s">
        <v>2</v>
      </c>
      <c r="D134" t="s">
        <v>270</v>
      </c>
      <c r="E134" s="1" t="s">
        <v>379</v>
      </c>
      <c r="F134" t="s">
        <v>380</v>
      </c>
      <c r="G134">
        <v>7026</v>
      </c>
      <c r="H134">
        <v>3907</v>
      </c>
      <c r="I134" s="5">
        <f t="shared" si="6"/>
        <v>0.55607742670082549</v>
      </c>
      <c r="J134" s="2">
        <v>0.7</v>
      </c>
      <c r="K134" s="4">
        <v>7.65</v>
      </c>
      <c r="L134">
        <f t="shared" si="7"/>
        <v>1011</v>
      </c>
      <c r="M134" s="7">
        <f t="shared" si="8"/>
        <v>7734.1500000000005</v>
      </c>
    </row>
    <row r="135" spans="1:13" x14ac:dyDescent="0.3">
      <c r="A135" t="s">
        <v>0</v>
      </c>
      <c r="B135" t="s">
        <v>1</v>
      </c>
      <c r="C135" t="s">
        <v>17</v>
      </c>
      <c r="D135" t="s">
        <v>381</v>
      </c>
      <c r="E135" s="1" t="s">
        <v>382</v>
      </c>
      <c r="F135" t="s">
        <v>383</v>
      </c>
      <c r="G135">
        <v>1809</v>
      </c>
      <c r="H135">
        <v>1109</v>
      </c>
      <c r="I135" s="5">
        <f t="shared" si="6"/>
        <v>0.61304588170259811</v>
      </c>
      <c r="J135" s="2">
        <v>0.7</v>
      </c>
      <c r="K135" s="4">
        <v>8.33</v>
      </c>
      <c r="L135">
        <f t="shared" si="7"/>
        <v>157</v>
      </c>
      <c r="M135" s="7">
        <f t="shared" si="8"/>
        <v>1307.81</v>
      </c>
    </row>
    <row r="136" spans="1:13" x14ac:dyDescent="0.3">
      <c r="A136" t="s">
        <v>0</v>
      </c>
      <c r="B136" t="s">
        <v>1</v>
      </c>
      <c r="C136" t="s">
        <v>74</v>
      </c>
      <c r="D136" t="s">
        <v>384</v>
      </c>
      <c r="E136" s="1" t="s">
        <v>385</v>
      </c>
      <c r="F136" t="s">
        <v>386</v>
      </c>
      <c r="G136">
        <v>4189</v>
      </c>
      <c r="H136">
        <v>2477</v>
      </c>
      <c r="I136" s="5">
        <f t="shared" si="6"/>
        <v>0.5913105753163046</v>
      </c>
      <c r="J136" s="2">
        <v>0.7</v>
      </c>
      <c r="K136" s="4">
        <v>6.82</v>
      </c>
      <c r="L136">
        <f t="shared" si="7"/>
        <v>455</v>
      </c>
      <c r="M136" s="7">
        <f t="shared" si="8"/>
        <v>3103.1</v>
      </c>
    </row>
    <row r="137" spans="1:13" x14ac:dyDescent="0.3">
      <c r="A137" t="s">
        <v>0</v>
      </c>
      <c r="B137" t="s">
        <v>1</v>
      </c>
      <c r="C137" t="s">
        <v>2</v>
      </c>
      <c r="D137" t="s">
        <v>387</v>
      </c>
      <c r="E137" s="1" t="s">
        <v>388</v>
      </c>
      <c r="F137" t="s">
        <v>389</v>
      </c>
      <c r="G137">
        <v>2935</v>
      </c>
      <c r="H137">
        <v>1385</v>
      </c>
      <c r="I137" s="5">
        <f t="shared" si="6"/>
        <v>0.47189097103918226</v>
      </c>
      <c r="J137" s="2">
        <v>0.7</v>
      </c>
      <c r="K137" s="4">
        <v>8.0399999999999991</v>
      </c>
      <c r="L137">
        <f t="shared" si="7"/>
        <v>670</v>
      </c>
      <c r="M137" s="7">
        <f t="shared" si="8"/>
        <v>5386.7999999999993</v>
      </c>
    </row>
    <row r="138" spans="1:13" x14ac:dyDescent="0.3">
      <c r="A138" t="s">
        <v>0</v>
      </c>
      <c r="B138" t="s">
        <v>1</v>
      </c>
      <c r="C138" t="s">
        <v>273</v>
      </c>
      <c r="D138" t="s">
        <v>316</v>
      </c>
      <c r="E138" s="1" t="s">
        <v>317</v>
      </c>
      <c r="F138" t="s">
        <v>390</v>
      </c>
      <c r="G138">
        <v>2051</v>
      </c>
      <c r="H138">
        <v>823</v>
      </c>
      <c r="I138" s="5">
        <f t="shared" si="6"/>
        <v>0.40126767430521698</v>
      </c>
      <c r="J138" s="2">
        <v>0.7</v>
      </c>
      <c r="K138" s="4">
        <v>8.19</v>
      </c>
      <c r="L138">
        <f t="shared" si="7"/>
        <v>613</v>
      </c>
      <c r="M138" s="7">
        <f t="shared" si="8"/>
        <v>5020.4699999999993</v>
      </c>
    </row>
    <row r="139" spans="1:13" x14ac:dyDescent="0.3">
      <c r="A139" t="s">
        <v>0</v>
      </c>
      <c r="B139" t="s">
        <v>1</v>
      </c>
      <c r="C139" t="s">
        <v>21</v>
      </c>
      <c r="D139" t="s">
        <v>391</v>
      </c>
      <c r="E139" s="1" t="s">
        <v>392</v>
      </c>
      <c r="F139" t="s">
        <v>393</v>
      </c>
      <c r="G139">
        <v>2271</v>
      </c>
      <c r="H139">
        <v>1401</v>
      </c>
      <c r="I139" s="5">
        <f t="shared" si="6"/>
        <v>0.61690885072655222</v>
      </c>
      <c r="J139" s="2">
        <v>0.7</v>
      </c>
      <c r="K139" s="4">
        <v>12.64</v>
      </c>
      <c r="L139">
        <f t="shared" si="7"/>
        <v>189</v>
      </c>
      <c r="M139" s="7">
        <f t="shared" si="8"/>
        <v>2388.96</v>
      </c>
    </row>
    <row r="140" spans="1:13" x14ac:dyDescent="0.3">
      <c r="A140" t="s">
        <v>0</v>
      </c>
      <c r="B140" t="s">
        <v>1</v>
      </c>
      <c r="C140" t="s">
        <v>83</v>
      </c>
      <c r="D140" t="s">
        <v>394</v>
      </c>
      <c r="E140" s="1" t="s">
        <v>395</v>
      </c>
      <c r="F140" t="s">
        <v>396</v>
      </c>
      <c r="G140">
        <v>3297</v>
      </c>
      <c r="H140">
        <v>1908</v>
      </c>
      <c r="I140" s="5">
        <f t="shared" si="6"/>
        <v>0.57870791628753415</v>
      </c>
      <c r="J140" s="2">
        <v>0.7</v>
      </c>
      <c r="K140" s="4">
        <v>8.16</v>
      </c>
      <c r="L140">
        <f t="shared" si="7"/>
        <v>400</v>
      </c>
      <c r="M140" s="7">
        <f t="shared" si="8"/>
        <v>3264</v>
      </c>
    </row>
    <row r="141" spans="1:13" x14ac:dyDescent="0.3">
      <c r="A141" t="s">
        <v>0</v>
      </c>
      <c r="B141" t="s">
        <v>1</v>
      </c>
      <c r="C141" t="s">
        <v>21</v>
      </c>
      <c r="D141" t="s">
        <v>397</v>
      </c>
      <c r="E141" s="1" t="s">
        <v>398</v>
      </c>
      <c r="F141" t="s">
        <v>399</v>
      </c>
      <c r="G141">
        <v>3100</v>
      </c>
      <c r="H141">
        <v>1633</v>
      </c>
      <c r="I141" s="5">
        <f t="shared" si="6"/>
        <v>0.52677419354838706</v>
      </c>
      <c r="J141" s="2">
        <v>0.7</v>
      </c>
      <c r="K141" s="4">
        <v>7.42</v>
      </c>
      <c r="L141">
        <f t="shared" si="7"/>
        <v>537</v>
      </c>
      <c r="M141" s="7">
        <f t="shared" si="8"/>
        <v>3984.54</v>
      </c>
    </row>
    <row r="142" spans="1:13" x14ac:dyDescent="0.3">
      <c r="A142" t="s">
        <v>0</v>
      </c>
      <c r="B142" t="s">
        <v>1</v>
      </c>
      <c r="C142" t="s">
        <v>17</v>
      </c>
      <c r="D142" t="s">
        <v>401</v>
      </c>
      <c r="E142" s="1" t="s">
        <v>402</v>
      </c>
      <c r="F142" t="s">
        <v>403</v>
      </c>
      <c r="G142">
        <v>2027</v>
      </c>
      <c r="H142">
        <v>1367</v>
      </c>
      <c r="I142" s="5">
        <f t="shared" si="6"/>
        <v>0.67439565860878148</v>
      </c>
      <c r="J142" s="2">
        <v>0.7</v>
      </c>
      <c r="K142" s="4">
        <v>8.4499999999999993</v>
      </c>
      <c r="L142">
        <f t="shared" si="7"/>
        <v>52</v>
      </c>
      <c r="M142" s="7">
        <f t="shared" si="8"/>
        <v>439.4</v>
      </c>
    </row>
    <row r="143" spans="1:13" x14ac:dyDescent="0.3">
      <c r="A143" t="s">
        <v>0</v>
      </c>
      <c r="B143" t="s">
        <v>1</v>
      </c>
      <c r="C143" t="s">
        <v>2</v>
      </c>
      <c r="D143" t="s">
        <v>404</v>
      </c>
      <c r="E143" s="1" t="s">
        <v>405</v>
      </c>
      <c r="F143" t="s">
        <v>406</v>
      </c>
      <c r="G143">
        <v>2852</v>
      </c>
      <c r="H143">
        <v>1438</v>
      </c>
      <c r="I143" s="5">
        <f t="shared" si="6"/>
        <v>0.50420757363253854</v>
      </c>
      <c r="J143" s="2">
        <v>0.7</v>
      </c>
      <c r="K143" s="4">
        <v>7.13</v>
      </c>
      <c r="L143">
        <f t="shared" si="7"/>
        <v>558</v>
      </c>
      <c r="M143" s="7">
        <f t="shared" si="8"/>
        <v>3978.54</v>
      </c>
    </row>
    <row r="144" spans="1:13" x14ac:dyDescent="0.3">
      <c r="A144" t="s">
        <v>0</v>
      </c>
      <c r="B144" t="s">
        <v>1</v>
      </c>
      <c r="C144" t="s">
        <v>17</v>
      </c>
      <c r="D144" t="s">
        <v>18</v>
      </c>
      <c r="E144" s="1" t="s">
        <v>407</v>
      </c>
      <c r="F144" t="s">
        <v>408</v>
      </c>
      <c r="G144">
        <v>2477</v>
      </c>
      <c r="H144">
        <v>1404</v>
      </c>
      <c r="I144" s="5">
        <f t="shared" si="6"/>
        <v>0.56681469519580141</v>
      </c>
      <c r="J144" s="2">
        <v>0.7</v>
      </c>
      <c r="K144" s="4">
        <v>7.69</v>
      </c>
      <c r="L144">
        <f t="shared" si="7"/>
        <v>330</v>
      </c>
      <c r="M144" s="7">
        <f t="shared" si="8"/>
        <v>2537.7000000000003</v>
      </c>
    </row>
    <row r="145" spans="1:13" x14ac:dyDescent="0.3">
      <c r="A145" t="s">
        <v>0</v>
      </c>
      <c r="B145" t="s">
        <v>1</v>
      </c>
      <c r="C145" t="s">
        <v>21</v>
      </c>
      <c r="D145" t="s">
        <v>409</v>
      </c>
      <c r="E145" s="1" t="s">
        <v>410</v>
      </c>
      <c r="F145" t="s">
        <v>411</v>
      </c>
      <c r="G145">
        <v>2568</v>
      </c>
      <c r="H145">
        <v>1359</v>
      </c>
      <c r="I145" s="5">
        <f t="shared" si="6"/>
        <v>0.52920560747663548</v>
      </c>
      <c r="J145" s="2">
        <v>0.7</v>
      </c>
      <c r="K145" s="4">
        <v>8.18</v>
      </c>
      <c r="L145">
        <f t="shared" si="7"/>
        <v>439</v>
      </c>
      <c r="M145" s="7">
        <f t="shared" si="8"/>
        <v>3591.02</v>
      </c>
    </row>
    <row r="146" spans="1:13" x14ac:dyDescent="0.3">
      <c r="A146" t="s">
        <v>0</v>
      </c>
      <c r="B146" t="s">
        <v>1</v>
      </c>
      <c r="C146" t="s">
        <v>17</v>
      </c>
      <c r="D146" t="s">
        <v>18</v>
      </c>
      <c r="E146" s="1" t="s">
        <v>412</v>
      </c>
      <c r="F146" t="s">
        <v>413</v>
      </c>
      <c r="G146">
        <v>2794</v>
      </c>
      <c r="H146">
        <v>1661</v>
      </c>
      <c r="I146" s="5">
        <f t="shared" si="6"/>
        <v>0.59448818897637801</v>
      </c>
      <c r="J146" s="2">
        <v>0.7</v>
      </c>
      <c r="K146" s="4">
        <v>8.2899999999999991</v>
      </c>
      <c r="L146">
        <f t="shared" si="7"/>
        <v>295</v>
      </c>
      <c r="M146" s="7">
        <f t="shared" si="8"/>
        <v>2445.5499999999997</v>
      </c>
    </row>
    <row r="147" spans="1:13" x14ac:dyDescent="0.3">
      <c r="A147" t="s">
        <v>0</v>
      </c>
      <c r="B147" t="s">
        <v>1</v>
      </c>
      <c r="C147" t="s">
        <v>2</v>
      </c>
      <c r="D147" t="s">
        <v>27</v>
      </c>
      <c r="E147" s="1" t="s">
        <v>414</v>
      </c>
      <c r="F147" t="s">
        <v>415</v>
      </c>
      <c r="G147">
        <v>5168</v>
      </c>
      <c r="H147">
        <v>3047</v>
      </c>
      <c r="I147" s="5">
        <f t="shared" si="6"/>
        <v>0.58958978328173373</v>
      </c>
      <c r="J147" s="2">
        <v>0.7</v>
      </c>
      <c r="K147" s="4">
        <v>7.79</v>
      </c>
      <c r="L147">
        <f t="shared" si="7"/>
        <v>571</v>
      </c>
      <c r="M147" s="7">
        <f t="shared" si="8"/>
        <v>4448.09</v>
      </c>
    </row>
    <row r="148" spans="1:13" x14ac:dyDescent="0.3">
      <c r="A148" t="s">
        <v>0</v>
      </c>
      <c r="B148" t="s">
        <v>1</v>
      </c>
      <c r="C148" t="s">
        <v>40</v>
      </c>
      <c r="D148" t="s">
        <v>41</v>
      </c>
      <c r="E148" s="1" t="s">
        <v>418</v>
      </c>
      <c r="F148" t="s">
        <v>419</v>
      </c>
      <c r="G148">
        <v>3693</v>
      </c>
      <c r="H148">
        <v>1894</v>
      </c>
      <c r="I148" s="5">
        <f t="shared" si="6"/>
        <v>0.51286217167614401</v>
      </c>
      <c r="J148" s="2">
        <v>0.7</v>
      </c>
      <c r="K148" s="4">
        <v>8.01</v>
      </c>
      <c r="L148">
        <f t="shared" si="7"/>
        <v>691</v>
      </c>
      <c r="M148" s="7">
        <f t="shared" si="8"/>
        <v>5534.91</v>
      </c>
    </row>
    <row r="149" spans="1:13" x14ac:dyDescent="0.3">
      <c r="A149" t="s">
        <v>0</v>
      </c>
      <c r="B149" t="s">
        <v>1</v>
      </c>
      <c r="C149" t="s">
        <v>17</v>
      </c>
      <c r="D149" t="s">
        <v>423</v>
      </c>
      <c r="E149" s="1" t="s">
        <v>424</v>
      </c>
      <c r="F149" t="s">
        <v>425</v>
      </c>
      <c r="G149">
        <v>3572</v>
      </c>
      <c r="H149">
        <v>2026</v>
      </c>
      <c r="I149" s="5">
        <f t="shared" si="6"/>
        <v>0.56718924972004481</v>
      </c>
      <c r="J149" s="2">
        <v>0.7</v>
      </c>
      <c r="K149" s="4">
        <v>8.94</v>
      </c>
      <c r="L149">
        <f t="shared" si="7"/>
        <v>474</v>
      </c>
      <c r="M149" s="7">
        <f t="shared" si="8"/>
        <v>4237.5599999999995</v>
      </c>
    </row>
    <row r="150" spans="1:13" x14ac:dyDescent="0.3">
      <c r="A150" t="s">
        <v>0</v>
      </c>
      <c r="B150" t="s">
        <v>1</v>
      </c>
      <c r="C150" t="s">
        <v>21</v>
      </c>
      <c r="D150" t="s">
        <v>426</v>
      </c>
      <c r="E150" s="1" t="s">
        <v>427</v>
      </c>
      <c r="F150" t="s">
        <v>428</v>
      </c>
      <c r="G150">
        <v>2113</v>
      </c>
      <c r="H150">
        <v>1117</v>
      </c>
      <c r="I150" s="5">
        <f t="shared" si="6"/>
        <v>0.52863227638428778</v>
      </c>
      <c r="J150" s="2">
        <v>0.7</v>
      </c>
      <c r="K150" s="4">
        <v>7.6</v>
      </c>
      <c r="L150">
        <f t="shared" si="7"/>
        <v>362</v>
      </c>
      <c r="M150" s="7">
        <f t="shared" si="8"/>
        <v>2751.2</v>
      </c>
    </row>
    <row r="151" spans="1:13" x14ac:dyDescent="0.3">
      <c r="A151" t="s">
        <v>0</v>
      </c>
      <c r="B151" t="s">
        <v>1</v>
      </c>
      <c r="C151" t="s">
        <v>2</v>
      </c>
      <c r="D151" t="s">
        <v>253</v>
      </c>
      <c r="E151" s="1" t="s">
        <v>429</v>
      </c>
      <c r="F151" t="s">
        <v>430</v>
      </c>
      <c r="G151">
        <v>2487</v>
      </c>
      <c r="H151">
        <v>1564</v>
      </c>
      <c r="I151" s="5">
        <f t="shared" si="6"/>
        <v>0.62887012464817049</v>
      </c>
      <c r="J151" s="2">
        <v>0.7</v>
      </c>
      <c r="K151" s="4">
        <v>8.42</v>
      </c>
      <c r="L151">
        <f t="shared" si="7"/>
        <v>177</v>
      </c>
      <c r="M151" s="7">
        <f t="shared" si="8"/>
        <v>1490.34</v>
      </c>
    </row>
    <row r="152" spans="1:13" x14ac:dyDescent="0.3">
      <c r="A152" t="s">
        <v>0</v>
      </c>
      <c r="B152" t="s">
        <v>1</v>
      </c>
      <c r="C152" t="s">
        <v>2</v>
      </c>
      <c r="D152" t="s">
        <v>431</v>
      </c>
      <c r="E152" s="1" t="s">
        <v>432</v>
      </c>
      <c r="F152" t="s">
        <v>433</v>
      </c>
      <c r="G152">
        <v>1404</v>
      </c>
      <c r="H152">
        <v>623</v>
      </c>
      <c r="I152" s="5">
        <f t="shared" si="6"/>
        <v>0.44373219373219375</v>
      </c>
      <c r="J152" s="2">
        <v>0.7</v>
      </c>
      <c r="K152" s="4">
        <v>8.66</v>
      </c>
      <c r="L152">
        <f t="shared" si="7"/>
        <v>360</v>
      </c>
      <c r="M152" s="7">
        <f t="shared" si="8"/>
        <v>3117.6</v>
      </c>
    </row>
    <row r="153" spans="1:13" x14ac:dyDescent="0.3">
      <c r="A153" t="s">
        <v>0</v>
      </c>
      <c r="B153" t="s">
        <v>1</v>
      </c>
      <c r="C153" t="s">
        <v>17</v>
      </c>
      <c r="D153" t="s">
        <v>434</v>
      </c>
      <c r="E153" s="1" t="s">
        <v>435</v>
      </c>
      <c r="F153" t="s">
        <v>436</v>
      </c>
      <c r="G153">
        <v>2634</v>
      </c>
      <c r="H153">
        <v>1532</v>
      </c>
      <c r="I153" s="5">
        <f t="shared" si="6"/>
        <v>0.58162490508731968</v>
      </c>
      <c r="J153" s="2">
        <v>0.7</v>
      </c>
      <c r="K153" s="4">
        <v>8.25</v>
      </c>
      <c r="L153">
        <f t="shared" si="7"/>
        <v>312</v>
      </c>
      <c r="M153" s="7">
        <f t="shared" si="8"/>
        <v>2574</v>
      </c>
    </row>
    <row r="154" spans="1:13" x14ac:dyDescent="0.3">
      <c r="A154" t="s">
        <v>0</v>
      </c>
      <c r="B154" t="s">
        <v>1</v>
      </c>
      <c r="C154" t="s">
        <v>83</v>
      </c>
      <c r="D154" t="s">
        <v>437</v>
      </c>
      <c r="E154" s="1" t="s">
        <v>438</v>
      </c>
      <c r="F154" t="s">
        <v>439</v>
      </c>
      <c r="G154">
        <v>2537</v>
      </c>
      <c r="H154">
        <v>1619</v>
      </c>
      <c r="I154" s="5">
        <f t="shared" si="6"/>
        <v>0.63815530153724875</v>
      </c>
      <c r="J154" s="2">
        <v>0.7</v>
      </c>
      <c r="K154" s="4">
        <v>8.25</v>
      </c>
      <c r="L154">
        <f t="shared" si="7"/>
        <v>157</v>
      </c>
      <c r="M154" s="7">
        <f t="shared" si="8"/>
        <v>1295.25</v>
      </c>
    </row>
    <row r="155" spans="1:13" x14ac:dyDescent="0.3">
      <c r="A155" t="s">
        <v>0</v>
      </c>
      <c r="B155" t="s">
        <v>1</v>
      </c>
      <c r="C155" t="s">
        <v>17</v>
      </c>
      <c r="D155" t="s">
        <v>18</v>
      </c>
      <c r="E155" s="1" t="s">
        <v>440</v>
      </c>
      <c r="F155" t="s">
        <v>441</v>
      </c>
      <c r="G155">
        <v>2126</v>
      </c>
      <c r="H155">
        <v>993</v>
      </c>
      <c r="I155" s="5">
        <f t="shared" si="6"/>
        <v>0.46707431796801507</v>
      </c>
      <c r="J155" s="2">
        <v>0.7</v>
      </c>
      <c r="K155" s="4">
        <v>8.26</v>
      </c>
      <c r="L155">
        <f t="shared" si="7"/>
        <v>495</v>
      </c>
      <c r="M155" s="7">
        <f t="shared" si="8"/>
        <v>4088.7</v>
      </c>
    </row>
    <row r="156" spans="1:13" x14ac:dyDescent="0.3">
      <c r="A156" t="s">
        <v>0</v>
      </c>
      <c r="B156" t="s">
        <v>1</v>
      </c>
      <c r="C156" t="s">
        <v>17</v>
      </c>
      <c r="D156" t="s">
        <v>82</v>
      </c>
      <c r="E156" s="1" t="s">
        <v>442</v>
      </c>
      <c r="F156" t="s">
        <v>443</v>
      </c>
      <c r="G156">
        <v>4195</v>
      </c>
      <c r="H156">
        <v>1946</v>
      </c>
      <c r="I156" s="5">
        <f t="shared" si="6"/>
        <v>0.46388557806912989</v>
      </c>
      <c r="J156" s="2">
        <v>0.7</v>
      </c>
      <c r="K156" s="4">
        <v>8.5399999999999991</v>
      </c>
      <c r="L156">
        <f t="shared" si="7"/>
        <v>991</v>
      </c>
      <c r="M156" s="7">
        <f t="shared" si="8"/>
        <v>8463.14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s="1" t="s">
        <v>444</v>
      </c>
      <c r="F157" t="s">
        <v>445</v>
      </c>
      <c r="G157">
        <v>4951</v>
      </c>
      <c r="H157">
        <v>2833</v>
      </c>
      <c r="I157" s="5">
        <f t="shared" si="6"/>
        <v>0.57220763482124826</v>
      </c>
      <c r="J157" s="2">
        <v>0.7</v>
      </c>
      <c r="K157" s="4">
        <v>8.59</v>
      </c>
      <c r="L157">
        <f t="shared" si="7"/>
        <v>633</v>
      </c>
      <c r="M157" s="7">
        <f t="shared" si="8"/>
        <v>5437.47</v>
      </c>
    </row>
    <row r="158" spans="1:13" x14ac:dyDescent="0.3">
      <c r="A158" t="s">
        <v>0</v>
      </c>
      <c r="B158" t="s">
        <v>1</v>
      </c>
      <c r="C158" t="s">
        <v>6</v>
      </c>
      <c r="D158" t="s">
        <v>446</v>
      </c>
      <c r="E158" s="1" t="s">
        <v>447</v>
      </c>
      <c r="F158" t="s">
        <v>448</v>
      </c>
      <c r="G158">
        <v>1259</v>
      </c>
      <c r="H158">
        <v>615</v>
      </c>
      <c r="I158" s="5">
        <f t="shared" si="6"/>
        <v>0.48848292295472595</v>
      </c>
      <c r="J158" s="2">
        <v>0.7</v>
      </c>
      <c r="K158" s="4">
        <v>8.44</v>
      </c>
      <c r="L158">
        <f t="shared" si="7"/>
        <v>266</v>
      </c>
      <c r="M158" s="7">
        <f t="shared" si="8"/>
        <v>2245.04</v>
      </c>
    </row>
    <row r="159" spans="1:13" x14ac:dyDescent="0.3">
      <c r="A159" t="s">
        <v>0</v>
      </c>
      <c r="B159" t="s">
        <v>1</v>
      </c>
      <c r="C159" t="s">
        <v>36</v>
      </c>
      <c r="D159" t="s">
        <v>37</v>
      </c>
      <c r="E159" s="1" t="s">
        <v>449</v>
      </c>
      <c r="F159" t="s">
        <v>450</v>
      </c>
      <c r="G159">
        <v>5396</v>
      </c>
      <c r="H159">
        <v>3013</v>
      </c>
      <c r="I159" s="5">
        <f t="shared" si="6"/>
        <v>0.55837657524091922</v>
      </c>
      <c r="J159" s="2">
        <v>0.7</v>
      </c>
      <c r="K159" s="4">
        <v>8.14</v>
      </c>
      <c r="L159">
        <f t="shared" si="7"/>
        <v>764</v>
      </c>
      <c r="M159" s="7">
        <f t="shared" si="8"/>
        <v>6218.96</v>
      </c>
    </row>
    <row r="160" spans="1:13" x14ac:dyDescent="0.3">
      <c r="A160" t="s">
        <v>0</v>
      </c>
      <c r="B160" t="s">
        <v>1</v>
      </c>
      <c r="C160" t="s">
        <v>2</v>
      </c>
      <c r="D160" t="s">
        <v>400</v>
      </c>
      <c r="E160" s="1" t="s">
        <v>451</v>
      </c>
      <c r="F160" t="s">
        <v>452</v>
      </c>
      <c r="G160">
        <v>2735</v>
      </c>
      <c r="H160">
        <v>1471</v>
      </c>
      <c r="I160" s="5">
        <f t="shared" si="6"/>
        <v>0.53784277879341869</v>
      </c>
      <c r="J160" s="2">
        <v>0.7</v>
      </c>
      <c r="K160" s="4">
        <v>8.68</v>
      </c>
      <c r="L160">
        <f t="shared" si="7"/>
        <v>444</v>
      </c>
      <c r="M160" s="7">
        <f t="shared" si="8"/>
        <v>3853.92</v>
      </c>
    </row>
    <row r="161" spans="1:13" x14ac:dyDescent="0.3">
      <c r="A161" t="s">
        <v>0</v>
      </c>
      <c r="B161" t="s">
        <v>1</v>
      </c>
      <c r="C161" t="s">
        <v>101</v>
      </c>
      <c r="D161" t="s">
        <v>102</v>
      </c>
      <c r="E161" s="1" t="s">
        <v>453</v>
      </c>
      <c r="F161" t="s">
        <v>454</v>
      </c>
      <c r="G161">
        <v>2079</v>
      </c>
      <c r="H161">
        <v>1022</v>
      </c>
      <c r="I161" s="5">
        <f t="shared" si="6"/>
        <v>0.49158249158249157</v>
      </c>
      <c r="J161" s="2">
        <v>0.7</v>
      </c>
      <c r="K161" s="4">
        <v>7.34</v>
      </c>
      <c r="L161">
        <f t="shared" si="7"/>
        <v>433</v>
      </c>
      <c r="M161" s="7">
        <f t="shared" si="8"/>
        <v>3178.22</v>
      </c>
    </row>
    <row r="162" spans="1:13" x14ac:dyDescent="0.3">
      <c r="A162" t="s">
        <v>0</v>
      </c>
      <c r="B162" t="s">
        <v>1</v>
      </c>
      <c r="C162" t="s">
        <v>40</v>
      </c>
      <c r="D162" t="s">
        <v>41</v>
      </c>
      <c r="E162" s="1" t="s">
        <v>455</v>
      </c>
      <c r="F162" t="s">
        <v>456</v>
      </c>
      <c r="G162">
        <v>1727</v>
      </c>
      <c r="H162">
        <v>626</v>
      </c>
      <c r="I162" s="5">
        <f t="shared" si="6"/>
        <v>0.36247828604516502</v>
      </c>
      <c r="J162" s="2">
        <v>0.7</v>
      </c>
      <c r="K162" s="4">
        <v>8.7200000000000006</v>
      </c>
      <c r="L162">
        <f t="shared" si="7"/>
        <v>583</v>
      </c>
      <c r="M162" s="7">
        <f t="shared" si="8"/>
        <v>5083.76</v>
      </c>
    </row>
    <row r="163" spans="1:13" x14ac:dyDescent="0.3">
      <c r="A163" t="s">
        <v>0</v>
      </c>
      <c r="B163" t="s">
        <v>1</v>
      </c>
      <c r="C163" t="s">
        <v>2</v>
      </c>
      <c r="D163" t="s">
        <v>335</v>
      </c>
      <c r="E163" s="1" t="s">
        <v>457</v>
      </c>
      <c r="F163" t="s">
        <v>458</v>
      </c>
      <c r="G163">
        <v>5928</v>
      </c>
      <c r="H163">
        <v>3713</v>
      </c>
      <c r="I163" s="5">
        <f t="shared" si="6"/>
        <v>0.62634952766531715</v>
      </c>
      <c r="J163" s="2">
        <v>0.7</v>
      </c>
      <c r="K163" s="4">
        <v>7.34</v>
      </c>
      <c r="L163">
        <f t="shared" si="7"/>
        <v>437</v>
      </c>
      <c r="M163" s="7">
        <f t="shared" si="8"/>
        <v>3207.58</v>
      </c>
    </row>
    <row r="164" spans="1:13" x14ac:dyDescent="0.3">
      <c r="A164" t="s">
        <v>0</v>
      </c>
      <c r="B164" t="s">
        <v>1</v>
      </c>
      <c r="C164" t="s">
        <v>40</v>
      </c>
      <c r="D164" t="s">
        <v>41</v>
      </c>
      <c r="E164" s="1" t="s">
        <v>459</v>
      </c>
      <c r="F164" t="s">
        <v>460</v>
      </c>
      <c r="G164">
        <v>1268</v>
      </c>
      <c r="H164">
        <v>454</v>
      </c>
      <c r="I164" s="5">
        <f t="shared" si="6"/>
        <v>0.35804416403785488</v>
      </c>
      <c r="J164" s="2">
        <v>0.7</v>
      </c>
      <c r="K164" s="4">
        <v>8.59</v>
      </c>
      <c r="L164">
        <f t="shared" si="7"/>
        <v>434</v>
      </c>
      <c r="M164" s="7">
        <f t="shared" si="8"/>
        <v>3728.06</v>
      </c>
    </row>
    <row r="165" spans="1:13" x14ac:dyDescent="0.3">
      <c r="A165" t="s">
        <v>0</v>
      </c>
      <c r="B165" t="s">
        <v>1</v>
      </c>
      <c r="C165" t="s">
        <v>2</v>
      </c>
      <c r="D165" t="s">
        <v>98</v>
      </c>
      <c r="E165" s="1" t="s">
        <v>461</v>
      </c>
      <c r="F165" t="s">
        <v>462</v>
      </c>
      <c r="G165">
        <v>5911</v>
      </c>
      <c r="H165">
        <v>3439</v>
      </c>
      <c r="I165" s="5">
        <f t="shared" si="6"/>
        <v>0.58179665031297578</v>
      </c>
      <c r="J165" s="2">
        <v>0.7</v>
      </c>
      <c r="K165" s="4">
        <v>8.1</v>
      </c>
      <c r="L165">
        <f t="shared" si="7"/>
        <v>699</v>
      </c>
      <c r="M165" s="7">
        <f t="shared" si="8"/>
        <v>5661.9</v>
      </c>
    </row>
    <row r="166" spans="1:13" x14ac:dyDescent="0.3">
      <c r="A166" t="s">
        <v>0</v>
      </c>
      <c r="B166" t="s">
        <v>1</v>
      </c>
      <c r="C166" t="s">
        <v>2</v>
      </c>
      <c r="D166" t="s">
        <v>3</v>
      </c>
      <c r="E166" s="1" t="s">
        <v>463</v>
      </c>
      <c r="F166" t="s">
        <v>464</v>
      </c>
      <c r="G166">
        <v>3263</v>
      </c>
      <c r="H166">
        <v>1677</v>
      </c>
      <c r="I166" s="5">
        <f t="shared" si="6"/>
        <v>0.51394422310756971</v>
      </c>
      <c r="J166" s="2">
        <v>0.7</v>
      </c>
      <c r="K166" s="4">
        <v>6.6</v>
      </c>
      <c r="L166">
        <f t="shared" si="7"/>
        <v>607</v>
      </c>
      <c r="M166" s="7">
        <f t="shared" si="8"/>
        <v>4006.2</v>
      </c>
    </row>
    <row r="167" spans="1:13" x14ac:dyDescent="0.3">
      <c r="A167" t="s">
        <v>0</v>
      </c>
      <c r="B167" t="s">
        <v>1</v>
      </c>
      <c r="C167" t="s">
        <v>6</v>
      </c>
      <c r="D167" t="s">
        <v>7</v>
      </c>
      <c r="E167" s="1" t="s">
        <v>465</v>
      </c>
      <c r="F167" t="s">
        <v>466</v>
      </c>
      <c r="G167">
        <v>3194</v>
      </c>
      <c r="H167">
        <v>1250</v>
      </c>
      <c r="I167" s="5">
        <f t="shared" si="6"/>
        <v>0.39135879774577331</v>
      </c>
      <c r="J167" s="2">
        <v>0.7</v>
      </c>
      <c r="K167" s="4">
        <v>8.3800000000000008</v>
      </c>
      <c r="L167">
        <f t="shared" si="7"/>
        <v>986</v>
      </c>
      <c r="M167" s="7">
        <f t="shared" si="8"/>
        <v>8262.68</v>
      </c>
    </row>
    <row r="168" spans="1:13" x14ac:dyDescent="0.3">
      <c r="A168" t="s">
        <v>0</v>
      </c>
      <c r="B168" t="s">
        <v>1</v>
      </c>
      <c r="C168" t="s">
        <v>48</v>
      </c>
      <c r="D168" t="s">
        <v>49</v>
      </c>
      <c r="E168" s="1" t="s">
        <v>467</v>
      </c>
      <c r="F168" t="s">
        <v>468</v>
      </c>
      <c r="G168">
        <v>4677</v>
      </c>
      <c r="H168">
        <v>2250</v>
      </c>
      <c r="I168" s="5">
        <f t="shared" si="6"/>
        <v>0.48107761385503528</v>
      </c>
      <c r="J168" s="2">
        <v>0.7</v>
      </c>
      <c r="K168" s="4">
        <v>8.66</v>
      </c>
      <c r="L168">
        <f t="shared" si="7"/>
        <v>1024</v>
      </c>
      <c r="M168" s="7">
        <f t="shared" si="8"/>
        <v>8867.84</v>
      </c>
    </row>
    <row r="169" spans="1:13" x14ac:dyDescent="0.3">
      <c r="A169" t="s">
        <v>0</v>
      </c>
      <c r="B169" t="s">
        <v>1</v>
      </c>
      <c r="C169" t="s">
        <v>21</v>
      </c>
      <c r="D169" t="s">
        <v>469</v>
      </c>
      <c r="E169" s="1" t="s">
        <v>470</v>
      </c>
      <c r="F169" t="s">
        <v>471</v>
      </c>
      <c r="G169">
        <v>2384</v>
      </c>
      <c r="H169">
        <v>1353</v>
      </c>
      <c r="I169" s="5">
        <f t="shared" si="6"/>
        <v>0.56753355704697983</v>
      </c>
      <c r="J169" s="2">
        <v>0.7</v>
      </c>
      <c r="K169" s="4">
        <v>7.48</v>
      </c>
      <c r="L169">
        <f t="shared" si="7"/>
        <v>316</v>
      </c>
      <c r="M169" s="7">
        <f t="shared" si="8"/>
        <v>2363.6800000000003</v>
      </c>
    </row>
    <row r="170" spans="1:13" x14ac:dyDescent="0.3">
      <c r="A170" t="s">
        <v>0</v>
      </c>
      <c r="B170" t="s">
        <v>1</v>
      </c>
      <c r="C170" t="s">
        <v>2</v>
      </c>
      <c r="D170" t="s">
        <v>3</v>
      </c>
      <c r="E170" s="1" t="s">
        <v>472</v>
      </c>
      <c r="F170" t="s">
        <v>473</v>
      </c>
      <c r="G170">
        <v>2671</v>
      </c>
      <c r="H170">
        <v>1660</v>
      </c>
      <c r="I170" s="5">
        <f t="shared" si="6"/>
        <v>0.62149007862223882</v>
      </c>
      <c r="J170" s="2">
        <v>0.7</v>
      </c>
      <c r="K170" s="4">
        <v>8.1999999999999993</v>
      </c>
      <c r="L170">
        <f t="shared" si="7"/>
        <v>210</v>
      </c>
      <c r="M170" s="7">
        <f t="shared" si="8"/>
        <v>1721.9999999999998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s="1" t="s">
        <v>474</v>
      </c>
      <c r="F171" t="s">
        <v>475</v>
      </c>
      <c r="G171">
        <v>1594</v>
      </c>
      <c r="H171">
        <v>720</v>
      </c>
      <c r="I171" s="5">
        <f t="shared" si="6"/>
        <v>0.451693851944793</v>
      </c>
      <c r="J171" s="2">
        <v>0.7</v>
      </c>
      <c r="K171" s="4">
        <v>8.27</v>
      </c>
      <c r="L171">
        <f t="shared" si="7"/>
        <v>396</v>
      </c>
      <c r="M171" s="7">
        <f t="shared" si="8"/>
        <v>3274.9199999999996</v>
      </c>
    </row>
    <row r="172" spans="1:13" x14ac:dyDescent="0.3">
      <c r="A172" t="s">
        <v>0</v>
      </c>
      <c r="B172" t="s">
        <v>1</v>
      </c>
      <c r="C172" t="s">
        <v>266</v>
      </c>
      <c r="D172" t="s">
        <v>422</v>
      </c>
      <c r="E172" s="1" t="s">
        <v>477</v>
      </c>
      <c r="F172" t="s">
        <v>478</v>
      </c>
      <c r="G172">
        <v>3464</v>
      </c>
      <c r="H172">
        <v>1456</v>
      </c>
      <c r="I172" s="5">
        <f t="shared" si="6"/>
        <v>0.42032332563510394</v>
      </c>
      <c r="J172" s="2">
        <v>0.7</v>
      </c>
      <c r="K172" s="4">
        <v>7.93</v>
      </c>
      <c r="L172">
        <f t="shared" si="7"/>
        <v>969</v>
      </c>
      <c r="M172" s="7">
        <f t="shared" si="8"/>
        <v>7684.17</v>
      </c>
    </row>
    <row r="173" spans="1:13" x14ac:dyDescent="0.3">
      <c r="A173" t="s">
        <v>0</v>
      </c>
      <c r="B173" t="s">
        <v>1</v>
      </c>
      <c r="C173" t="s">
        <v>70</v>
      </c>
      <c r="D173" t="s">
        <v>71</v>
      </c>
      <c r="E173" s="1" t="s">
        <v>481</v>
      </c>
      <c r="F173" t="s">
        <v>482</v>
      </c>
      <c r="G173">
        <v>4499</v>
      </c>
      <c r="H173">
        <v>2571</v>
      </c>
      <c r="I173" s="5">
        <f t="shared" si="6"/>
        <v>0.57146032451655926</v>
      </c>
      <c r="J173" s="2">
        <v>0.7</v>
      </c>
      <c r="K173" s="4">
        <v>7.79</v>
      </c>
      <c r="L173">
        <f t="shared" si="7"/>
        <v>578</v>
      </c>
      <c r="M173" s="7">
        <f t="shared" si="8"/>
        <v>4502.62</v>
      </c>
    </row>
    <row r="174" spans="1:13" x14ac:dyDescent="0.3">
      <c r="A174" t="s">
        <v>0</v>
      </c>
      <c r="B174" t="s">
        <v>1</v>
      </c>
      <c r="C174" t="s">
        <v>83</v>
      </c>
      <c r="D174" t="s">
        <v>485</v>
      </c>
      <c r="E174" s="1" t="s">
        <v>486</v>
      </c>
      <c r="F174" t="s">
        <v>487</v>
      </c>
      <c r="G174">
        <v>2199</v>
      </c>
      <c r="H174">
        <v>1103</v>
      </c>
      <c r="I174" s="5">
        <f t="shared" si="6"/>
        <v>0.50159163256025463</v>
      </c>
      <c r="J174" s="2">
        <v>0.7</v>
      </c>
      <c r="K174" s="4">
        <v>7.9</v>
      </c>
      <c r="L174">
        <f t="shared" si="7"/>
        <v>436</v>
      </c>
      <c r="M174" s="7">
        <f t="shared" si="8"/>
        <v>3444.4</v>
      </c>
    </row>
    <row r="175" spans="1:13" x14ac:dyDescent="0.3">
      <c r="A175" t="s">
        <v>0</v>
      </c>
      <c r="B175" t="s">
        <v>1</v>
      </c>
      <c r="C175" t="s">
        <v>17</v>
      </c>
      <c r="D175" t="s">
        <v>488</v>
      </c>
      <c r="E175" s="1" t="s">
        <v>489</v>
      </c>
      <c r="F175" t="s">
        <v>490</v>
      </c>
      <c r="G175">
        <v>4629</v>
      </c>
      <c r="H175">
        <v>2536</v>
      </c>
      <c r="I175" s="5">
        <f t="shared" si="6"/>
        <v>0.54785050766904297</v>
      </c>
      <c r="J175" s="2">
        <v>0.7</v>
      </c>
      <c r="K175" s="4">
        <v>8.34</v>
      </c>
      <c r="L175">
        <f t="shared" si="7"/>
        <v>704</v>
      </c>
      <c r="M175" s="7">
        <f t="shared" si="8"/>
        <v>5871.36</v>
      </c>
    </row>
    <row r="176" spans="1:13" x14ac:dyDescent="0.3">
      <c r="A176" t="s">
        <v>0</v>
      </c>
      <c r="B176" t="s">
        <v>1</v>
      </c>
      <c r="C176" t="s">
        <v>48</v>
      </c>
      <c r="D176" t="s">
        <v>49</v>
      </c>
      <c r="E176" s="1" t="s">
        <v>491</v>
      </c>
      <c r="F176" t="s">
        <v>492</v>
      </c>
      <c r="G176">
        <v>1895</v>
      </c>
      <c r="H176">
        <v>860</v>
      </c>
      <c r="I176" s="5">
        <f t="shared" si="6"/>
        <v>0.45382585751978893</v>
      </c>
      <c r="J176" s="2">
        <v>0.7</v>
      </c>
      <c r="K176" s="4">
        <v>8.7899999999999991</v>
      </c>
      <c r="L176">
        <f t="shared" si="7"/>
        <v>467</v>
      </c>
      <c r="M176" s="7">
        <f t="shared" si="8"/>
        <v>4104.9299999999994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s="1" t="s">
        <v>493</v>
      </c>
      <c r="F177" t="s">
        <v>494</v>
      </c>
      <c r="G177">
        <v>1844</v>
      </c>
      <c r="H177">
        <v>744</v>
      </c>
      <c r="I177" s="5">
        <f t="shared" si="6"/>
        <v>0.40347071583514099</v>
      </c>
      <c r="J177" s="2">
        <v>0.7</v>
      </c>
      <c r="K177" s="4">
        <v>7.53</v>
      </c>
      <c r="L177">
        <f t="shared" si="7"/>
        <v>547</v>
      </c>
      <c r="M177" s="7">
        <f t="shared" si="8"/>
        <v>4118.91</v>
      </c>
    </row>
    <row r="178" spans="1:13" x14ac:dyDescent="0.3">
      <c r="A178" t="s">
        <v>0</v>
      </c>
      <c r="B178" t="s">
        <v>1</v>
      </c>
      <c r="C178" t="s">
        <v>2</v>
      </c>
      <c r="D178" t="s">
        <v>495</v>
      </c>
      <c r="E178" s="1" t="s">
        <v>496</v>
      </c>
      <c r="F178" t="s">
        <v>497</v>
      </c>
      <c r="G178">
        <v>1107</v>
      </c>
      <c r="H178">
        <v>569</v>
      </c>
      <c r="I178" s="5">
        <f t="shared" si="6"/>
        <v>0.5140018066847335</v>
      </c>
      <c r="J178" s="2">
        <v>0.7</v>
      </c>
      <c r="K178" s="4">
        <v>7.6</v>
      </c>
      <c r="L178">
        <f t="shared" si="7"/>
        <v>206</v>
      </c>
      <c r="M178" s="7">
        <f t="shared" si="8"/>
        <v>1565.6</v>
      </c>
    </row>
    <row r="179" spans="1:13" x14ac:dyDescent="0.3">
      <c r="A179" t="s">
        <v>0</v>
      </c>
      <c r="B179" t="s">
        <v>1</v>
      </c>
      <c r="C179" t="s">
        <v>83</v>
      </c>
      <c r="D179" t="s">
        <v>84</v>
      </c>
      <c r="E179" s="1" t="s">
        <v>498</v>
      </c>
      <c r="F179" t="s">
        <v>499</v>
      </c>
      <c r="G179">
        <v>345</v>
      </c>
      <c r="H179">
        <v>91</v>
      </c>
      <c r="I179" s="5">
        <f t="shared" si="6"/>
        <v>0.26376811594202898</v>
      </c>
      <c r="J179" s="2">
        <v>0.7</v>
      </c>
      <c r="K179" s="4">
        <v>8.4499999999999993</v>
      </c>
      <c r="L179">
        <f t="shared" si="7"/>
        <v>151</v>
      </c>
      <c r="M179" s="7">
        <f t="shared" si="8"/>
        <v>1275.9499999999998</v>
      </c>
    </row>
    <row r="180" spans="1:13" x14ac:dyDescent="0.3">
      <c r="A180" t="s">
        <v>0</v>
      </c>
      <c r="B180" t="s">
        <v>1</v>
      </c>
      <c r="C180" t="s">
        <v>70</v>
      </c>
      <c r="D180" t="s">
        <v>71</v>
      </c>
      <c r="E180" s="1" t="s">
        <v>500</v>
      </c>
      <c r="F180" t="s">
        <v>501</v>
      </c>
      <c r="G180">
        <v>3881</v>
      </c>
      <c r="H180">
        <v>2024</v>
      </c>
      <c r="I180" s="5">
        <f t="shared" si="6"/>
        <v>0.52151507343468173</v>
      </c>
      <c r="J180" s="2">
        <v>0.7</v>
      </c>
      <c r="K180" s="4">
        <v>8.5399999999999991</v>
      </c>
      <c r="L180">
        <f t="shared" si="7"/>
        <v>693</v>
      </c>
      <c r="M180" s="7">
        <f t="shared" si="8"/>
        <v>5918.2199999999993</v>
      </c>
    </row>
    <row r="181" spans="1:13" x14ac:dyDescent="0.3">
      <c r="A181" t="s">
        <v>0</v>
      </c>
      <c r="B181" t="s">
        <v>1</v>
      </c>
      <c r="C181" t="s">
        <v>21</v>
      </c>
      <c r="D181" t="s">
        <v>105</v>
      </c>
      <c r="E181" s="1" t="s">
        <v>502</v>
      </c>
      <c r="F181" t="s">
        <v>503</v>
      </c>
      <c r="G181">
        <v>3721</v>
      </c>
      <c r="H181">
        <v>1916</v>
      </c>
      <c r="I181" s="5">
        <f t="shared" si="6"/>
        <v>0.5149153453372749</v>
      </c>
      <c r="J181" s="2">
        <v>0.7</v>
      </c>
      <c r="K181" s="4">
        <v>7.49</v>
      </c>
      <c r="L181">
        <f t="shared" si="7"/>
        <v>689</v>
      </c>
      <c r="M181" s="7">
        <f t="shared" si="8"/>
        <v>5160.6100000000006</v>
      </c>
    </row>
    <row r="182" spans="1:13" x14ac:dyDescent="0.3">
      <c r="A182" t="s">
        <v>0</v>
      </c>
      <c r="B182" t="s">
        <v>1</v>
      </c>
      <c r="C182" t="s">
        <v>2</v>
      </c>
      <c r="D182" t="s">
        <v>504</v>
      </c>
      <c r="E182" s="1" t="s">
        <v>505</v>
      </c>
      <c r="F182" t="s">
        <v>506</v>
      </c>
      <c r="G182">
        <v>2696</v>
      </c>
      <c r="H182">
        <v>1391</v>
      </c>
      <c r="I182" s="5">
        <f t="shared" si="6"/>
        <v>0.51594955489614247</v>
      </c>
      <c r="J182" s="2">
        <v>0.7</v>
      </c>
      <c r="K182" s="4">
        <v>8.6</v>
      </c>
      <c r="L182">
        <f t="shared" si="7"/>
        <v>496</v>
      </c>
      <c r="M182" s="7">
        <f t="shared" si="8"/>
        <v>4265.5999999999995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s="1" t="s">
        <v>507</v>
      </c>
      <c r="F183" t="s">
        <v>508</v>
      </c>
      <c r="G183">
        <v>3534</v>
      </c>
      <c r="H183">
        <v>2044</v>
      </c>
      <c r="I183" s="5">
        <f t="shared" si="6"/>
        <v>0.57838143746462933</v>
      </c>
      <c r="J183" s="2">
        <v>0.7</v>
      </c>
      <c r="K183" s="4">
        <v>8.34</v>
      </c>
      <c r="L183">
        <f t="shared" si="7"/>
        <v>430</v>
      </c>
      <c r="M183" s="7">
        <f t="shared" si="8"/>
        <v>3586.2</v>
      </c>
    </row>
    <row r="184" spans="1:13" x14ac:dyDescent="0.3">
      <c r="A184" t="s">
        <v>0</v>
      </c>
      <c r="B184" t="s">
        <v>1</v>
      </c>
      <c r="C184" t="s">
        <v>2</v>
      </c>
      <c r="D184" t="s">
        <v>3</v>
      </c>
      <c r="E184" s="1" t="s">
        <v>509</v>
      </c>
      <c r="F184" t="s">
        <v>510</v>
      </c>
      <c r="G184">
        <v>3637</v>
      </c>
      <c r="H184">
        <v>1877</v>
      </c>
      <c r="I184" s="5">
        <f t="shared" si="6"/>
        <v>0.51608468518009354</v>
      </c>
      <c r="J184" s="2">
        <v>0.7</v>
      </c>
      <c r="K184" s="4">
        <v>7.69</v>
      </c>
      <c r="L184">
        <f t="shared" si="7"/>
        <v>669</v>
      </c>
      <c r="M184" s="7">
        <f t="shared" si="8"/>
        <v>5144.6100000000006</v>
      </c>
    </row>
    <row r="185" spans="1:13" x14ac:dyDescent="0.3">
      <c r="A185" t="s">
        <v>0</v>
      </c>
      <c r="B185" t="s">
        <v>1</v>
      </c>
      <c r="C185" t="s">
        <v>2</v>
      </c>
      <c r="D185" t="s">
        <v>511</v>
      </c>
      <c r="E185" s="1" t="s">
        <v>512</v>
      </c>
      <c r="F185" t="s">
        <v>513</v>
      </c>
      <c r="G185">
        <v>4781</v>
      </c>
      <c r="H185">
        <v>2243</v>
      </c>
      <c r="I185" s="5">
        <f t="shared" si="6"/>
        <v>0.46914871365823052</v>
      </c>
      <c r="J185" s="2">
        <v>0.7</v>
      </c>
      <c r="K185" s="4">
        <v>7.7</v>
      </c>
      <c r="L185">
        <f t="shared" si="7"/>
        <v>1104</v>
      </c>
      <c r="M185" s="7">
        <f t="shared" si="8"/>
        <v>8500.8000000000011</v>
      </c>
    </row>
    <row r="186" spans="1:13" x14ac:dyDescent="0.3">
      <c r="A186" t="s">
        <v>0</v>
      </c>
      <c r="B186" t="s">
        <v>1</v>
      </c>
      <c r="C186" t="s">
        <v>17</v>
      </c>
      <c r="D186" t="s">
        <v>434</v>
      </c>
      <c r="E186" s="1" t="s">
        <v>514</v>
      </c>
      <c r="F186" t="s">
        <v>515</v>
      </c>
      <c r="G186">
        <v>3043</v>
      </c>
      <c r="H186">
        <v>1577</v>
      </c>
      <c r="I186" s="5">
        <f t="shared" si="6"/>
        <v>0.51823858034834047</v>
      </c>
      <c r="J186" s="2">
        <v>0.7</v>
      </c>
      <c r="K186" s="4">
        <v>8.41</v>
      </c>
      <c r="L186">
        <f t="shared" si="7"/>
        <v>553</v>
      </c>
      <c r="M186" s="7">
        <f t="shared" si="8"/>
        <v>4650.7300000000005</v>
      </c>
    </row>
    <row r="187" spans="1:13" x14ac:dyDescent="0.3">
      <c r="A187" t="s">
        <v>0</v>
      </c>
      <c r="B187" t="s">
        <v>1</v>
      </c>
      <c r="C187" t="s">
        <v>171</v>
      </c>
      <c r="D187" t="s">
        <v>172</v>
      </c>
      <c r="E187" s="1" t="s">
        <v>516</v>
      </c>
      <c r="F187" t="s">
        <v>517</v>
      </c>
      <c r="G187">
        <v>2087</v>
      </c>
      <c r="H187">
        <v>1006</v>
      </c>
      <c r="I187" s="5">
        <f t="shared" si="6"/>
        <v>0.48203162434115954</v>
      </c>
      <c r="J187" s="2">
        <v>0.7</v>
      </c>
      <c r="K187" s="4">
        <v>8.8000000000000007</v>
      </c>
      <c r="L187">
        <f t="shared" si="7"/>
        <v>455</v>
      </c>
      <c r="M187" s="7">
        <f t="shared" si="8"/>
        <v>4004.0000000000005</v>
      </c>
    </row>
    <row r="188" spans="1:13" x14ac:dyDescent="0.3">
      <c r="A188" t="s">
        <v>0</v>
      </c>
      <c r="B188" t="s">
        <v>1</v>
      </c>
      <c r="C188" t="s">
        <v>17</v>
      </c>
      <c r="D188" t="s">
        <v>82</v>
      </c>
      <c r="E188" s="1" t="s">
        <v>518</v>
      </c>
      <c r="F188" t="s">
        <v>519</v>
      </c>
      <c r="G188">
        <v>5066</v>
      </c>
      <c r="H188">
        <v>2634</v>
      </c>
      <c r="I188" s="5">
        <f t="shared" si="6"/>
        <v>0.51993683379392031</v>
      </c>
      <c r="J188" s="2">
        <v>0.7</v>
      </c>
      <c r="K188" s="4">
        <v>7.68</v>
      </c>
      <c r="L188">
        <f t="shared" si="7"/>
        <v>912</v>
      </c>
      <c r="M188" s="7">
        <f t="shared" si="8"/>
        <v>7004.16</v>
      </c>
    </row>
    <row r="189" spans="1:13" x14ac:dyDescent="0.3">
      <c r="A189" t="s">
        <v>0</v>
      </c>
      <c r="B189" t="s">
        <v>1</v>
      </c>
      <c r="C189" t="s">
        <v>17</v>
      </c>
      <c r="D189" t="s">
        <v>302</v>
      </c>
      <c r="E189" s="1" t="s">
        <v>520</v>
      </c>
      <c r="F189" t="s">
        <v>521</v>
      </c>
      <c r="G189">
        <v>2342</v>
      </c>
      <c r="H189">
        <v>1392</v>
      </c>
      <c r="I189" s="5">
        <f t="shared" si="6"/>
        <v>0.59436379163108455</v>
      </c>
      <c r="J189" s="2">
        <v>0.7</v>
      </c>
      <c r="K189" s="4">
        <v>7.05</v>
      </c>
      <c r="L189">
        <f t="shared" si="7"/>
        <v>247</v>
      </c>
      <c r="M189" s="7">
        <f t="shared" si="8"/>
        <v>1741.35</v>
      </c>
    </row>
    <row r="190" spans="1:13" x14ac:dyDescent="0.3">
      <c r="A190" t="s">
        <v>0</v>
      </c>
      <c r="B190" t="s">
        <v>1</v>
      </c>
      <c r="C190" t="s">
        <v>17</v>
      </c>
      <c r="D190" t="s">
        <v>18</v>
      </c>
      <c r="E190" s="1" t="s">
        <v>522</v>
      </c>
      <c r="F190" t="s">
        <v>523</v>
      </c>
      <c r="G190">
        <v>2487</v>
      </c>
      <c r="H190">
        <v>1397</v>
      </c>
      <c r="I190" s="5">
        <f t="shared" si="6"/>
        <v>0.56172094893445923</v>
      </c>
      <c r="J190" s="2">
        <v>0.7</v>
      </c>
      <c r="K190" s="4">
        <v>8.52</v>
      </c>
      <c r="L190">
        <f t="shared" si="7"/>
        <v>344</v>
      </c>
      <c r="M190" s="7">
        <f t="shared" si="8"/>
        <v>2930.8799999999997</v>
      </c>
    </row>
    <row r="191" spans="1:13" x14ac:dyDescent="0.3">
      <c r="A191" t="s">
        <v>0</v>
      </c>
      <c r="B191" t="s">
        <v>1</v>
      </c>
      <c r="C191" t="s">
        <v>2</v>
      </c>
      <c r="D191" t="s">
        <v>47</v>
      </c>
      <c r="E191" s="1" t="s">
        <v>524</v>
      </c>
      <c r="F191" t="s">
        <v>525</v>
      </c>
      <c r="G191">
        <v>5377</v>
      </c>
      <c r="H191">
        <v>2818</v>
      </c>
      <c r="I191" s="5">
        <f t="shared" si="6"/>
        <v>0.5240840617444672</v>
      </c>
      <c r="J191" s="2">
        <v>0.7</v>
      </c>
      <c r="K191" s="4">
        <v>8.07</v>
      </c>
      <c r="L191">
        <f t="shared" si="7"/>
        <v>946</v>
      </c>
      <c r="M191" s="7">
        <f t="shared" si="8"/>
        <v>7634.22</v>
      </c>
    </row>
    <row r="192" spans="1:13" x14ac:dyDescent="0.3">
      <c r="A192" t="s">
        <v>0</v>
      </c>
      <c r="B192" t="s">
        <v>1</v>
      </c>
      <c r="C192" t="s">
        <v>17</v>
      </c>
      <c r="D192" t="s">
        <v>33</v>
      </c>
      <c r="E192" s="1" t="s">
        <v>526</v>
      </c>
      <c r="F192" t="s">
        <v>527</v>
      </c>
      <c r="G192">
        <v>2615</v>
      </c>
      <c r="H192">
        <v>1465</v>
      </c>
      <c r="I192" s="5">
        <f t="shared" si="6"/>
        <v>0.56022944550669218</v>
      </c>
      <c r="J192" s="2">
        <v>0.7</v>
      </c>
      <c r="K192" s="4">
        <v>7.93</v>
      </c>
      <c r="L192">
        <f t="shared" si="7"/>
        <v>366</v>
      </c>
      <c r="M192" s="7">
        <f t="shared" si="8"/>
        <v>2902.38</v>
      </c>
    </row>
    <row r="193" spans="1:13" x14ac:dyDescent="0.3">
      <c r="A193" t="s">
        <v>0</v>
      </c>
      <c r="B193" t="s">
        <v>1</v>
      </c>
      <c r="C193" t="s">
        <v>2</v>
      </c>
      <c r="D193" t="s">
        <v>528</v>
      </c>
      <c r="E193" s="1" t="s">
        <v>529</v>
      </c>
      <c r="F193" t="s">
        <v>530</v>
      </c>
      <c r="G193">
        <v>2306</v>
      </c>
      <c r="H193">
        <v>996</v>
      </c>
      <c r="I193" s="5">
        <f t="shared" si="6"/>
        <v>0.4319167389418907</v>
      </c>
      <c r="J193" s="2">
        <v>0.7</v>
      </c>
      <c r="K193" s="4">
        <v>7.3</v>
      </c>
      <c r="L193">
        <f t="shared" si="7"/>
        <v>618</v>
      </c>
      <c r="M193" s="7">
        <f t="shared" si="8"/>
        <v>4511.3999999999996</v>
      </c>
    </row>
    <row r="194" spans="1:13" x14ac:dyDescent="0.3">
      <c r="A194" t="s">
        <v>0</v>
      </c>
      <c r="B194" t="s">
        <v>1</v>
      </c>
      <c r="C194" t="s">
        <v>17</v>
      </c>
      <c r="D194" t="s">
        <v>18</v>
      </c>
      <c r="E194" s="1" t="s">
        <v>531</v>
      </c>
      <c r="F194" t="s">
        <v>532</v>
      </c>
      <c r="G194">
        <v>6974</v>
      </c>
      <c r="H194">
        <v>4149</v>
      </c>
      <c r="I194" s="5">
        <f t="shared" si="6"/>
        <v>0.59492400344135354</v>
      </c>
      <c r="J194" s="2">
        <v>0.7</v>
      </c>
      <c r="K194" s="4">
        <v>8.34</v>
      </c>
      <c r="L194">
        <f t="shared" si="7"/>
        <v>733</v>
      </c>
      <c r="M194" s="7">
        <f t="shared" si="8"/>
        <v>6113.22</v>
      </c>
    </row>
    <row r="195" spans="1:13" x14ac:dyDescent="0.3">
      <c r="A195" t="s">
        <v>0</v>
      </c>
      <c r="B195" t="s">
        <v>1</v>
      </c>
      <c r="C195" t="s">
        <v>17</v>
      </c>
      <c r="D195" t="s">
        <v>18</v>
      </c>
      <c r="E195" s="1" t="s">
        <v>533</v>
      </c>
      <c r="F195" t="s">
        <v>534</v>
      </c>
      <c r="G195">
        <v>6162</v>
      </c>
      <c r="H195">
        <v>3912</v>
      </c>
      <c r="I195" s="5">
        <f t="shared" ref="I195:I258" si="9">H195/G195</f>
        <v>0.63485881207400197</v>
      </c>
      <c r="J195" s="2">
        <v>0.7</v>
      </c>
      <c r="K195" s="4">
        <v>8.32</v>
      </c>
      <c r="L195">
        <f t="shared" ref="L195:L258" si="10">ROUND(G195*J195,0)-H195</f>
        <v>401</v>
      </c>
      <c r="M195" s="7">
        <f t="shared" ref="M195:M258" si="11">L195*K195</f>
        <v>3336.32</v>
      </c>
    </row>
    <row r="196" spans="1:13" x14ac:dyDescent="0.3">
      <c r="A196" t="s">
        <v>0</v>
      </c>
      <c r="B196" t="s">
        <v>1</v>
      </c>
      <c r="C196" t="s">
        <v>40</v>
      </c>
      <c r="D196" t="s">
        <v>41</v>
      </c>
      <c r="E196" s="1" t="s">
        <v>536</v>
      </c>
      <c r="F196" t="s">
        <v>537</v>
      </c>
      <c r="G196">
        <v>1685</v>
      </c>
      <c r="H196">
        <v>720</v>
      </c>
      <c r="I196" s="5">
        <f t="shared" si="9"/>
        <v>0.42729970326409494</v>
      </c>
      <c r="J196" s="2">
        <v>0.7</v>
      </c>
      <c r="K196" s="4">
        <v>8.33</v>
      </c>
      <c r="L196">
        <f t="shared" si="10"/>
        <v>460</v>
      </c>
      <c r="M196" s="7">
        <f t="shared" si="11"/>
        <v>3831.8</v>
      </c>
    </row>
    <row r="197" spans="1:13" x14ac:dyDescent="0.3">
      <c r="A197" t="s">
        <v>0</v>
      </c>
      <c r="B197" t="s">
        <v>1</v>
      </c>
      <c r="C197" t="s">
        <v>40</v>
      </c>
      <c r="D197" t="s">
        <v>41</v>
      </c>
      <c r="E197" s="1" t="s">
        <v>538</v>
      </c>
      <c r="F197" t="s">
        <v>539</v>
      </c>
      <c r="G197">
        <v>3445</v>
      </c>
      <c r="H197">
        <v>1390</v>
      </c>
      <c r="I197" s="5">
        <f t="shared" si="9"/>
        <v>0.40348330914368652</v>
      </c>
      <c r="J197" s="2">
        <v>0.7</v>
      </c>
      <c r="K197" s="4">
        <v>8.2899999999999991</v>
      </c>
      <c r="L197">
        <f t="shared" si="10"/>
        <v>1022</v>
      </c>
      <c r="M197" s="7">
        <f t="shared" si="11"/>
        <v>8472.3799999999992</v>
      </c>
    </row>
    <row r="198" spans="1:13" x14ac:dyDescent="0.3">
      <c r="A198" t="s">
        <v>0</v>
      </c>
      <c r="B198" t="s">
        <v>1</v>
      </c>
      <c r="C198" t="s">
        <v>101</v>
      </c>
      <c r="D198" t="s">
        <v>188</v>
      </c>
      <c r="E198" s="1" t="s">
        <v>540</v>
      </c>
      <c r="F198" t="s">
        <v>541</v>
      </c>
      <c r="G198">
        <v>1674</v>
      </c>
      <c r="H198">
        <v>1034</v>
      </c>
      <c r="I198" s="5">
        <f t="shared" si="9"/>
        <v>0.6176821983273596</v>
      </c>
      <c r="J198" s="2">
        <v>0.7</v>
      </c>
      <c r="K198" s="4">
        <v>8.24</v>
      </c>
      <c r="L198">
        <f t="shared" si="10"/>
        <v>138</v>
      </c>
      <c r="M198" s="7">
        <f t="shared" si="11"/>
        <v>1137.1200000000001</v>
      </c>
    </row>
    <row r="199" spans="1:13" x14ac:dyDescent="0.3">
      <c r="A199" t="s">
        <v>0</v>
      </c>
      <c r="B199" t="s">
        <v>1</v>
      </c>
      <c r="C199" t="s">
        <v>266</v>
      </c>
      <c r="D199" t="s">
        <v>422</v>
      </c>
      <c r="E199" s="1" t="s">
        <v>542</v>
      </c>
      <c r="F199" t="s">
        <v>543</v>
      </c>
      <c r="G199">
        <v>2919</v>
      </c>
      <c r="H199">
        <v>1564</v>
      </c>
      <c r="I199" s="5">
        <f t="shared" si="9"/>
        <v>0.53579993148338467</v>
      </c>
      <c r="J199" s="2">
        <v>0.7</v>
      </c>
      <c r="K199" s="4">
        <v>7.48</v>
      </c>
      <c r="L199">
        <f t="shared" si="10"/>
        <v>479</v>
      </c>
      <c r="M199" s="7">
        <f t="shared" si="11"/>
        <v>3582.92</v>
      </c>
    </row>
    <row r="200" spans="1:13" x14ac:dyDescent="0.3">
      <c r="A200" t="s">
        <v>0</v>
      </c>
      <c r="B200" t="s">
        <v>1</v>
      </c>
      <c r="C200" t="s">
        <v>17</v>
      </c>
      <c r="D200" t="s">
        <v>191</v>
      </c>
      <c r="E200" s="1" t="s">
        <v>544</v>
      </c>
      <c r="F200" t="s">
        <v>545</v>
      </c>
      <c r="G200">
        <v>8371</v>
      </c>
      <c r="H200">
        <v>4887</v>
      </c>
      <c r="I200" s="5">
        <f t="shared" si="9"/>
        <v>0.58380121849241429</v>
      </c>
      <c r="J200" s="2">
        <v>0.7</v>
      </c>
      <c r="K200" s="4">
        <v>8.58</v>
      </c>
      <c r="L200">
        <f t="shared" si="10"/>
        <v>973</v>
      </c>
      <c r="M200" s="7">
        <f t="shared" si="11"/>
        <v>8348.34</v>
      </c>
    </row>
    <row r="201" spans="1:13" x14ac:dyDescent="0.3">
      <c r="A201" t="s">
        <v>0</v>
      </c>
      <c r="B201" t="s">
        <v>1</v>
      </c>
      <c r="C201" t="s">
        <v>2</v>
      </c>
      <c r="D201" t="s">
        <v>10</v>
      </c>
      <c r="E201" s="1" t="s">
        <v>546</v>
      </c>
      <c r="F201" t="s">
        <v>547</v>
      </c>
      <c r="G201">
        <v>4213</v>
      </c>
      <c r="H201">
        <v>3093</v>
      </c>
      <c r="I201" s="5">
        <f t="shared" si="9"/>
        <v>0.73415618324234511</v>
      </c>
      <c r="J201" s="2">
        <v>0.7</v>
      </c>
      <c r="K201" s="4">
        <v>9.02</v>
      </c>
      <c r="L201">
        <f t="shared" si="10"/>
        <v>-144</v>
      </c>
      <c r="M201" s="7">
        <f t="shared" si="11"/>
        <v>-1298.8799999999999</v>
      </c>
    </row>
    <row r="202" spans="1:13" x14ac:dyDescent="0.3">
      <c r="A202" t="s">
        <v>0</v>
      </c>
      <c r="B202" t="s">
        <v>1</v>
      </c>
      <c r="C202" t="s">
        <v>2</v>
      </c>
      <c r="D202" t="s">
        <v>3</v>
      </c>
      <c r="E202" s="1" t="s">
        <v>548</v>
      </c>
      <c r="F202" t="s">
        <v>549</v>
      </c>
      <c r="G202">
        <v>5306</v>
      </c>
      <c r="H202">
        <v>2932</v>
      </c>
      <c r="I202" s="5">
        <f t="shared" si="9"/>
        <v>0.55258198266113834</v>
      </c>
      <c r="J202" s="2">
        <v>0.7</v>
      </c>
      <c r="K202" s="4">
        <v>8.7200000000000006</v>
      </c>
      <c r="L202">
        <f t="shared" si="10"/>
        <v>782</v>
      </c>
      <c r="M202" s="7">
        <f t="shared" si="11"/>
        <v>6819.0400000000009</v>
      </c>
    </row>
    <row r="203" spans="1:13" x14ac:dyDescent="0.3">
      <c r="A203" t="s">
        <v>0</v>
      </c>
      <c r="B203" t="s">
        <v>1</v>
      </c>
      <c r="C203" t="s">
        <v>101</v>
      </c>
      <c r="D203" t="s">
        <v>102</v>
      </c>
      <c r="E203" s="1" t="s">
        <v>550</v>
      </c>
      <c r="F203" t="s">
        <v>551</v>
      </c>
      <c r="G203">
        <v>3434</v>
      </c>
      <c r="H203">
        <v>1921</v>
      </c>
      <c r="I203" s="5">
        <f t="shared" si="9"/>
        <v>0.55940594059405946</v>
      </c>
      <c r="J203" s="2">
        <v>0.7</v>
      </c>
      <c r="K203" s="4">
        <v>8.35</v>
      </c>
      <c r="L203">
        <f t="shared" si="10"/>
        <v>483</v>
      </c>
      <c r="M203" s="7">
        <f t="shared" si="11"/>
        <v>4033.0499999999997</v>
      </c>
    </row>
    <row r="204" spans="1:13" x14ac:dyDescent="0.3">
      <c r="A204" t="s">
        <v>0</v>
      </c>
      <c r="B204" t="s">
        <v>1</v>
      </c>
      <c r="C204" t="s">
        <v>2</v>
      </c>
      <c r="D204" t="s">
        <v>79</v>
      </c>
      <c r="E204" s="1" t="s">
        <v>552</v>
      </c>
      <c r="F204" t="s">
        <v>553</v>
      </c>
      <c r="G204">
        <v>5442</v>
      </c>
      <c r="H204">
        <v>2889</v>
      </c>
      <c r="I204" s="5">
        <f t="shared" si="9"/>
        <v>0.5308710033076075</v>
      </c>
      <c r="J204" s="2">
        <v>0.7</v>
      </c>
      <c r="K204" s="4">
        <v>8.02</v>
      </c>
      <c r="L204">
        <f t="shared" si="10"/>
        <v>920</v>
      </c>
      <c r="M204" s="7">
        <f t="shared" si="11"/>
        <v>7378.4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s="1" t="s">
        <v>554</v>
      </c>
      <c r="F205" t="s">
        <v>555</v>
      </c>
      <c r="G205">
        <v>4958</v>
      </c>
      <c r="H205">
        <v>2954</v>
      </c>
      <c r="I205" s="5">
        <f t="shared" si="9"/>
        <v>0.59580475998386451</v>
      </c>
      <c r="J205" s="2">
        <v>0.7</v>
      </c>
      <c r="K205" s="4">
        <v>7.78</v>
      </c>
      <c r="L205">
        <f t="shared" si="10"/>
        <v>517</v>
      </c>
      <c r="M205" s="7">
        <f t="shared" si="11"/>
        <v>4022.26</v>
      </c>
    </row>
    <row r="206" spans="1:13" x14ac:dyDescent="0.3">
      <c r="A206" t="s">
        <v>0</v>
      </c>
      <c r="B206" t="s">
        <v>1</v>
      </c>
      <c r="C206" t="s">
        <v>21</v>
      </c>
      <c r="D206" t="s">
        <v>556</v>
      </c>
      <c r="E206" s="1" t="s">
        <v>557</v>
      </c>
      <c r="F206" t="s">
        <v>558</v>
      </c>
      <c r="G206">
        <v>5479</v>
      </c>
      <c r="H206">
        <v>2986</v>
      </c>
      <c r="I206" s="5">
        <f t="shared" si="9"/>
        <v>0.54498996167183789</v>
      </c>
      <c r="J206" s="2">
        <v>0.7</v>
      </c>
      <c r="K206" s="4">
        <v>8.3800000000000008</v>
      </c>
      <c r="L206">
        <f t="shared" si="10"/>
        <v>849</v>
      </c>
      <c r="M206" s="7">
        <f t="shared" si="11"/>
        <v>7114.6200000000008</v>
      </c>
    </row>
    <row r="207" spans="1:13" x14ac:dyDescent="0.3">
      <c r="A207" t="s">
        <v>0</v>
      </c>
      <c r="B207" t="s">
        <v>1</v>
      </c>
      <c r="C207" t="s">
        <v>479</v>
      </c>
      <c r="D207" t="s">
        <v>480</v>
      </c>
      <c r="E207" s="1" t="s">
        <v>559</v>
      </c>
      <c r="F207" t="s">
        <v>560</v>
      </c>
      <c r="G207">
        <v>2561</v>
      </c>
      <c r="H207">
        <v>1243</v>
      </c>
      <c r="I207" s="5">
        <f t="shared" si="9"/>
        <v>0.48535728231159703</v>
      </c>
      <c r="J207" s="2">
        <v>0.7</v>
      </c>
      <c r="K207" s="4">
        <v>7.35</v>
      </c>
      <c r="L207">
        <f t="shared" si="10"/>
        <v>550</v>
      </c>
      <c r="M207" s="7">
        <f t="shared" si="11"/>
        <v>4042.5</v>
      </c>
    </row>
    <row r="208" spans="1:13" x14ac:dyDescent="0.3">
      <c r="A208" t="s">
        <v>0</v>
      </c>
      <c r="B208" t="s">
        <v>1</v>
      </c>
      <c r="C208" t="s">
        <v>2</v>
      </c>
      <c r="D208" t="s">
        <v>3</v>
      </c>
      <c r="E208" s="1" t="s">
        <v>561</v>
      </c>
      <c r="F208" t="s">
        <v>562</v>
      </c>
      <c r="G208">
        <v>2603</v>
      </c>
      <c r="H208">
        <v>1274</v>
      </c>
      <c r="I208" s="5">
        <f t="shared" si="9"/>
        <v>0.48943526699961581</v>
      </c>
      <c r="J208" s="2">
        <v>0.7</v>
      </c>
      <c r="K208" s="4">
        <v>6.93</v>
      </c>
      <c r="L208">
        <f t="shared" si="10"/>
        <v>548</v>
      </c>
      <c r="M208" s="7">
        <f t="shared" si="11"/>
        <v>3797.64</v>
      </c>
    </row>
    <row r="209" spans="1:13" x14ac:dyDescent="0.3">
      <c r="A209" t="s">
        <v>0</v>
      </c>
      <c r="B209" t="s">
        <v>1</v>
      </c>
      <c r="C209" t="s">
        <v>2</v>
      </c>
      <c r="D209" t="s">
        <v>535</v>
      </c>
      <c r="E209" s="1" t="s">
        <v>563</v>
      </c>
      <c r="F209" t="s">
        <v>564</v>
      </c>
      <c r="G209">
        <v>1880</v>
      </c>
      <c r="H209">
        <v>979</v>
      </c>
      <c r="I209" s="5">
        <f t="shared" si="9"/>
        <v>0.52074468085106385</v>
      </c>
      <c r="J209" s="2">
        <v>0.7</v>
      </c>
      <c r="K209" s="4">
        <v>6.92</v>
      </c>
      <c r="L209">
        <f t="shared" si="10"/>
        <v>337</v>
      </c>
      <c r="M209" s="7">
        <f t="shared" si="11"/>
        <v>2332.04</v>
      </c>
    </row>
    <row r="210" spans="1:13" x14ac:dyDescent="0.3">
      <c r="A210" t="s">
        <v>0</v>
      </c>
      <c r="B210" t="s">
        <v>1</v>
      </c>
      <c r="C210" t="s">
        <v>36</v>
      </c>
      <c r="D210" t="s">
        <v>565</v>
      </c>
      <c r="E210" s="1" t="s">
        <v>566</v>
      </c>
      <c r="F210" t="s">
        <v>567</v>
      </c>
      <c r="G210">
        <v>4655</v>
      </c>
      <c r="H210">
        <v>2598</v>
      </c>
      <c r="I210" s="5">
        <f t="shared" si="9"/>
        <v>0.55810955961331898</v>
      </c>
      <c r="J210" s="2">
        <v>0.7</v>
      </c>
      <c r="K210" s="4">
        <v>7.76</v>
      </c>
      <c r="L210">
        <f t="shared" si="10"/>
        <v>661</v>
      </c>
      <c r="M210" s="7">
        <f t="shared" si="11"/>
        <v>5129.3599999999997</v>
      </c>
    </row>
    <row r="211" spans="1:13" x14ac:dyDescent="0.3">
      <c r="A211" t="s">
        <v>0</v>
      </c>
      <c r="B211" t="s">
        <v>1</v>
      </c>
      <c r="C211" t="s">
        <v>40</v>
      </c>
      <c r="D211" t="s">
        <v>41</v>
      </c>
      <c r="E211" s="1" t="s">
        <v>200</v>
      </c>
      <c r="F211" t="s">
        <v>568</v>
      </c>
      <c r="G211">
        <v>622</v>
      </c>
      <c r="H211">
        <v>181</v>
      </c>
      <c r="I211" s="5">
        <f t="shared" si="9"/>
        <v>0.29099678456591638</v>
      </c>
      <c r="J211" s="2">
        <v>0.7</v>
      </c>
      <c r="K211" s="4">
        <v>8.51</v>
      </c>
      <c r="L211">
        <f t="shared" si="10"/>
        <v>254</v>
      </c>
      <c r="M211" s="7">
        <f t="shared" si="11"/>
        <v>2161.54</v>
      </c>
    </row>
    <row r="212" spans="1:13" x14ac:dyDescent="0.3">
      <c r="A212" t="s">
        <v>0</v>
      </c>
      <c r="B212" t="s">
        <v>1</v>
      </c>
      <c r="C212" t="s">
        <v>192</v>
      </c>
      <c r="D212" t="s">
        <v>193</v>
      </c>
      <c r="E212" s="1" t="s">
        <v>569</v>
      </c>
      <c r="F212" t="s">
        <v>570</v>
      </c>
      <c r="G212">
        <v>4249</v>
      </c>
      <c r="H212">
        <v>2176</v>
      </c>
      <c r="I212" s="5">
        <f t="shared" si="9"/>
        <v>0.51212049894092726</v>
      </c>
      <c r="J212" s="2">
        <v>0.7</v>
      </c>
      <c r="K212" s="4">
        <v>8.2899999999999991</v>
      </c>
      <c r="L212">
        <f t="shared" si="10"/>
        <v>798</v>
      </c>
      <c r="M212" s="7">
        <f t="shared" si="11"/>
        <v>6615.4199999999992</v>
      </c>
    </row>
    <row r="213" spans="1:13" x14ac:dyDescent="0.3">
      <c r="A213" t="s">
        <v>0</v>
      </c>
      <c r="B213" t="s">
        <v>1</v>
      </c>
      <c r="C213" t="s">
        <v>74</v>
      </c>
      <c r="D213" t="s">
        <v>571</v>
      </c>
      <c r="E213" s="1" t="s">
        <v>572</v>
      </c>
      <c r="F213" t="s">
        <v>573</v>
      </c>
      <c r="G213">
        <v>2409</v>
      </c>
      <c r="H213">
        <v>1201</v>
      </c>
      <c r="I213" s="5">
        <f t="shared" si="9"/>
        <v>0.49854711498547116</v>
      </c>
      <c r="J213" s="2">
        <v>0.7</v>
      </c>
      <c r="K213" s="4">
        <v>6.79</v>
      </c>
      <c r="L213">
        <f t="shared" si="10"/>
        <v>485</v>
      </c>
      <c r="M213" s="7">
        <f t="shared" si="11"/>
        <v>3293.15</v>
      </c>
    </row>
    <row r="214" spans="1:13" x14ac:dyDescent="0.3">
      <c r="A214" t="s">
        <v>0</v>
      </c>
      <c r="B214" t="s">
        <v>1</v>
      </c>
      <c r="C214" t="s">
        <v>2</v>
      </c>
      <c r="D214" t="s">
        <v>3</v>
      </c>
      <c r="E214" s="1" t="s">
        <v>574</v>
      </c>
      <c r="F214" t="s">
        <v>575</v>
      </c>
      <c r="G214">
        <v>9306</v>
      </c>
      <c r="H214">
        <v>5286</v>
      </c>
      <c r="I214" s="5">
        <f t="shared" si="9"/>
        <v>0.56802063185041907</v>
      </c>
      <c r="J214" s="2">
        <v>0.7</v>
      </c>
      <c r="K214" s="4">
        <v>7.82</v>
      </c>
      <c r="L214">
        <f t="shared" si="10"/>
        <v>1228</v>
      </c>
      <c r="M214" s="7">
        <f t="shared" si="11"/>
        <v>9602.9600000000009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s="1" t="s">
        <v>576</v>
      </c>
      <c r="F215" t="s">
        <v>577</v>
      </c>
      <c r="G215">
        <v>1835</v>
      </c>
      <c r="H215">
        <v>822</v>
      </c>
      <c r="I215" s="5">
        <f t="shared" si="9"/>
        <v>0.44795640326975478</v>
      </c>
      <c r="J215" s="2">
        <v>0.7</v>
      </c>
      <c r="K215" s="4">
        <v>9.9</v>
      </c>
      <c r="L215">
        <f t="shared" si="10"/>
        <v>463</v>
      </c>
      <c r="M215" s="7">
        <f t="shared" si="11"/>
        <v>4583.7</v>
      </c>
    </row>
    <row r="216" spans="1:13" x14ac:dyDescent="0.3">
      <c r="A216" t="s">
        <v>0</v>
      </c>
      <c r="B216" t="s">
        <v>1</v>
      </c>
      <c r="C216" t="s">
        <v>2</v>
      </c>
      <c r="D216" t="s">
        <v>476</v>
      </c>
      <c r="E216" s="1" t="s">
        <v>578</v>
      </c>
      <c r="F216" t="s">
        <v>579</v>
      </c>
      <c r="G216">
        <v>3437</v>
      </c>
      <c r="H216">
        <v>1640</v>
      </c>
      <c r="I216" s="5">
        <f t="shared" si="9"/>
        <v>0.47716031422752403</v>
      </c>
      <c r="J216" s="2">
        <v>0.7</v>
      </c>
      <c r="K216" s="4">
        <v>7.66</v>
      </c>
      <c r="L216">
        <f t="shared" si="10"/>
        <v>766</v>
      </c>
      <c r="M216" s="7">
        <f t="shared" si="11"/>
        <v>5867.56</v>
      </c>
    </row>
    <row r="217" spans="1:13" x14ac:dyDescent="0.3">
      <c r="A217" t="s">
        <v>0</v>
      </c>
      <c r="B217" t="s">
        <v>1</v>
      </c>
      <c r="C217" t="s">
        <v>17</v>
      </c>
      <c r="D217" t="s">
        <v>18</v>
      </c>
      <c r="E217" s="1" t="s">
        <v>580</v>
      </c>
      <c r="F217" t="s">
        <v>581</v>
      </c>
      <c r="G217">
        <v>6554</v>
      </c>
      <c r="H217">
        <v>3827</v>
      </c>
      <c r="I217" s="5">
        <f t="shared" si="9"/>
        <v>0.58391821788220932</v>
      </c>
      <c r="J217" s="2">
        <v>0.7</v>
      </c>
      <c r="K217" s="4">
        <v>7.91</v>
      </c>
      <c r="L217">
        <f t="shared" si="10"/>
        <v>761</v>
      </c>
      <c r="M217" s="7">
        <f t="shared" si="11"/>
        <v>6019.51</v>
      </c>
    </row>
    <row r="218" spans="1:13" x14ac:dyDescent="0.3">
      <c r="A218" t="s">
        <v>0</v>
      </c>
      <c r="B218" t="s">
        <v>1</v>
      </c>
      <c r="C218" t="s">
        <v>266</v>
      </c>
      <c r="D218" t="s">
        <v>582</v>
      </c>
      <c r="E218" s="1" t="s">
        <v>583</v>
      </c>
      <c r="F218" t="s">
        <v>584</v>
      </c>
      <c r="G218">
        <v>1025</v>
      </c>
      <c r="H218">
        <v>649</v>
      </c>
      <c r="I218" s="5">
        <f t="shared" si="9"/>
        <v>0.63317073170731708</v>
      </c>
      <c r="J218" s="2">
        <v>0.7</v>
      </c>
      <c r="K218" s="4">
        <v>12.36</v>
      </c>
      <c r="L218">
        <f t="shared" si="10"/>
        <v>69</v>
      </c>
      <c r="M218" s="7">
        <f t="shared" si="11"/>
        <v>852.83999999999992</v>
      </c>
    </row>
    <row r="219" spans="1:13" x14ac:dyDescent="0.3">
      <c r="A219" t="s">
        <v>0</v>
      </c>
      <c r="B219" t="s">
        <v>1</v>
      </c>
      <c r="C219" t="s">
        <v>17</v>
      </c>
      <c r="D219" t="s">
        <v>201</v>
      </c>
      <c r="E219" s="1" t="s">
        <v>585</v>
      </c>
      <c r="F219" t="s">
        <v>586</v>
      </c>
      <c r="G219">
        <v>3182</v>
      </c>
      <c r="H219">
        <v>2041</v>
      </c>
      <c r="I219" s="5">
        <f t="shared" si="9"/>
        <v>0.64142049025769954</v>
      </c>
      <c r="J219" s="2">
        <v>0.7</v>
      </c>
      <c r="K219" s="4">
        <v>9.41</v>
      </c>
      <c r="L219">
        <f t="shared" si="10"/>
        <v>186</v>
      </c>
      <c r="M219" s="7">
        <f t="shared" si="11"/>
        <v>1750.26</v>
      </c>
    </row>
    <row r="220" spans="1:13" x14ac:dyDescent="0.3">
      <c r="A220" t="s">
        <v>0</v>
      </c>
      <c r="B220" t="s">
        <v>1</v>
      </c>
      <c r="C220" t="s">
        <v>2</v>
      </c>
      <c r="D220" t="s">
        <v>136</v>
      </c>
      <c r="E220" s="1" t="s">
        <v>587</v>
      </c>
      <c r="F220" t="s">
        <v>588</v>
      </c>
      <c r="G220">
        <v>3540</v>
      </c>
      <c r="H220">
        <v>2180</v>
      </c>
      <c r="I220" s="5">
        <f t="shared" si="9"/>
        <v>0.61581920903954801</v>
      </c>
      <c r="J220" s="2">
        <v>0.7</v>
      </c>
      <c r="K220" s="4">
        <v>8.1</v>
      </c>
      <c r="L220">
        <f t="shared" si="10"/>
        <v>298</v>
      </c>
      <c r="M220" s="7">
        <f t="shared" si="11"/>
        <v>2413.7999999999997</v>
      </c>
    </row>
    <row r="221" spans="1:13" x14ac:dyDescent="0.3">
      <c r="A221" t="s">
        <v>0</v>
      </c>
      <c r="B221" t="s">
        <v>1</v>
      </c>
      <c r="C221" t="s">
        <v>21</v>
      </c>
      <c r="D221" t="s">
        <v>589</v>
      </c>
      <c r="E221" s="1" t="s">
        <v>590</v>
      </c>
      <c r="F221" t="s">
        <v>591</v>
      </c>
      <c r="G221">
        <v>3346</v>
      </c>
      <c r="H221">
        <v>1601</v>
      </c>
      <c r="I221" s="5">
        <f t="shared" si="9"/>
        <v>0.47848176927674835</v>
      </c>
      <c r="J221" s="2">
        <v>0.7</v>
      </c>
      <c r="K221" s="4">
        <v>8.48</v>
      </c>
      <c r="L221">
        <f t="shared" si="10"/>
        <v>741</v>
      </c>
      <c r="M221" s="7">
        <f t="shared" si="11"/>
        <v>6283.68</v>
      </c>
    </row>
    <row r="222" spans="1:13" x14ac:dyDescent="0.3">
      <c r="A222" t="s">
        <v>0</v>
      </c>
      <c r="B222" t="s">
        <v>1</v>
      </c>
      <c r="C222" t="s">
        <v>2</v>
      </c>
      <c r="D222" t="s">
        <v>592</v>
      </c>
      <c r="E222" s="1" t="s">
        <v>593</v>
      </c>
      <c r="F222" t="s">
        <v>594</v>
      </c>
      <c r="G222">
        <v>5070</v>
      </c>
      <c r="H222">
        <v>2560</v>
      </c>
      <c r="I222" s="5">
        <f t="shared" si="9"/>
        <v>0.50493096646942803</v>
      </c>
      <c r="J222" s="2">
        <v>0.7</v>
      </c>
      <c r="K222" s="4">
        <v>7.54</v>
      </c>
      <c r="L222">
        <f t="shared" si="10"/>
        <v>989</v>
      </c>
      <c r="M222" s="7">
        <f t="shared" si="11"/>
        <v>7457.06</v>
      </c>
    </row>
    <row r="223" spans="1:13" x14ac:dyDescent="0.3">
      <c r="A223" t="s">
        <v>0</v>
      </c>
      <c r="B223" t="s">
        <v>1</v>
      </c>
      <c r="C223" t="s">
        <v>17</v>
      </c>
      <c r="D223" t="s">
        <v>18</v>
      </c>
      <c r="E223" s="1" t="s">
        <v>595</v>
      </c>
      <c r="F223" t="s">
        <v>596</v>
      </c>
      <c r="G223">
        <v>4430</v>
      </c>
      <c r="H223">
        <v>2462</v>
      </c>
      <c r="I223" s="5">
        <f t="shared" si="9"/>
        <v>0.5557562076749436</v>
      </c>
      <c r="J223" s="2">
        <v>0.7</v>
      </c>
      <c r="K223" s="4">
        <v>7.5</v>
      </c>
      <c r="L223">
        <f t="shared" si="10"/>
        <v>639</v>
      </c>
      <c r="M223" s="7">
        <f t="shared" si="11"/>
        <v>4792.5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s="1" t="s">
        <v>597</v>
      </c>
      <c r="F224" t="s">
        <v>598</v>
      </c>
      <c r="G224">
        <v>5983</v>
      </c>
      <c r="H224">
        <v>3385</v>
      </c>
      <c r="I224" s="5">
        <f t="shared" si="9"/>
        <v>0.5657696807621595</v>
      </c>
      <c r="J224" s="2">
        <v>0.7</v>
      </c>
      <c r="K224" s="4">
        <v>8.5500000000000007</v>
      </c>
      <c r="L224">
        <f t="shared" si="10"/>
        <v>803</v>
      </c>
      <c r="M224" s="7">
        <f t="shared" si="11"/>
        <v>6865.6500000000005</v>
      </c>
    </row>
    <row r="225" spans="1:13" x14ac:dyDescent="0.3">
      <c r="A225" t="s">
        <v>0</v>
      </c>
      <c r="B225" t="s">
        <v>1</v>
      </c>
      <c r="C225" t="s">
        <v>21</v>
      </c>
      <c r="D225" t="s">
        <v>126</v>
      </c>
      <c r="E225" s="1" t="s">
        <v>599</v>
      </c>
      <c r="F225" t="s">
        <v>600</v>
      </c>
      <c r="G225">
        <v>5019</v>
      </c>
      <c r="H225">
        <v>2668</v>
      </c>
      <c r="I225" s="5">
        <f t="shared" si="9"/>
        <v>0.5315799960151425</v>
      </c>
      <c r="J225" s="2">
        <v>0.7</v>
      </c>
      <c r="K225" s="4">
        <v>7.85</v>
      </c>
      <c r="L225">
        <f t="shared" si="10"/>
        <v>845</v>
      </c>
      <c r="M225" s="7">
        <f t="shared" si="11"/>
        <v>6633.25</v>
      </c>
    </row>
    <row r="226" spans="1:13" x14ac:dyDescent="0.3">
      <c r="A226" t="s">
        <v>0</v>
      </c>
      <c r="B226" t="s">
        <v>1</v>
      </c>
      <c r="C226" t="s">
        <v>13</v>
      </c>
      <c r="D226" t="s">
        <v>14</v>
      </c>
      <c r="E226" s="1" t="s">
        <v>601</v>
      </c>
      <c r="F226" t="s">
        <v>602</v>
      </c>
      <c r="G226">
        <v>3240</v>
      </c>
      <c r="H226">
        <v>1528</v>
      </c>
      <c r="I226" s="5">
        <f t="shared" si="9"/>
        <v>0.47160493827160493</v>
      </c>
      <c r="J226" s="2">
        <v>0.7</v>
      </c>
      <c r="K226" s="4">
        <v>7.2</v>
      </c>
      <c r="L226">
        <f t="shared" si="10"/>
        <v>740</v>
      </c>
      <c r="M226" s="7">
        <f t="shared" si="11"/>
        <v>5328</v>
      </c>
    </row>
    <row r="227" spans="1:13" x14ac:dyDescent="0.3">
      <c r="A227" t="s">
        <v>0</v>
      </c>
      <c r="B227" t="s">
        <v>1</v>
      </c>
      <c r="C227" t="s">
        <v>76</v>
      </c>
      <c r="D227" t="s">
        <v>222</v>
      </c>
      <c r="E227" s="1" t="s">
        <v>603</v>
      </c>
      <c r="F227" t="s">
        <v>604</v>
      </c>
      <c r="G227">
        <v>1446</v>
      </c>
      <c r="H227">
        <v>765</v>
      </c>
      <c r="I227" s="5">
        <f t="shared" si="9"/>
        <v>0.52904564315352698</v>
      </c>
      <c r="J227" s="2">
        <v>0.7</v>
      </c>
      <c r="K227" s="4">
        <v>7.37</v>
      </c>
      <c r="L227">
        <f t="shared" si="10"/>
        <v>247</v>
      </c>
      <c r="M227" s="7">
        <f t="shared" si="11"/>
        <v>1820.39</v>
      </c>
    </row>
    <row r="228" spans="1:13" x14ac:dyDescent="0.3">
      <c r="A228" t="s">
        <v>0</v>
      </c>
      <c r="B228" t="s">
        <v>1</v>
      </c>
      <c r="C228" t="s">
        <v>6</v>
      </c>
      <c r="D228" t="s">
        <v>7</v>
      </c>
      <c r="E228" s="1" t="s">
        <v>605</v>
      </c>
      <c r="F228" t="s">
        <v>606</v>
      </c>
      <c r="G228">
        <v>6843</v>
      </c>
      <c r="H228">
        <v>3533</v>
      </c>
      <c r="I228" s="5">
        <f t="shared" si="9"/>
        <v>0.51629402308928829</v>
      </c>
      <c r="J228" s="2">
        <v>0.7</v>
      </c>
      <c r="K228" s="4">
        <v>8.3699999999999992</v>
      </c>
      <c r="L228">
        <f t="shared" si="10"/>
        <v>1257</v>
      </c>
      <c r="M228" s="7">
        <f t="shared" si="11"/>
        <v>10521.089999999998</v>
      </c>
    </row>
    <row r="229" spans="1:13" x14ac:dyDescent="0.3">
      <c r="A229" t="s">
        <v>0</v>
      </c>
      <c r="B229" t="s">
        <v>1</v>
      </c>
      <c r="C229" t="s">
        <v>36</v>
      </c>
      <c r="D229" t="s">
        <v>607</v>
      </c>
      <c r="E229" s="1" t="s">
        <v>608</v>
      </c>
      <c r="F229" t="s">
        <v>609</v>
      </c>
      <c r="G229">
        <v>3898</v>
      </c>
      <c r="H229">
        <v>1879</v>
      </c>
      <c r="I229" s="5">
        <f t="shared" si="9"/>
        <v>0.48204207285787581</v>
      </c>
      <c r="J229" s="2">
        <v>0.7</v>
      </c>
      <c r="K229" s="4">
        <v>7.82</v>
      </c>
      <c r="L229">
        <f t="shared" si="10"/>
        <v>850</v>
      </c>
      <c r="M229" s="7">
        <f t="shared" si="11"/>
        <v>6647</v>
      </c>
    </row>
    <row r="230" spans="1:13" x14ac:dyDescent="0.3">
      <c r="A230" t="s">
        <v>0</v>
      </c>
      <c r="B230" t="s">
        <v>1</v>
      </c>
      <c r="C230" t="s">
        <v>2</v>
      </c>
      <c r="D230" t="s">
        <v>611</v>
      </c>
      <c r="E230" s="1" t="s">
        <v>612</v>
      </c>
      <c r="F230" t="s">
        <v>613</v>
      </c>
      <c r="G230">
        <v>4044</v>
      </c>
      <c r="H230">
        <v>2331</v>
      </c>
      <c r="I230" s="5">
        <f t="shared" si="9"/>
        <v>0.57640949554896137</v>
      </c>
      <c r="J230" s="2">
        <v>0.7</v>
      </c>
      <c r="K230" s="4">
        <v>7.2</v>
      </c>
      <c r="L230">
        <f t="shared" si="10"/>
        <v>500</v>
      </c>
      <c r="M230" s="7">
        <f t="shared" si="11"/>
        <v>3600</v>
      </c>
    </row>
    <row r="231" spans="1:13" x14ac:dyDescent="0.3">
      <c r="A231" t="s">
        <v>0</v>
      </c>
      <c r="B231" t="s">
        <v>1</v>
      </c>
      <c r="C231" t="s">
        <v>2</v>
      </c>
      <c r="D231" t="s">
        <v>376</v>
      </c>
      <c r="E231" s="1" t="s">
        <v>614</v>
      </c>
      <c r="F231" t="s">
        <v>615</v>
      </c>
      <c r="G231">
        <v>1455</v>
      </c>
      <c r="H231">
        <v>843</v>
      </c>
      <c r="I231" s="5">
        <f t="shared" si="9"/>
        <v>0.57938144329896912</v>
      </c>
      <c r="J231" s="2">
        <v>0.7</v>
      </c>
      <c r="K231" s="4">
        <v>8.23</v>
      </c>
      <c r="L231">
        <f t="shared" si="10"/>
        <v>176</v>
      </c>
      <c r="M231" s="7">
        <f t="shared" si="11"/>
        <v>1448.48</v>
      </c>
    </row>
    <row r="232" spans="1:13" x14ac:dyDescent="0.3">
      <c r="A232" t="s">
        <v>0</v>
      </c>
      <c r="B232" t="s">
        <v>1</v>
      </c>
      <c r="C232" t="s">
        <v>101</v>
      </c>
      <c r="D232" t="s">
        <v>616</v>
      </c>
      <c r="E232" s="1" t="s">
        <v>617</v>
      </c>
      <c r="F232" t="s">
        <v>618</v>
      </c>
      <c r="G232">
        <v>2991</v>
      </c>
      <c r="H232">
        <v>1842</v>
      </c>
      <c r="I232" s="5">
        <f t="shared" si="9"/>
        <v>0.61584754262788366</v>
      </c>
      <c r="J232" s="2">
        <v>0.7</v>
      </c>
      <c r="K232" s="4">
        <v>6.28</v>
      </c>
      <c r="L232">
        <f t="shared" si="10"/>
        <v>252</v>
      </c>
      <c r="M232" s="7">
        <f t="shared" si="11"/>
        <v>1582.5600000000002</v>
      </c>
    </row>
    <row r="233" spans="1:13" x14ac:dyDescent="0.3">
      <c r="A233" t="s">
        <v>0</v>
      </c>
      <c r="B233" t="s">
        <v>1</v>
      </c>
      <c r="C233" t="s">
        <v>21</v>
      </c>
      <c r="D233" t="s">
        <v>619</v>
      </c>
      <c r="E233" s="1" t="s">
        <v>620</v>
      </c>
      <c r="F233" t="s">
        <v>621</v>
      </c>
      <c r="G233">
        <v>2836</v>
      </c>
      <c r="H233">
        <v>1296</v>
      </c>
      <c r="I233" s="5">
        <f t="shared" si="9"/>
        <v>0.45698166431593795</v>
      </c>
      <c r="J233" s="2">
        <v>0.7</v>
      </c>
      <c r="K233" s="4">
        <v>7.92</v>
      </c>
      <c r="L233">
        <f t="shared" si="10"/>
        <v>689</v>
      </c>
      <c r="M233" s="7">
        <f t="shared" si="11"/>
        <v>5456.88</v>
      </c>
    </row>
    <row r="234" spans="1:13" x14ac:dyDescent="0.3">
      <c r="A234" t="s">
        <v>0</v>
      </c>
      <c r="B234" t="s">
        <v>1</v>
      </c>
      <c r="C234" t="s">
        <v>2</v>
      </c>
      <c r="D234" t="s">
        <v>622</v>
      </c>
      <c r="E234" s="1" t="s">
        <v>623</v>
      </c>
      <c r="F234" t="s">
        <v>624</v>
      </c>
      <c r="G234">
        <v>4047</v>
      </c>
      <c r="H234">
        <v>2125</v>
      </c>
      <c r="I234" s="5">
        <f t="shared" si="9"/>
        <v>0.5250803063998023</v>
      </c>
      <c r="J234" s="2">
        <v>0.7</v>
      </c>
      <c r="K234" s="4">
        <v>7.99</v>
      </c>
      <c r="L234">
        <f t="shared" si="10"/>
        <v>708</v>
      </c>
      <c r="M234" s="7">
        <f t="shared" si="11"/>
        <v>5656.92</v>
      </c>
    </row>
    <row r="235" spans="1:13" x14ac:dyDescent="0.3">
      <c r="A235" t="s">
        <v>0</v>
      </c>
      <c r="B235" t="s">
        <v>1</v>
      </c>
      <c r="C235" t="s">
        <v>2</v>
      </c>
      <c r="D235" t="s">
        <v>3</v>
      </c>
      <c r="E235" s="1" t="s">
        <v>625</v>
      </c>
      <c r="F235" t="s">
        <v>626</v>
      </c>
      <c r="G235">
        <v>2956</v>
      </c>
      <c r="H235">
        <v>1457</v>
      </c>
      <c r="I235" s="5">
        <f t="shared" si="9"/>
        <v>0.49289580514208392</v>
      </c>
      <c r="J235" s="2">
        <v>0.7</v>
      </c>
      <c r="K235" s="4">
        <v>8.3800000000000008</v>
      </c>
      <c r="L235">
        <f t="shared" si="10"/>
        <v>612</v>
      </c>
      <c r="M235" s="7">
        <f t="shared" si="11"/>
        <v>5128.5600000000004</v>
      </c>
    </row>
    <row r="236" spans="1:13" x14ac:dyDescent="0.3">
      <c r="A236" t="s">
        <v>0</v>
      </c>
      <c r="B236" t="s">
        <v>1</v>
      </c>
      <c r="C236" t="s">
        <v>2</v>
      </c>
      <c r="D236" t="s">
        <v>253</v>
      </c>
      <c r="E236" s="1" t="s">
        <v>627</v>
      </c>
      <c r="F236" t="s">
        <v>628</v>
      </c>
      <c r="G236">
        <v>6139</v>
      </c>
      <c r="H236">
        <v>3356</v>
      </c>
      <c r="I236" s="5">
        <f t="shared" si="9"/>
        <v>0.54666883857305748</v>
      </c>
      <c r="J236" s="2">
        <v>0.7</v>
      </c>
      <c r="K236" s="4">
        <v>8.6</v>
      </c>
      <c r="L236">
        <f t="shared" si="10"/>
        <v>941</v>
      </c>
      <c r="M236" s="7">
        <f t="shared" si="11"/>
        <v>8092.5999999999995</v>
      </c>
    </row>
    <row r="237" spans="1:13" x14ac:dyDescent="0.3">
      <c r="A237" t="s">
        <v>0</v>
      </c>
      <c r="B237" t="s">
        <v>1</v>
      </c>
      <c r="C237" t="s">
        <v>280</v>
      </c>
      <c r="D237" t="s">
        <v>281</v>
      </c>
      <c r="E237" s="1" t="s">
        <v>629</v>
      </c>
      <c r="F237" t="s">
        <v>630</v>
      </c>
      <c r="G237">
        <v>3239</v>
      </c>
      <c r="H237">
        <v>1955</v>
      </c>
      <c r="I237" s="5">
        <f t="shared" si="9"/>
        <v>0.60358135226921894</v>
      </c>
      <c r="J237" s="2">
        <v>0.7</v>
      </c>
      <c r="K237" s="4">
        <v>7.39</v>
      </c>
      <c r="L237">
        <f t="shared" si="10"/>
        <v>312</v>
      </c>
      <c r="M237" s="7">
        <f t="shared" si="11"/>
        <v>2305.6799999999998</v>
      </c>
    </row>
    <row r="238" spans="1:13" x14ac:dyDescent="0.3">
      <c r="A238" t="s">
        <v>0</v>
      </c>
      <c r="B238" t="s">
        <v>1</v>
      </c>
      <c r="C238" t="s">
        <v>6</v>
      </c>
      <c r="D238" t="s">
        <v>7</v>
      </c>
      <c r="E238" s="1" t="s">
        <v>631</v>
      </c>
      <c r="F238" t="s">
        <v>632</v>
      </c>
      <c r="G238">
        <v>3211</v>
      </c>
      <c r="H238">
        <v>1587</v>
      </c>
      <c r="I238" s="5">
        <f t="shared" si="9"/>
        <v>0.4942385549672999</v>
      </c>
      <c r="J238" s="2">
        <v>0.7</v>
      </c>
      <c r="K238" s="4">
        <v>8.84</v>
      </c>
      <c r="L238">
        <f t="shared" si="10"/>
        <v>661</v>
      </c>
      <c r="M238" s="7">
        <f t="shared" si="11"/>
        <v>5843.24</v>
      </c>
    </row>
    <row r="239" spans="1:13" x14ac:dyDescent="0.3">
      <c r="A239" t="s">
        <v>0</v>
      </c>
      <c r="B239" t="s">
        <v>1</v>
      </c>
      <c r="C239" t="s">
        <v>40</v>
      </c>
      <c r="D239" t="s">
        <v>41</v>
      </c>
      <c r="E239" s="1" t="s">
        <v>633</v>
      </c>
      <c r="F239" t="s">
        <v>634</v>
      </c>
      <c r="G239">
        <v>7255</v>
      </c>
      <c r="H239">
        <v>3957</v>
      </c>
      <c r="I239" s="5">
        <f t="shared" si="9"/>
        <v>0.54541695382494826</v>
      </c>
      <c r="J239" s="2">
        <v>0.7</v>
      </c>
      <c r="K239" s="4">
        <v>8.52</v>
      </c>
      <c r="L239">
        <f t="shared" si="10"/>
        <v>1122</v>
      </c>
      <c r="M239" s="7">
        <f t="shared" si="11"/>
        <v>9559.4399999999987</v>
      </c>
    </row>
    <row r="240" spans="1:13" x14ac:dyDescent="0.3">
      <c r="A240" t="s">
        <v>0</v>
      </c>
      <c r="B240" t="s">
        <v>1</v>
      </c>
      <c r="C240" t="s">
        <v>2</v>
      </c>
      <c r="D240" t="s">
        <v>118</v>
      </c>
      <c r="E240" s="1" t="s">
        <v>635</v>
      </c>
      <c r="F240" t="s">
        <v>636</v>
      </c>
      <c r="G240">
        <v>3333</v>
      </c>
      <c r="H240">
        <v>1702</v>
      </c>
      <c r="I240" s="5">
        <f t="shared" si="9"/>
        <v>0.5106510651065107</v>
      </c>
      <c r="J240" s="2">
        <v>0.7</v>
      </c>
      <c r="K240" s="4">
        <v>8.25</v>
      </c>
      <c r="L240">
        <f t="shared" si="10"/>
        <v>631</v>
      </c>
      <c r="M240" s="7">
        <f t="shared" si="11"/>
        <v>5205.75</v>
      </c>
    </row>
    <row r="241" spans="1:13" x14ac:dyDescent="0.3">
      <c r="A241" t="s">
        <v>0</v>
      </c>
      <c r="B241" t="s">
        <v>1</v>
      </c>
      <c r="C241" t="s">
        <v>17</v>
      </c>
      <c r="D241" t="s">
        <v>18</v>
      </c>
      <c r="E241" s="1" t="s">
        <v>638</v>
      </c>
      <c r="F241" t="s">
        <v>639</v>
      </c>
      <c r="G241">
        <v>3714</v>
      </c>
      <c r="H241">
        <v>2004</v>
      </c>
      <c r="I241" s="5">
        <f t="shared" si="9"/>
        <v>0.5395799676898223</v>
      </c>
      <c r="J241" s="2">
        <v>0.7</v>
      </c>
      <c r="K241" s="4">
        <v>8.33</v>
      </c>
      <c r="L241">
        <f t="shared" si="10"/>
        <v>596</v>
      </c>
      <c r="M241" s="7">
        <f t="shared" si="11"/>
        <v>4964.68</v>
      </c>
    </row>
    <row r="242" spans="1:13" x14ac:dyDescent="0.3">
      <c r="A242" t="s">
        <v>0</v>
      </c>
      <c r="B242" t="s">
        <v>1</v>
      </c>
      <c r="C242" t="s">
        <v>2</v>
      </c>
      <c r="D242" t="s">
        <v>640</v>
      </c>
      <c r="E242" s="1" t="s">
        <v>641</v>
      </c>
      <c r="F242" t="s">
        <v>642</v>
      </c>
      <c r="G242">
        <v>3655</v>
      </c>
      <c r="H242">
        <v>1921</v>
      </c>
      <c r="I242" s="5">
        <f t="shared" si="9"/>
        <v>0.52558139534883719</v>
      </c>
      <c r="J242" s="2">
        <v>0.7</v>
      </c>
      <c r="K242" s="4">
        <v>8.19</v>
      </c>
      <c r="L242">
        <f t="shared" si="10"/>
        <v>638</v>
      </c>
      <c r="M242" s="7">
        <f t="shared" si="11"/>
        <v>5225.2199999999993</v>
      </c>
    </row>
    <row r="243" spans="1:13" x14ac:dyDescent="0.3">
      <c r="A243" t="s">
        <v>0</v>
      </c>
      <c r="B243" t="s">
        <v>1</v>
      </c>
      <c r="C243" t="s">
        <v>74</v>
      </c>
      <c r="D243" t="s">
        <v>643</v>
      </c>
      <c r="E243" s="1" t="s">
        <v>644</v>
      </c>
      <c r="F243" t="s">
        <v>645</v>
      </c>
      <c r="G243">
        <v>2922</v>
      </c>
      <c r="H243">
        <v>1549</v>
      </c>
      <c r="I243" s="5">
        <f t="shared" si="9"/>
        <v>0.53011635865845308</v>
      </c>
      <c r="J243" s="2">
        <v>0.7</v>
      </c>
      <c r="K243" s="4">
        <v>7.67</v>
      </c>
      <c r="L243">
        <f t="shared" si="10"/>
        <v>496</v>
      </c>
      <c r="M243" s="7">
        <f t="shared" si="11"/>
        <v>3804.32</v>
      </c>
    </row>
    <row r="244" spans="1:13" x14ac:dyDescent="0.3">
      <c r="A244" t="s">
        <v>0</v>
      </c>
      <c r="B244" t="s">
        <v>1</v>
      </c>
      <c r="C244" t="s">
        <v>21</v>
      </c>
      <c r="D244" t="s">
        <v>646</v>
      </c>
      <c r="E244" s="1" t="s">
        <v>647</v>
      </c>
      <c r="F244" t="s">
        <v>648</v>
      </c>
      <c r="G244">
        <v>2617</v>
      </c>
      <c r="H244">
        <v>1589</v>
      </c>
      <c r="I244" s="5">
        <f t="shared" si="9"/>
        <v>0.6071837982422621</v>
      </c>
      <c r="J244" s="2">
        <v>0.7</v>
      </c>
      <c r="K244" s="4">
        <v>7.58</v>
      </c>
      <c r="L244">
        <f t="shared" si="10"/>
        <v>243</v>
      </c>
      <c r="M244" s="7">
        <f t="shared" si="11"/>
        <v>1841.94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s="1" t="s">
        <v>649</v>
      </c>
      <c r="F245" t="s">
        <v>650</v>
      </c>
      <c r="G245">
        <v>4889</v>
      </c>
      <c r="H245">
        <v>2945</v>
      </c>
      <c r="I245" s="5">
        <f t="shared" si="9"/>
        <v>0.602372673348333</v>
      </c>
      <c r="J245" s="2">
        <v>0.7</v>
      </c>
      <c r="K245" s="4">
        <v>8.64</v>
      </c>
      <c r="L245">
        <f t="shared" si="10"/>
        <v>477</v>
      </c>
      <c r="M245" s="7">
        <f t="shared" si="11"/>
        <v>4121.2800000000007</v>
      </c>
    </row>
    <row r="246" spans="1:13" x14ac:dyDescent="0.3">
      <c r="A246" t="s">
        <v>0</v>
      </c>
      <c r="B246" t="s">
        <v>1</v>
      </c>
      <c r="C246" t="s">
        <v>17</v>
      </c>
      <c r="D246" t="s">
        <v>434</v>
      </c>
      <c r="E246" s="1" t="s">
        <v>652</v>
      </c>
      <c r="F246" t="s">
        <v>653</v>
      </c>
      <c r="G246">
        <v>3586</v>
      </c>
      <c r="H246">
        <v>2030</v>
      </c>
      <c r="I246" s="5">
        <f t="shared" si="9"/>
        <v>0.56609035136642494</v>
      </c>
      <c r="J246" s="2">
        <v>0.7</v>
      </c>
      <c r="K246" s="4">
        <v>8.0299999999999994</v>
      </c>
      <c r="L246">
        <f t="shared" si="10"/>
        <v>480</v>
      </c>
      <c r="M246" s="7">
        <f t="shared" si="11"/>
        <v>3854.3999999999996</v>
      </c>
    </row>
    <row r="247" spans="1:13" x14ac:dyDescent="0.3">
      <c r="A247" t="s">
        <v>0</v>
      </c>
      <c r="B247" t="s">
        <v>1</v>
      </c>
      <c r="C247" t="s">
        <v>2</v>
      </c>
      <c r="D247" t="s">
        <v>611</v>
      </c>
      <c r="E247" s="1" t="s">
        <v>654</v>
      </c>
      <c r="F247" t="s">
        <v>655</v>
      </c>
      <c r="G247">
        <v>3907</v>
      </c>
      <c r="H247">
        <v>2009</v>
      </c>
      <c r="I247" s="5">
        <f t="shared" si="9"/>
        <v>0.51420527258766313</v>
      </c>
      <c r="J247" s="2">
        <v>0.7</v>
      </c>
      <c r="K247" s="4">
        <v>7.19</v>
      </c>
      <c r="L247">
        <f t="shared" si="10"/>
        <v>726</v>
      </c>
      <c r="M247" s="7">
        <f t="shared" si="11"/>
        <v>5219.9400000000005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s="1" t="s">
        <v>656</v>
      </c>
      <c r="F248" t="s">
        <v>657</v>
      </c>
      <c r="G248">
        <v>5282</v>
      </c>
      <c r="H248">
        <v>2938</v>
      </c>
      <c r="I248" s="5">
        <f t="shared" si="9"/>
        <v>0.55622870124952672</v>
      </c>
      <c r="J248" s="2">
        <v>0.7</v>
      </c>
      <c r="K248" s="4">
        <v>8.8000000000000007</v>
      </c>
      <c r="L248">
        <f t="shared" si="10"/>
        <v>759</v>
      </c>
      <c r="M248" s="7">
        <f t="shared" si="11"/>
        <v>6679.2000000000007</v>
      </c>
    </row>
    <row r="249" spans="1:13" x14ac:dyDescent="0.3">
      <c r="A249" t="s">
        <v>0</v>
      </c>
      <c r="B249" t="s">
        <v>1</v>
      </c>
      <c r="C249" t="s">
        <v>21</v>
      </c>
      <c r="D249" t="s">
        <v>658</v>
      </c>
      <c r="E249" s="1" t="s">
        <v>659</v>
      </c>
      <c r="F249" t="s">
        <v>660</v>
      </c>
      <c r="G249">
        <v>3639</v>
      </c>
      <c r="H249">
        <v>1930</v>
      </c>
      <c r="I249" s="5">
        <f t="shared" si="9"/>
        <v>0.53036548502335812</v>
      </c>
      <c r="J249" s="2">
        <v>0.7</v>
      </c>
      <c r="K249" s="4">
        <v>7.45</v>
      </c>
      <c r="L249">
        <f t="shared" si="10"/>
        <v>617</v>
      </c>
      <c r="M249" s="7">
        <f t="shared" si="11"/>
        <v>4596.6500000000005</v>
      </c>
    </row>
    <row r="250" spans="1:13" x14ac:dyDescent="0.3">
      <c r="A250" t="s">
        <v>0</v>
      </c>
      <c r="B250" t="s">
        <v>1</v>
      </c>
      <c r="C250" t="s">
        <v>2</v>
      </c>
      <c r="D250" t="s">
        <v>661</v>
      </c>
      <c r="E250" s="1" t="s">
        <v>662</v>
      </c>
      <c r="F250" t="s">
        <v>663</v>
      </c>
      <c r="G250">
        <v>5909</v>
      </c>
      <c r="H250">
        <v>3051</v>
      </c>
      <c r="I250" s="5">
        <f t="shared" si="9"/>
        <v>0.51633102047723811</v>
      </c>
      <c r="J250" s="2">
        <v>0.7</v>
      </c>
      <c r="K250" s="4">
        <v>8.48</v>
      </c>
      <c r="L250">
        <f t="shared" si="10"/>
        <v>1085</v>
      </c>
      <c r="M250" s="7">
        <f t="shared" si="11"/>
        <v>9200.8000000000011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s="1" t="s">
        <v>664</v>
      </c>
      <c r="F251" t="s">
        <v>665</v>
      </c>
      <c r="G251">
        <v>2910</v>
      </c>
      <c r="H251">
        <v>1473</v>
      </c>
      <c r="I251" s="5">
        <f t="shared" si="9"/>
        <v>0.50618556701030926</v>
      </c>
      <c r="J251" s="2">
        <v>0.7</v>
      </c>
      <c r="K251" s="4">
        <v>8.1999999999999993</v>
      </c>
      <c r="L251">
        <f t="shared" si="10"/>
        <v>564</v>
      </c>
      <c r="M251" s="7">
        <f t="shared" si="11"/>
        <v>4624.7999999999993</v>
      </c>
    </row>
    <row r="252" spans="1:13" x14ac:dyDescent="0.3">
      <c r="A252" t="s">
        <v>0</v>
      </c>
      <c r="B252" t="s">
        <v>1</v>
      </c>
      <c r="C252" t="s">
        <v>17</v>
      </c>
      <c r="D252" t="s">
        <v>18</v>
      </c>
      <c r="E252" s="1" t="s">
        <v>666</v>
      </c>
      <c r="F252" t="s">
        <v>667</v>
      </c>
      <c r="G252">
        <v>5003</v>
      </c>
      <c r="H252">
        <v>3608</v>
      </c>
      <c r="I252" s="5">
        <f t="shared" si="9"/>
        <v>0.72116729962022785</v>
      </c>
      <c r="J252" s="2">
        <v>0.7</v>
      </c>
      <c r="K252" s="4">
        <v>8.92</v>
      </c>
      <c r="L252">
        <f t="shared" si="10"/>
        <v>-106</v>
      </c>
      <c r="M252" s="7">
        <f t="shared" si="11"/>
        <v>-945.52</v>
      </c>
    </row>
    <row r="253" spans="1:13" x14ac:dyDescent="0.3">
      <c r="A253" t="s">
        <v>0</v>
      </c>
      <c r="B253" t="s">
        <v>1</v>
      </c>
      <c r="C253" t="s">
        <v>21</v>
      </c>
      <c r="D253" t="s">
        <v>668</v>
      </c>
      <c r="E253" s="1" t="s">
        <v>669</v>
      </c>
      <c r="F253" t="s">
        <v>670</v>
      </c>
      <c r="G253">
        <v>2108</v>
      </c>
      <c r="H253">
        <v>1198</v>
      </c>
      <c r="I253" s="5">
        <f t="shared" si="9"/>
        <v>0.56831119544592035</v>
      </c>
      <c r="J253" s="2">
        <v>0.7</v>
      </c>
      <c r="K253" s="4">
        <v>8.0399999999999991</v>
      </c>
      <c r="L253">
        <f t="shared" si="10"/>
        <v>278</v>
      </c>
      <c r="M253" s="7">
        <f t="shared" si="11"/>
        <v>2235.12</v>
      </c>
    </row>
    <row r="254" spans="1:13" x14ac:dyDescent="0.3">
      <c r="A254" t="s">
        <v>0</v>
      </c>
      <c r="B254" t="s">
        <v>1</v>
      </c>
      <c r="C254" t="s">
        <v>2</v>
      </c>
      <c r="D254" t="s">
        <v>671</v>
      </c>
      <c r="E254" s="1" t="s">
        <v>672</v>
      </c>
      <c r="F254" t="s">
        <v>673</v>
      </c>
      <c r="G254">
        <v>2464</v>
      </c>
      <c r="H254">
        <v>1343</v>
      </c>
      <c r="I254" s="5">
        <f t="shared" si="9"/>
        <v>0.54504870129870131</v>
      </c>
      <c r="J254" s="2">
        <v>0.7</v>
      </c>
      <c r="K254" s="4">
        <v>8.8000000000000007</v>
      </c>
      <c r="L254">
        <f t="shared" si="10"/>
        <v>382</v>
      </c>
      <c r="M254" s="7">
        <f t="shared" si="11"/>
        <v>3361.6000000000004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s="1" t="s">
        <v>674</v>
      </c>
      <c r="F255" t="s">
        <v>675</v>
      </c>
      <c r="G255">
        <v>4222</v>
      </c>
      <c r="H255">
        <v>1976</v>
      </c>
      <c r="I255" s="5">
        <f t="shared" si="9"/>
        <v>0.46802463287541451</v>
      </c>
      <c r="J255" s="2">
        <v>0.7</v>
      </c>
      <c r="K255" s="4">
        <v>9.77</v>
      </c>
      <c r="L255">
        <f t="shared" si="10"/>
        <v>979</v>
      </c>
      <c r="M255" s="7">
        <f t="shared" si="11"/>
        <v>9564.83</v>
      </c>
    </row>
    <row r="256" spans="1:13" x14ac:dyDescent="0.3">
      <c r="A256" t="s">
        <v>0</v>
      </c>
      <c r="B256" t="s">
        <v>1</v>
      </c>
      <c r="C256" t="s">
        <v>2</v>
      </c>
      <c r="D256" t="s">
        <v>136</v>
      </c>
      <c r="E256" s="1" t="s">
        <v>676</v>
      </c>
      <c r="F256" t="s">
        <v>677</v>
      </c>
      <c r="G256">
        <v>1845</v>
      </c>
      <c r="H256">
        <v>976</v>
      </c>
      <c r="I256" s="5">
        <f t="shared" si="9"/>
        <v>0.52899728997289974</v>
      </c>
      <c r="J256" s="2">
        <v>0.7</v>
      </c>
      <c r="K256" s="4">
        <v>9.41</v>
      </c>
      <c r="L256">
        <f t="shared" si="10"/>
        <v>316</v>
      </c>
      <c r="M256" s="7">
        <f t="shared" si="11"/>
        <v>2973.56</v>
      </c>
    </row>
    <row r="257" spans="1:13" x14ac:dyDescent="0.3">
      <c r="A257" t="s">
        <v>0</v>
      </c>
      <c r="B257" t="s">
        <v>1</v>
      </c>
      <c r="C257" t="s">
        <v>225</v>
      </c>
      <c r="D257" t="s">
        <v>226</v>
      </c>
      <c r="E257" s="1" t="s">
        <v>678</v>
      </c>
      <c r="F257" t="s">
        <v>679</v>
      </c>
      <c r="G257">
        <v>4560</v>
      </c>
      <c r="H257">
        <v>2020</v>
      </c>
      <c r="I257" s="5">
        <f t="shared" si="9"/>
        <v>0.44298245614035087</v>
      </c>
      <c r="J257" s="2">
        <v>0.7</v>
      </c>
      <c r="K257" s="4">
        <v>8.49</v>
      </c>
      <c r="L257">
        <f t="shared" si="10"/>
        <v>1172</v>
      </c>
      <c r="M257" s="7">
        <f t="shared" si="11"/>
        <v>9950.2800000000007</v>
      </c>
    </row>
    <row r="258" spans="1:13" x14ac:dyDescent="0.3">
      <c r="A258" t="s">
        <v>0</v>
      </c>
      <c r="B258" t="s">
        <v>1</v>
      </c>
      <c r="C258" t="s">
        <v>479</v>
      </c>
      <c r="D258" t="s">
        <v>480</v>
      </c>
      <c r="E258" s="1" t="s">
        <v>680</v>
      </c>
      <c r="F258" t="s">
        <v>681</v>
      </c>
      <c r="G258">
        <v>4875</v>
      </c>
      <c r="H258">
        <v>2417</v>
      </c>
      <c r="I258" s="5">
        <f t="shared" si="9"/>
        <v>0.49579487179487181</v>
      </c>
      <c r="J258" s="2">
        <v>0.7</v>
      </c>
      <c r="K258" s="4">
        <v>6.62</v>
      </c>
      <c r="L258">
        <f t="shared" si="10"/>
        <v>996</v>
      </c>
      <c r="M258" s="7">
        <f t="shared" si="11"/>
        <v>6593.52</v>
      </c>
    </row>
    <row r="259" spans="1:13" x14ac:dyDescent="0.3">
      <c r="A259" t="s">
        <v>0</v>
      </c>
      <c r="B259" t="s">
        <v>1</v>
      </c>
      <c r="C259" t="s">
        <v>2</v>
      </c>
      <c r="D259" t="s">
        <v>3</v>
      </c>
      <c r="E259" s="1" t="s">
        <v>682</v>
      </c>
      <c r="F259" t="s">
        <v>683</v>
      </c>
      <c r="G259">
        <v>3178</v>
      </c>
      <c r="H259">
        <v>1609</v>
      </c>
      <c r="I259" s="5">
        <f t="shared" ref="I259:I322" si="12">H259/G259</f>
        <v>0.50629326620516046</v>
      </c>
      <c r="J259" s="2">
        <v>0.7</v>
      </c>
      <c r="K259" s="4">
        <v>8.16</v>
      </c>
      <c r="L259">
        <f t="shared" ref="L259:L322" si="13">ROUND(G259*J259,0)-H259</f>
        <v>616</v>
      </c>
      <c r="M259" s="7">
        <f t="shared" ref="M259:M322" si="14">L259*K259</f>
        <v>5026.5600000000004</v>
      </c>
    </row>
    <row r="260" spans="1:13" x14ac:dyDescent="0.3">
      <c r="A260" t="s">
        <v>0</v>
      </c>
      <c r="B260" t="s">
        <v>1</v>
      </c>
      <c r="C260" t="s">
        <v>17</v>
      </c>
      <c r="D260" t="s">
        <v>684</v>
      </c>
      <c r="E260" s="1" t="s">
        <v>685</v>
      </c>
      <c r="F260" t="s">
        <v>686</v>
      </c>
      <c r="G260">
        <v>4157</v>
      </c>
      <c r="H260">
        <v>2112</v>
      </c>
      <c r="I260" s="5">
        <f t="shared" si="12"/>
        <v>0.50805869617512633</v>
      </c>
      <c r="J260" s="2">
        <v>0.7</v>
      </c>
      <c r="K260" s="4">
        <v>8.16</v>
      </c>
      <c r="L260">
        <f t="shared" si="13"/>
        <v>798</v>
      </c>
      <c r="M260" s="7">
        <f t="shared" si="14"/>
        <v>6511.68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s="1" t="s">
        <v>687</v>
      </c>
      <c r="F261" t="s">
        <v>688</v>
      </c>
      <c r="G261">
        <v>6865</v>
      </c>
      <c r="H261">
        <v>3616</v>
      </c>
      <c r="I261" s="5">
        <f t="shared" si="12"/>
        <v>0.52672978878368537</v>
      </c>
      <c r="J261" s="2">
        <v>0.7</v>
      </c>
      <c r="K261" s="4">
        <v>7.78</v>
      </c>
      <c r="L261">
        <f t="shared" si="13"/>
        <v>1190</v>
      </c>
      <c r="M261" s="7">
        <f t="shared" si="14"/>
        <v>9258.2000000000007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689</v>
      </c>
      <c r="F262" t="s">
        <v>690</v>
      </c>
      <c r="G262">
        <v>4889</v>
      </c>
      <c r="H262">
        <v>2234</v>
      </c>
      <c r="I262" s="5">
        <f t="shared" si="12"/>
        <v>0.4569441603599918</v>
      </c>
      <c r="J262" s="2">
        <v>0.7</v>
      </c>
      <c r="K262" s="4">
        <v>7.81</v>
      </c>
      <c r="L262">
        <f t="shared" si="13"/>
        <v>1188</v>
      </c>
      <c r="M262" s="7">
        <f t="shared" si="14"/>
        <v>9278.2799999999988</v>
      </c>
    </row>
    <row r="263" spans="1:13" x14ac:dyDescent="0.3">
      <c r="A263" t="s">
        <v>0</v>
      </c>
      <c r="B263" t="s">
        <v>1</v>
      </c>
      <c r="C263" t="s">
        <v>40</v>
      </c>
      <c r="D263" t="s">
        <v>41</v>
      </c>
      <c r="E263" s="1" t="s">
        <v>691</v>
      </c>
      <c r="F263" t="s">
        <v>692</v>
      </c>
      <c r="G263">
        <v>2224</v>
      </c>
      <c r="H263">
        <v>1276</v>
      </c>
      <c r="I263" s="5">
        <f t="shared" si="12"/>
        <v>0.57374100719424459</v>
      </c>
      <c r="J263" s="2">
        <v>0.7</v>
      </c>
      <c r="K263" s="4">
        <v>8.41</v>
      </c>
      <c r="L263">
        <f t="shared" si="13"/>
        <v>281</v>
      </c>
      <c r="M263" s="7">
        <f t="shared" si="14"/>
        <v>2363.21</v>
      </c>
    </row>
    <row r="264" spans="1:13" x14ac:dyDescent="0.3">
      <c r="A264" t="s">
        <v>0</v>
      </c>
      <c r="B264" t="s">
        <v>1</v>
      </c>
      <c r="C264" t="s">
        <v>21</v>
      </c>
      <c r="D264" t="s">
        <v>22</v>
      </c>
      <c r="E264" s="1" t="s">
        <v>693</v>
      </c>
      <c r="F264" t="s">
        <v>694</v>
      </c>
      <c r="G264">
        <v>7792</v>
      </c>
      <c r="H264">
        <v>4379</v>
      </c>
      <c r="I264" s="5">
        <f t="shared" si="12"/>
        <v>0.56198665297741268</v>
      </c>
      <c r="J264" s="2">
        <v>0.7</v>
      </c>
      <c r="K264" s="4">
        <v>7.93</v>
      </c>
      <c r="L264">
        <f t="shared" si="13"/>
        <v>1075</v>
      </c>
      <c r="M264" s="7">
        <f t="shared" si="14"/>
        <v>8524.75</v>
      </c>
    </row>
    <row r="265" spans="1:13" x14ac:dyDescent="0.3">
      <c r="A265" t="s">
        <v>0</v>
      </c>
      <c r="B265" t="s">
        <v>1</v>
      </c>
      <c r="C265" t="s">
        <v>483</v>
      </c>
      <c r="D265" t="s">
        <v>484</v>
      </c>
      <c r="E265" s="1" t="s">
        <v>695</v>
      </c>
      <c r="F265" t="s">
        <v>696</v>
      </c>
      <c r="G265">
        <v>6121</v>
      </c>
      <c r="H265">
        <v>3028</v>
      </c>
      <c r="I265" s="5">
        <f t="shared" si="12"/>
        <v>0.49469041006371506</v>
      </c>
      <c r="J265" s="2">
        <v>0.7</v>
      </c>
      <c r="K265" s="4">
        <v>7.17</v>
      </c>
      <c r="L265">
        <f t="shared" si="13"/>
        <v>1257</v>
      </c>
      <c r="M265" s="7">
        <f t="shared" si="14"/>
        <v>9012.69</v>
      </c>
    </row>
    <row r="266" spans="1:13" x14ac:dyDescent="0.3">
      <c r="A266" t="s">
        <v>0</v>
      </c>
      <c r="B266" t="s">
        <v>1</v>
      </c>
      <c r="C266" t="s">
        <v>74</v>
      </c>
      <c r="D266" t="s">
        <v>697</v>
      </c>
      <c r="E266" s="1" t="s">
        <v>698</v>
      </c>
      <c r="F266" t="s">
        <v>699</v>
      </c>
      <c r="G266">
        <v>3063</v>
      </c>
      <c r="H266">
        <v>1828</v>
      </c>
      <c r="I266" s="5">
        <f t="shared" si="12"/>
        <v>0.59680052236369574</v>
      </c>
      <c r="J266" s="2">
        <v>0.7</v>
      </c>
      <c r="K266" s="4">
        <v>7.49</v>
      </c>
      <c r="L266">
        <f t="shared" si="13"/>
        <v>316</v>
      </c>
      <c r="M266" s="7">
        <f t="shared" si="14"/>
        <v>2366.84</v>
      </c>
    </row>
    <row r="267" spans="1:13" x14ac:dyDescent="0.3">
      <c r="A267" t="s">
        <v>0</v>
      </c>
      <c r="B267" t="s">
        <v>1</v>
      </c>
      <c r="C267" t="s">
        <v>2</v>
      </c>
      <c r="D267" t="s">
        <v>56</v>
      </c>
      <c r="E267" s="1" t="s">
        <v>700</v>
      </c>
      <c r="F267" t="s">
        <v>701</v>
      </c>
      <c r="G267">
        <v>5464</v>
      </c>
      <c r="H267">
        <v>3279</v>
      </c>
      <c r="I267" s="5">
        <f t="shared" si="12"/>
        <v>0.60010980966325034</v>
      </c>
      <c r="J267" s="2">
        <v>0.7</v>
      </c>
      <c r="K267" s="4">
        <v>13.11</v>
      </c>
      <c r="L267">
        <f t="shared" si="13"/>
        <v>546</v>
      </c>
      <c r="M267" s="7">
        <f t="shared" si="14"/>
        <v>7158.0599999999995</v>
      </c>
    </row>
    <row r="268" spans="1:13" x14ac:dyDescent="0.3">
      <c r="A268" t="s">
        <v>0</v>
      </c>
      <c r="B268" t="s">
        <v>1</v>
      </c>
      <c r="C268" t="s">
        <v>2</v>
      </c>
      <c r="D268" t="s">
        <v>136</v>
      </c>
      <c r="E268" s="1" t="s">
        <v>702</v>
      </c>
      <c r="F268" t="s">
        <v>703</v>
      </c>
      <c r="G268">
        <v>5092</v>
      </c>
      <c r="H268">
        <v>2529</v>
      </c>
      <c r="I268" s="5">
        <f t="shared" si="12"/>
        <v>0.49666142969363708</v>
      </c>
      <c r="J268" s="2">
        <v>0.7</v>
      </c>
      <c r="K268" s="4">
        <v>6.95</v>
      </c>
      <c r="L268">
        <f t="shared" si="13"/>
        <v>1035</v>
      </c>
      <c r="M268" s="7">
        <f t="shared" si="14"/>
        <v>7193.25</v>
      </c>
    </row>
    <row r="269" spans="1:13" x14ac:dyDescent="0.3">
      <c r="A269" t="s">
        <v>0</v>
      </c>
      <c r="B269" t="s">
        <v>1</v>
      </c>
      <c r="C269" t="s">
        <v>2</v>
      </c>
      <c r="D269" t="s">
        <v>661</v>
      </c>
      <c r="E269" s="1" t="s">
        <v>704</v>
      </c>
      <c r="F269" t="s">
        <v>705</v>
      </c>
      <c r="G269">
        <v>3481</v>
      </c>
      <c r="H269">
        <v>1846</v>
      </c>
      <c r="I269" s="5">
        <f t="shared" si="12"/>
        <v>0.53030738293593793</v>
      </c>
      <c r="J269" s="2">
        <v>0.7</v>
      </c>
      <c r="K269" s="4">
        <v>8.26</v>
      </c>
      <c r="L269">
        <f t="shared" si="13"/>
        <v>591</v>
      </c>
      <c r="M269" s="7">
        <f t="shared" si="14"/>
        <v>4881.66</v>
      </c>
    </row>
    <row r="270" spans="1:13" x14ac:dyDescent="0.3">
      <c r="A270" t="s">
        <v>0</v>
      </c>
      <c r="B270" t="s">
        <v>1</v>
      </c>
      <c r="C270" t="s">
        <v>17</v>
      </c>
      <c r="D270" t="s">
        <v>18</v>
      </c>
      <c r="E270" s="1" t="s">
        <v>706</v>
      </c>
      <c r="F270" t="s">
        <v>707</v>
      </c>
      <c r="G270">
        <v>3771</v>
      </c>
      <c r="H270">
        <v>1644</v>
      </c>
      <c r="I270" s="5">
        <f t="shared" si="12"/>
        <v>0.43595863166268894</v>
      </c>
      <c r="J270" s="2">
        <v>0.7</v>
      </c>
      <c r="K270" s="4">
        <v>8.66</v>
      </c>
      <c r="L270">
        <f t="shared" si="13"/>
        <v>996</v>
      </c>
      <c r="M270" s="7">
        <f t="shared" si="14"/>
        <v>8625.36</v>
      </c>
    </row>
    <row r="271" spans="1:13" x14ac:dyDescent="0.3">
      <c r="A271" t="s">
        <v>0</v>
      </c>
      <c r="B271" t="s">
        <v>1</v>
      </c>
      <c r="C271" t="s">
        <v>40</v>
      </c>
      <c r="D271" t="s">
        <v>41</v>
      </c>
      <c r="E271" s="1" t="s">
        <v>708</v>
      </c>
      <c r="F271" t="s">
        <v>709</v>
      </c>
      <c r="G271">
        <v>2080</v>
      </c>
      <c r="H271">
        <v>1077</v>
      </c>
      <c r="I271" s="5">
        <f t="shared" si="12"/>
        <v>0.51778846153846159</v>
      </c>
      <c r="J271" s="2">
        <v>0.7</v>
      </c>
      <c r="K271" s="4">
        <v>7.83</v>
      </c>
      <c r="L271">
        <f t="shared" si="13"/>
        <v>379</v>
      </c>
      <c r="M271" s="7">
        <f t="shared" si="14"/>
        <v>2967.57</v>
      </c>
    </row>
    <row r="272" spans="1:13" x14ac:dyDescent="0.3">
      <c r="A272" t="s">
        <v>0</v>
      </c>
      <c r="B272" t="s">
        <v>1</v>
      </c>
      <c r="C272" t="s">
        <v>192</v>
      </c>
      <c r="D272" t="s">
        <v>193</v>
      </c>
      <c r="E272" s="1" t="s">
        <v>710</v>
      </c>
      <c r="F272" t="s">
        <v>711</v>
      </c>
      <c r="G272">
        <v>5120</v>
      </c>
      <c r="H272">
        <v>2474</v>
      </c>
      <c r="I272" s="5">
        <f t="shared" si="12"/>
        <v>0.48320312500000001</v>
      </c>
      <c r="J272" s="2">
        <v>0.7</v>
      </c>
      <c r="K272" s="4">
        <v>8.27</v>
      </c>
      <c r="L272">
        <f t="shared" si="13"/>
        <v>1110</v>
      </c>
      <c r="M272" s="7">
        <f t="shared" si="14"/>
        <v>9179.6999999999989</v>
      </c>
    </row>
    <row r="273" spans="1:13" x14ac:dyDescent="0.3">
      <c r="A273" t="s">
        <v>0</v>
      </c>
      <c r="B273" t="s">
        <v>1</v>
      </c>
      <c r="C273" t="s">
        <v>17</v>
      </c>
      <c r="D273" t="s">
        <v>18</v>
      </c>
      <c r="E273" s="1" t="s">
        <v>712</v>
      </c>
      <c r="F273" t="s">
        <v>713</v>
      </c>
      <c r="G273">
        <v>1687</v>
      </c>
      <c r="H273">
        <v>779</v>
      </c>
      <c r="I273" s="5">
        <f t="shared" si="12"/>
        <v>0.46176644931831656</v>
      </c>
      <c r="J273" s="2">
        <v>0.7</v>
      </c>
      <c r="K273" s="4">
        <v>6.97</v>
      </c>
      <c r="L273">
        <f t="shared" si="13"/>
        <v>402</v>
      </c>
      <c r="M273" s="7">
        <f t="shared" si="14"/>
        <v>2801.94</v>
      </c>
    </row>
    <row r="274" spans="1:13" x14ac:dyDescent="0.3">
      <c r="A274" t="s">
        <v>0</v>
      </c>
      <c r="B274" t="s">
        <v>1</v>
      </c>
      <c r="C274" t="s">
        <v>17</v>
      </c>
      <c r="D274" t="s">
        <v>18</v>
      </c>
      <c r="E274" s="1" t="s">
        <v>714</v>
      </c>
      <c r="F274" t="s">
        <v>715</v>
      </c>
      <c r="G274">
        <v>3588</v>
      </c>
      <c r="H274">
        <v>1825</v>
      </c>
      <c r="I274" s="5">
        <f t="shared" si="12"/>
        <v>0.50863991081382387</v>
      </c>
      <c r="J274" s="2">
        <v>0.7</v>
      </c>
      <c r="K274" s="4">
        <v>7.88</v>
      </c>
      <c r="L274">
        <f t="shared" si="13"/>
        <v>687</v>
      </c>
      <c r="M274" s="7">
        <f t="shared" si="14"/>
        <v>5413.5599999999995</v>
      </c>
    </row>
    <row r="275" spans="1:13" x14ac:dyDescent="0.3">
      <c r="A275" t="s">
        <v>0</v>
      </c>
      <c r="B275" t="s">
        <v>1</v>
      </c>
      <c r="C275" t="s">
        <v>273</v>
      </c>
      <c r="D275" t="s">
        <v>716</v>
      </c>
      <c r="E275" s="1" t="s">
        <v>717</v>
      </c>
      <c r="F275" t="s">
        <v>718</v>
      </c>
      <c r="G275">
        <v>2585</v>
      </c>
      <c r="H275">
        <v>1591</v>
      </c>
      <c r="I275" s="5">
        <f t="shared" si="12"/>
        <v>0.61547388781431334</v>
      </c>
      <c r="J275" s="2">
        <v>0.7</v>
      </c>
      <c r="K275" s="4">
        <v>8.3800000000000008</v>
      </c>
      <c r="L275">
        <f t="shared" si="13"/>
        <v>219</v>
      </c>
      <c r="M275" s="7">
        <f t="shared" si="14"/>
        <v>1835.2200000000003</v>
      </c>
    </row>
    <row r="276" spans="1:13" x14ac:dyDescent="0.3">
      <c r="A276" t="s">
        <v>0</v>
      </c>
      <c r="B276" t="s">
        <v>1</v>
      </c>
      <c r="C276" t="s">
        <v>17</v>
      </c>
      <c r="D276" t="s">
        <v>18</v>
      </c>
      <c r="E276" s="1" t="s">
        <v>719</v>
      </c>
      <c r="F276" t="s">
        <v>720</v>
      </c>
      <c r="G276">
        <v>6233</v>
      </c>
      <c r="H276">
        <v>3662</v>
      </c>
      <c r="I276" s="5">
        <f t="shared" si="12"/>
        <v>0.58751804909353444</v>
      </c>
      <c r="J276" s="2">
        <v>0.7</v>
      </c>
      <c r="K276" s="4">
        <v>7.67</v>
      </c>
      <c r="L276">
        <f t="shared" si="13"/>
        <v>701</v>
      </c>
      <c r="M276" s="7">
        <f t="shared" si="14"/>
        <v>5376.67</v>
      </c>
    </row>
    <row r="277" spans="1:13" x14ac:dyDescent="0.3">
      <c r="A277" t="s">
        <v>0</v>
      </c>
      <c r="B277" t="s">
        <v>1</v>
      </c>
      <c r="C277" t="s">
        <v>17</v>
      </c>
      <c r="D277" t="s">
        <v>18</v>
      </c>
      <c r="E277" s="1" t="s">
        <v>301</v>
      </c>
      <c r="F277" t="s">
        <v>721</v>
      </c>
      <c r="G277">
        <v>2378</v>
      </c>
      <c r="H277">
        <v>963</v>
      </c>
      <c r="I277" s="5">
        <f t="shared" si="12"/>
        <v>0.40496215306980654</v>
      </c>
      <c r="J277" s="2">
        <v>0.7</v>
      </c>
      <c r="K277" s="4">
        <v>8.09</v>
      </c>
      <c r="L277">
        <f t="shared" si="13"/>
        <v>702</v>
      </c>
      <c r="M277" s="7">
        <f t="shared" si="14"/>
        <v>5679.18</v>
      </c>
    </row>
    <row r="278" spans="1:13" x14ac:dyDescent="0.3">
      <c r="A278" t="s">
        <v>0</v>
      </c>
      <c r="B278" t="s">
        <v>1</v>
      </c>
      <c r="C278" t="s">
        <v>88</v>
      </c>
      <c r="D278" t="s">
        <v>89</v>
      </c>
      <c r="E278" s="1" t="s">
        <v>722</v>
      </c>
      <c r="F278" t="s">
        <v>723</v>
      </c>
      <c r="G278">
        <v>1189</v>
      </c>
      <c r="H278">
        <v>306</v>
      </c>
      <c r="I278" s="5">
        <f t="shared" si="12"/>
        <v>0.25735912531539107</v>
      </c>
      <c r="J278" s="2">
        <v>0.7</v>
      </c>
      <c r="K278" s="4">
        <v>9.64</v>
      </c>
      <c r="L278">
        <f t="shared" si="13"/>
        <v>526</v>
      </c>
      <c r="M278" s="7">
        <f t="shared" si="14"/>
        <v>5070.6400000000003</v>
      </c>
    </row>
    <row r="279" spans="1:13" x14ac:dyDescent="0.3">
      <c r="A279" t="s">
        <v>0</v>
      </c>
      <c r="B279" t="s">
        <v>1</v>
      </c>
      <c r="C279" t="s">
        <v>280</v>
      </c>
      <c r="D279" t="s">
        <v>724</v>
      </c>
      <c r="E279" s="1" t="s">
        <v>725</v>
      </c>
      <c r="F279" t="s">
        <v>726</v>
      </c>
      <c r="G279">
        <v>1862</v>
      </c>
      <c r="H279">
        <v>1054</v>
      </c>
      <c r="I279" s="5">
        <f t="shared" si="12"/>
        <v>0.56605800214822766</v>
      </c>
      <c r="J279" s="2">
        <v>0.7</v>
      </c>
      <c r="K279" s="4">
        <v>7.18</v>
      </c>
      <c r="L279">
        <f t="shared" si="13"/>
        <v>249</v>
      </c>
      <c r="M279" s="7">
        <f t="shared" si="14"/>
        <v>1787.82</v>
      </c>
    </row>
    <row r="280" spans="1:13" x14ac:dyDescent="0.3">
      <c r="A280" t="s">
        <v>0</v>
      </c>
      <c r="B280" t="s">
        <v>1</v>
      </c>
      <c r="C280" t="s">
        <v>101</v>
      </c>
      <c r="D280" t="s">
        <v>102</v>
      </c>
      <c r="E280" s="1" t="s">
        <v>610</v>
      </c>
      <c r="F280" t="s">
        <v>727</v>
      </c>
      <c r="G280">
        <v>3836</v>
      </c>
      <c r="H280">
        <v>2263</v>
      </c>
      <c r="I280" s="5">
        <f t="shared" si="12"/>
        <v>0.58993743482794581</v>
      </c>
      <c r="J280" s="2">
        <v>0.7</v>
      </c>
      <c r="K280" s="4">
        <v>7.48</v>
      </c>
      <c r="L280">
        <f t="shared" si="13"/>
        <v>422</v>
      </c>
      <c r="M280" s="7">
        <f t="shared" si="14"/>
        <v>3156.5600000000004</v>
      </c>
    </row>
    <row r="281" spans="1:13" x14ac:dyDescent="0.3">
      <c r="A281" t="s">
        <v>0</v>
      </c>
      <c r="B281" t="s">
        <v>1</v>
      </c>
      <c r="C281" t="s">
        <v>2</v>
      </c>
      <c r="D281" t="s">
        <v>237</v>
      </c>
      <c r="E281" s="1" t="s">
        <v>728</v>
      </c>
      <c r="F281" t="s">
        <v>729</v>
      </c>
      <c r="G281">
        <v>4427</v>
      </c>
      <c r="H281">
        <v>2186</v>
      </c>
      <c r="I281" s="5">
        <f t="shared" si="12"/>
        <v>0.49378811836458097</v>
      </c>
      <c r="J281" s="2">
        <v>0.7</v>
      </c>
      <c r="K281" s="4">
        <v>8</v>
      </c>
      <c r="L281">
        <f t="shared" si="13"/>
        <v>913</v>
      </c>
      <c r="M281" s="7">
        <f t="shared" si="14"/>
        <v>7304</v>
      </c>
    </row>
    <row r="282" spans="1:13" x14ac:dyDescent="0.3">
      <c r="A282" t="s">
        <v>0</v>
      </c>
      <c r="B282" t="s">
        <v>1</v>
      </c>
      <c r="C282" t="s">
        <v>17</v>
      </c>
      <c r="D282" t="s">
        <v>18</v>
      </c>
      <c r="E282" s="1" t="s">
        <v>730</v>
      </c>
      <c r="F282" t="s">
        <v>731</v>
      </c>
      <c r="G282">
        <v>3405</v>
      </c>
      <c r="H282">
        <v>2009</v>
      </c>
      <c r="I282" s="5">
        <f t="shared" si="12"/>
        <v>0.59001468428781201</v>
      </c>
      <c r="J282" s="2">
        <v>0.7</v>
      </c>
      <c r="K282" s="4">
        <v>7.62</v>
      </c>
      <c r="L282">
        <f t="shared" si="13"/>
        <v>375</v>
      </c>
      <c r="M282" s="7">
        <f t="shared" si="14"/>
        <v>2857.5</v>
      </c>
    </row>
    <row r="283" spans="1:13" x14ac:dyDescent="0.3">
      <c r="A283" t="s">
        <v>0</v>
      </c>
      <c r="B283" t="s">
        <v>1</v>
      </c>
      <c r="C283" t="s">
        <v>74</v>
      </c>
      <c r="D283" t="s">
        <v>732</v>
      </c>
      <c r="E283" s="1" t="s">
        <v>733</v>
      </c>
      <c r="F283" t="s">
        <v>734</v>
      </c>
      <c r="G283">
        <v>3390</v>
      </c>
      <c r="H283">
        <v>1886</v>
      </c>
      <c r="I283" s="5">
        <f t="shared" si="12"/>
        <v>0.55634218289085546</v>
      </c>
      <c r="J283" s="2">
        <v>0.7</v>
      </c>
      <c r="K283" s="4">
        <v>8.44</v>
      </c>
      <c r="L283">
        <f t="shared" si="13"/>
        <v>487</v>
      </c>
      <c r="M283" s="7">
        <f t="shared" si="14"/>
        <v>4110.28</v>
      </c>
    </row>
    <row r="284" spans="1:13" x14ac:dyDescent="0.3">
      <c r="A284" t="s">
        <v>0</v>
      </c>
      <c r="B284" t="s">
        <v>1</v>
      </c>
      <c r="C284" t="s">
        <v>17</v>
      </c>
      <c r="D284" t="s">
        <v>18</v>
      </c>
      <c r="E284" s="1" t="s">
        <v>735</v>
      </c>
      <c r="F284" t="s">
        <v>736</v>
      </c>
      <c r="G284">
        <v>4712</v>
      </c>
      <c r="H284">
        <v>2568</v>
      </c>
      <c r="I284" s="5">
        <f t="shared" si="12"/>
        <v>0.54499151103565369</v>
      </c>
      <c r="J284" s="2">
        <v>0.7</v>
      </c>
      <c r="K284" s="4">
        <v>6.98</v>
      </c>
      <c r="L284">
        <f t="shared" si="13"/>
        <v>730</v>
      </c>
      <c r="M284" s="7">
        <f t="shared" si="14"/>
        <v>5095.4000000000005</v>
      </c>
    </row>
    <row r="285" spans="1:13" x14ac:dyDescent="0.3">
      <c r="A285" t="s">
        <v>0</v>
      </c>
      <c r="B285" t="s">
        <v>1</v>
      </c>
      <c r="C285" t="s">
        <v>21</v>
      </c>
      <c r="D285" t="s">
        <v>22</v>
      </c>
      <c r="E285" s="1" t="s">
        <v>737</v>
      </c>
      <c r="F285" t="s">
        <v>738</v>
      </c>
      <c r="G285">
        <v>2147</v>
      </c>
      <c r="H285">
        <v>847</v>
      </c>
      <c r="I285" s="5">
        <f t="shared" si="12"/>
        <v>0.39450395901257568</v>
      </c>
      <c r="J285" s="2">
        <v>0.7</v>
      </c>
      <c r="K285" s="4">
        <v>9.3000000000000007</v>
      </c>
      <c r="L285">
        <f t="shared" si="13"/>
        <v>656</v>
      </c>
      <c r="M285" s="7">
        <f t="shared" si="14"/>
        <v>6100.8</v>
      </c>
    </row>
    <row r="286" spans="1:13" x14ac:dyDescent="0.3">
      <c r="A286" t="s">
        <v>0</v>
      </c>
      <c r="B286" t="s">
        <v>1</v>
      </c>
      <c r="C286" t="s">
        <v>2</v>
      </c>
      <c r="D286" t="s">
        <v>335</v>
      </c>
      <c r="E286" s="1" t="s">
        <v>739</v>
      </c>
      <c r="F286" t="s">
        <v>740</v>
      </c>
      <c r="G286">
        <v>4055</v>
      </c>
      <c r="H286">
        <v>1845</v>
      </c>
      <c r="I286" s="5">
        <f t="shared" si="12"/>
        <v>0.45499383477188654</v>
      </c>
      <c r="J286" s="2">
        <v>0.7</v>
      </c>
      <c r="K286" s="4">
        <v>9.2200000000000006</v>
      </c>
      <c r="L286">
        <f t="shared" si="13"/>
        <v>994</v>
      </c>
      <c r="M286" s="7">
        <f t="shared" si="14"/>
        <v>9164.68</v>
      </c>
    </row>
    <row r="287" spans="1:13" x14ac:dyDescent="0.3">
      <c r="A287" t="s">
        <v>0</v>
      </c>
      <c r="B287" t="s">
        <v>1</v>
      </c>
      <c r="C287" t="s">
        <v>17</v>
      </c>
      <c r="D287" t="s">
        <v>18</v>
      </c>
      <c r="E287" s="1" t="s">
        <v>741</v>
      </c>
      <c r="F287" t="s">
        <v>742</v>
      </c>
      <c r="G287">
        <v>4848</v>
      </c>
      <c r="H287">
        <v>2749</v>
      </c>
      <c r="I287" s="5">
        <f t="shared" si="12"/>
        <v>0.56703795379537958</v>
      </c>
      <c r="J287" s="2">
        <v>0.7</v>
      </c>
      <c r="K287" s="4">
        <v>8.26</v>
      </c>
      <c r="L287">
        <f t="shared" si="13"/>
        <v>645</v>
      </c>
      <c r="M287" s="7">
        <f t="shared" si="14"/>
        <v>5327.7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s="1" t="s">
        <v>743</v>
      </c>
      <c r="F288" t="s">
        <v>744</v>
      </c>
      <c r="G288">
        <v>2803</v>
      </c>
      <c r="H288">
        <v>1374</v>
      </c>
      <c r="I288" s="5">
        <f t="shared" si="12"/>
        <v>0.49018908312522297</v>
      </c>
      <c r="J288" s="2">
        <v>0.7</v>
      </c>
      <c r="K288" s="4">
        <v>8.09</v>
      </c>
      <c r="L288">
        <f t="shared" si="13"/>
        <v>588</v>
      </c>
      <c r="M288" s="7">
        <f t="shared" si="14"/>
        <v>4756.92</v>
      </c>
    </row>
    <row r="289" spans="1:13" x14ac:dyDescent="0.3">
      <c r="A289" t="s">
        <v>0</v>
      </c>
      <c r="B289" t="s">
        <v>1</v>
      </c>
      <c r="C289" t="s">
        <v>21</v>
      </c>
      <c r="D289" t="s">
        <v>105</v>
      </c>
      <c r="E289" s="1" t="s">
        <v>745</v>
      </c>
      <c r="F289" t="s">
        <v>746</v>
      </c>
      <c r="G289">
        <v>3800</v>
      </c>
      <c r="H289">
        <v>2011</v>
      </c>
      <c r="I289" s="5">
        <f t="shared" si="12"/>
        <v>0.52921052631578946</v>
      </c>
      <c r="J289" s="2">
        <v>0.7</v>
      </c>
      <c r="K289" s="4">
        <v>7.68</v>
      </c>
      <c r="L289">
        <f t="shared" si="13"/>
        <v>649</v>
      </c>
      <c r="M289" s="7">
        <f t="shared" si="14"/>
        <v>4984.32</v>
      </c>
    </row>
    <row r="290" spans="1:13" x14ac:dyDescent="0.3">
      <c r="A290" t="s">
        <v>0</v>
      </c>
      <c r="B290" t="s">
        <v>1</v>
      </c>
      <c r="C290" t="s">
        <v>17</v>
      </c>
      <c r="D290" t="s">
        <v>18</v>
      </c>
      <c r="E290" s="1" t="s">
        <v>747</v>
      </c>
      <c r="F290" t="s">
        <v>748</v>
      </c>
      <c r="G290">
        <v>4872</v>
      </c>
      <c r="H290">
        <v>2868</v>
      </c>
      <c r="I290" s="5">
        <f t="shared" si="12"/>
        <v>0.58866995073891626</v>
      </c>
      <c r="J290" s="2">
        <v>0.7</v>
      </c>
      <c r="K290" s="4">
        <v>8.42</v>
      </c>
      <c r="L290">
        <f t="shared" si="13"/>
        <v>542</v>
      </c>
      <c r="M290" s="7">
        <f t="shared" si="14"/>
        <v>4563.6400000000003</v>
      </c>
    </row>
    <row r="291" spans="1:13" x14ac:dyDescent="0.3">
      <c r="A291" t="s">
        <v>0</v>
      </c>
      <c r="B291" t="s">
        <v>1</v>
      </c>
      <c r="C291" t="s">
        <v>479</v>
      </c>
      <c r="D291" t="s">
        <v>480</v>
      </c>
      <c r="E291" s="1" t="s">
        <v>749</v>
      </c>
      <c r="F291" t="s">
        <v>750</v>
      </c>
      <c r="G291">
        <v>6318</v>
      </c>
      <c r="H291">
        <v>3351</v>
      </c>
      <c r="I291" s="5">
        <f t="shared" si="12"/>
        <v>0.53038936372269707</v>
      </c>
      <c r="J291" s="2">
        <v>0.7</v>
      </c>
      <c r="K291" s="4">
        <v>8.09</v>
      </c>
      <c r="L291">
        <f t="shared" si="13"/>
        <v>1072</v>
      </c>
      <c r="M291" s="7">
        <f t="shared" si="14"/>
        <v>8672.48</v>
      </c>
    </row>
    <row r="292" spans="1:13" x14ac:dyDescent="0.3">
      <c r="A292" t="s">
        <v>0</v>
      </c>
      <c r="B292" t="s">
        <v>1</v>
      </c>
      <c r="C292" t="s">
        <v>17</v>
      </c>
      <c r="D292" t="s">
        <v>18</v>
      </c>
      <c r="E292" s="1" t="s">
        <v>751</v>
      </c>
      <c r="F292" t="s">
        <v>752</v>
      </c>
      <c r="G292">
        <v>5837</v>
      </c>
      <c r="H292">
        <v>3169</v>
      </c>
      <c r="I292" s="5">
        <f t="shared" si="12"/>
        <v>0.54291588144594827</v>
      </c>
      <c r="J292" s="2">
        <v>0.7</v>
      </c>
      <c r="K292" s="4">
        <v>8.3699999999999992</v>
      </c>
      <c r="L292">
        <f t="shared" si="13"/>
        <v>917</v>
      </c>
      <c r="M292" s="7">
        <f t="shared" si="14"/>
        <v>7675.2899999999991</v>
      </c>
    </row>
    <row r="293" spans="1:13" x14ac:dyDescent="0.3">
      <c r="A293" t="s">
        <v>0</v>
      </c>
      <c r="B293" t="s">
        <v>1</v>
      </c>
      <c r="C293" t="s">
        <v>36</v>
      </c>
      <c r="D293" t="s">
        <v>37</v>
      </c>
      <c r="E293" s="1" t="s">
        <v>753</v>
      </c>
      <c r="F293" t="s">
        <v>754</v>
      </c>
      <c r="G293">
        <v>5190</v>
      </c>
      <c r="H293">
        <v>2717</v>
      </c>
      <c r="I293" s="5">
        <f t="shared" si="12"/>
        <v>0.52350674373795758</v>
      </c>
      <c r="J293" s="2">
        <v>0.7</v>
      </c>
      <c r="K293" s="4">
        <v>7.73</v>
      </c>
      <c r="L293">
        <f t="shared" si="13"/>
        <v>916</v>
      </c>
      <c r="M293" s="7">
        <f t="shared" si="14"/>
        <v>7080.68</v>
      </c>
    </row>
    <row r="294" spans="1:13" x14ac:dyDescent="0.3">
      <c r="A294" t="s">
        <v>0</v>
      </c>
      <c r="B294" t="s">
        <v>1</v>
      </c>
      <c r="C294" t="s">
        <v>36</v>
      </c>
      <c r="D294" t="s">
        <v>755</v>
      </c>
      <c r="E294" s="1" t="s">
        <v>756</v>
      </c>
      <c r="F294" t="s">
        <v>757</v>
      </c>
      <c r="G294">
        <v>2024</v>
      </c>
      <c r="H294">
        <v>1064</v>
      </c>
      <c r="I294" s="5">
        <f t="shared" si="12"/>
        <v>0.52569169960474305</v>
      </c>
      <c r="J294" s="2">
        <v>0.7</v>
      </c>
      <c r="K294" s="4">
        <v>7.88</v>
      </c>
      <c r="L294">
        <f t="shared" si="13"/>
        <v>353</v>
      </c>
      <c r="M294" s="7">
        <f t="shared" si="14"/>
        <v>2781.64</v>
      </c>
    </row>
    <row r="295" spans="1:13" x14ac:dyDescent="0.3">
      <c r="A295" t="s">
        <v>0</v>
      </c>
      <c r="B295" t="s">
        <v>1</v>
      </c>
      <c r="C295" t="s">
        <v>2</v>
      </c>
      <c r="D295" t="s">
        <v>3</v>
      </c>
      <c r="E295" s="1" t="s">
        <v>758</v>
      </c>
      <c r="F295" t="s">
        <v>759</v>
      </c>
      <c r="G295">
        <v>4230</v>
      </c>
      <c r="H295">
        <v>2030</v>
      </c>
      <c r="I295" s="5">
        <f t="shared" si="12"/>
        <v>0.47990543735224589</v>
      </c>
      <c r="J295" s="2">
        <v>0.7</v>
      </c>
      <c r="K295" s="4">
        <v>9.02</v>
      </c>
      <c r="L295">
        <f t="shared" si="13"/>
        <v>931</v>
      </c>
      <c r="M295" s="7">
        <f t="shared" si="14"/>
        <v>8397.619999999999</v>
      </c>
    </row>
    <row r="296" spans="1:13" x14ac:dyDescent="0.3">
      <c r="A296" t="s">
        <v>0</v>
      </c>
      <c r="B296" t="s">
        <v>1</v>
      </c>
      <c r="C296" t="s">
        <v>17</v>
      </c>
      <c r="D296" t="s">
        <v>33</v>
      </c>
      <c r="E296" s="1" t="s">
        <v>760</v>
      </c>
      <c r="F296" t="s">
        <v>761</v>
      </c>
      <c r="G296">
        <v>4464</v>
      </c>
      <c r="H296">
        <v>2657</v>
      </c>
      <c r="I296" s="5">
        <f t="shared" si="12"/>
        <v>0.5952060931899642</v>
      </c>
      <c r="J296" s="2">
        <v>0.7</v>
      </c>
      <c r="K296" s="4">
        <v>7.51</v>
      </c>
      <c r="L296">
        <f t="shared" si="13"/>
        <v>468</v>
      </c>
      <c r="M296" s="7">
        <f t="shared" si="14"/>
        <v>3514.68</v>
      </c>
    </row>
    <row r="297" spans="1:13" x14ac:dyDescent="0.3">
      <c r="A297" t="s">
        <v>0</v>
      </c>
      <c r="B297" t="s">
        <v>1</v>
      </c>
      <c r="C297" t="s">
        <v>242</v>
      </c>
      <c r="D297" t="s">
        <v>243</v>
      </c>
      <c r="E297" s="1" t="s">
        <v>762</v>
      </c>
      <c r="F297" t="s">
        <v>763</v>
      </c>
      <c r="G297">
        <v>5092</v>
      </c>
      <c r="H297">
        <v>2706</v>
      </c>
      <c r="I297" s="5">
        <f t="shared" si="12"/>
        <v>0.53142183817753341</v>
      </c>
      <c r="J297" s="2">
        <v>0.7</v>
      </c>
      <c r="K297" s="4">
        <v>6.57</v>
      </c>
      <c r="L297">
        <f t="shared" si="13"/>
        <v>858</v>
      </c>
      <c r="M297" s="7">
        <f t="shared" si="14"/>
        <v>5637.06</v>
      </c>
    </row>
    <row r="298" spans="1:13" x14ac:dyDescent="0.3">
      <c r="A298" t="s">
        <v>0</v>
      </c>
      <c r="B298" t="s">
        <v>1</v>
      </c>
      <c r="C298" t="s">
        <v>48</v>
      </c>
      <c r="D298" t="s">
        <v>49</v>
      </c>
      <c r="E298" s="1" t="s">
        <v>764</v>
      </c>
      <c r="F298" t="s">
        <v>765</v>
      </c>
      <c r="G298">
        <v>2750</v>
      </c>
      <c r="H298">
        <v>1361</v>
      </c>
      <c r="I298" s="5">
        <f t="shared" si="12"/>
        <v>0.49490909090909091</v>
      </c>
      <c r="J298" s="2">
        <v>0.7</v>
      </c>
      <c r="K298" s="4">
        <v>12.52</v>
      </c>
      <c r="L298">
        <f t="shared" si="13"/>
        <v>564</v>
      </c>
      <c r="M298" s="7">
        <f t="shared" si="14"/>
        <v>7061.28</v>
      </c>
    </row>
    <row r="299" spans="1:13" x14ac:dyDescent="0.3">
      <c r="A299" t="s">
        <v>0</v>
      </c>
      <c r="B299" t="s">
        <v>1</v>
      </c>
      <c r="C299" t="s">
        <v>48</v>
      </c>
      <c r="D299" t="s">
        <v>766</v>
      </c>
      <c r="E299" s="1" t="s">
        <v>767</v>
      </c>
      <c r="F299" t="s">
        <v>768</v>
      </c>
      <c r="G299">
        <v>3415</v>
      </c>
      <c r="H299">
        <v>1819</v>
      </c>
      <c r="I299" s="5">
        <f t="shared" si="12"/>
        <v>0.5326500732064422</v>
      </c>
      <c r="J299" s="2">
        <v>0.7</v>
      </c>
      <c r="K299" s="4">
        <v>8.69</v>
      </c>
      <c r="L299">
        <f t="shared" si="13"/>
        <v>572</v>
      </c>
      <c r="M299" s="7">
        <f t="shared" si="14"/>
        <v>4970.6799999999994</v>
      </c>
    </row>
    <row r="300" spans="1:13" x14ac:dyDescent="0.3">
      <c r="A300" t="s">
        <v>0</v>
      </c>
      <c r="B300" t="s">
        <v>1</v>
      </c>
      <c r="C300" t="s">
        <v>17</v>
      </c>
      <c r="D300" t="s">
        <v>18</v>
      </c>
      <c r="E300" s="1" t="s">
        <v>769</v>
      </c>
      <c r="F300" t="s">
        <v>770</v>
      </c>
      <c r="G300">
        <v>3428</v>
      </c>
      <c r="H300">
        <v>1818</v>
      </c>
      <c r="I300" s="5">
        <f t="shared" si="12"/>
        <v>0.53033838973162195</v>
      </c>
      <c r="J300" s="2">
        <v>0.7</v>
      </c>
      <c r="K300" s="4">
        <v>7.88</v>
      </c>
      <c r="L300">
        <f t="shared" si="13"/>
        <v>582</v>
      </c>
      <c r="M300" s="7">
        <f t="shared" si="14"/>
        <v>4586.16</v>
      </c>
    </row>
    <row r="301" spans="1:13" x14ac:dyDescent="0.3">
      <c r="A301" t="s">
        <v>0</v>
      </c>
      <c r="B301" t="s">
        <v>1</v>
      </c>
      <c r="C301" t="s">
        <v>2</v>
      </c>
      <c r="D301" t="s">
        <v>3</v>
      </c>
      <c r="E301" s="1" t="s">
        <v>771</v>
      </c>
      <c r="F301" t="s">
        <v>772</v>
      </c>
      <c r="G301">
        <v>4452</v>
      </c>
      <c r="H301">
        <v>2621</v>
      </c>
      <c r="I301" s="5">
        <f t="shared" si="12"/>
        <v>0.58872416891284818</v>
      </c>
      <c r="J301" s="2">
        <v>0.7</v>
      </c>
      <c r="K301" s="4">
        <v>8.9499999999999993</v>
      </c>
      <c r="L301">
        <f t="shared" si="13"/>
        <v>495</v>
      </c>
      <c r="M301" s="7">
        <f t="shared" si="14"/>
        <v>4430.25</v>
      </c>
    </row>
    <row r="302" spans="1:13" x14ac:dyDescent="0.3">
      <c r="A302" t="s">
        <v>0</v>
      </c>
      <c r="B302" t="s">
        <v>1</v>
      </c>
      <c r="C302" t="s">
        <v>21</v>
      </c>
      <c r="D302" t="s">
        <v>126</v>
      </c>
      <c r="E302" s="1" t="s">
        <v>773</v>
      </c>
      <c r="F302" t="s">
        <v>774</v>
      </c>
      <c r="G302">
        <v>6564</v>
      </c>
      <c r="H302">
        <v>3748</v>
      </c>
      <c r="I302" s="5">
        <f t="shared" si="12"/>
        <v>0.570993296770262</v>
      </c>
      <c r="J302" s="2">
        <v>0.7</v>
      </c>
      <c r="K302" s="4">
        <v>8.09</v>
      </c>
      <c r="L302">
        <f t="shared" si="13"/>
        <v>847</v>
      </c>
      <c r="M302" s="7">
        <f t="shared" si="14"/>
        <v>6852.23</v>
      </c>
    </row>
    <row r="303" spans="1:13" x14ac:dyDescent="0.3">
      <c r="A303" t="s">
        <v>0</v>
      </c>
      <c r="B303" t="s">
        <v>1</v>
      </c>
      <c r="C303" t="s">
        <v>17</v>
      </c>
      <c r="D303" t="s">
        <v>18</v>
      </c>
      <c r="E303" s="1" t="s">
        <v>775</v>
      </c>
      <c r="F303" t="s">
        <v>776</v>
      </c>
      <c r="G303">
        <v>10567</v>
      </c>
      <c r="H303">
        <v>6380</v>
      </c>
      <c r="I303" s="5">
        <f t="shared" si="12"/>
        <v>0.60376644269896851</v>
      </c>
      <c r="J303" s="2">
        <v>0.7</v>
      </c>
      <c r="K303" s="4">
        <v>8.9700000000000006</v>
      </c>
      <c r="L303">
        <f t="shared" si="13"/>
        <v>1017</v>
      </c>
      <c r="M303" s="7">
        <f t="shared" si="14"/>
        <v>9122.49</v>
      </c>
    </row>
    <row r="304" spans="1:13" x14ac:dyDescent="0.3">
      <c r="A304" t="s">
        <v>0</v>
      </c>
      <c r="B304" t="s">
        <v>1</v>
      </c>
      <c r="C304" t="s">
        <v>2</v>
      </c>
      <c r="D304" t="s">
        <v>118</v>
      </c>
      <c r="E304" s="1" t="s">
        <v>777</v>
      </c>
      <c r="F304" t="s">
        <v>778</v>
      </c>
      <c r="G304">
        <v>5019</v>
      </c>
      <c r="H304">
        <v>2156</v>
      </c>
      <c r="I304" s="5">
        <f t="shared" si="12"/>
        <v>0.42956764295676431</v>
      </c>
      <c r="J304" s="2">
        <v>0.7</v>
      </c>
      <c r="K304" s="4">
        <v>8.9</v>
      </c>
      <c r="L304">
        <f t="shared" si="13"/>
        <v>1357</v>
      </c>
      <c r="M304" s="7">
        <f t="shared" si="14"/>
        <v>12077.300000000001</v>
      </c>
    </row>
    <row r="305" spans="1:13" x14ac:dyDescent="0.3">
      <c r="A305" t="s">
        <v>0</v>
      </c>
      <c r="B305" t="s">
        <v>1</v>
      </c>
      <c r="C305" t="s">
        <v>2</v>
      </c>
      <c r="D305" t="s">
        <v>98</v>
      </c>
      <c r="E305" s="1" t="s">
        <v>779</v>
      </c>
      <c r="F305" t="s">
        <v>780</v>
      </c>
      <c r="G305">
        <v>4197</v>
      </c>
      <c r="H305">
        <v>2300</v>
      </c>
      <c r="I305" s="5">
        <f t="shared" si="12"/>
        <v>0.54801048367881822</v>
      </c>
      <c r="J305" s="2">
        <v>0.7</v>
      </c>
      <c r="K305" s="4">
        <v>8.68</v>
      </c>
      <c r="L305">
        <f t="shared" si="13"/>
        <v>638</v>
      </c>
      <c r="M305" s="7">
        <f t="shared" si="14"/>
        <v>5537.84</v>
      </c>
    </row>
    <row r="306" spans="1:13" x14ac:dyDescent="0.3">
      <c r="A306" t="s">
        <v>0</v>
      </c>
      <c r="B306" t="s">
        <v>1</v>
      </c>
      <c r="C306" t="s">
        <v>2</v>
      </c>
      <c r="D306" t="s">
        <v>199</v>
      </c>
      <c r="E306" s="1" t="s">
        <v>783</v>
      </c>
      <c r="F306" t="s">
        <v>784</v>
      </c>
      <c r="G306">
        <v>2034</v>
      </c>
      <c r="H306">
        <v>898</v>
      </c>
      <c r="I306" s="5">
        <f t="shared" si="12"/>
        <v>0.4414945919370698</v>
      </c>
      <c r="J306" s="2">
        <v>0.7</v>
      </c>
      <c r="K306" s="4">
        <v>7.74</v>
      </c>
      <c r="L306">
        <f t="shared" si="13"/>
        <v>526</v>
      </c>
      <c r="M306" s="7">
        <f t="shared" si="14"/>
        <v>4071.2400000000002</v>
      </c>
    </row>
    <row r="307" spans="1:13" x14ac:dyDescent="0.3">
      <c r="A307" t="s">
        <v>0</v>
      </c>
      <c r="B307" t="s">
        <v>1</v>
      </c>
      <c r="C307" t="s">
        <v>21</v>
      </c>
      <c r="D307" t="s">
        <v>212</v>
      </c>
      <c r="E307" s="1" t="s">
        <v>786</v>
      </c>
      <c r="F307" t="s">
        <v>787</v>
      </c>
      <c r="G307">
        <v>2755</v>
      </c>
      <c r="H307">
        <v>1696</v>
      </c>
      <c r="I307" s="5">
        <f t="shared" si="12"/>
        <v>0.61560798548094375</v>
      </c>
      <c r="J307" s="2">
        <v>0.7</v>
      </c>
      <c r="K307" s="4">
        <v>7.27</v>
      </c>
      <c r="L307">
        <f t="shared" si="13"/>
        <v>233</v>
      </c>
      <c r="M307" s="7">
        <f t="shared" si="14"/>
        <v>1693.9099999999999</v>
      </c>
    </row>
    <row r="308" spans="1:13" x14ac:dyDescent="0.3">
      <c r="A308" t="s">
        <v>0</v>
      </c>
      <c r="B308" t="s">
        <v>1</v>
      </c>
      <c r="C308" t="s">
        <v>48</v>
      </c>
      <c r="D308" t="s">
        <v>788</v>
      </c>
      <c r="E308" s="1" t="s">
        <v>789</v>
      </c>
      <c r="F308" t="s">
        <v>790</v>
      </c>
      <c r="G308">
        <v>3989</v>
      </c>
      <c r="H308">
        <v>2208</v>
      </c>
      <c r="I308" s="5">
        <f t="shared" si="12"/>
        <v>0.55352218601153169</v>
      </c>
      <c r="J308" s="2">
        <v>0.7</v>
      </c>
      <c r="K308" s="4">
        <v>7.39</v>
      </c>
      <c r="L308">
        <f t="shared" si="13"/>
        <v>584</v>
      </c>
      <c r="M308" s="7">
        <f t="shared" si="14"/>
        <v>4315.76</v>
      </c>
    </row>
    <row r="309" spans="1:13" x14ac:dyDescent="0.3">
      <c r="A309" t="s">
        <v>0</v>
      </c>
      <c r="B309" t="s">
        <v>1</v>
      </c>
      <c r="C309" t="s">
        <v>6</v>
      </c>
      <c r="D309" t="s">
        <v>7</v>
      </c>
      <c r="E309" s="1" t="s">
        <v>791</v>
      </c>
      <c r="F309" t="s">
        <v>792</v>
      </c>
      <c r="G309">
        <v>2762</v>
      </c>
      <c r="H309">
        <v>1435</v>
      </c>
      <c r="I309" s="5">
        <f t="shared" si="12"/>
        <v>0.51955104996379431</v>
      </c>
      <c r="J309" s="2">
        <v>0.7</v>
      </c>
      <c r="K309" s="4">
        <v>7.91</v>
      </c>
      <c r="L309">
        <f t="shared" si="13"/>
        <v>498</v>
      </c>
      <c r="M309" s="7">
        <f t="shared" si="14"/>
        <v>3939.1800000000003</v>
      </c>
    </row>
    <row r="310" spans="1:13" x14ac:dyDescent="0.3">
      <c r="A310" t="s">
        <v>0</v>
      </c>
      <c r="B310" t="s">
        <v>1</v>
      </c>
      <c r="C310" t="s">
        <v>2</v>
      </c>
      <c r="D310" t="s">
        <v>10</v>
      </c>
      <c r="E310" s="1" t="s">
        <v>793</v>
      </c>
      <c r="F310" t="s">
        <v>794</v>
      </c>
      <c r="G310">
        <v>4504</v>
      </c>
      <c r="H310">
        <v>2753</v>
      </c>
      <c r="I310" s="5">
        <f t="shared" si="12"/>
        <v>0.6112344582593251</v>
      </c>
      <c r="J310" s="2">
        <v>0.7</v>
      </c>
      <c r="K310" s="4">
        <v>12.87</v>
      </c>
      <c r="L310">
        <f t="shared" si="13"/>
        <v>400</v>
      </c>
      <c r="M310" s="7">
        <f t="shared" si="14"/>
        <v>5148</v>
      </c>
    </row>
    <row r="311" spans="1:13" x14ac:dyDescent="0.3">
      <c r="A311" t="s">
        <v>0</v>
      </c>
      <c r="B311" t="s">
        <v>1</v>
      </c>
      <c r="C311" t="s">
        <v>17</v>
      </c>
      <c r="D311" t="s">
        <v>18</v>
      </c>
      <c r="E311" s="1" t="s">
        <v>796</v>
      </c>
      <c r="F311" t="s">
        <v>797</v>
      </c>
      <c r="G311">
        <v>3868</v>
      </c>
      <c r="H311">
        <v>2028</v>
      </c>
      <c r="I311" s="5">
        <f t="shared" si="12"/>
        <v>0.52430196483971048</v>
      </c>
      <c r="J311" s="2">
        <v>0.7</v>
      </c>
      <c r="K311" s="4">
        <v>7.55</v>
      </c>
      <c r="L311">
        <f t="shared" si="13"/>
        <v>680</v>
      </c>
      <c r="M311" s="7">
        <f t="shared" si="14"/>
        <v>5134</v>
      </c>
    </row>
    <row r="312" spans="1:13" x14ac:dyDescent="0.3">
      <c r="A312" t="s">
        <v>0</v>
      </c>
      <c r="B312" t="s">
        <v>1</v>
      </c>
      <c r="C312" t="s">
        <v>2</v>
      </c>
      <c r="D312" t="s">
        <v>56</v>
      </c>
      <c r="E312" s="1" t="s">
        <v>798</v>
      </c>
      <c r="F312" t="s">
        <v>799</v>
      </c>
      <c r="G312">
        <v>2492</v>
      </c>
      <c r="H312">
        <v>1160</v>
      </c>
      <c r="I312" s="5">
        <f t="shared" si="12"/>
        <v>0.4654895666131621</v>
      </c>
      <c r="J312" s="2">
        <v>0.7</v>
      </c>
      <c r="K312" s="4">
        <v>8.89</v>
      </c>
      <c r="L312">
        <f t="shared" si="13"/>
        <v>584</v>
      </c>
      <c r="M312" s="7">
        <f t="shared" si="14"/>
        <v>5191.76</v>
      </c>
    </row>
    <row r="313" spans="1:13" x14ac:dyDescent="0.3">
      <c r="A313" t="s">
        <v>0</v>
      </c>
      <c r="B313" t="s">
        <v>1</v>
      </c>
      <c r="C313" t="s">
        <v>2</v>
      </c>
      <c r="D313" t="s">
        <v>98</v>
      </c>
      <c r="E313" s="1" t="s">
        <v>800</v>
      </c>
      <c r="F313" t="s">
        <v>801</v>
      </c>
      <c r="G313">
        <v>2206</v>
      </c>
      <c r="H313">
        <v>1064</v>
      </c>
      <c r="I313" s="5">
        <f t="shared" si="12"/>
        <v>0.48232094288304622</v>
      </c>
      <c r="J313" s="2">
        <v>0.7</v>
      </c>
      <c r="K313" s="4">
        <v>8.93</v>
      </c>
      <c r="L313">
        <f t="shared" si="13"/>
        <v>480</v>
      </c>
      <c r="M313" s="7">
        <f t="shared" si="14"/>
        <v>4286.3999999999996</v>
      </c>
    </row>
    <row r="314" spans="1:13" x14ac:dyDescent="0.3">
      <c r="A314" t="s">
        <v>0</v>
      </c>
      <c r="B314" t="s">
        <v>1</v>
      </c>
      <c r="C314" t="s">
        <v>2</v>
      </c>
      <c r="D314" t="s">
        <v>802</v>
      </c>
      <c r="E314" s="1" t="s">
        <v>803</v>
      </c>
      <c r="F314" t="s">
        <v>804</v>
      </c>
      <c r="G314">
        <v>627</v>
      </c>
      <c r="H314">
        <v>260</v>
      </c>
      <c r="I314" s="5">
        <f t="shared" si="12"/>
        <v>0.41467304625199364</v>
      </c>
      <c r="J314" s="2">
        <v>0.7</v>
      </c>
      <c r="K314" s="4">
        <v>7.77</v>
      </c>
      <c r="L314">
        <f t="shared" si="13"/>
        <v>179</v>
      </c>
      <c r="M314" s="7">
        <f t="shared" si="14"/>
        <v>1390.83</v>
      </c>
    </row>
    <row r="315" spans="1:13" x14ac:dyDescent="0.3">
      <c r="A315" t="s">
        <v>0</v>
      </c>
      <c r="B315" t="s">
        <v>1</v>
      </c>
      <c r="C315" t="s">
        <v>48</v>
      </c>
      <c r="D315" t="s">
        <v>49</v>
      </c>
      <c r="E315" s="1" t="s">
        <v>805</v>
      </c>
      <c r="F315" t="s">
        <v>806</v>
      </c>
      <c r="G315">
        <v>7099</v>
      </c>
      <c r="H315">
        <v>4107</v>
      </c>
      <c r="I315" s="5">
        <f t="shared" si="12"/>
        <v>0.57853218763206082</v>
      </c>
      <c r="J315" s="2">
        <v>0.7</v>
      </c>
      <c r="K315" s="4">
        <v>7.77</v>
      </c>
      <c r="L315">
        <f t="shared" si="13"/>
        <v>862</v>
      </c>
      <c r="M315" s="7">
        <f t="shared" si="14"/>
        <v>6697.74</v>
      </c>
    </row>
    <row r="316" spans="1:13" x14ac:dyDescent="0.3">
      <c r="A316" t="s">
        <v>0</v>
      </c>
      <c r="B316" t="s">
        <v>1</v>
      </c>
      <c r="C316" t="s">
        <v>74</v>
      </c>
      <c r="D316" t="s">
        <v>807</v>
      </c>
      <c r="E316" s="1" t="s">
        <v>808</v>
      </c>
      <c r="F316" t="s">
        <v>809</v>
      </c>
      <c r="G316">
        <v>1947</v>
      </c>
      <c r="H316">
        <v>1140</v>
      </c>
      <c r="I316" s="5">
        <f t="shared" si="12"/>
        <v>0.58551617873651773</v>
      </c>
      <c r="J316" s="2">
        <v>0.7</v>
      </c>
      <c r="K316" s="4">
        <v>8.35</v>
      </c>
      <c r="L316">
        <f t="shared" si="13"/>
        <v>223</v>
      </c>
      <c r="M316" s="7">
        <f t="shared" si="14"/>
        <v>1862.05</v>
      </c>
    </row>
    <row r="317" spans="1:13" x14ac:dyDescent="0.3">
      <c r="A317" t="s">
        <v>0</v>
      </c>
      <c r="B317" t="s">
        <v>1</v>
      </c>
      <c r="C317" t="s">
        <v>17</v>
      </c>
      <c r="D317" t="s">
        <v>18</v>
      </c>
      <c r="E317" s="1" t="s">
        <v>810</v>
      </c>
      <c r="F317" t="s">
        <v>811</v>
      </c>
      <c r="G317">
        <v>4541</v>
      </c>
      <c r="H317">
        <v>2184</v>
      </c>
      <c r="I317" s="5">
        <f t="shared" si="12"/>
        <v>0.48095133230565956</v>
      </c>
      <c r="J317" s="2">
        <v>0.7</v>
      </c>
      <c r="K317" s="4">
        <v>8.49</v>
      </c>
      <c r="L317">
        <f t="shared" si="13"/>
        <v>995</v>
      </c>
      <c r="M317" s="7">
        <f t="shared" si="14"/>
        <v>8447.5500000000011</v>
      </c>
    </row>
    <row r="318" spans="1:13" x14ac:dyDescent="0.3">
      <c r="A318" t="s">
        <v>0</v>
      </c>
      <c r="B318" t="s">
        <v>1</v>
      </c>
      <c r="C318" t="s">
        <v>17</v>
      </c>
      <c r="D318" t="s">
        <v>401</v>
      </c>
      <c r="E318" s="1" t="s">
        <v>812</v>
      </c>
      <c r="F318" t="s">
        <v>813</v>
      </c>
      <c r="G318">
        <v>3853</v>
      </c>
      <c r="H318">
        <v>2372</v>
      </c>
      <c r="I318" s="5">
        <f t="shared" si="12"/>
        <v>0.61562418894368021</v>
      </c>
      <c r="J318" s="2">
        <v>0.7</v>
      </c>
      <c r="K318" s="4">
        <v>8.19</v>
      </c>
      <c r="L318">
        <f t="shared" si="13"/>
        <v>325</v>
      </c>
      <c r="M318" s="7">
        <f t="shared" si="14"/>
        <v>2661.75</v>
      </c>
    </row>
    <row r="319" spans="1:13" x14ac:dyDescent="0.3">
      <c r="A319" t="s">
        <v>0</v>
      </c>
      <c r="B319" t="s">
        <v>1</v>
      </c>
      <c r="C319" t="s">
        <v>2</v>
      </c>
      <c r="D319" t="s">
        <v>3</v>
      </c>
      <c r="E319" s="1" t="s">
        <v>814</v>
      </c>
      <c r="F319" t="s">
        <v>815</v>
      </c>
      <c r="G319">
        <v>3771</v>
      </c>
      <c r="H319">
        <v>1970</v>
      </c>
      <c r="I319" s="5">
        <f t="shared" si="12"/>
        <v>0.52240784937682316</v>
      </c>
      <c r="J319" s="2">
        <v>0.7</v>
      </c>
      <c r="K319" s="4">
        <v>8.6199999999999992</v>
      </c>
      <c r="L319">
        <f t="shared" si="13"/>
        <v>670</v>
      </c>
      <c r="M319" s="7">
        <f t="shared" si="14"/>
        <v>5775.4</v>
      </c>
    </row>
    <row r="320" spans="1:13" x14ac:dyDescent="0.3">
      <c r="A320" t="s">
        <v>0</v>
      </c>
      <c r="B320" t="s">
        <v>1</v>
      </c>
      <c r="C320" t="s">
        <v>40</v>
      </c>
      <c r="D320" t="s">
        <v>41</v>
      </c>
      <c r="E320" s="1" t="s">
        <v>816</v>
      </c>
      <c r="F320" t="s">
        <v>817</v>
      </c>
      <c r="G320">
        <v>1244</v>
      </c>
      <c r="H320">
        <v>580</v>
      </c>
      <c r="I320" s="5">
        <f t="shared" si="12"/>
        <v>0.4662379421221865</v>
      </c>
      <c r="J320" s="2">
        <v>0.7</v>
      </c>
      <c r="K320" s="4">
        <v>8.0299999999999994</v>
      </c>
      <c r="L320">
        <f t="shared" si="13"/>
        <v>291</v>
      </c>
      <c r="M320" s="7">
        <f t="shared" si="14"/>
        <v>2336.73</v>
      </c>
    </row>
    <row r="321" spans="1:13" x14ac:dyDescent="0.3">
      <c r="A321" t="s">
        <v>0</v>
      </c>
      <c r="B321" t="s">
        <v>1</v>
      </c>
      <c r="C321" t="s">
        <v>17</v>
      </c>
      <c r="D321" t="s">
        <v>82</v>
      </c>
      <c r="E321" s="1" t="s">
        <v>818</v>
      </c>
      <c r="F321" t="s">
        <v>819</v>
      </c>
      <c r="G321">
        <v>4721</v>
      </c>
      <c r="H321">
        <v>2699</v>
      </c>
      <c r="I321" s="5">
        <f t="shared" si="12"/>
        <v>0.571700910823978</v>
      </c>
      <c r="J321" s="2">
        <v>0.7</v>
      </c>
      <c r="K321" s="4">
        <v>8.76</v>
      </c>
      <c r="L321">
        <f t="shared" si="13"/>
        <v>606</v>
      </c>
      <c r="M321" s="7">
        <f t="shared" si="14"/>
        <v>5308.5599999999995</v>
      </c>
    </row>
    <row r="322" spans="1:13" x14ac:dyDescent="0.3">
      <c r="A322" t="s">
        <v>0</v>
      </c>
      <c r="B322" t="s">
        <v>1</v>
      </c>
      <c r="C322" t="s">
        <v>2</v>
      </c>
      <c r="D322" t="s">
        <v>820</v>
      </c>
      <c r="E322" s="1" t="s">
        <v>821</v>
      </c>
      <c r="F322" t="s">
        <v>822</v>
      </c>
      <c r="G322">
        <v>2393</v>
      </c>
      <c r="H322">
        <v>1075</v>
      </c>
      <c r="I322" s="5">
        <f t="shared" si="12"/>
        <v>0.44922691182615965</v>
      </c>
      <c r="J322" s="2">
        <v>0.7</v>
      </c>
      <c r="K322" s="4">
        <v>7.37</v>
      </c>
      <c r="L322">
        <f t="shared" si="13"/>
        <v>600</v>
      </c>
      <c r="M322" s="7">
        <f t="shared" si="14"/>
        <v>4422</v>
      </c>
    </row>
    <row r="323" spans="1:13" x14ac:dyDescent="0.3">
      <c r="A323" t="s">
        <v>0</v>
      </c>
      <c r="B323" t="s">
        <v>1</v>
      </c>
      <c r="C323" t="s">
        <v>17</v>
      </c>
      <c r="D323" t="s">
        <v>18</v>
      </c>
      <c r="E323" s="1" t="s">
        <v>823</v>
      </c>
      <c r="F323" t="s">
        <v>824</v>
      </c>
      <c r="G323">
        <v>4110</v>
      </c>
      <c r="H323">
        <v>2875</v>
      </c>
      <c r="I323" s="5">
        <f t="shared" ref="I323:I386" si="15">H323/G323</f>
        <v>0.6995133819951338</v>
      </c>
      <c r="J323" s="2">
        <v>0.7</v>
      </c>
      <c r="K323" s="4">
        <v>8.42</v>
      </c>
      <c r="L323">
        <f t="shared" ref="L323:L386" si="16">ROUND(G323*J323,0)-H323</f>
        <v>2</v>
      </c>
      <c r="M323" s="7">
        <f t="shared" ref="M323:M386" si="17">L323*K323</f>
        <v>16.84</v>
      </c>
    </row>
    <row r="324" spans="1:13" x14ac:dyDescent="0.3">
      <c r="A324" t="s">
        <v>0</v>
      </c>
      <c r="B324" t="s">
        <v>1</v>
      </c>
      <c r="C324" t="s">
        <v>2</v>
      </c>
      <c r="D324" t="s">
        <v>259</v>
      </c>
      <c r="E324" s="1" t="s">
        <v>825</v>
      </c>
      <c r="F324" t="s">
        <v>826</v>
      </c>
      <c r="G324">
        <v>1569</v>
      </c>
      <c r="H324">
        <v>764</v>
      </c>
      <c r="I324" s="5">
        <f t="shared" si="15"/>
        <v>0.48693435309114086</v>
      </c>
      <c r="J324" s="2">
        <v>0.7</v>
      </c>
      <c r="K324" s="4">
        <v>7.8</v>
      </c>
      <c r="L324">
        <f t="shared" si="16"/>
        <v>334</v>
      </c>
      <c r="M324" s="7">
        <f t="shared" si="17"/>
        <v>2605.1999999999998</v>
      </c>
    </row>
    <row r="325" spans="1:13" x14ac:dyDescent="0.3">
      <c r="A325" t="s">
        <v>0</v>
      </c>
      <c r="B325" t="s">
        <v>1</v>
      </c>
      <c r="C325" t="s">
        <v>48</v>
      </c>
      <c r="D325" t="s">
        <v>286</v>
      </c>
      <c r="E325" s="1" t="s">
        <v>827</v>
      </c>
      <c r="F325" t="s">
        <v>828</v>
      </c>
      <c r="G325">
        <v>2697</v>
      </c>
      <c r="H325">
        <v>1239</v>
      </c>
      <c r="I325" s="5">
        <f t="shared" si="15"/>
        <v>0.45939933259176863</v>
      </c>
      <c r="J325" s="2">
        <v>0.7</v>
      </c>
      <c r="K325" s="4">
        <v>7.91</v>
      </c>
      <c r="L325">
        <f t="shared" si="16"/>
        <v>649</v>
      </c>
      <c r="M325" s="7">
        <f t="shared" si="17"/>
        <v>5133.59</v>
      </c>
    </row>
    <row r="326" spans="1:13" x14ac:dyDescent="0.3">
      <c r="A326" t="s">
        <v>0</v>
      </c>
      <c r="B326" t="s">
        <v>1</v>
      </c>
      <c r="C326" t="s">
        <v>17</v>
      </c>
      <c r="D326" t="s">
        <v>421</v>
      </c>
      <c r="E326" s="1" t="s">
        <v>829</v>
      </c>
      <c r="F326" t="s">
        <v>830</v>
      </c>
      <c r="G326">
        <v>4855</v>
      </c>
      <c r="H326">
        <v>2811</v>
      </c>
      <c r="I326" s="5">
        <f t="shared" si="15"/>
        <v>0.57899073120494338</v>
      </c>
      <c r="J326" s="2">
        <v>0.7</v>
      </c>
      <c r="K326" s="4">
        <v>8.92</v>
      </c>
      <c r="L326">
        <f t="shared" si="16"/>
        <v>588</v>
      </c>
      <c r="M326" s="7">
        <f t="shared" si="17"/>
        <v>5244.96</v>
      </c>
    </row>
    <row r="327" spans="1:13" x14ac:dyDescent="0.3">
      <c r="A327" t="s">
        <v>0</v>
      </c>
      <c r="B327" t="s">
        <v>1</v>
      </c>
      <c r="C327" t="s">
        <v>17</v>
      </c>
      <c r="D327" t="s">
        <v>18</v>
      </c>
      <c r="E327" s="1" t="s">
        <v>795</v>
      </c>
      <c r="F327" t="s">
        <v>831</v>
      </c>
      <c r="G327">
        <v>4446</v>
      </c>
      <c r="H327">
        <v>2313</v>
      </c>
      <c r="I327" s="5">
        <f t="shared" si="15"/>
        <v>0.52024291497975705</v>
      </c>
      <c r="J327" s="2">
        <v>0.7</v>
      </c>
      <c r="K327" s="4">
        <v>7.28</v>
      </c>
      <c r="L327">
        <f t="shared" si="16"/>
        <v>799</v>
      </c>
      <c r="M327" s="7">
        <f t="shared" si="17"/>
        <v>5816.72</v>
      </c>
    </row>
    <row r="328" spans="1:13" x14ac:dyDescent="0.3">
      <c r="A328" t="s">
        <v>0</v>
      </c>
      <c r="B328" t="s">
        <v>1</v>
      </c>
      <c r="C328" t="s">
        <v>74</v>
      </c>
      <c r="D328" t="s">
        <v>111</v>
      </c>
      <c r="E328" s="1" t="s">
        <v>832</v>
      </c>
      <c r="F328" t="s">
        <v>833</v>
      </c>
      <c r="G328">
        <v>3395</v>
      </c>
      <c r="H328">
        <v>1587</v>
      </c>
      <c r="I328" s="5">
        <f t="shared" si="15"/>
        <v>0.46745213549337261</v>
      </c>
      <c r="J328" s="2">
        <v>0.7</v>
      </c>
      <c r="K328" s="4">
        <v>7.83</v>
      </c>
      <c r="L328">
        <f t="shared" si="16"/>
        <v>790</v>
      </c>
      <c r="M328" s="7">
        <f t="shared" si="17"/>
        <v>6185.7</v>
      </c>
    </row>
    <row r="329" spans="1:13" x14ac:dyDescent="0.3">
      <c r="A329" t="s">
        <v>0</v>
      </c>
      <c r="B329" t="s">
        <v>1</v>
      </c>
      <c r="C329" t="s">
        <v>479</v>
      </c>
      <c r="D329" t="s">
        <v>480</v>
      </c>
      <c r="E329" s="1" t="s">
        <v>834</v>
      </c>
      <c r="F329" t="s">
        <v>835</v>
      </c>
      <c r="G329">
        <v>3533</v>
      </c>
      <c r="H329">
        <v>2421</v>
      </c>
      <c r="I329" s="5">
        <f t="shared" si="15"/>
        <v>0.68525332578545151</v>
      </c>
      <c r="J329" s="2">
        <v>0.7</v>
      </c>
      <c r="K329" s="4">
        <v>8.5399999999999991</v>
      </c>
      <c r="L329">
        <f t="shared" si="16"/>
        <v>52</v>
      </c>
      <c r="M329" s="7">
        <f t="shared" si="17"/>
        <v>444.07999999999993</v>
      </c>
    </row>
    <row r="330" spans="1:13" x14ac:dyDescent="0.3">
      <c r="A330" t="s">
        <v>0</v>
      </c>
      <c r="B330" t="s">
        <v>1</v>
      </c>
      <c r="C330" t="s">
        <v>101</v>
      </c>
      <c r="D330" t="s">
        <v>102</v>
      </c>
      <c r="E330" s="1" t="s">
        <v>836</v>
      </c>
      <c r="F330" t="s">
        <v>837</v>
      </c>
      <c r="G330">
        <v>2676</v>
      </c>
      <c r="H330">
        <v>1126</v>
      </c>
      <c r="I330" s="5">
        <f t="shared" si="15"/>
        <v>0.42077727952167415</v>
      </c>
      <c r="J330" s="2">
        <v>0.7</v>
      </c>
      <c r="K330" s="4">
        <v>7.81</v>
      </c>
      <c r="L330">
        <f t="shared" si="16"/>
        <v>747</v>
      </c>
      <c r="M330" s="7">
        <f t="shared" si="17"/>
        <v>5834.07</v>
      </c>
    </row>
    <row r="331" spans="1:13" x14ac:dyDescent="0.3">
      <c r="A331" t="s">
        <v>0</v>
      </c>
      <c r="B331" t="s">
        <v>1</v>
      </c>
      <c r="C331" t="s">
        <v>17</v>
      </c>
      <c r="D331" t="s">
        <v>782</v>
      </c>
      <c r="E331" s="1" t="s">
        <v>838</v>
      </c>
      <c r="F331" t="s">
        <v>839</v>
      </c>
      <c r="G331">
        <v>3974</v>
      </c>
      <c r="H331">
        <v>2448</v>
      </c>
      <c r="I331" s="5">
        <f t="shared" si="15"/>
        <v>0.61600402617010563</v>
      </c>
      <c r="J331" s="2">
        <v>0.7</v>
      </c>
      <c r="K331" s="4">
        <v>8.08</v>
      </c>
      <c r="L331">
        <f t="shared" si="16"/>
        <v>334</v>
      </c>
      <c r="M331" s="7">
        <f t="shared" si="17"/>
        <v>2698.72</v>
      </c>
    </row>
    <row r="332" spans="1:13" x14ac:dyDescent="0.3">
      <c r="A332" t="s">
        <v>0</v>
      </c>
      <c r="B332" t="s">
        <v>1</v>
      </c>
      <c r="C332" t="s">
        <v>273</v>
      </c>
      <c r="D332" t="s">
        <v>316</v>
      </c>
      <c r="E332" s="1" t="s">
        <v>781</v>
      </c>
      <c r="F332" t="s">
        <v>841</v>
      </c>
      <c r="G332">
        <v>1351</v>
      </c>
      <c r="H332">
        <v>571</v>
      </c>
      <c r="I332" s="5">
        <f t="shared" si="15"/>
        <v>0.42264988897113248</v>
      </c>
      <c r="J332" s="2">
        <v>0.7</v>
      </c>
      <c r="K332" s="4">
        <v>7.91</v>
      </c>
      <c r="L332">
        <f t="shared" si="16"/>
        <v>375</v>
      </c>
      <c r="M332" s="7">
        <f t="shared" si="17"/>
        <v>2966.25</v>
      </c>
    </row>
    <row r="333" spans="1:13" x14ac:dyDescent="0.3">
      <c r="A333" t="s">
        <v>0</v>
      </c>
      <c r="B333" t="s">
        <v>1</v>
      </c>
      <c r="C333" t="s">
        <v>2</v>
      </c>
      <c r="D333" t="s">
        <v>661</v>
      </c>
      <c r="E333" s="1" t="s">
        <v>842</v>
      </c>
      <c r="F333" t="s">
        <v>843</v>
      </c>
      <c r="G333">
        <v>2159</v>
      </c>
      <c r="H333">
        <v>1022</v>
      </c>
      <c r="I333" s="5">
        <f t="shared" si="15"/>
        <v>0.47336729967577584</v>
      </c>
      <c r="J333" s="2">
        <v>0.7</v>
      </c>
      <c r="K333" s="4">
        <v>8.66</v>
      </c>
      <c r="L333">
        <f t="shared" si="16"/>
        <v>489</v>
      </c>
      <c r="M333" s="7">
        <f t="shared" si="17"/>
        <v>4234.74</v>
      </c>
    </row>
    <row r="334" spans="1:13" x14ac:dyDescent="0.3">
      <c r="A334" t="s">
        <v>0</v>
      </c>
      <c r="B334" t="s">
        <v>1</v>
      </c>
      <c r="C334" t="s">
        <v>21</v>
      </c>
      <c r="D334" t="s">
        <v>22</v>
      </c>
      <c r="E334" s="1" t="s">
        <v>844</v>
      </c>
      <c r="F334" t="s">
        <v>845</v>
      </c>
      <c r="G334">
        <v>7925</v>
      </c>
      <c r="H334">
        <v>4268</v>
      </c>
      <c r="I334" s="5">
        <f t="shared" si="15"/>
        <v>0.53854889589905364</v>
      </c>
      <c r="J334" s="2">
        <v>0.7</v>
      </c>
      <c r="K334" s="4">
        <v>8</v>
      </c>
      <c r="L334">
        <f t="shared" si="16"/>
        <v>1280</v>
      </c>
      <c r="M334" s="7">
        <f t="shared" si="17"/>
        <v>10240</v>
      </c>
    </row>
    <row r="335" spans="1:13" x14ac:dyDescent="0.3">
      <c r="A335" t="s">
        <v>0</v>
      </c>
      <c r="B335" t="s">
        <v>1</v>
      </c>
      <c r="C335" t="s">
        <v>74</v>
      </c>
      <c r="D335" t="s">
        <v>846</v>
      </c>
      <c r="E335" s="1" t="s">
        <v>847</v>
      </c>
      <c r="F335" t="s">
        <v>848</v>
      </c>
      <c r="G335">
        <v>1899</v>
      </c>
      <c r="H335">
        <v>1076</v>
      </c>
      <c r="I335" s="5">
        <f t="shared" si="15"/>
        <v>0.56661400737230116</v>
      </c>
      <c r="J335" s="2">
        <v>0.7</v>
      </c>
      <c r="K335" s="4">
        <v>7.41</v>
      </c>
      <c r="L335">
        <f t="shared" si="16"/>
        <v>253</v>
      </c>
      <c r="M335" s="7">
        <f t="shared" si="17"/>
        <v>1874.73</v>
      </c>
    </row>
    <row r="336" spans="1:13" x14ac:dyDescent="0.3">
      <c r="A336" t="s">
        <v>0</v>
      </c>
      <c r="B336" t="s">
        <v>1</v>
      </c>
      <c r="C336" t="s">
        <v>6</v>
      </c>
      <c r="D336" t="s">
        <v>849</v>
      </c>
      <c r="E336" s="1" t="s">
        <v>850</v>
      </c>
      <c r="F336" t="s">
        <v>851</v>
      </c>
      <c r="G336">
        <v>2025</v>
      </c>
      <c r="H336">
        <v>881</v>
      </c>
      <c r="I336" s="5">
        <f t="shared" si="15"/>
        <v>0.43506172839506174</v>
      </c>
      <c r="J336" s="2">
        <v>0.7</v>
      </c>
      <c r="K336" s="4">
        <v>8.11</v>
      </c>
      <c r="L336">
        <f t="shared" si="16"/>
        <v>537</v>
      </c>
      <c r="M336" s="7">
        <f t="shared" si="17"/>
        <v>4355.07</v>
      </c>
    </row>
    <row r="337" spans="1:13" x14ac:dyDescent="0.3">
      <c r="A337" t="s">
        <v>0</v>
      </c>
      <c r="B337" t="s">
        <v>1</v>
      </c>
      <c r="C337" t="s">
        <v>2</v>
      </c>
      <c r="D337" t="s">
        <v>852</v>
      </c>
      <c r="E337" s="1" t="s">
        <v>853</v>
      </c>
      <c r="F337" t="s">
        <v>854</v>
      </c>
      <c r="G337">
        <v>1679</v>
      </c>
      <c r="H337">
        <v>903</v>
      </c>
      <c r="I337" s="5">
        <f t="shared" si="15"/>
        <v>0.53782013103037518</v>
      </c>
      <c r="J337" s="2">
        <v>0.7</v>
      </c>
      <c r="K337" s="4">
        <v>9</v>
      </c>
      <c r="L337">
        <f t="shared" si="16"/>
        <v>272</v>
      </c>
      <c r="M337" s="7">
        <f t="shared" si="17"/>
        <v>2448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s="1" t="s">
        <v>855</v>
      </c>
      <c r="F338" t="s">
        <v>856</v>
      </c>
      <c r="G338">
        <v>2390</v>
      </c>
      <c r="H338">
        <v>1284</v>
      </c>
      <c r="I338" s="5">
        <f t="shared" si="15"/>
        <v>0.53723849372384935</v>
      </c>
      <c r="J338" s="2">
        <v>0.7</v>
      </c>
      <c r="K338" s="4">
        <v>8.6199999999999992</v>
      </c>
      <c r="L338">
        <f t="shared" si="16"/>
        <v>389</v>
      </c>
      <c r="M338" s="7">
        <f t="shared" si="17"/>
        <v>3353.18</v>
      </c>
    </row>
    <row r="339" spans="1:13" x14ac:dyDescent="0.3">
      <c r="A339" t="s">
        <v>0</v>
      </c>
      <c r="B339" t="s">
        <v>1</v>
      </c>
      <c r="C339" t="s">
        <v>17</v>
      </c>
      <c r="D339" t="s">
        <v>18</v>
      </c>
      <c r="E339" s="1" t="s">
        <v>857</v>
      </c>
      <c r="F339" t="s">
        <v>858</v>
      </c>
      <c r="G339">
        <v>1739</v>
      </c>
      <c r="H339">
        <v>883</v>
      </c>
      <c r="I339" s="5">
        <f t="shared" si="15"/>
        <v>0.50776308223116728</v>
      </c>
      <c r="J339" s="2">
        <v>0.7</v>
      </c>
      <c r="K339" s="4">
        <v>7.94</v>
      </c>
      <c r="L339">
        <f t="shared" si="16"/>
        <v>334</v>
      </c>
      <c r="M339" s="7">
        <f t="shared" si="17"/>
        <v>2651.96</v>
      </c>
    </row>
    <row r="340" spans="1:13" x14ac:dyDescent="0.3">
      <c r="A340" t="s">
        <v>0</v>
      </c>
      <c r="B340" t="s">
        <v>1</v>
      </c>
      <c r="C340" t="s">
        <v>48</v>
      </c>
      <c r="D340" t="s">
        <v>49</v>
      </c>
      <c r="E340" s="1" t="s">
        <v>859</v>
      </c>
      <c r="F340" t="s">
        <v>860</v>
      </c>
      <c r="G340">
        <v>2817</v>
      </c>
      <c r="H340">
        <v>1266</v>
      </c>
      <c r="I340" s="5">
        <f t="shared" si="15"/>
        <v>0.44941427050053251</v>
      </c>
      <c r="J340" s="2">
        <v>0.7</v>
      </c>
      <c r="K340" s="4">
        <v>9.27</v>
      </c>
      <c r="L340">
        <f t="shared" si="16"/>
        <v>706</v>
      </c>
      <c r="M340" s="7">
        <f t="shared" si="17"/>
        <v>6544.62</v>
      </c>
    </row>
    <row r="341" spans="1:13" x14ac:dyDescent="0.3">
      <c r="A341" t="s">
        <v>0</v>
      </c>
      <c r="B341" t="s">
        <v>1</v>
      </c>
      <c r="C341" t="s">
        <v>83</v>
      </c>
      <c r="D341" t="s">
        <v>330</v>
      </c>
      <c r="E341" s="1" t="s">
        <v>861</v>
      </c>
      <c r="F341" t="s">
        <v>862</v>
      </c>
      <c r="G341">
        <v>2061</v>
      </c>
      <c r="H341">
        <v>1006</v>
      </c>
      <c r="I341" s="5">
        <f t="shared" si="15"/>
        <v>0.48811256671518682</v>
      </c>
      <c r="J341" s="2">
        <v>0.7</v>
      </c>
      <c r="K341" s="4">
        <v>8.0500000000000007</v>
      </c>
      <c r="L341">
        <f t="shared" si="16"/>
        <v>437</v>
      </c>
      <c r="M341" s="7">
        <f t="shared" si="17"/>
        <v>3517.8500000000004</v>
      </c>
    </row>
    <row r="342" spans="1:13" x14ac:dyDescent="0.3">
      <c r="A342" t="s">
        <v>0</v>
      </c>
      <c r="B342" t="s">
        <v>1</v>
      </c>
      <c r="C342" t="s">
        <v>2</v>
      </c>
      <c r="D342" t="s">
        <v>863</v>
      </c>
      <c r="E342" s="1" t="s">
        <v>864</v>
      </c>
      <c r="F342" t="s">
        <v>865</v>
      </c>
      <c r="G342">
        <v>1281</v>
      </c>
      <c r="H342">
        <v>803</v>
      </c>
      <c r="I342" s="5">
        <f t="shared" si="15"/>
        <v>0.62685402029664328</v>
      </c>
      <c r="J342" s="2">
        <v>0.7</v>
      </c>
      <c r="K342" s="4">
        <v>7.19</v>
      </c>
      <c r="L342">
        <f t="shared" si="16"/>
        <v>94</v>
      </c>
      <c r="M342" s="7">
        <f t="shared" si="17"/>
        <v>675.86</v>
      </c>
    </row>
    <row r="343" spans="1:13" x14ac:dyDescent="0.3">
      <c r="A343" t="s">
        <v>0</v>
      </c>
      <c r="B343" t="s">
        <v>1</v>
      </c>
      <c r="C343" t="s">
        <v>17</v>
      </c>
      <c r="D343" t="s">
        <v>866</v>
      </c>
      <c r="E343" s="1" t="s">
        <v>867</v>
      </c>
      <c r="F343" t="s">
        <v>868</v>
      </c>
      <c r="G343">
        <v>2762</v>
      </c>
      <c r="H343">
        <v>1547</v>
      </c>
      <c r="I343" s="5">
        <f t="shared" si="15"/>
        <v>0.56010137581462704</v>
      </c>
      <c r="J343" s="2">
        <v>0.7</v>
      </c>
      <c r="K343" s="4">
        <v>9.34</v>
      </c>
      <c r="L343">
        <f t="shared" si="16"/>
        <v>386</v>
      </c>
      <c r="M343" s="7">
        <f t="shared" si="17"/>
        <v>3605.24</v>
      </c>
    </row>
    <row r="344" spans="1:13" x14ac:dyDescent="0.3">
      <c r="A344" t="s">
        <v>0</v>
      </c>
      <c r="B344" t="s">
        <v>1</v>
      </c>
      <c r="C344" t="s">
        <v>2</v>
      </c>
      <c r="D344" t="s">
        <v>869</v>
      </c>
      <c r="E344" s="1" t="s">
        <v>870</v>
      </c>
      <c r="F344" t="s">
        <v>871</v>
      </c>
      <c r="G344">
        <v>2330</v>
      </c>
      <c r="H344">
        <v>1287</v>
      </c>
      <c r="I344" s="5">
        <f t="shared" si="15"/>
        <v>0.55236051502145922</v>
      </c>
      <c r="J344" s="2">
        <v>0.7</v>
      </c>
      <c r="K344" s="4">
        <v>8.6199999999999992</v>
      </c>
      <c r="L344">
        <f t="shared" si="16"/>
        <v>344</v>
      </c>
      <c r="M344" s="7">
        <f t="shared" si="17"/>
        <v>2965.2799999999997</v>
      </c>
    </row>
    <row r="345" spans="1:13" x14ac:dyDescent="0.3">
      <c r="A345" t="s">
        <v>0</v>
      </c>
      <c r="B345" t="s">
        <v>1</v>
      </c>
      <c r="C345" t="s">
        <v>192</v>
      </c>
      <c r="D345" t="s">
        <v>872</v>
      </c>
      <c r="E345" s="1" t="s">
        <v>873</v>
      </c>
      <c r="F345" t="s">
        <v>874</v>
      </c>
      <c r="G345">
        <v>4472</v>
      </c>
      <c r="H345">
        <v>2804</v>
      </c>
      <c r="I345" s="5">
        <f t="shared" si="15"/>
        <v>0.62701252236135963</v>
      </c>
      <c r="J345" s="2">
        <v>0.7</v>
      </c>
      <c r="K345" s="4">
        <v>8.2799999999999994</v>
      </c>
      <c r="L345">
        <f t="shared" si="16"/>
        <v>326</v>
      </c>
      <c r="M345" s="7">
        <f t="shared" si="17"/>
        <v>2699.2799999999997</v>
      </c>
    </row>
    <row r="346" spans="1:13" x14ac:dyDescent="0.3">
      <c r="A346" t="s">
        <v>0</v>
      </c>
      <c r="B346" t="s">
        <v>1</v>
      </c>
      <c r="C346" t="s">
        <v>40</v>
      </c>
      <c r="D346" t="s">
        <v>41</v>
      </c>
      <c r="E346" s="1" t="s">
        <v>875</v>
      </c>
      <c r="F346" t="s">
        <v>876</v>
      </c>
      <c r="G346">
        <v>5079</v>
      </c>
      <c r="H346">
        <v>2637</v>
      </c>
      <c r="I346" s="5">
        <f t="shared" si="15"/>
        <v>0.5191966922622564</v>
      </c>
      <c r="J346" s="2">
        <v>0.7</v>
      </c>
      <c r="K346" s="4">
        <v>8.09</v>
      </c>
      <c r="L346">
        <f t="shared" si="16"/>
        <v>918</v>
      </c>
      <c r="M346" s="7">
        <f t="shared" si="17"/>
        <v>7426.62</v>
      </c>
    </row>
    <row r="347" spans="1:13" x14ac:dyDescent="0.3">
      <c r="A347" t="s">
        <v>0</v>
      </c>
      <c r="B347" t="s">
        <v>1</v>
      </c>
      <c r="C347" t="s">
        <v>17</v>
      </c>
      <c r="D347" t="s">
        <v>18</v>
      </c>
      <c r="E347" s="1" t="s">
        <v>877</v>
      </c>
      <c r="F347" t="s">
        <v>878</v>
      </c>
      <c r="G347">
        <v>2549</v>
      </c>
      <c r="H347">
        <v>1171</v>
      </c>
      <c r="I347" s="5">
        <f t="shared" si="15"/>
        <v>0.45939584150647311</v>
      </c>
      <c r="J347" s="2">
        <v>0.7</v>
      </c>
      <c r="K347" s="4">
        <v>8.51</v>
      </c>
      <c r="L347">
        <f t="shared" si="16"/>
        <v>613</v>
      </c>
      <c r="M347" s="7">
        <f t="shared" si="17"/>
        <v>5216.63</v>
      </c>
    </row>
    <row r="348" spans="1:13" x14ac:dyDescent="0.3">
      <c r="A348" t="s">
        <v>0</v>
      </c>
      <c r="B348" t="s">
        <v>1</v>
      </c>
      <c r="C348" t="s">
        <v>192</v>
      </c>
      <c r="D348" t="s">
        <v>193</v>
      </c>
      <c r="E348" s="1" t="s">
        <v>879</v>
      </c>
      <c r="F348" t="s">
        <v>880</v>
      </c>
      <c r="G348">
        <v>6088</v>
      </c>
      <c r="H348">
        <v>1869</v>
      </c>
      <c r="I348" s="5">
        <f t="shared" si="15"/>
        <v>0.30699737187910642</v>
      </c>
      <c r="J348" s="2">
        <v>0.7</v>
      </c>
      <c r="K348" s="4">
        <v>8.5299999999999994</v>
      </c>
      <c r="L348">
        <f t="shared" si="16"/>
        <v>2393</v>
      </c>
      <c r="M348" s="7">
        <f t="shared" si="17"/>
        <v>20412.289999999997</v>
      </c>
    </row>
    <row r="349" spans="1:13" x14ac:dyDescent="0.3">
      <c r="A349" t="s">
        <v>0</v>
      </c>
      <c r="B349" t="s">
        <v>1</v>
      </c>
      <c r="C349" t="s">
        <v>13</v>
      </c>
      <c r="D349" t="s">
        <v>882</v>
      </c>
      <c r="E349" s="1" t="s">
        <v>883</v>
      </c>
      <c r="F349" t="s">
        <v>884</v>
      </c>
      <c r="G349">
        <v>4333</v>
      </c>
      <c r="H349">
        <v>2313</v>
      </c>
      <c r="I349" s="5">
        <f t="shared" si="15"/>
        <v>0.53381029309946915</v>
      </c>
      <c r="J349" s="2">
        <v>0.7</v>
      </c>
      <c r="K349" s="4">
        <v>7.04</v>
      </c>
      <c r="L349">
        <f t="shared" si="16"/>
        <v>720</v>
      </c>
      <c r="M349" s="7">
        <f t="shared" si="17"/>
        <v>5068.8</v>
      </c>
    </row>
    <row r="350" spans="1:13" x14ac:dyDescent="0.3">
      <c r="A350" t="s">
        <v>0</v>
      </c>
      <c r="B350" t="s">
        <v>1</v>
      </c>
      <c r="C350" t="s">
        <v>17</v>
      </c>
      <c r="D350" t="s">
        <v>302</v>
      </c>
      <c r="E350" s="1" t="s">
        <v>885</v>
      </c>
      <c r="F350" t="s">
        <v>886</v>
      </c>
      <c r="G350">
        <v>2687</v>
      </c>
      <c r="H350">
        <v>1523</v>
      </c>
      <c r="I350" s="5">
        <f t="shared" si="15"/>
        <v>0.5668031261630071</v>
      </c>
      <c r="J350" s="2">
        <v>0.7</v>
      </c>
      <c r="K350" s="4">
        <v>7.93</v>
      </c>
      <c r="L350">
        <f t="shared" si="16"/>
        <v>358</v>
      </c>
      <c r="M350" s="7">
        <f t="shared" si="17"/>
        <v>2838.94</v>
      </c>
    </row>
    <row r="351" spans="1:13" x14ac:dyDescent="0.3">
      <c r="A351" t="s">
        <v>0</v>
      </c>
      <c r="B351" t="s">
        <v>1</v>
      </c>
      <c r="C351" t="s">
        <v>2</v>
      </c>
      <c r="D351" t="s">
        <v>400</v>
      </c>
      <c r="E351" s="1" t="s">
        <v>887</v>
      </c>
      <c r="F351" t="s">
        <v>888</v>
      </c>
      <c r="G351">
        <v>6837</v>
      </c>
      <c r="H351">
        <v>3538</v>
      </c>
      <c r="I351" s="5">
        <f t="shared" si="15"/>
        <v>0.51747842621032614</v>
      </c>
      <c r="J351" s="2">
        <v>0.7</v>
      </c>
      <c r="K351" s="4">
        <v>7.78</v>
      </c>
      <c r="L351">
        <f t="shared" si="16"/>
        <v>1248</v>
      </c>
      <c r="M351" s="7">
        <f t="shared" si="17"/>
        <v>9709.44</v>
      </c>
    </row>
    <row r="352" spans="1:13" x14ac:dyDescent="0.3">
      <c r="A352" t="s">
        <v>0</v>
      </c>
      <c r="B352" t="s">
        <v>1</v>
      </c>
      <c r="C352" t="s">
        <v>889</v>
      </c>
      <c r="D352" t="s">
        <v>890</v>
      </c>
      <c r="E352" s="1" t="s">
        <v>891</v>
      </c>
      <c r="F352" t="s">
        <v>892</v>
      </c>
      <c r="G352">
        <v>2369</v>
      </c>
      <c r="H352">
        <v>1222</v>
      </c>
      <c r="I352" s="5">
        <f t="shared" si="15"/>
        <v>0.51582946390882234</v>
      </c>
      <c r="J352" s="2">
        <v>0.7</v>
      </c>
      <c r="K352" s="4">
        <v>8.3699999999999992</v>
      </c>
      <c r="L352">
        <f t="shared" si="16"/>
        <v>436</v>
      </c>
      <c r="M352" s="7">
        <f t="shared" si="17"/>
        <v>3649.3199999999997</v>
      </c>
    </row>
    <row r="353" spans="1:13" x14ac:dyDescent="0.3">
      <c r="A353" t="s">
        <v>0</v>
      </c>
      <c r="B353" t="s">
        <v>1</v>
      </c>
      <c r="C353" t="s">
        <v>76</v>
      </c>
      <c r="D353" t="s">
        <v>893</v>
      </c>
      <c r="E353" s="1" t="s">
        <v>894</v>
      </c>
      <c r="F353" t="s">
        <v>895</v>
      </c>
      <c r="G353">
        <v>10012</v>
      </c>
      <c r="H353">
        <v>5085</v>
      </c>
      <c r="I353" s="5">
        <f t="shared" si="15"/>
        <v>0.50789053136236517</v>
      </c>
      <c r="J353" s="2">
        <v>0.7</v>
      </c>
      <c r="K353" s="4">
        <v>6.89</v>
      </c>
      <c r="L353">
        <f t="shared" si="16"/>
        <v>1923</v>
      </c>
      <c r="M353" s="7">
        <f t="shared" si="17"/>
        <v>13249.47</v>
      </c>
    </row>
    <row r="354" spans="1:13" x14ac:dyDescent="0.3">
      <c r="A354" t="s">
        <v>0</v>
      </c>
      <c r="B354" t="s">
        <v>1</v>
      </c>
      <c r="C354" t="s">
        <v>2</v>
      </c>
      <c r="D354" t="s">
        <v>651</v>
      </c>
      <c r="E354" s="1" t="s">
        <v>896</v>
      </c>
      <c r="F354" t="s">
        <v>897</v>
      </c>
      <c r="G354">
        <v>2453</v>
      </c>
      <c r="H354">
        <v>1521</v>
      </c>
      <c r="I354" s="5">
        <f t="shared" si="15"/>
        <v>0.62005707297187118</v>
      </c>
      <c r="J354" s="2">
        <v>0.7</v>
      </c>
      <c r="K354" s="4">
        <v>8.36</v>
      </c>
      <c r="L354">
        <f t="shared" si="16"/>
        <v>196</v>
      </c>
      <c r="M354" s="7">
        <f t="shared" si="17"/>
        <v>1638.56</v>
      </c>
    </row>
    <row r="355" spans="1:13" x14ac:dyDescent="0.3">
      <c r="A355" t="s">
        <v>0</v>
      </c>
      <c r="B355" t="s">
        <v>1</v>
      </c>
      <c r="C355" t="s">
        <v>2</v>
      </c>
      <c r="D355" t="s">
        <v>881</v>
      </c>
      <c r="E355" s="1" t="s">
        <v>898</v>
      </c>
      <c r="F355" t="s">
        <v>899</v>
      </c>
      <c r="G355">
        <v>3853</v>
      </c>
      <c r="H355">
        <v>1901</v>
      </c>
      <c r="I355" s="5">
        <f t="shared" si="15"/>
        <v>0.49338178043083314</v>
      </c>
      <c r="J355" s="2">
        <v>0.7</v>
      </c>
      <c r="K355" s="4">
        <v>8.61</v>
      </c>
      <c r="L355">
        <f t="shared" si="16"/>
        <v>796</v>
      </c>
      <c r="M355" s="7">
        <f t="shared" si="17"/>
        <v>6853.5599999999995</v>
      </c>
    </row>
    <row r="356" spans="1:13" x14ac:dyDescent="0.3">
      <c r="A356" t="s">
        <v>0</v>
      </c>
      <c r="B356" t="s">
        <v>1</v>
      </c>
      <c r="C356" t="s">
        <v>420</v>
      </c>
      <c r="D356" t="s">
        <v>900</v>
      </c>
      <c r="E356" s="1" t="s">
        <v>901</v>
      </c>
      <c r="F356" t="s">
        <v>902</v>
      </c>
      <c r="G356">
        <v>2480</v>
      </c>
      <c r="H356">
        <v>1018</v>
      </c>
      <c r="I356" s="5">
        <f t="shared" si="15"/>
        <v>0.41048387096774192</v>
      </c>
      <c r="J356" s="2">
        <v>0.7</v>
      </c>
      <c r="K356" s="4">
        <v>7.88</v>
      </c>
      <c r="L356">
        <f t="shared" si="16"/>
        <v>718</v>
      </c>
      <c r="M356" s="7">
        <f t="shared" si="17"/>
        <v>5657.84</v>
      </c>
    </row>
    <row r="357" spans="1:13" x14ac:dyDescent="0.3">
      <c r="A357" t="s">
        <v>0</v>
      </c>
      <c r="B357" t="s">
        <v>1</v>
      </c>
      <c r="C357" t="s">
        <v>2</v>
      </c>
      <c r="D357" t="s">
        <v>903</v>
      </c>
      <c r="E357" s="1" t="s">
        <v>904</v>
      </c>
      <c r="F357" t="s">
        <v>905</v>
      </c>
      <c r="G357">
        <v>3684</v>
      </c>
      <c r="H357">
        <v>2187</v>
      </c>
      <c r="I357" s="5">
        <f t="shared" si="15"/>
        <v>0.59364820846905542</v>
      </c>
      <c r="J357" s="2">
        <v>0.7</v>
      </c>
      <c r="K357" s="4">
        <v>9.0399999999999991</v>
      </c>
      <c r="L357">
        <f t="shared" si="16"/>
        <v>392</v>
      </c>
      <c r="M357" s="7">
        <f t="shared" si="17"/>
        <v>3543.68</v>
      </c>
    </row>
    <row r="358" spans="1:13" x14ac:dyDescent="0.3">
      <c r="A358" t="s">
        <v>0</v>
      </c>
      <c r="B358" t="s">
        <v>1</v>
      </c>
      <c r="C358" t="s">
        <v>479</v>
      </c>
      <c r="D358" t="s">
        <v>480</v>
      </c>
      <c r="E358" s="1" t="s">
        <v>906</v>
      </c>
      <c r="F358" t="s">
        <v>907</v>
      </c>
      <c r="G358">
        <v>7141</v>
      </c>
      <c r="H358">
        <v>4621</v>
      </c>
      <c r="I358" s="5">
        <f t="shared" si="15"/>
        <v>0.64710824814451762</v>
      </c>
      <c r="J358" s="2">
        <v>0.7</v>
      </c>
      <c r="K358" s="4">
        <v>6.59</v>
      </c>
      <c r="L358">
        <f t="shared" si="16"/>
        <v>378</v>
      </c>
      <c r="M358" s="7">
        <f t="shared" si="17"/>
        <v>2491.02</v>
      </c>
    </row>
    <row r="359" spans="1:13" x14ac:dyDescent="0.3">
      <c r="A359" t="s">
        <v>0</v>
      </c>
      <c r="B359" t="s">
        <v>1</v>
      </c>
      <c r="C359" t="s">
        <v>76</v>
      </c>
      <c r="D359" t="s">
        <v>222</v>
      </c>
      <c r="E359" s="1" t="s">
        <v>908</v>
      </c>
      <c r="F359" t="s">
        <v>909</v>
      </c>
      <c r="G359">
        <v>4769</v>
      </c>
      <c r="H359">
        <v>2287</v>
      </c>
      <c r="I359" s="5">
        <f t="shared" si="15"/>
        <v>0.47955546236108199</v>
      </c>
      <c r="J359" s="2">
        <v>0.7</v>
      </c>
      <c r="K359" s="4">
        <v>7.88</v>
      </c>
      <c r="L359">
        <f t="shared" si="16"/>
        <v>1051</v>
      </c>
      <c r="M359" s="7">
        <f t="shared" si="17"/>
        <v>8281.8799999999992</v>
      </c>
    </row>
    <row r="360" spans="1:13" x14ac:dyDescent="0.3">
      <c r="A360" t="s">
        <v>0</v>
      </c>
      <c r="B360" t="s">
        <v>1</v>
      </c>
      <c r="C360" t="s">
        <v>74</v>
      </c>
      <c r="D360" t="s">
        <v>111</v>
      </c>
      <c r="E360" s="1" t="s">
        <v>910</v>
      </c>
      <c r="F360" t="s">
        <v>911</v>
      </c>
      <c r="G360">
        <v>2987</v>
      </c>
      <c r="H360">
        <v>1546</v>
      </c>
      <c r="I360" s="5">
        <f t="shared" si="15"/>
        <v>0.51757616337462342</v>
      </c>
      <c r="J360" s="2">
        <v>0.7</v>
      </c>
      <c r="K360" s="4">
        <v>8.02</v>
      </c>
      <c r="L360">
        <f t="shared" si="16"/>
        <v>545</v>
      </c>
      <c r="M360" s="7">
        <f t="shared" si="17"/>
        <v>4370.8999999999996</v>
      </c>
    </row>
    <row r="361" spans="1:13" x14ac:dyDescent="0.3">
      <c r="A361" t="s">
        <v>0</v>
      </c>
      <c r="B361" t="s">
        <v>1</v>
      </c>
      <c r="C361" t="s">
        <v>2</v>
      </c>
      <c r="D361" t="s">
        <v>3</v>
      </c>
      <c r="E361" s="1" t="s">
        <v>912</v>
      </c>
      <c r="F361" t="s">
        <v>913</v>
      </c>
      <c r="G361">
        <v>7144</v>
      </c>
      <c r="H361">
        <v>3510</v>
      </c>
      <c r="I361" s="5">
        <f t="shared" si="15"/>
        <v>0.49132138857782753</v>
      </c>
      <c r="J361" s="2">
        <v>0.7</v>
      </c>
      <c r="K361" s="4">
        <v>8.2899999999999991</v>
      </c>
      <c r="L361">
        <f t="shared" si="16"/>
        <v>1491</v>
      </c>
      <c r="M361" s="7">
        <f t="shared" si="17"/>
        <v>12360.39</v>
      </c>
    </row>
    <row r="362" spans="1:13" x14ac:dyDescent="0.3">
      <c r="A362" t="s">
        <v>0</v>
      </c>
      <c r="B362" t="s">
        <v>1</v>
      </c>
      <c r="C362" t="s">
        <v>17</v>
      </c>
      <c r="D362" t="s">
        <v>914</v>
      </c>
      <c r="E362" s="1" t="s">
        <v>915</v>
      </c>
      <c r="F362" t="s">
        <v>916</v>
      </c>
      <c r="G362">
        <v>3240</v>
      </c>
      <c r="H362">
        <v>1823</v>
      </c>
      <c r="I362" s="5">
        <f t="shared" si="15"/>
        <v>0.56265432098765433</v>
      </c>
      <c r="J362" s="2">
        <v>0.7</v>
      </c>
      <c r="K362" s="4">
        <v>7.56</v>
      </c>
      <c r="L362">
        <f t="shared" si="16"/>
        <v>445</v>
      </c>
      <c r="M362" s="7">
        <f t="shared" si="17"/>
        <v>3364.2</v>
      </c>
    </row>
    <row r="363" spans="1:13" x14ac:dyDescent="0.3">
      <c r="A363" t="s">
        <v>0</v>
      </c>
      <c r="B363" t="s">
        <v>1</v>
      </c>
      <c r="C363" t="s">
        <v>48</v>
      </c>
      <c r="D363" t="s">
        <v>917</v>
      </c>
      <c r="E363" s="1" t="s">
        <v>918</v>
      </c>
      <c r="F363" t="s">
        <v>919</v>
      </c>
      <c r="G363">
        <v>1545</v>
      </c>
      <c r="H363">
        <v>937</v>
      </c>
      <c r="I363" s="5">
        <f t="shared" si="15"/>
        <v>0.60647249190938513</v>
      </c>
      <c r="J363" s="2">
        <v>0.7</v>
      </c>
      <c r="K363" s="4">
        <v>7</v>
      </c>
      <c r="L363">
        <f t="shared" si="16"/>
        <v>145</v>
      </c>
      <c r="M363" s="7">
        <f t="shared" si="17"/>
        <v>1015</v>
      </c>
    </row>
    <row r="364" spans="1:13" x14ac:dyDescent="0.3">
      <c r="A364" t="s">
        <v>0</v>
      </c>
      <c r="B364" t="s">
        <v>1</v>
      </c>
      <c r="C364" t="s">
        <v>2</v>
      </c>
      <c r="D364" t="s">
        <v>920</v>
      </c>
      <c r="E364" s="1" t="s">
        <v>921</v>
      </c>
      <c r="F364" t="s">
        <v>922</v>
      </c>
      <c r="G364">
        <v>2964</v>
      </c>
      <c r="H364">
        <v>1715</v>
      </c>
      <c r="I364" s="5">
        <f t="shared" si="15"/>
        <v>0.57860998650472339</v>
      </c>
      <c r="J364" s="2">
        <v>0.7</v>
      </c>
      <c r="K364" s="4">
        <v>8.81</v>
      </c>
      <c r="L364">
        <f t="shared" si="16"/>
        <v>360</v>
      </c>
      <c r="M364" s="7">
        <f t="shared" si="17"/>
        <v>3171.6000000000004</v>
      </c>
    </row>
    <row r="365" spans="1:13" x14ac:dyDescent="0.3">
      <c r="A365" t="s">
        <v>0</v>
      </c>
      <c r="B365" t="s">
        <v>1</v>
      </c>
      <c r="C365" t="s">
        <v>17</v>
      </c>
      <c r="D365" t="s">
        <v>782</v>
      </c>
      <c r="E365" s="1" t="s">
        <v>923</v>
      </c>
      <c r="F365" t="s">
        <v>924</v>
      </c>
      <c r="G365">
        <v>2238</v>
      </c>
      <c r="H365">
        <v>1057</v>
      </c>
      <c r="I365" s="5">
        <f t="shared" si="15"/>
        <v>0.47229669347631814</v>
      </c>
      <c r="J365" s="2">
        <v>0.7</v>
      </c>
      <c r="K365" s="4">
        <v>8.35</v>
      </c>
      <c r="L365">
        <f t="shared" si="16"/>
        <v>510</v>
      </c>
      <c r="M365" s="7">
        <f t="shared" si="17"/>
        <v>4258.5</v>
      </c>
    </row>
    <row r="366" spans="1:13" x14ac:dyDescent="0.3">
      <c r="A366" t="s">
        <v>0</v>
      </c>
      <c r="B366" t="s">
        <v>1</v>
      </c>
      <c r="C366" t="s">
        <v>2</v>
      </c>
      <c r="D366" t="s">
        <v>637</v>
      </c>
      <c r="E366" s="1" t="s">
        <v>925</v>
      </c>
      <c r="F366" t="s">
        <v>926</v>
      </c>
      <c r="G366">
        <v>5006</v>
      </c>
      <c r="H366">
        <v>2503</v>
      </c>
      <c r="I366" s="5">
        <f t="shared" si="15"/>
        <v>0.5</v>
      </c>
      <c r="J366" s="2">
        <v>0.7</v>
      </c>
      <c r="K366" s="4">
        <v>8.27</v>
      </c>
      <c r="L366">
        <f t="shared" si="16"/>
        <v>1001</v>
      </c>
      <c r="M366" s="7">
        <f t="shared" si="17"/>
        <v>8278.27</v>
      </c>
    </row>
    <row r="367" spans="1:13" x14ac:dyDescent="0.3">
      <c r="A367" t="s">
        <v>0</v>
      </c>
      <c r="B367" t="s">
        <v>1</v>
      </c>
      <c r="C367" t="s">
        <v>2</v>
      </c>
      <c r="D367" t="s">
        <v>3</v>
      </c>
      <c r="E367" s="1" t="s">
        <v>927</v>
      </c>
      <c r="F367" t="s">
        <v>928</v>
      </c>
      <c r="G367">
        <v>3897</v>
      </c>
      <c r="H367">
        <v>2163</v>
      </c>
      <c r="I367" s="5">
        <f t="shared" si="15"/>
        <v>0.55504234026173982</v>
      </c>
      <c r="J367" s="2">
        <v>0.7</v>
      </c>
      <c r="K367" s="4">
        <v>7.79</v>
      </c>
      <c r="L367">
        <f t="shared" si="16"/>
        <v>565</v>
      </c>
      <c r="M367" s="7">
        <f t="shared" si="17"/>
        <v>4401.3500000000004</v>
      </c>
    </row>
    <row r="368" spans="1:13" x14ac:dyDescent="0.3">
      <c r="A368" t="s">
        <v>0</v>
      </c>
      <c r="B368" t="s">
        <v>1</v>
      </c>
      <c r="C368" t="s">
        <v>2</v>
      </c>
      <c r="D368" t="s">
        <v>198</v>
      </c>
      <c r="E368" s="1" t="s">
        <v>929</v>
      </c>
      <c r="F368" t="s">
        <v>930</v>
      </c>
      <c r="G368">
        <v>3259</v>
      </c>
      <c r="H368">
        <v>1586</v>
      </c>
      <c r="I368" s="5">
        <f t="shared" si="15"/>
        <v>0.48665234734581159</v>
      </c>
      <c r="J368" s="2">
        <v>0.7</v>
      </c>
      <c r="K368" s="4">
        <v>7.2</v>
      </c>
      <c r="L368">
        <f t="shared" si="16"/>
        <v>695</v>
      </c>
      <c r="M368" s="7">
        <f t="shared" si="17"/>
        <v>5004</v>
      </c>
    </row>
    <row r="369" spans="1:13" x14ac:dyDescent="0.3">
      <c r="A369" t="s">
        <v>0</v>
      </c>
      <c r="B369" t="s">
        <v>1</v>
      </c>
      <c r="C369" t="s">
        <v>6</v>
      </c>
      <c r="D369" t="s">
        <v>7</v>
      </c>
      <c r="E369" s="1" t="s">
        <v>931</v>
      </c>
      <c r="F369" t="s">
        <v>932</v>
      </c>
      <c r="G369">
        <v>3536</v>
      </c>
      <c r="H369">
        <v>1263</v>
      </c>
      <c r="I369" s="5">
        <f t="shared" si="15"/>
        <v>0.35718325791855204</v>
      </c>
      <c r="J369" s="2">
        <v>0.7</v>
      </c>
      <c r="K369" s="4">
        <v>8.74</v>
      </c>
      <c r="L369">
        <f t="shared" si="16"/>
        <v>1212</v>
      </c>
      <c r="M369" s="7">
        <f t="shared" si="17"/>
        <v>10592.880000000001</v>
      </c>
    </row>
    <row r="370" spans="1:13" x14ac:dyDescent="0.3">
      <c r="A370" t="s">
        <v>0</v>
      </c>
      <c r="B370" t="s">
        <v>1</v>
      </c>
      <c r="C370" t="s">
        <v>6</v>
      </c>
      <c r="D370" t="s">
        <v>7</v>
      </c>
      <c r="E370" s="1" t="s">
        <v>933</v>
      </c>
      <c r="F370" t="s">
        <v>934</v>
      </c>
      <c r="G370">
        <v>3080</v>
      </c>
      <c r="H370">
        <v>1758</v>
      </c>
      <c r="I370" s="5">
        <f t="shared" si="15"/>
        <v>0.57077922077922083</v>
      </c>
      <c r="J370" s="2">
        <v>0.7</v>
      </c>
      <c r="K370" s="4">
        <v>8.31</v>
      </c>
      <c r="L370">
        <f t="shared" si="16"/>
        <v>398</v>
      </c>
      <c r="M370" s="7">
        <f t="shared" si="17"/>
        <v>3307.38</v>
      </c>
    </row>
    <row r="371" spans="1:13" x14ac:dyDescent="0.3">
      <c r="A371" t="s">
        <v>0</v>
      </c>
      <c r="B371" t="s">
        <v>1</v>
      </c>
      <c r="C371" t="s">
        <v>17</v>
      </c>
      <c r="D371" t="s">
        <v>18</v>
      </c>
      <c r="E371" s="1" t="s">
        <v>935</v>
      </c>
      <c r="F371" t="s">
        <v>936</v>
      </c>
      <c r="G371">
        <v>5175</v>
      </c>
      <c r="H371">
        <v>2627</v>
      </c>
      <c r="I371" s="5">
        <f t="shared" si="15"/>
        <v>0.50763285024154592</v>
      </c>
      <c r="J371" s="2">
        <v>0.7</v>
      </c>
      <c r="K371" s="4">
        <v>7.17</v>
      </c>
      <c r="L371">
        <f t="shared" si="16"/>
        <v>996</v>
      </c>
      <c r="M371" s="7">
        <f t="shared" si="17"/>
        <v>7141.32</v>
      </c>
    </row>
    <row r="372" spans="1:13" x14ac:dyDescent="0.3">
      <c r="A372" t="s">
        <v>0</v>
      </c>
      <c r="B372" t="s">
        <v>1</v>
      </c>
      <c r="C372" t="s">
        <v>40</v>
      </c>
      <c r="D372" t="s">
        <v>41</v>
      </c>
      <c r="E372" s="1" t="s">
        <v>937</v>
      </c>
      <c r="F372" t="s">
        <v>938</v>
      </c>
      <c r="G372">
        <v>3067</v>
      </c>
      <c r="H372">
        <v>1365</v>
      </c>
      <c r="I372" s="5">
        <f t="shared" si="15"/>
        <v>0.4450603195304858</v>
      </c>
      <c r="J372" s="2">
        <v>0.7</v>
      </c>
      <c r="K372" s="4">
        <v>8.07</v>
      </c>
      <c r="L372">
        <f t="shared" si="16"/>
        <v>782</v>
      </c>
      <c r="M372" s="7">
        <f t="shared" si="17"/>
        <v>6310.74</v>
      </c>
    </row>
    <row r="373" spans="1:13" x14ac:dyDescent="0.3">
      <c r="A373" t="s">
        <v>0</v>
      </c>
      <c r="B373" t="s">
        <v>1</v>
      </c>
      <c r="C373" t="s">
        <v>40</v>
      </c>
      <c r="D373" t="s">
        <v>41</v>
      </c>
      <c r="E373" s="1" t="s">
        <v>939</v>
      </c>
      <c r="F373" t="s">
        <v>940</v>
      </c>
      <c r="G373">
        <v>1045</v>
      </c>
      <c r="H373">
        <v>446</v>
      </c>
      <c r="I373" s="5">
        <f t="shared" si="15"/>
        <v>0.42679425837320573</v>
      </c>
      <c r="J373" s="2">
        <v>0.7</v>
      </c>
      <c r="K373" s="4">
        <v>8.3800000000000008</v>
      </c>
      <c r="L373">
        <f t="shared" si="16"/>
        <v>286</v>
      </c>
      <c r="M373" s="7">
        <f t="shared" si="17"/>
        <v>2396.6800000000003</v>
      </c>
    </row>
    <row r="374" spans="1:13" x14ac:dyDescent="0.3">
      <c r="A374" t="s">
        <v>0</v>
      </c>
      <c r="B374" t="s">
        <v>1</v>
      </c>
      <c r="C374" t="s">
        <v>2</v>
      </c>
      <c r="D374" t="s">
        <v>941</v>
      </c>
      <c r="E374" s="1" t="s">
        <v>942</v>
      </c>
      <c r="F374" t="s">
        <v>943</v>
      </c>
      <c r="G374">
        <v>2867</v>
      </c>
      <c r="H374">
        <v>1924</v>
      </c>
      <c r="I374" s="5">
        <f t="shared" si="15"/>
        <v>0.67108475758632713</v>
      </c>
      <c r="J374" s="2">
        <v>0.7</v>
      </c>
      <c r="K374" s="4">
        <v>7.66</v>
      </c>
      <c r="L374">
        <f t="shared" si="16"/>
        <v>83</v>
      </c>
      <c r="M374" s="7">
        <f t="shared" si="17"/>
        <v>635.78</v>
      </c>
    </row>
    <row r="375" spans="1:13" x14ac:dyDescent="0.3">
      <c r="A375" t="s">
        <v>0</v>
      </c>
      <c r="B375" t="s">
        <v>1</v>
      </c>
      <c r="C375" t="s">
        <v>17</v>
      </c>
      <c r="D375" t="s">
        <v>302</v>
      </c>
      <c r="E375" s="1" t="s">
        <v>417</v>
      </c>
      <c r="F375" t="s">
        <v>944</v>
      </c>
      <c r="G375">
        <v>3548</v>
      </c>
      <c r="H375">
        <v>2223</v>
      </c>
      <c r="I375" s="5">
        <f t="shared" si="15"/>
        <v>0.62655016910935735</v>
      </c>
      <c r="J375" s="2">
        <v>0.7</v>
      </c>
      <c r="K375" s="4">
        <v>7.34</v>
      </c>
      <c r="L375">
        <f t="shared" si="16"/>
        <v>261</v>
      </c>
      <c r="M375" s="7">
        <f t="shared" si="17"/>
        <v>1915.74</v>
      </c>
    </row>
    <row r="376" spans="1:13" x14ac:dyDescent="0.3">
      <c r="A376" t="s">
        <v>0</v>
      </c>
      <c r="B376" t="s">
        <v>1</v>
      </c>
      <c r="C376" t="s">
        <v>17</v>
      </c>
      <c r="D376" t="s">
        <v>18</v>
      </c>
      <c r="E376" s="1" t="s">
        <v>945</v>
      </c>
      <c r="F376" t="s">
        <v>946</v>
      </c>
      <c r="G376">
        <v>1521</v>
      </c>
      <c r="H376">
        <v>1090</v>
      </c>
      <c r="I376" s="5">
        <f t="shared" si="15"/>
        <v>0.71663379355687051</v>
      </c>
      <c r="J376" s="2">
        <v>0.7</v>
      </c>
      <c r="K376" s="4">
        <v>8.69</v>
      </c>
      <c r="L376">
        <f t="shared" si="16"/>
        <v>-25</v>
      </c>
      <c r="M376" s="7">
        <f t="shared" si="17"/>
        <v>-217.25</v>
      </c>
    </row>
    <row r="377" spans="1:13" x14ac:dyDescent="0.3">
      <c r="A377" t="s">
        <v>0</v>
      </c>
      <c r="B377" t="s">
        <v>1</v>
      </c>
      <c r="C377" t="s">
        <v>17</v>
      </c>
      <c r="D377" t="s">
        <v>947</v>
      </c>
      <c r="E377" s="1" t="s">
        <v>948</v>
      </c>
      <c r="F377" t="s">
        <v>949</v>
      </c>
      <c r="G377">
        <v>1122</v>
      </c>
      <c r="H377">
        <v>757</v>
      </c>
      <c r="I377" s="5">
        <f t="shared" si="15"/>
        <v>0.67468805704099821</v>
      </c>
      <c r="J377" s="2">
        <v>0.7</v>
      </c>
      <c r="K377" s="4">
        <v>7.18</v>
      </c>
      <c r="L377">
        <f t="shared" si="16"/>
        <v>28</v>
      </c>
      <c r="M377" s="7">
        <f t="shared" si="17"/>
        <v>201.04</v>
      </c>
    </row>
    <row r="378" spans="1:13" x14ac:dyDescent="0.3">
      <c r="A378" t="s">
        <v>0</v>
      </c>
      <c r="B378" t="s">
        <v>1</v>
      </c>
      <c r="C378" t="s">
        <v>2</v>
      </c>
      <c r="D378" t="s">
        <v>400</v>
      </c>
      <c r="E378" s="1" t="s">
        <v>840</v>
      </c>
      <c r="F378" t="s">
        <v>950</v>
      </c>
      <c r="G378">
        <v>5621</v>
      </c>
      <c r="H378">
        <v>2897</v>
      </c>
      <c r="I378" s="5">
        <f t="shared" si="15"/>
        <v>0.51538872086817289</v>
      </c>
      <c r="J378" s="2">
        <v>0.7</v>
      </c>
      <c r="K378" s="4">
        <v>7.63</v>
      </c>
      <c r="L378">
        <f t="shared" si="16"/>
        <v>1038</v>
      </c>
      <c r="M378" s="7">
        <f t="shared" si="17"/>
        <v>7919.94</v>
      </c>
    </row>
    <row r="379" spans="1:13" x14ac:dyDescent="0.3">
      <c r="A379" t="s">
        <v>0</v>
      </c>
      <c r="B379" t="s">
        <v>1</v>
      </c>
      <c r="C379" t="s">
        <v>17</v>
      </c>
      <c r="D379" t="s">
        <v>18</v>
      </c>
      <c r="E379" s="1" t="s">
        <v>951</v>
      </c>
      <c r="F379" t="s">
        <v>952</v>
      </c>
      <c r="G379">
        <v>7240</v>
      </c>
      <c r="H379">
        <v>3671</v>
      </c>
      <c r="I379" s="5">
        <f t="shared" si="15"/>
        <v>0.50704419889502761</v>
      </c>
      <c r="J379" s="2">
        <v>0.7</v>
      </c>
      <c r="K379" s="4">
        <v>8.4</v>
      </c>
      <c r="L379">
        <f t="shared" si="16"/>
        <v>1397</v>
      </c>
      <c r="M379" s="7">
        <f t="shared" si="17"/>
        <v>11734.800000000001</v>
      </c>
    </row>
    <row r="380" spans="1:13" x14ac:dyDescent="0.3">
      <c r="A380" t="s">
        <v>0</v>
      </c>
      <c r="B380" t="s">
        <v>1</v>
      </c>
      <c r="C380" t="s">
        <v>74</v>
      </c>
      <c r="D380" t="s">
        <v>384</v>
      </c>
      <c r="E380" s="1" t="s">
        <v>953</v>
      </c>
      <c r="F380" t="s">
        <v>954</v>
      </c>
      <c r="G380">
        <v>2455</v>
      </c>
      <c r="H380">
        <v>1155</v>
      </c>
      <c r="I380" s="5">
        <f t="shared" si="15"/>
        <v>0.47046843177189407</v>
      </c>
      <c r="J380" s="2">
        <v>0.7</v>
      </c>
      <c r="K380" s="4">
        <v>7.62</v>
      </c>
      <c r="L380">
        <f t="shared" si="16"/>
        <v>564</v>
      </c>
      <c r="M380" s="7">
        <f t="shared" si="17"/>
        <v>4297.68</v>
      </c>
    </row>
    <row r="381" spans="1:13" x14ac:dyDescent="0.3">
      <c r="A381" t="s">
        <v>0</v>
      </c>
      <c r="B381" t="s">
        <v>1</v>
      </c>
      <c r="C381" t="s">
        <v>40</v>
      </c>
      <c r="D381" t="s">
        <v>41</v>
      </c>
      <c r="E381" s="1" t="s">
        <v>955</v>
      </c>
      <c r="F381" t="s">
        <v>956</v>
      </c>
      <c r="G381">
        <v>1944</v>
      </c>
      <c r="H381">
        <v>968</v>
      </c>
      <c r="I381" s="5">
        <f t="shared" si="15"/>
        <v>0.49794238683127573</v>
      </c>
      <c r="J381" s="2">
        <v>0.7</v>
      </c>
      <c r="K381" s="4">
        <v>8.07</v>
      </c>
      <c r="L381">
        <f t="shared" si="16"/>
        <v>393</v>
      </c>
      <c r="M381" s="7">
        <f t="shared" si="17"/>
        <v>3171.51</v>
      </c>
    </row>
    <row r="382" spans="1:13" x14ac:dyDescent="0.3">
      <c r="A382" t="s">
        <v>0</v>
      </c>
      <c r="B382" t="s">
        <v>1</v>
      </c>
      <c r="C382" t="s">
        <v>13</v>
      </c>
      <c r="D382" t="s">
        <v>957</v>
      </c>
      <c r="E382" s="1" t="s">
        <v>958</v>
      </c>
      <c r="F382" t="s">
        <v>959</v>
      </c>
      <c r="G382">
        <v>3599</v>
      </c>
      <c r="H382">
        <v>2343</v>
      </c>
      <c r="I382" s="5">
        <f t="shared" si="15"/>
        <v>0.65101417060294531</v>
      </c>
      <c r="J382" s="2">
        <v>0.7</v>
      </c>
      <c r="K382" s="4">
        <v>6.6</v>
      </c>
      <c r="L382">
        <f t="shared" si="16"/>
        <v>176</v>
      </c>
      <c r="M382" s="7">
        <f t="shared" si="17"/>
        <v>1161.5999999999999</v>
      </c>
    </row>
    <row r="383" spans="1:13" x14ac:dyDescent="0.3">
      <c r="A383" t="s">
        <v>0</v>
      </c>
      <c r="B383" t="s">
        <v>1</v>
      </c>
      <c r="C383" t="s">
        <v>36</v>
      </c>
      <c r="D383" t="s">
        <v>960</v>
      </c>
      <c r="E383" s="1" t="s">
        <v>961</v>
      </c>
      <c r="F383" t="s">
        <v>962</v>
      </c>
      <c r="G383">
        <v>3789</v>
      </c>
      <c r="H383">
        <v>2211</v>
      </c>
      <c r="I383" s="5">
        <f t="shared" si="15"/>
        <v>0.58353127474267619</v>
      </c>
      <c r="J383" s="2">
        <v>0.7</v>
      </c>
      <c r="K383" s="4">
        <v>7.94</v>
      </c>
      <c r="L383">
        <f t="shared" si="16"/>
        <v>441</v>
      </c>
      <c r="M383" s="7">
        <f t="shared" si="17"/>
        <v>3501.54</v>
      </c>
    </row>
    <row r="384" spans="1:13" x14ac:dyDescent="0.3">
      <c r="A384" t="s">
        <v>0</v>
      </c>
      <c r="B384" t="s">
        <v>1</v>
      </c>
      <c r="C384" t="s">
        <v>21</v>
      </c>
      <c r="D384" t="s">
        <v>22</v>
      </c>
      <c r="E384" s="1" t="s">
        <v>963</v>
      </c>
      <c r="F384" t="s">
        <v>964</v>
      </c>
      <c r="G384">
        <v>6707</v>
      </c>
      <c r="H384">
        <v>3293</v>
      </c>
      <c r="I384" s="5">
        <f t="shared" si="15"/>
        <v>0.49097957357984195</v>
      </c>
      <c r="J384" s="2">
        <v>0.7</v>
      </c>
      <c r="K384" s="4">
        <v>8.18</v>
      </c>
      <c r="L384">
        <f t="shared" si="16"/>
        <v>1402</v>
      </c>
      <c r="M384" s="7">
        <f t="shared" si="17"/>
        <v>11468.359999999999</v>
      </c>
    </row>
    <row r="385" spans="1:13" x14ac:dyDescent="0.3">
      <c r="A385" t="s">
        <v>0</v>
      </c>
      <c r="B385" t="s">
        <v>1</v>
      </c>
      <c r="C385" t="s">
        <v>40</v>
      </c>
      <c r="D385" t="s">
        <v>41</v>
      </c>
      <c r="E385" s="1" t="s">
        <v>965</v>
      </c>
      <c r="F385" t="s">
        <v>966</v>
      </c>
      <c r="G385">
        <v>6333</v>
      </c>
      <c r="H385">
        <v>3262</v>
      </c>
      <c r="I385" s="5">
        <f t="shared" si="15"/>
        <v>0.515079741039002</v>
      </c>
      <c r="J385" s="2">
        <v>0.7</v>
      </c>
      <c r="K385" s="4">
        <v>8.52</v>
      </c>
      <c r="L385">
        <f t="shared" si="16"/>
        <v>1171</v>
      </c>
      <c r="M385" s="7">
        <f t="shared" si="17"/>
        <v>9976.92</v>
      </c>
    </row>
    <row r="386" spans="1:13" x14ac:dyDescent="0.3">
      <c r="A386" t="s">
        <v>0</v>
      </c>
      <c r="B386" t="s">
        <v>1</v>
      </c>
      <c r="C386" t="s">
        <v>36</v>
      </c>
      <c r="D386" t="s">
        <v>755</v>
      </c>
      <c r="E386" s="1" t="s">
        <v>967</v>
      </c>
      <c r="F386" t="s">
        <v>968</v>
      </c>
      <c r="G386">
        <v>2992</v>
      </c>
      <c r="H386">
        <v>1301</v>
      </c>
      <c r="I386" s="5">
        <f t="shared" si="15"/>
        <v>0.43482620320855614</v>
      </c>
      <c r="J386" s="2">
        <v>0.7</v>
      </c>
      <c r="K386" s="4">
        <v>7.98</v>
      </c>
      <c r="L386">
        <f t="shared" si="16"/>
        <v>793</v>
      </c>
      <c r="M386" s="7">
        <f t="shared" si="17"/>
        <v>6328.14</v>
      </c>
    </row>
    <row r="387" spans="1:13" x14ac:dyDescent="0.3">
      <c r="A387" t="s">
        <v>0</v>
      </c>
      <c r="B387" t="s">
        <v>1</v>
      </c>
      <c r="C387" t="s">
        <v>2</v>
      </c>
      <c r="D387" t="s">
        <v>118</v>
      </c>
      <c r="E387" s="1" t="s">
        <v>785</v>
      </c>
      <c r="F387" t="s">
        <v>969</v>
      </c>
      <c r="G387">
        <v>5550</v>
      </c>
      <c r="H387">
        <v>2436</v>
      </c>
      <c r="I387" s="5">
        <f t="shared" ref="I387:I401" si="18">H387/G387</f>
        <v>0.43891891891891893</v>
      </c>
      <c r="J387" s="2">
        <v>0.7</v>
      </c>
      <c r="K387" s="4">
        <v>7.83</v>
      </c>
      <c r="L387">
        <f t="shared" ref="L387:L401" si="19">ROUND(G387*J387,0)-H387</f>
        <v>1449</v>
      </c>
      <c r="M387" s="7">
        <f t="shared" ref="M387:M401" si="20">L387*K387</f>
        <v>11345.67</v>
      </c>
    </row>
    <row r="388" spans="1:13" x14ac:dyDescent="0.3">
      <c r="A388" t="s">
        <v>0</v>
      </c>
      <c r="B388" t="s">
        <v>1</v>
      </c>
      <c r="C388" t="s">
        <v>2</v>
      </c>
      <c r="D388" t="s">
        <v>3</v>
      </c>
      <c r="E388" s="1" t="s">
        <v>970</v>
      </c>
      <c r="F388" t="s">
        <v>971</v>
      </c>
      <c r="G388">
        <v>9593</v>
      </c>
      <c r="H388">
        <v>5425</v>
      </c>
      <c r="I388" s="5">
        <f t="shared" si="18"/>
        <v>0.56551652246429684</v>
      </c>
      <c r="J388" s="2">
        <v>0.7</v>
      </c>
      <c r="K388" s="4">
        <v>8.65</v>
      </c>
      <c r="L388">
        <f t="shared" si="19"/>
        <v>1290</v>
      </c>
      <c r="M388" s="7">
        <f t="shared" si="20"/>
        <v>11158.5</v>
      </c>
    </row>
    <row r="389" spans="1:13" x14ac:dyDescent="0.3">
      <c r="A389" t="s">
        <v>0</v>
      </c>
      <c r="B389" t="s">
        <v>1</v>
      </c>
      <c r="C389" t="s">
        <v>17</v>
      </c>
      <c r="D389" t="s">
        <v>18</v>
      </c>
      <c r="E389" s="1" t="s">
        <v>972</v>
      </c>
      <c r="F389" t="s">
        <v>973</v>
      </c>
      <c r="G389">
        <v>4069</v>
      </c>
      <c r="H389">
        <v>2035</v>
      </c>
      <c r="I389" s="5">
        <f t="shared" si="18"/>
        <v>0.50012288031457364</v>
      </c>
      <c r="J389" s="2">
        <v>0.7</v>
      </c>
      <c r="K389" s="4">
        <v>7.74</v>
      </c>
      <c r="L389">
        <f t="shared" si="19"/>
        <v>813</v>
      </c>
      <c r="M389" s="7">
        <f t="shared" si="20"/>
        <v>6292.62</v>
      </c>
    </row>
    <row r="390" spans="1:13" x14ac:dyDescent="0.3">
      <c r="A390" t="s">
        <v>0</v>
      </c>
      <c r="B390" t="s">
        <v>1</v>
      </c>
      <c r="C390" t="s">
        <v>17</v>
      </c>
      <c r="D390" t="s">
        <v>18</v>
      </c>
      <c r="E390" s="1" t="s">
        <v>974</v>
      </c>
      <c r="F390" t="s">
        <v>975</v>
      </c>
      <c r="G390">
        <v>7040</v>
      </c>
      <c r="H390">
        <v>4492</v>
      </c>
      <c r="I390" s="5">
        <f t="shared" si="18"/>
        <v>0.63806818181818181</v>
      </c>
      <c r="J390" s="2">
        <v>0.7</v>
      </c>
      <c r="K390" s="4">
        <v>8.83</v>
      </c>
      <c r="L390">
        <f t="shared" si="19"/>
        <v>436</v>
      </c>
      <c r="M390" s="7">
        <f t="shared" si="20"/>
        <v>3849.88</v>
      </c>
    </row>
    <row r="391" spans="1:13" x14ac:dyDescent="0.3">
      <c r="A391" t="s">
        <v>0</v>
      </c>
      <c r="B391" t="s">
        <v>1</v>
      </c>
      <c r="C391" t="s">
        <v>74</v>
      </c>
      <c r="D391" t="s">
        <v>976</v>
      </c>
      <c r="E391" s="1" t="s">
        <v>977</v>
      </c>
      <c r="F391" t="s">
        <v>978</v>
      </c>
      <c r="G391">
        <v>4771</v>
      </c>
      <c r="H391">
        <v>2556</v>
      </c>
      <c r="I391" s="5">
        <f t="shared" si="18"/>
        <v>0.53573674282121153</v>
      </c>
      <c r="J391" s="2">
        <v>0.7</v>
      </c>
      <c r="K391" s="4">
        <v>7.88</v>
      </c>
      <c r="L391">
        <f t="shared" si="19"/>
        <v>784</v>
      </c>
      <c r="M391" s="7">
        <f t="shared" si="20"/>
        <v>6177.92</v>
      </c>
    </row>
    <row r="392" spans="1:13" x14ac:dyDescent="0.3">
      <c r="A392" t="s">
        <v>0</v>
      </c>
      <c r="B392" t="s">
        <v>1</v>
      </c>
      <c r="C392" t="s">
        <v>2</v>
      </c>
      <c r="D392" t="s">
        <v>27</v>
      </c>
      <c r="E392" s="1" t="s">
        <v>979</v>
      </c>
      <c r="F392" t="s">
        <v>980</v>
      </c>
      <c r="G392">
        <v>3998</v>
      </c>
      <c r="H392">
        <v>2167</v>
      </c>
      <c r="I392" s="5">
        <f t="shared" si="18"/>
        <v>0.54202101050525264</v>
      </c>
      <c r="J392" s="2">
        <v>0.7</v>
      </c>
      <c r="K392" s="4">
        <v>8.49</v>
      </c>
      <c r="L392">
        <f t="shared" si="19"/>
        <v>632</v>
      </c>
      <c r="M392" s="7">
        <f t="shared" si="20"/>
        <v>5365.68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s="1" t="s">
        <v>981</v>
      </c>
      <c r="F393" t="s">
        <v>982</v>
      </c>
      <c r="G393">
        <v>3346</v>
      </c>
      <c r="H393">
        <v>1671</v>
      </c>
      <c r="I393" s="5">
        <f t="shared" si="18"/>
        <v>0.49940227136879856</v>
      </c>
      <c r="J393" s="2">
        <v>0.7</v>
      </c>
      <c r="K393" s="4">
        <v>8.19</v>
      </c>
      <c r="L393">
        <f t="shared" si="19"/>
        <v>671</v>
      </c>
      <c r="M393" s="7">
        <f t="shared" si="20"/>
        <v>5495.49</v>
      </c>
    </row>
    <row r="394" spans="1:13" x14ac:dyDescent="0.3">
      <c r="A394" t="s">
        <v>0</v>
      </c>
      <c r="B394" t="s">
        <v>1</v>
      </c>
      <c r="C394" t="s">
        <v>48</v>
      </c>
      <c r="D394" t="s">
        <v>49</v>
      </c>
      <c r="E394" s="1" t="s">
        <v>983</v>
      </c>
      <c r="F394" t="s">
        <v>984</v>
      </c>
      <c r="G394">
        <v>4090</v>
      </c>
      <c r="H394">
        <v>1950</v>
      </c>
      <c r="I394" s="5">
        <f t="shared" si="18"/>
        <v>0.47677261613691929</v>
      </c>
      <c r="J394" s="2">
        <v>0.7</v>
      </c>
      <c r="K394" s="4">
        <v>8.31</v>
      </c>
      <c r="L394">
        <f t="shared" si="19"/>
        <v>913</v>
      </c>
      <c r="M394" s="7">
        <f t="shared" si="20"/>
        <v>7587.0300000000007</v>
      </c>
    </row>
    <row r="395" spans="1:13" x14ac:dyDescent="0.3">
      <c r="A395" t="s">
        <v>0</v>
      </c>
      <c r="B395" t="s">
        <v>1</v>
      </c>
      <c r="C395" t="s">
        <v>6</v>
      </c>
      <c r="D395" t="s">
        <v>133</v>
      </c>
      <c r="E395" s="1" t="s">
        <v>985</v>
      </c>
      <c r="F395" t="s">
        <v>986</v>
      </c>
      <c r="G395">
        <v>3081</v>
      </c>
      <c r="H395">
        <v>1521</v>
      </c>
      <c r="I395" s="5">
        <f t="shared" si="18"/>
        <v>0.49367088607594939</v>
      </c>
      <c r="J395" s="2">
        <v>0.7</v>
      </c>
      <c r="K395" s="4">
        <v>8.32</v>
      </c>
      <c r="L395">
        <f t="shared" si="19"/>
        <v>636</v>
      </c>
      <c r="M395" s="7">
        <f t="shared" si="20"/>
        <v>5291.52</v>
      </c>
    </row>
    <row r="396" spans="1:13" x14ac:dyDescent="0.3">
      <c r="A396" t="s">
        <v>0</v>
      </c>
      <c r="B396" t="s">
        <v>1</v>
      </c>
      <c r="C396" t="s">
        <v>21</v>
      </c>
      <c r="D396" t="s">
        <v>987</v>
      </c>
      <c r="E396" s="1" t="s">
        <v>988</v>
      </c>
      <c r="F396" t="s">
        <v>989</v>
      </c>
      <c r="G396">
        <v>3046</v>
      </c>
      <c r="H396">
        <v>1378</v>
      </c>
      <c r="I396" s="5">
        <f t="shared" si="18"/>
        <v>0.45239658568614577</v>
      </c>
      <c r="J396" s="2">
        <v>0.7</v>
      </c>
      <c r="K396" s="4">
        <v>7.54</v>
      </c>
      <c r="L396">
        <f t="shared" si="19"/>
        <v>754</v>
      </c>
      <c r="M396" s="7">
        <f t="shared" si="20"/>
        <v>5685.16</v>
      </c>
    </row>
    <row r="397" spans="1:13" x14ac:dyDescent="0.3">
      <c r="A397" t="s">
        <v>0</v>
      </c>
      <c r="B397" t="s">
        <v>1</v>
      </c>
      <c r="C397" t="s">
        <v>13</v>
      </c>
      <c r="D397" t="s">
        <v>990</v>
      </c>
      <c r="E397" s="1" t="s">
        <v>991</v>
      </c>
      <c r="F397" t="s">
        <v>992</v>
      </c>
      <c r="G397">
        <v>2603</v>
      </c>
      <c r="H397">
        <v>1458</v>
      </c>
      <c r="I397" s="5">
        <f t="shared" si="18"/>
        <v>0.56012293507491351</v>
      </c>
      <c r="J397" s="2">
        <v>0.7</v>
      </c>
      <c r="K397" s="4">
        <v>9.02</v>
      </c>
      <c r="L397">
        <f t="shared" si="19"/>
        <v>364</v>
      </c>
      <c r="M397" s="7">
        <f t="shared" si="20"/>
        <v>3283.2799999999997</v>
      </c>
    </row>
    <row r="398" spans="1:13" x14ac:dyDescent="0.3">
      <c r="A398" t="s">
        <v>0</v>
      </c>
      <c r="B398" t="s">
        <v>1</v>
      </c>
      <c r="C398" t="s">
        <v>2</v>
      </c>
      <c r="D398" t="s">
        <v>3</v>
      </c>
      <c r="E398" s="1" t="s">
        <v>46</v>
      </c>
      <c r="F398" t="s">
        <v>993</v>
      </c>
      <c r="G398">
        <v>3353</v>
      </c>
      <c r="H398">
        <v>1855</v>
      </c>
      <c r="I398" s="5">
        <f t="shared" si="18"/>
        <v>0.55323590814196244</v>
      </c>
      <c r="J398" s="2">
        <v>0.7</v>
      </c>
      <c r="K398" s="4">
        <v>9.36</v>
      </c>
      <c r="L398">
        <f t="shared" si="19"/>
        <v>492</v>
      </c>
      <c r="M398" s="7">
        <f t="shared" si="20"/>
        <v>4605.12</v>
      </c>
    </row>
    <row r="399" spans="1:13" x14ac:dyDescent="0.3">
      <c r="A399" t="s">
        <v>0</v>
      </c>
      <c r="B399" t="s">
        <v>1</v>
      </c>
      <c r="C399" t="s">
        <v>40</v>
      </c>
      <c r="D399" t="s">
        <v>41</v>
      </c>
      <c r="E399" s="1" t="s">
        <v>416</v>
      </c>
      <c r="F399" t="s">
        <v>994</v>
      </c>
      <c r="G399">
        <v>956</v>
      </c>
      <c r="H399">
        <v>452</v>
      </c>
      <c r="I399" s="5">
        <f t="shared" si="18"/>
        <v>0.47280334728033474</v>
      </c>
      <c r="J399" s="2">
        <v>0.7</v>
      </c>
      <c r="K399" s="4">
        <v>7.73</v>
      </c>
      <c r="L399">
        <f t="shared" si="19"/>
        <v>217</v>
      </c>
      <c r="M399" s="7">
        <f t="shared" si="20"/>
        <v>1677.41</v>
      </c>
    </row>
    <row r="400" spans="1:13" x14ac:dyDescent="0.3">
      <c r="A400" t="s">
        <v>0</v>
      </c>
      <c r="B400" t="s">
        <v>1</v>
      </c>
      <c r="C400" t="s">
        <v>280</v>
      </c>
      <c r="D400" t="s">
        <v>995</v>
      </c>
      <c r="E400" s="1" t="s">
        <v>996</v>
      </c>
      <c r="F400" t="s">
        <v>997</v>
      </c>
      <c r="G400">
        <v>1792</v>
      </c>
      <c r="H400">
        <v>1143</v>
      </c>
      <c r="I400" s="5">
        <f t="shared" si="18"/>
        <v>0.6378348214285714</v>
      </c>
      <c r="J400" s="2">
        <v>0.7</v>
      </c>
      <c r="K400" s="4">
        <v>7.08</v>
      </c>
      <c r="L400">
        <f t="shared" si="19"/>
        <v>111</v>
      </c>
      <c r="M400" s="7">
        <f t="shared" si="20"/>
        <v>785.88</v>
      </c>
    </row>
    <row r="401" spans="1:13" x14ac:dyDescent="0.3">
      <c r="A401" t="s">
        <v>0</v>
      </c>
      <c r="B401" t="s">
        <v>1</v>
      </c>
      <c r="C401" t="s">
        <v>2</v>
      </c>
      <c r="D401" t="s">
        <v>998</v>
      </c>
      <c r="E401" s="1" t="s">
        <v>999</v>
      </c>
      <c r="F401" t="s">
        <v>1000</v>
      </c>
      <c r="G401">
        <v>2397</v>
      </c>
      <c r="H401">
        <v>1414</v>
      </c>
      <c r="I401" s="5">
        <f t="shared" si="18"/>
        <v>0.58990404672507302</v>
      </c>
      <c r="J401" s="2">
        <v>0.7</v>
      </c>
      <c r="K401" s="4">
        <v>9.3000000000000007</v>
      </c>
      <c r="L401">
        <f t="shared" si="19"/>
        <v>264</v>
      </c>
      <c r="M401" s="7">
        <f t="shared" si="20"/>
        <v>2455.2000000000003</v>
      </c>
    </row>
  </sheetData>
  <autoFilter ref="A1:N401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Spoleto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2026-07-23T00:24:40Z</dcterms:modified>
</cp:coreProperties>
</file>