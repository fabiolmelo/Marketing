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Dominos/Incidência/2025/2026/"/>
    </mc:Choice>
  </mc:AlternateContent>
  <xr:revisionPtr revIDLastSave="594" documentId="8_{BD2CA96C-FAF7-473F-90B8-804A34FC59B8}" xr6:coauthVersionLast="47" xr6:coauthVersionMax="47" xr10:uidLastSave="{59551B0A-6AE8-48CB-B0CB-3921ED9D72C2}"/>
  <bookViews>
    <workbookView xWindow="-110" yWindow="-110" windowWidth="19420" windowHeight="1150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9" i="1" l="1"/>
  <c r="L104" i="1"/>
  <c r="L8" i="1"/>
  <c r="I2" i="1" l="1"/>
  <c r="L2" i="1" s="1"/>
  <c r="M2" i="1" s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I15" i="1"/>
  <c r="I16" i="1"/>
  <c r="I17" i="1"/>
  <c r="I18" i="1"/>
  <c r="I19" i="1"/>
  <c r="I20" i="1"/>
  <c r="L20" i="1" s="1"/>
  <c r="I21" i="1"/>
  <c r="I22" i="1"/>
  <c r="I23" i="1"/>
  <c r="I24" i="1"/>
  <c r="I25" i="1"/>
  <c r="I26" i="1"/>
  <c r="I27" i="1"/>
  <c r="I28" i="1"/>
  <c r="I29" i="1"/>
  <c r="L29" i="1" s="1"/>
  <c r="I30" i="1"/>
  <c r="I31" i="1"/>
  <c r="I32" i="1"/>
  <c r="I33" i="1"/>
  <c r="L33" i="1" s="1"/>
  <c r="I34" i="1"/>
  <c r="I35" i="1"/>
  <c r="I36" i="1"/>
  <c r="I37" i="1"/>
  <c r="L37" i="1" s="1"/>
  <c r="I38" i="1"/>
  <c r="I39" i="1"/>
  <c r="I40" i="1"/>
  <c r="I41" i="1"/>
  <c r="I42" i="1"/>
  <c r="I43" i="1"/>
  <c r="I44" i="1"/>
  <c r="I45" i="1"/>
  <c r="I46" i="1"/>
  <c r="I47" i="1"/>
  <c r="L47" i="1" s="1"/>
  <c r="I48" i="1"/>
  <c r="I49" i="1"/>
  <c r="I50" i="1"/>
  <c r="I51" i="1"/>
  <c r="I52" i="1"/>
  <c r="L52" i="1" s="1"/>
  <c r="I53" i="1"/>
  <c r="I54" i="1"/>
  <c r="I55" i="1"/>
  <c r="L55" i="1" s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L89" i="1" s="1"/>
  <c r="M89" i="1" s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L103" i="1" s="1"/>
  <c r="I104" i="1"/>
  <c r="I105" i="1"/>
  <c r="I106" i="1"/>
  <c r="I107" i="1"/>
  <c r="I108" i="1"/>
  <c r="I109" i="1"/>
  <c r="I110" i="1"/>
  <c r="I111" i="1"/>
  <c r="I112" i="1"/>
  <c r="I113" i="1"/>
  <c r="L113" i="1" s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L160" i="1" s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L175" i="1" s="1"/>
  <c r="I176" i="1"/>
  <c r="I177" i="1"/>
  <c r="I178" i="1"/>
  <c r="I179" i="1"/>
  <c r="L179" i="1" s="1"/>
  <c r="I180" i="1"/>
  <c r="I181" i="1"/>
  <c r="I182" i="1"/>
  <c r="I183" i="1"/>
  <c r="I184" i="1"/>
  <c r="I185" i="1"/>
  <c r="I186" i="1"/>
  <c r="I187" i="1"/>
  <c r="L187" i="1" s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L172" i="1" l="1"/>
  <c r="M172" i="1" s="1"/>
  <c r="L185" i="1"/>
  <c r="M185" i="1" s="1"/>
  <c r="L143" i="1"/>
  <c r="M143" i="1" s="1"/>
  <c r="L101" i="1"/>
  <c r="M101" i="1" s="1"/>
  <c r="L59" i="1"/>
  <c r="M59" i="1" s="1"/>
  <c r="L31" i="1"/>
  <c r="M31" i="1" s="1"/>
  <c r="L128" i="1"/>
  <c r="M128" i="1" s="1"/>
  <c r="L196" i="1"/>
  <c r="M196" i="1" s="1"/>
  <c r="L182" i="1"/>
  <c r="M182" i="1" s="1"/>
  <c r="L168" i="1"/>
  <c r="M168" i="1" s="1"/>
  <c r="L154" i="1"/>
  <c r="M154" i="1" s="1"/>
  <c r="L140" i="1"/>
  <c r="M140" i="1" s="1"/>
  <c r="L126" i="1"/>
  <c r="M126" i="1" s="1"/>
  <c r="L112" i="1"/>
  <c r="M112" i="1" s="1"/>
  <c r="L98" i="1"/>
  <c r="M98" i="1" s="1"/>
  <c r="L84" i="1"/>
  <c r="M84" i="1" s="1"/>
  <c r="L70" i="1"/>
  <c r="M70" i="1" s="1"/>
  <c r="L56" i="1"/>
  <c r="M56" i="1" s="1"/>
  <c r="L42" i="1"/>
  <c r="M42" i="1" s="1"/>
  <c r="L28" i="1"/>
  <c r="M28" i="1" s="1"/>
  <c r="L14" i="1"/>
  <c r="M14" i="1" s="1"/>
  <c r="L195" i="1"/>
  <c r="M195" i="1" s="1"/>
  <c r="L181" i="1"/>
  <c r="M181" i="1" s="1"/>
  <c r="L167" i="1"/>
  <c r="M167" i="1" s="1"/>
  <c r="L153" i="1"/>
  <c r="M153" i="1" s="1"/>
  <c r="L139" i="1"/>
  <c r="M139" i="1" s="1"/>
  <c r="L125" i="1"/>
  <c r="M125" i="1" s="1"/>
  <c r="L111" i="1"/>
  <c r="M111" i="1" s="1"/>
  <c r="L97" i="1"/>
  <c r="M97" i="1" s="1"/>
  <c r="L83" i="1"/>
  <c r="M83" i="1" s="1"/>
  <c r="L69" i="1"/>
  <c r="M69" i="1" s="1"/>
  <c r="L41" i="1"/>
  <c r="M41" i="1" s="1"/>
  <c r="L27" i="1"/>
  <c r="M27" i="1" s="1"/>
  <c r="L194" i="1"/>
  <c r="M194" i="1" s="1"/>
  <c r="L180" i="1"/>
  <c r="M180" i="1" s="1"/>
  <c r="L166" i="1"/>
  <c r="M166" i="1" s="1"/>
  <c r="L152" i="1"/>
  <c r="M152" i="1" s="1"/>
  <c r="L138" i="1"/>
  <c r="M138" i="1" s="1"/>
  <c r="L124" i="1"/>
  <c r="M124" i="1" s="1"/>
  <c r="L110" i="1"/>
  <c r="M110" i="1" s="1"/>
  <c r="L96" i="1"/>
  <c r="M96" i="1" s="1"/>
  <c r="L82" i="1"/>
  <c r="M82" i="1" s="1"/>
  <c r="L68" i="1"/>
  <c r="M68" i="1" s="1"/>
  <c r="L54" i="1"/>
  <c r="M54" i="1" s="1"/>
  <c r="L40" i="1"/>
  <c r="M40" i="1" s="1"/>
  <c r="L26" i="1"/>
  <c r="M26" i="1" s="1"/>
  <c r="L201" i="1"/>
  <c r="M201" i="1" s="1"/>
  <c r="L173" i="1"/>
  <c r="M173" i="1" s="1"/>
  <c r="L145" i="1"/>
  <c r="M145" i="1" s="1"/>
  <c r="L117" i="1"/>
  <c r="M117" i="1" s="1"/>
  <c r="L61" i="1"/>
  <c r="M61" i="1" s="1"/>
  <c r="L200" i="1"/>
  <c r="M200" i="1" s="1"/>
  <c r="L158" i="1"/>
  <c r="M158" i="1" s="1"/>
  <c r="L130" i="1"/>
  <c r="M130" i="1" s="1"/>
  <c r="L116" i="1"/>
  <c r="M116" i="1" s="1"/>
  <c r="L102" i="1"/>
  <c r="M102" i="1" s="1"/>
  <c r="L74" i="1"/>
  <c r="M74" i="1" s="1"/>
  <c r="L60" i="1"/>
  <c r="M60" i="1" s="1"/>
  <c r="L46" i="1"/>
  <c r="M46" i="1" s="1"/>
  <c r="L18" i="1"/>
  <c r="M18" i="1" s="1"/>
  <c r="L199" i="1"/>
  <c r="M199" i="1" s="1"/>
  <c r="L157" i="1"/>
  <c r="M157" i="1" s="1"/>
  <c r="L115" i="1"/>
  <c r="M115" i="1" s="1"/>
  <c r="L73" i="1"/>
  <c r="M73" i="1" s="1"/>
  <c r="L45" i="1"/>
  <c r="M45" i="1" s="1"/>
  <c r="L17" i="1"/>
  <c r="M17" i="1" s="1"/>
  <c r="L198" i="1"/>
  <c r="M198" i="1" s="1"/>
  <c r="L170" i="1"/>
  <c r="M170" i="1" s="1"/>
  <c r="L142" i="1"/>
  <c r="M142" i="1" s="1"/>
  <c r="L100" i="1"/>
  <c r="M100" i="1" s="1"/>
  <c r="L72" i="1"/>
  <c r="M72" i="1" s="1"/>
  <c r="L44" i="1"/>
  <c r="M44" i="1" s="1"/>
  <c r="L30" i="1"/>
  <c r="M30" i="1" s="1"/>
  <c r="L197" i="1"/>
  <c r="M197" i="1" s="1"/>
  <c r="L183" i="1"/>
  <c r="M183" i="1" s="1"/>
  <c r="L169" i="1"/>
  <c r="M169" i="1" s="1"/>
  <c r="L155" i="1"/>
  <c r="M155" i="1" s="1"/>
  <c r="L141" i="1"/>
  <c r="M141" i="1" s="1"/>
  <c r="L127" i="1"/>
  <c r="M127" i="1" s="1"/>
  <c r="L99" i="1"/>
  <c r="M99" i="1" s="1"/>
  <c r="L85" i="1"/>
  <c r="M85" i="1" s="1"/>
  <c r="L71" i="1"/>
  <c r="M71" i="1" s="1"/>
  <c r="L57" i="1"/>
  <c r="M57" i="1" s="1"/>
  <c r="L43" i="1"/>
  <c r="M43" i="1" s="1"/>
  <c r="L15" i="1"/>
  <c r="M15" i="1" s="1"/>
  <c r="L193" i="1"/>
  <c r="M193" i="1" s="1"/>
  <c r="L165" i="1"/>
  <c r="M165" i="1" s="1"/>
  <c r="L151" i="1"/>
  <c r="M151" i="1" s="1"/>
  <c r="L137" i="1"/>
  <c r="M137" i="1" s="1"/>
  <c r="L123" i="1"/>
  <c r="M123" i="1" s="1"/>
  <c r="L109" i="1"/>
  <c r="M109" i="1" s="1"/>
  <c r="L95" i="1"/>
  <c r="M95" i="1" s="1"/>
  <c r="L81" i="1"/>
  <c r="M81" i="1" s="1"/>
  <c r="L67" i="1"/>
  <c r="M67" i="1" s="1"/>
  <c r="L53" i="1"/>
  <c r="M53" i="1" s="1"/>
  <c r="L39" i="1"/>
  <c r="M39" i="1" s="1"/>
  <c r="L25" i="1"/>
  <c r="M25" i="1" s="1"/>
  <c r="L159" i="1"/>
  <c r="M159" i="1" s="1"/>
  <c r="L131" i="1"/>
  <c r="M131" i="1" s="1"/>
  <c r="L75" i="1"/>
  <c r="M75" i="1" s="1"/>
  <c r="L19" i="1"/>
  <c r="M19" i="1" s="1"/>
  <c r="L186" i="1"/>
  <c r="M186" i="1" s="1"/>
  <c r="L144" i="1"/>
  <c r="M144" i="1" s="1"/>
  <c r="L88" i="1"/>
  <c r="M88" i="1" s="1"/>
  <c r="L32" i="1"/>
  <c r="M32" i="1" s="1"/>
  <c r="L171" i="1"/>
  <c r="M171" i="1" s="1"/>
  <c r="L129" i="1"/>
  <c r="M129" i="1" s="1"/>
  <c r="L87" i="1"/>
  <c r="M87" i="1" s="1"/>
  <c r="L184" i="1"/>
  <c r="M184" i="1" s="1"/>
  <c r="L156" i="1"/>
  <c r="M156" i="1" s="1"/>
  <c r="L114" i="1"/>
  <c r="M114" i="1" s="1"/>
  <c r="L86" i="1"/>
  <c r="M86" i="1" s="1"/>
  <c r="L58" i="1"/>
  <c r="M58" i="1" s="1"/>
  <c r="L16" i="1"/>
  <c r="M16" i="1" s="1"/>
  <c r="L192" i="1"/>
  <c r="M192" i="1" s="1"/>
  <c r="L178" i="1"/>
  <c r="M178" i="1" s="1"/>
  <c r="L164" i="1"/>
  <c r="M164" i="1" s="1"/>
  <c r="L150" i="1"/>
  <c r="M150" i="1" s="1"/>
  <c r="L136" i="1"/>
  <c r="M136" i="1" s="1"/>
  <c r="L122" i="1"/>
  <c r="M122" i="1" s="1"/>
  <c r="L108" i="1"/>
  <c r="M108" i="1" s="1"/>
  <c r="L94" i="1"/>
  <c r="M94" i="1" s="1"/>
  <c r="L80" i="1"/>
  <c r="M80" i="1" s="1"/>
  <c r="L66" i="1"/>
  <c r="M66" i="1" s="1"/>
  <c r="L38" i="1"/>
  <c r="M38" i="1" s="1"/>
  <c r="L24" i="1"/>
  <c r="M24" i="1" s="1"/>
  <c r="L191" i="1"/>
  <c r="M191" i="1" s="1"/>
  <c r="L177" i="1"/>
  <c r="M177" i="1" s="1"/>
  <c r="L163" i="1"/>
  <c r="M163" i="1" s="1"/>
  <c r="M149" i="1"/>
  <c r="L135" i="1"/>
  <c r="M135" i="1" s="1"/>
  <c r="L121" i="1"/>
  <c r="M121" i="1" s="1"/>
  <c r="L107" i="1"/>
  <c r="M107" i="1" s="1"/>
  <c r="L93" i="1"/>
  <c r="M93" i="1" s="1"/>
  <c r="L79" i="1"/>
  <c r="M79" i="1" s="1"/>
  <c r="L65" i="1"/>
  <c r="M65" i="1" s="1"/>
  <c r="L51" i="1"/>
  <c r="M51" i="1" s="1"/>
  <c r="L23" i="1"/>
  <c r="M23" i="1" s="1"/>
  <c r="L190" i="1"/>
  <c r="M190" i="1" s="1"/>
  <c r="L176" i="1"/>
  <c r="M176" i="1" s="1"/>
  <c r="L162" i="1"/>
  <c r="M162" i="1" s="1"/>
  <c r="L148" i="1"/>
  <c r="M148" i="1" s="1"/>
  <c r="L134" i="1"/>
  <c r="M134" i="1" s="1"/>
  <c r="L120" i="1"/>
  <c r="M120" i="1" s="1"/>
  <c r="L106" i="1"/>
  <c r="M106" i="1" s="1"/>
  <c r="L92" i="1"/>
  <c r="M92" i="1" s="1"/>
  <c r="L78" i="1"/>
  <c r="M78" i="1" s="1"/>
  <c r="L64" i="1"/>
  <c r="M64" i="1" s="1"/>
  <c r="L50" i="1"/>
  <c r="M50" i="1" s="1"/>
  <c r="L36" i="1"/>
  <c r="M36" i="1" s="1"/>
  <c r="L22" i="1"/>
  <c r="M22" i="1" s="1"/>
  <c r="L189" i="1"/>
  <c r="M189" i="1" s="1"/>
  <c r="L161" i="1"/>
  <c r="M161" i="1" s="1"/>
  <c r="L147" i="1"/>
  <c r="M147" i="1" s="1"/>
  <c r="L133" i="1"/>
  <c r="M133" i="1" s="1"/>
  <c r="L119" i="1"/>
  <c r="M119" i="1" s="1"/>
  <c r="L105" i="1"/>
  <c r="M105" i="1" s="1"/>
  <c r="L91" i="1"/>
  <c r="M91" i="1" s="1"/>
  <c r="L77" i="1"/>
  <c r="M77" i="1" s="1"/>
  <c r="L63" i="1"/>
  <c r="M63" i="1" s="1"/>
  <c r="L49" i="1"/>
  <c r="M49" i="1" s="1"/>
  <c r="L35" i="1"/>
  <c r="M35" i="1" s="1"/>
  <c r="L21" i="1"/>
  <c r="M21" i="1" s="1"/>
  <c r="L188" i="1"/>
  <c r="M188" i="1" s="1"/>
  <c r="L174" i="1"/>
  <c r="M174" i="1" s="1"/>
  <c r="L146" i="1"/>
  <c r="M146" i="1" s="1"/>
  <c r="L132" i="1"/>
  <c r="M132" i="1" s="1"/>
  <c r="L118" i="1"/>
  <c r="M118" i="1" s="1"/>
  <c r="M104" i="1"/>
  <c r="L90" i="1"/>
  <c r="M90" i="1" s="1"/>
  <c r="L76" i="1"/>
  <c r="M76" i="1" s="1"/>
  <c r="L62" i="1"/>
  <c r="M62" i="1" s="1"/>
  <c r="L48" i="1"/>
  <c r="M48" i="1" s="1"/>
  <c r="L34" i="1"/>
  <c r="M34" i="1" s="1"/>
  <c r="M113" i="1"/>
  <c r="M29" i="1"/>
  <c r="M55" i="1"/>
  <c r="M179" i="1"/>
  <c r="M52" i="1"/>
  <c r="M37" i="1"/>
  <c r="M175" i="1"/>
  <c r="M187" i="1"/>
  <c r="M103" i="1"/>
  <c r="M47" i="1"/>
  <c r="M33" i="1"/>
  <c r="M160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<sst xmlns="http://schemas.openxmlformats.org/spreadsheetml/2006/main" count="613" uniqueCount="332">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</sst>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 applyAlignment="1">
      <alignment horizontal="center"/>
    </xf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165" fontId="0" fillId="0" borderId="2" xfId="4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2" fillId="0" borderId="0" xfId="2" applyNumberFormat="1" applyAlignment="1">
      <alignment horizontal="center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14" fontId="6" fillId="0" borderId="3" xfId="0" applyNumberFormat="1" applyFont="1" applyBorder="1"/>
    <xf numFmtId="0" fontId="0" fillId="0" borderId="0" xfId="0" applyNumberFormat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839"/>
  <sheetViews>
    <sheetView tabSelected="1" workbookViewId="0">
      <selection activeCell="L14" sqref="L14"/>
    </sheetView>
  </sheetViews>
  <sheetFormatPr defaultRowHeight="14.5" x14ac:dyDescent="0.35"/>
  <cols>
    <col min="1" max="1" width="11.81640625" style="2" bestFit="1" customWidth="1"/>
    <col min="2" max="2" width="8.7265625" style="7"/>
    <col min="3" max="3" width="18.54296875" style="7" bestFit="1" customWidth="1"/>
    <col min="4" max="4" width="16.453125" style="14" bestFit="1" customWidth="1"/>
    <col min="5" max="5" width="11.81640625" style="7" bestFit="1" customWidth="1"/>
    <col min="6" max="6" width="46.1796875" style="7" bestFit="1" customWidth="1"/>
    <col min="7" max="7" width="23.26953125" customWidth="1"/>
    <col min="8" max="8" width="28.36328125" customWidth="1"/>
    <col min="9" max="9" width="16.08984375" customWidth="1"/>
    <col min="10" max="10" width="16" bestFit="1" customWidth="1"/>
    <col min="11" max="11" width="27.36328125" style="11" bestFit="1" customWidth="1"/>
    <col min="12" max="12" width="44" bestFit="1" customWidth="1"/>
    <col min="13" max="13" width="33.81640625" style="11" bestFit="1" customWidth="1"/>
  </cols>
  <sheetData>
    <row r="1" spans="1:13" x14ac:dyDescent="0.35">
      <c r="A1" s="5" t="s">
        <v>298</v>
      </c>
      <c r="B1" s="5" t="s">
        <v>0</v>
      </c>
      <c r="C1" s="5" t="s">
        <v>299</v>
      </c>
      <c r="D1" s="13" t="s">
        <v>1</v>
      </c>
      <c r="E1" s="6" t="s">
        <v>2</v>
      </c>
      <c r="F1" s="5" t="s">
        <v>300</v>
      </c>
      <c r="G1" s="5" t="s">
        <v>301</v>
      </c>
      <c r="H1" s="5" t="s">
        <v>302</v>
      </c>
      <c r="I1" s="4" t="s">
        <v>303</v>
      </c>
      <c r="J1" s="8" t="s">
        <v>304</v>
      </c>
      <c r="K1" s="9" t="s">
        <v>305</v>
      </c>
      <c r="L1" s="4" t="s">
        <v>306</v>
      </c>
      <c r="M1" s="4" t="s">
        <v>307</v>
      </c>
    </row>
    <row r="2" spans="1:13" x14ac:dyDescent="0.35">
      <c r="A2" s="17">
        <v>46023</v>
      </c>
      <c r="B2" s="16" t="s">
        <v>195</v>
      </c>
      <c r="C2" t="s">
        <v>196</v>
      </c>
      <c r="D2" s="16">
        <v>19762</v>
      </c>
      <c r="E2">
        <v>29315001000107</v>
      </c>
      <c r="F2" t="s">
        <v>197</v>
      </c>
      <c r="G2" s="19">
        <v>1355</v>
      </c>
      <c r="H2" s="19">
        <v>662</v>
      </c>
      <c r="I2" s="15">
        <f t="shared" ref="I2:I56" si="0">H2/G2</f>
        <v>0.48856088560885608</v>
      </c>
      <c r="J2" s="1">
        <v>0.7</v>
      </c>
      <c r="K2" s="12">
        <v>13.75</v>
      </c>
      <c r="L2" s="3">
        <f t="shared" ref="L2" si="1">H2*J2/I2-H2</f>
        <v>286.5</v>
      </c>
      <c r="M2" s="10">
        <f t="shared" ref="M2" si="2">L2*K2</f>
        <v>3939.375</v>
      </c>
    </row>
    <row r="3" spans="1:13" x14ac:dyDescent="0.35">
      <c r="A3" s="17">
        <v>46023</v>
      </c>
      <c r="B3" s="16" t="s">
        <v>126</v>
      </c>
      <c r="C3" t="s">
        <v>127</v>
      </c>
      <c r="D3" s="16">
        <v>19623</v>
      </c>
      <c r="E3">
        <v>23266167000102</v>
      </c>
      <c r="F3" t="s">
        <v>128</v>
      </c>
      <c r="G3" s="19">
        <v>2014</v>
      </c>
      <c r="H3" s="19">
        <v>975</v>
      </c>
      <c r="I3" s="15">
        <f t="shared" si="0"/>
        <v>0.48411122144985103</v>
      </c>
      <c r="J3" s="1">
        <v>0.7</v>
      </c>
      <c r="K3" s="12">
        <v>13.75</v>
      </c>
      <c r="L3" s="3">
        <f t="shared" ref="L3:L66" si="3">H3*J3/I3-H3</f>
        <v>434.79999999999995</v>
      </c>
      <c r="M3" s="10">
        <f t="shared" ref="M3:M66" si="4">L3*K3</f>
        <v>5978.4999999999991</v>
      </c>
    </row>
    <row r="4" spans="1:13" x14ac:dyDescent="0.35">
      <c r="A4" s="17">
        <v>46023</v>
      </c>
      <c r="B4" s="16" t="s">
        <v>129</v>
      </c>
      <c r="C4" t="s">
        <v>130</v>
      </c>
      <c r="D4" s="16">
        <v>19742</v>
      </c>
      <c r="E4">
        <v>27655101000157</v>
      </c>
      <c r="F4" t="s">
        <v>131</v>
      </c>
      <c r="G4" s="19">
        <v>1525</v>
      </c>
      <c r="H4" s="19">
        <v>740</v>
      </c>
      <c r="I4" s="15">
        <f t="shared" si="0"/>
        <v>0.48524590163934428</v>
      </c>
      <c r="J4" s="1">
        <v>0.7</v>
      </c>
      <c r="K4" s="12">
        <v>13.75</v>
      </c>
      <c r="L4" s="3">
        <f t="shared" si="3"/>
        <v>327.5</v>
      </c>
      <c r="M4" s="10">
        <f t="shared" si="4"/>
        <v>4503.125</v>
      </c>
    </row>
    <row r="5" spans="1:13" x14ac:dyDescent="0.35">
      <c r="A5" s="17">
        <v>46023</v>
      </c>
      <c r="B5" s="16" t="s">
        <v>129</v>
      </c>
      <c r="C5" t="s">
        <v>130</v>
      </c>
      <c r="D5" s="16">
        <v>19785</v>
      </c>
      <c r="E5">
        <v>27655101000238</v>
      </c>
      <c r="F5" t="s">
        <v>132</v>
      </c>
      <c r="G5" s="19">
        <v>1711</v>
      </c>
      <c r="H5" s="19">
        <v>826</v>
      </c>
      <c r="I5" s="15">
        <f t="shared" si="0"/>
        <v>0.48275862068965519</v>
      </c>
      <c r="J5" s="1">
        <v>0.7</v>
      </c>
      <c r="K5" s="12">
        <v>13.75</v>
      </c>
      <c r="L5" s="3">
        <f t="shared" si="3"/>
        <v>371.69999999999982</v>
      </c>
      <c r="M5" s="10">
        <f t="shared" si="4"/>
        <v>5110.8749999999973</v>
      </c>
    </row>
    <row r="6" spans="1:13" x14ac:dyDescent="0.35">
      <c r="A6" s="17">
        <v>46023</v>
      </c>
      <c r="B6" s="16" t="s">
        <v>129</v>
      </c>
      <c r="C6" t="s">
        <v>130</v>
      </c>
      <c r="D6" s="16">
        <v>19843</v>
      </c>
      <c r="E6">
        <v>27655101000319</v>
      </c>
      <c r="F6" t="s">
        <v>133</v>
      </c>
      <c r="G6" s="19">
        <v>1503</v>
      </c>
      <c r="H6" s="19">
        <v>604</v>
      </c>
      <c r="I6" s="15">
        <f t="shared" si="0"/>
        <v>0.40186294078509649</v>
      </c>
      <c r="J6" s="1">
        <v>0.7</v>
      </c>
      <c r="K6" s="12">
        <v>13.75</v>
      </c>
      <c r="L6" s="3">
        <f t="shared" si="3"/>
        <v>448.09999999999991</v>
      </c>
      <c r="M6" s="10">
        <f t="shared" si="4"/>
        <v>6161.3749999999991</v>
      </c>
    </row>
    <row r="7" spans="1:13" x14ac:dyDescent="0.35">
      <c r="A7" s="17">
        <v>46023</v>
      </c>
      <c r="B7" s="16" t="s">
        <v>129</v>
      </c>
      <c r="C7" t="s">
        <v>130</v>
      </c>
      <c r="D7" s="16">
        <v>19879</v>
      </c>
      <c r="E7">
        <v>27655101000408</v>
      </c>
      <c r="F7" t="s">
        <v>134</v>
      </c>
      <c r="G7" s="19">
        <v>1381</v>
      </c>
      <c r="H7" s="19">
        <v>728</v>
      </c>
      <c r="I7" s="15">
        <f t="shared" si="0"/>
        <v>0.52715423606082545</v>
      </c>
      <c r="J7" s="1">
        <v>0.7</v>
      </c>
      <c r="K7" s="12">
        <v>13.75</v>
      </c>
      <c r="L7" s="3">
        <f t="shared" si="3"/>
        <v>238.70000000000005</v>
      </c>
      <c r="M7" s="10">
        <f t="shared" si="4"/>
        <v>3282.1250000000005</v>
      </c>
    </row>
    <row r="8" spans="1:13" x14ac:dyDescent="0.35">
      <c r="A8" s="17">
        <v>46023</v>
      </c>
      <c r="B8" s="16" t="s">
        <v>123</v>
      </c>
      <c r="C8" t="s">
        <v>124</v>
      </c>
      <c r="D8" s="16">
        <v>19945</v>
      </c>
      <c r="E8">
        <v>47787076000172</v>
      </c>
      <c r="F8" t="s">
        <v>125</v>
      </c>
      <c r="G8" s="19">
        <v>1550</v>
      </c>
      <c r="H8" s="19">
        <v>1198</v>
      </c>
      <c r="I8" s="15">
        <f t="shared" si="0"/>
        <v>0.77290322580645165</v>
      </c>
      <c r="J8" s="1">
        <v>0.7</v>
      </c>
      <c r="K8" s="12">
        <v>13.75</v>
      </c>
      <c r="L8" s="3">
        <f>G8-H8</f>
        <v>352</v>
      </c>
      <c r="M8" s="10">
        <f t="shared" si="4"/>
        <v>4840</v>
      </c>
    </row>
    <row r="9" spans="1:13" x14ac:dyDescent="0.35">
      <c r="A9" s="17">
        <v>46023</v>
      </c>
      <c r="B9" s="16" t="s">
        <v>21</v>
      </c>
      <c r="C9" t="s">
        <v>22</v>
      </c>
      <c r="D9" s="16">
        <v>19741</v>
      </c>
      <c r="E9">
        <v>19041058000101</v>
      </c>
      <c r="F9" t="s">
        <v>23</v>
      </c>
      <c r="G9" s="19">
        <v>1694</v>
      </c>
      <c r="H9" s="19">
        <v>829</v>
      </c>
      <c r="I9" s="15">
        <f t="shared" si="0"/>
        <v>0.48937426210153484</v>
      </c>
      <c r="J9" s="1">
        <v>0.7</v>
      </c>
      <c r="K9" s="12">
        <v>13.75</v>
      </c>
      <c r="L9" s="3">
        <f t="shared" si="3"/>
        <v>356.79999999999995</v>
      </c>
      <c r="M9" s="10">
        <f t="shared" si="4"/>
        <v>4905.9999999999991</v>
      </c>
    </row>
    <row r="10" spans="1:13" x14ac:dyDescent="0.35">
      <c r="A10" s="17">
        <v>46023</v>
      </c>
      <c r="B10" s="16" t="s">
        <v>21</v>
      </c>
      <c r="C10" t="s">
        <v>318</v>
      </c>
      <c r="D10" s="16">
        <v>19738</v>
      </c>
      <c r="E10">
        <v>27586982000100</v>
      </c>
      <c r="F10" t="s">
        <v>118</v>
      </c>
      <c r="G10" s="19">
        <v>4806</v>
      </c>
      <c r="H10" s="19">
        <v>2535</v>
      </c>
      <c r="I10" s="15">
        <f t="shared" si="0"/>
        <v>0.52746566791510607</v>
      </c>
      <c r="J10" s="1">
        <v>0.7</v>
      </c>
      <c r="K10" s="12">
        <v>13.75</v>
      </c>
      <c r="L10" s="3">
        <f t="shared" si="3"/>
        <v>829.20000000000027</v>
      </c>
      <c r="M10" s="10">
        <f t="shared" si="4"/>
        <v>11401.500000000004</v>
      </c>
    </row>
    <row r="11" spans="1:13" x14ac:dyDescent="0.35">
      <c r="A11" s="17">
        <v>46023</v>
      </c>
      <c r="B11" s="16" t="s">
        <v>21</v>
      </c>
      <c r="C11" t="s">
        <v>121</v>
      </c>
      <c r="D11" s="16">
        <v>19910</v>
      </c>
      <c r="E11">
        <v>43883930000143</v>
      </c>
      <c r="F11" t="s">
        <v>122</v>
      </c>
      <c r="G11" s="19">
        <v>1294</v>
      </c>
      <c r="H11" s="19">
        <v>716</v>
      </c>
      <c r="I11" s="15">
        <f t="shared" si="0"/>
        <v>0.55332302936630606</v>
      </c>
      <c r="J11" s="1">
        <v>0.7</v>
      </c>
      <c r="K11" s="12">
        <v>13.75</v>
      </c>
      <c r="L11" s="3">
        <f t="shared" si="3"/>
        <v>189.79999999999995</v>
      </c>
      <c r="M11" s="10">
        <f t="shared" si="4"/>
        <v>2609.7499999999995</v>
      </c>
    </row>
    <row r="12" spans="1:13" x14ac:dyDescent="0.35">
      <c r="A12" s="17">
        <v>46023</v>
      </c>
      <c r="B12" s="16" t="s">
        <v>21</v>
      </c>
      <c r="C12" t="s">
        <v>181</v>
      </c>
      <c r="D12" s="16">
        <v>19778</v>
      </c>
      <c r="E12">
        <v>29885098000193</v>
      </c>
      <c r="F12" t="s">
        <v>182</v>
      </c>
      <c r="G12" s="19">
        <v>2005</v>
      </c>
      <c r="H12" s="19">
        <v>1368</v>
      </c>
      <c r="I12" s="15">
        <f t="shared" si="0"/>
        <v>0.68229426433915208</v>
      </c>
      <c r="J12" s="1">
        <v>0.7</v>
      </c>
      <c r="K12" s="12">
        <v>13.75</v>
      </c>
      <c r="L12" s="3">
        <f t="shared" si="3"/>
        <v>35.5</v>
      </c>
      <c r="M12" s="10">
        <f t="shared" si="4"/>
        <v>488.125</v>
      </c>
    </row>
    <row r="13" spans="1:13" x14ac:dyDescent="0.35">
      <c r="A13" s="17">
        <v>46023</v>
      </c>
      <c r="B13" s="16" t="s">
        <v>21</v>
      </c>
      <c r="C13" t="s">
        <v>228</v>
      </c>
      <c r="D13" s="16">
        <v>19625</v>
      </c>
      <c r="E13">
        <v>57413737000153</v>
      </c>
      <c r="F13" t="s">
        <v>231</v>
      </c>
      <c r="G13" s="19">
        <v>3264</v>
      </c>
      <c r="H13" s="19">
        <v>1537</v>
      </c>
      <c r="I13" s="15">
        <f t="shared" si="0"/>
        <v>0.47089460784313725</v>
      </c>
      <c r="J13" s="1">
        <v>0.7</v>
      </c>
      <c r="K13" s="12">
        <v>13.75</v>
      </c>
      <c r="L13" s="3">
        <f t="shared" si="3"/>
        <v>747.79999999999973</v>
      </c>
      <c r="M13" s="10">
        <f t="shared" si="4"/>
        <v>10282.249999999996</v>
      </c>
    </row>
    <row r="14" spans="1:13" x14ac:dyDescent="0.35">
      <c r="A14" s="17">
        <v>46023</v>
      </c>
      <c r="B14" s="16" t="s">
        <v>21</v>
      </c>
      <c r="C14" t="s">
        <v>228</v>
      </c>
      <c r="D14" s="16">
        <v>19689</v>
      </c>
      <c r="E14">
        <v>57413737000315</v>
      </c>
      <c r="F14" t="s">
        <v>230</v>
      </c>
      <c r="G14" s="19">
        <v>2863</v>
      </c>
      <c r="H14" s="19">
        <v>1673</v>
      </c>
      <c r="I14" s="15">
        <f t="shared" si="0"/>
        <v>0.58435207823960877</v>
      </c>
      <c r="J14" s="1">
        <v>0.7</v>
      </c>
      <c r="K14" s="12">
        <v>13.75</v>
      </c>
      <c r="L14" s="3">
        <f t="shared" si="3"/>
        <v>331.09999999999991</v>
      </c>
      <c r="M14" s="10">
        <f t="shared" si="4"/>
        <v>4552.6249999999991</v>
      </c>
    </row>
    <row r="15" spans="1:13" x14ac:dyDescent="0.35">
      <c r="A15" s="17">
        <v>46023</v>
      </c>
      <c r="B15" s="16" t="s">
        <v>21</v>
      </c>
      <c r="C15" t="s">
        <v>228</v>
      </c>
      <c r="D15" s="16">
        <v>19740</v>
      </c>
      <c r="E15">
        <v>27492596000140</v>
      </c>
      <c r="F15" t="s">
        <v>229</v>
      </c>
      <c r="G15" s="19">
        <v>2125</v>
      </c>
      <c r="H15" s="19">
        <v>739</v>
      </c>
      <c r="I15" s="15">
        <f t="shared" si="0"/>
        <v>0.34776470588235292</v>
      </c>
      <c r="J15" s="1">
        <v>0.7</v>
      </c>
      <c r="K15" s="12">
        <v>13.75</v>
      </c>
      <c r="L15" s="3">
        <f t="shared" si="3"/>
        <v>748.5</v>
      </c>
      <c r="M15" s="10">
        <f t="shared" si="4"/>
        <v>10291.875</v>
      </c>
    </row>
    <row r="16" spans="1:13" x14ac:dyDescent="0.35">
      <c r="A16" s="17">
        <v>46023</v>
      </c>
      <c r="B16" s="16" t="s">
        <v>21</v>
      </c>
      <c r="C16" t="s">
        <v>228</v>
      </c>
      <c r="D16" s="16">
        <v>19771</v>
      </c>
      <c r="E16">
        <v>57413737000234</v>
      </c>
      <c r="F16" t="s">
        <v>235</v>
      </c>
      <c r="G16" s="19">
        <v>2214</v>
      </c>
      <c r="H16" s="19">
        <v>941</v>
      </c>
      <c r="I16" s="15">
        <f t="shared" si="0"/>
        <v>0.42502258355916894</v>
      </c>
      <c r="J16" s="1">
        <v>0.7</v>
      </c>
      <c r="K16" s="12">
        <v>13.75</v>
      </c>
      <c r="L16" s="3">
        <f t="shared" si="3"/>
        <v>608.79999999999973</v>
      </c>
      <c r="M16" s="10">
        <f t="shared" si="4"/>
        <v>8370.9999999999964</v>
      </c>
    </row>
    <row r="17" spans="1:13" x14ac:dyDescent="0.35">
      <c r="A17" s="17">
        <v>46023</v>
      </c>
      <c r="B17" s="16" t="s">
        <v>21</v>
      </c>
      <c r="C17" t="s">
        <v>228</v>
      </c>
      <c r="D17" s="16">
        <v>19790</v>
      </c>
      <c r="E17">
        <v>32347471000167</v>
      </c>
      <c r="F17" t="s">
        <v>232</v>
      </c>
      <c r="G17" s="19">
        <v>3319</v>
      </c>
      <c r="H17" s="19">
        <v>1686</v>
      </c>
      <c r="I17" s="15">
        <f t="shared" si="0"/>
        <v>0.50798433263031029</v>
      </c>
      <c r="J17" s="1">
        <v>0.7</v>
      </c>
      <c r="K17" s="12">
        <v>13.75</v>
      </c>
      <c r="L17" s="3">
        <f t="shared" si="3"/>
        <v>637.29999999999973</v>
      </c>
      <c r="M17" s="10">
        <f t="shared" si="4"/>
        <v>8762.8749999999964</v>
      </c>
    </row>
    <row r="18" spans="1:13" x14ac:dyDescent="0.35">
      <c r="A18" s="17">
        <v>46023</v>
      </c>
      <c r="B18" s="16" t="s">
        <v>21</v>
      </c>
      <c r="C18" t="s">
        <v>228</v>
      </c>
      <c r="D18" s="16">
        <v>19907</v>
      </c>
      <c r="E18">
        <v>48140187000155</v>
      </c>
      <c r="F18" t="s">
        <v>234</v>
      </c>
      <c r="G18" s="19">
        <v>1556</v>
      </c>
      <c r="H18" s="19">
        <v>664</v>
      </c>
      <c r="I18" s="15">
        <f t="shared" si="0"/>
        <v>0.42673521850899743</v>
      </c>
      <c r="J18" s="1">
        <v>0.7</v>
      </c>
      <c r="K18" s="12">
        <v>13.75</v>
      </c>
      <c r="L18" s="3">
        <f t="shared" si="3"/>
        <v>425.19999999999982</v>
      </c>
      <c r="M18" s="10">
        <f t="shared" si="4"/>
        <v>5846.4999999999973</v>
      </c>
    </row>
    <row r="19" spans="1:13" x14ac:dyDescent="0.35">
      <c r="A19" s="17">
        <v>46023</v>
      </c>
      <c r="B19" s="16" t="s">
        <v>21</v>
      </c>
      <c r="C19" t="s">
        <v>228</v>
      </c>
      <c r="D19" s="16">
        <v>19931</v>
      </c>
      <c r="E19">
        <v>46596902000133</v>
      </c>
      <c r="F19" t="s">
        <v>233</v>
      </c>
      <c r="G19" s="19">
        <v>2295</v>
      </c>
      <c r="H19" s="19">
        <v>1107</v>
      </c>
      <c r="I19" s="15">
        <f t="shared" si="0"/>
        <v>0.4823529411764706</v>
      </c>
      <c r="J19" s="1">
        <v>0.7</v>
      </c>
      <c r="K19" s="12">
        <v>13.75</v>
      </c>
      <c r="L19" s="3">
        <f t="shared" si="3"/>
        <v>499.5</v>
      </c>
      <c r="M19" s="10">
        <f t="shared" si="4"/>
        <v>6868.125</v>
      </c>
    </row>
    <row r="20" spans="1:13" x14ac:dyDescent="0.35">
      <c r="A20" s="17">
        <v>46023</v>
      </c>
      <c r="B20" s="16" t="s">
        <v>21</v>
      </c>
      <c r="C20" t="s">
        <v>325</v>
      </c>
      <c r="D20" s="16">
        <v>19736</v>
      </c>
      <c r="E20">
        <v>27190532000195</v>
      </c>
      <c r="F20" t="s">
        <v>295</v>
      </c>
      <c r="G20" s="19">
        <v>3524</v>
      </c>
      <c r="H20" s="19">
        <v>1368</v>
      </c>
      <c r="I20" s="15">
        <f t="shared" si="0"/>
        <v>0.38819523269012485</v>
      </c>
      <c r="J20" s="1">
        <v>0.7</v>
      </c>
      <c r="K20" s="12">
        <v>13.75</v>
      </c>
      <c r="L20" s="3">
        <f t="shared" si="3"/>
        <v>1098.7999999999997</v>
      </c>
      <c r="M20" s="10">
        <f t="shared" si="4"/>
        <v>15108.499999999996</v>
      </c>
    </row>
    <row r="21" spans="1:13" x14ac:dyDescent="0.35">
      <c r="A21" s="17">
        <v>46023</v>
      </c>
      <c r="B21" s="16" t="s">
        <v>89</v>
      </c>
      <c r="C21" t="s">
        <v>314</v>
      </c>
      <c r="D21" s="16">
        <v>19607</v>
      </c>
      <c r="E21">
        <v>27655101000661</v>
      </c>
      <c r="F21" t="s">
        <v>91</v>
      </c>
      <c r="G21" s="19">
        <v>1815</v>
      </c>
      <c r="H21" s="19">
        <v>571</v>
      </c>
      <c r="I21" s="15">
        <f t="shared" si="0"/>
        <v>0.31460055096418732</v>
      </c>
      <c r="J21" s="1">
        <v>0.7</v>
      </c>
      <c r="K21" s="12">
        <v>13.75</v>
      </c>
      <c r="L21" s="3">
        <f t="shared" si="3"/>
        <v>699.5</v>
      </c>
      <c r="M21" s="10">
        <f t="shared" si="4"/>
        <v>9618.125</v>
      </c>
    </row>
    <row r="22" spans="1:13" x14ac:dyDescent="0.35">
      <c r="A22" s="17">
        <v>46023</v>
      </c>
      <c r="B22" s="16" t="s">
        <v>89</v>
      </c>
      <c r="C22" t="s">
        <v>314</v>
      </c>
      <c r="D22" s="16">
        <v>19642</v>
      </c>
      <c r="E22">
        <v>27655101000742</v>
      </c>
      <c r="F22" t="s">
        <v>92</v>
      </c>
      <c r="G22" s="19">
        <v>1700</v>
      </c>
      <c r="H22" s="19">
        <v>704</v>
      </c>
      <c r="I22" s="15">
        <f t="shared" si="0"/>
        <v>0.41411764705882353</v>
      </c>
      <c r="J22" s="1">
        <v>0.7</v>
      </c>
      <c r="K22" s="12">
        <v>13.75</v>
      </c>
      <c r="L22" s="3">
        <f t="shared" si="3"/>
        <v>485.99999999999977</v>
      </c>
      <c r="M22" s="10">
        <f t="shared" si="4"/>
        <v>6682.4999999999973</v>
      </c>
    </row>
    <row r="23" spans="1:13" x14ac:dyDescent="0.35">
      <c r="A23" s="17">
        <v>46023</v>
      </c>
      <c r="B23" s="16" t="s">
        <v>89</v>
      </c>
      <c r="C23" t="s">
        <v>314</v>
      </c>
      <c r="D23" s="16">
        <v>19725</v>
      </c>
      <c r="E23">
        <v>27655101000823</v>
      </c>
      <c r="F23" t="s">
        <v>93</v>
      </c>
      <c r="G23" s="19">
        <v>1662</v>
      </c>
      <c r="H23" s="19">
        <v>718</v>
      </c>
      <c r="I23" s="15">
        <f t="shared" si="0"/>
        <v>0.43200962695547535</v>
      </c>
      <c r="J23" s="1">
        <v>0.7</v>
      </c>
      <c r="K23" s="12">
        <v>13.75</v>
      </c>
      <c r="L23" s="3">
        <f t="shared" si="3"/>
        <v>445.39999999999986</v>
      </c>
      <c r="M23" s="10">
        <f t="shared" si="4"/>
        <v>6124.2499999999982</v>
      </c>
    </row>
    <row r="24" spans="1:13" x14ac:dyDescent="0.35">
      <c r="A24" s="17">
        <v>46023</v>
      </c>
      <c r="B24" s="16" t="s">
        <v>89</v>
      </c>
      <c r="C24" t="s">
        <v>314</v>
      </c>
      <c r="D24" s="16">
        <v>19735</v>
      </c>
      <c r="E24">
        <v>27655101000580</v>
      </c>
      <c r="F24" t="s">
        <v>90</v>
      </c>
      <c r="G24" s="19">
        <v>395</v>
      </c>
      <c r="H24" s="19">
        <v>144</v>
      </c>
      <c r="I24" s="15">
        <f t="shared" si="0"/>
        <v>0.36455696202531646</v>
      </c>
      <c r="J24" s="1">
        <v>0.7</v>
      </c>
      <c r="K24" s="12">
        <v>13.75</v>
      </c>
      <c r="L24" s="3">
        <f t="shared" si="3"/>
        <v>132.5</v>
      </c>
      <c r="M24" s="10">
        <f t="shared" si="4"/>
        <v>1821.875</v>
      </c>
    </row>
    <row r="25" spans="1:13" x14ac:dyDescent="0.35">
      <c r="A25" s="17">
        <v>46023</v>
      </c>
      <c r="B25" s="16" t="s">
        <v>89</v>
      </c>
      <c r="C25" t="s">
        <v>314</v>
      </c>
      <c r="D25" s="16">
        <v>19902</v>
      </c>
      <c r="E25">
        <v>27655101000904</v>
      </c>
      <c r="F25" t="s">
        <v>94</v>
      </c>
      <c r="G25" s="19">
        <v>2209</v>
      </c>
      <c r="H25" s="19">
        <v>1187</v>
      </c>
      <c r="I25" s="15">
        <f t="shared" si="0"/>
        <v>0.53734721593481216</v>
      </c>
      <c r="J25" s="1">
        <v>0.7</v>
      </c>
      <c r="K25" s="12">
        <v>13.75</v>
      </c>
      <c r="L25" s="3">
        <f t="shared" si="3"/>
        <v>359.29999999999995</v>
      </c>
      <c r="M25" s="10">
        <f t="shared" si="4"/>
        <v>4940.3749999999991</v>
      </c>
    </row>
    <row r="26" spans="1:13" x14ac:dyDescent="0.35">
      <c r="A26" s="17">
        <v>46023</v>
      </c>
      <c r="B26" s="16" t="s">
        <v>89</v>
      </c>
      <c r="C26" t="s">
        <v>314</v>
      </c>
      <c r="D26" s="16">
        <v>19903</v>
      </c>
      <c r="E26">
        <v>27655101001048</v>
      </c>
      <c r="F26" t="s">
        <v>95</v>
      </c>
      <c r="G26" s="19">
        <v>2749</v>
      </c>
      <c r="H26" s="19">
        <v>1798</v>
      </c>
      <c r="I26" s="15">
        <f t="shared" si="0"/>
        <v>0.65405602037104404</v>
      </c>
      <c r="J26" s="1">
        <v>0.7</v>
      </c>
      <c r="K26" s="12">
        <v>13.75</v>
      </c>
      <c r="L26" s="3">
        <f t="shared" si="3"/>
        <v>126.29999999999973</v>
      </c>
      <c r="M26" s="10">
        <f t="shared" si="4"/>
        <v>1736.6249999999964</v>
      </c>
    </row>
    <row r="27" spans="1:13" x14ac:dyDescent="0.35">
      <c r="A27" s="17">
        <v>46023</v>
      </c>
      <c r="B27" s="16" t="s">
        <v>46</v>
      </c>
      <c r="C27" t="s">
        <v>47</v>
      </c>
      <c r="D27" s="16">
        <v>19551</v>
      </c>
      <c r="E27">
        <v>16370406000104</v>
      </c>
      <c r="F27" t="s">
        <v>48</v>
      </c>
      <c r="G27" s="19">
        <v>2456</v>
      </c>
      <c r="H27" s="19">
        <v>914</v>
      </c>
      <c r="I27" s="15">
        <f t="shared" si="0"/>
        <v>0.37214983713355049</v>
      </c>
      <c r="J27" s="1">
        <v>0.7</v>
      </c>
      <c r="K27" s="12">
        <v>13.75</v>
      </c>
      <c r="L27" s="3">
        <f t="shared" si="3"/>
        <v>805.19999999999982</v>
      </c>
      <c r="M27" s="10">
        <f t="shared" si="4"/>
        <v>11071.499999999998</v>
      </c>
    </row>
    <row r="28" spans="1:13" x14ac:dyDescent="0.35">
      <c r="A28" s="17">
        <v>46023</v>
      </c>
      <c r="B28" s="16" t="s">
        <v>46</v>
      </c>
      <c r="C28" t="s">
        <v>47</v>
      </c>
      <c r="D28" s="16">
        <v>19552</v>
      </c>
      <c r="E28">
        <v>20175900000187</v>
      </c>
      <c r="F28" t="s">
        <v>50</v>
      </c>
      <c r="G28" s="19">
        <v>4279</v>
      </c>
      <c r="H28" s="19">
        <v>1925</v>
      </c>
      <c r="I28" s="15">
        <f t="shared" si="0"/>
        <v>0.44987146529562982</v>
      </c>
      <c r="J28" s="1">
        <v>0.7</v>
      </c>
      <c r="K28" s="12">
        <v>13.75</v>
      </c>
      <c r="L28" s="3">
        <f t="shared" si="3"/>
        <v>1070.3000000000002</v>
      </c>
      <c r="M28" s="10">
        <f t="shared" si="4"/>
        <v>14716.625000000002</v>
      </c>
    </row>
    <row r="29" spans="1:13" x14ac:dyDescent="0.35">
      <c r="A29" s="17">
        <v>46023</v>
      </c>
      <c r="B29" s="16" t="s">
        <v>46</v>
      </c>
      <c r="C29" t="s">
        <v>47</v>
      </c>
      <c r="D29" s="16">
        <v>19647</v>
      </c>
      <c r="E29">
        <v>52493239000144</v>
      </c>
      <c r="F29" t="s">
        <v>55</v>
      </c>
      <c r="G29" s="19">
        <v>1767</v>
      </c>
      <c r="H29" s="19">
        <v>550</v>
      </c>
      <c r="I29" s="15">
        <f t="shared" si="0"/>
        <v>0.31126202603282399</v>
      </c>
      <c r="J29" s="1">
        <v>0.7</v>
      </c>
      <c r="K29" s="12">
        <v>13.75</v>
      </c>
      <c r="L29" s="3">
        <f t="shared" si="3"/>
        <v>686.90000000000009</v>
      </c>
      <c r="M29" s="10">
        <f t="shared" si="4"/>
        <v>9444.8750000000018</v>
      </c>
    </row>
    <row r="30" spans="1:13" x14ac:dyDescent="0.35">
      <c r="A30" s="17">
        <v>46023</v>
      </c>
      <c r="B30" s="16" t="s">
        <v>46</v>
      </c>
      <c r="C30" t="s">
        <v>47</v>
      </c>
      <c r="D30" s="16">
        <v>19666</v>
      </c>
      <c r="E30">
        <v>61992406000192</v>
      </c>
      <c r="F30" t="s">
        <v>49</v>
      </c>
      <c r="G30" s="19">
        <v>2666</v>
      </c>
      <c r="H30" s="19">
        <v>1134</v>
      </c>
      <c r="I30" s="15">
        <f t="shared" si="0"/>
        <v>0.42535633908477122</v>
      </c>
      <c r="J30" s="1">
        <v>0.7</v>
      </c>
      <c r="K30" s="12">
        <v>13.75</v>
      </c>
      <c r="L30" s="3">
        <f t="shared" si="3"/>
        <v>732.19999999999982</v>
      </c>
      <c r="M30" s="10">
        <f t="shared" si="4"/>
        <v>10067.749999999998</v>
      </c>
    </row>
    <row r="31" spans="1:13" x14ac:dyDescent="0.35">
      <c r="A31" s="17">
        <v>46023</v>
      </c>
      <c r="B31" s="16" t="s">
        <v>46</v>
      </c>
      <c r="C31" t="s">
        <v>47</v>
      </c>
      <c r="D31" s="16">
        <v>19693</v>
      </c>
      <c r="E31">
        <v>23997144000160</v>
      </c>
      <c r="F31" t="s">
        <v>51</v>
      </c>
      <c r="G31" s="19">
        <v>2405</v>
      </c>
      <c r="H31" s="19">
        <v>738</v>
      </c>
      <c r="I31" s="15">
        <f t="shared" si="0"/>
        <v>0.30686070686070688</v>
      </c>
      <c r="J31" s="1">
        <v>0.7</v>
      </c>
      <c r="K31" s="12">
        <v>13.75</v>
      </c>
      <c r="L31" s="3">
        <f t="shared" si="3"/>
        <v>945.5</v>
      </c>
      <c r="M31" s="10">
        <f t="shared" si="4"/>
        <v>13000.625</v>
      </c>
    </row>
    <row r="32" spans="1:13" x14ac:dyDescent="0.35">
      <c r="A32" s="17">
        <v>46023</v>
      </c>
      <c r="B32" s="16" t="s">
        <v>46</v>
      </c>
      <c r="C32" t="s">
        <v>47</v>
      </c>
      <c r="D32" s="16">
        <v>19722</v>
      </c>
      <c r="E32">
        <v>25451389000112</v>
      </c>
      <c r="F32" t="s">
        <v>52</v>
      </c>
      <c r="G32" s="19">
        <v>1595</v>
      </c>
      <c r="H32" s="19">
        <v>477</v>
      </c>
      <c r="I32" s="15">
        <f t="shared" si="0"/>
        <v>0.29905956112852666</v>
      </c>
      <c r="J32" s="1">
        <v>0.7</v>
      </c>
      <c r="K32" s="12">
        <v>13.75</v>
      </c>
      <c r="L32" s="3">
        <f t="shared" si="3"/>
        <v>639.49999999999977</v>
      </c>
      <c r="M32" s="10">
        <f t="shared" si="4"/>
        <v>8793.1249999999964</v>
      </c>
    </row>
    <row r="33" spans="1:13" x14ac:dyDescent="0.35">
      <c r="A33" s="17">
        <v>46023</v>
      </c>
      <c r="B33" s="16" t="s">
        <v>46</v>
      </c>
      <c r="C33" t="s">
        <v>47</v>
      </c>
      <c r="D33" s="16">
        <v>19755</v>
      </c>
      <c r="E33">
        <v>54730480000175</v>
      </c>
      <c r="F33" t="s">
        <v>53</v>
      </c>
      <c r="G33" s="19">
        <v>667</v>
      </c>
      <c r="H33" s="19">
        <v>266</v>
      </c>
      <c r="I33" s="15">
        <f t="shared" si="0"/>
        <v>0.39880059970014992</v>
      </c>
      <c r="J33" s="1">
        <v>0.7</v>
      </c>
      <c r="K33" s="12">
        <v>13.75</v>
      </c>
      <c r="L33" s="3">
        <f t="shared" si="3"/>
        <v>200.89999999999998</v>
      </c>
      <c r="M33" s="10">
        <f t="shared" si="4"/>
        <v>2762.3749999999995</v>
      </c>
    </row>
    <row r="34" spans="1:13" x14ac:dyDescent="0.35">
      <c r="A34" s="17">
        <v>46023</v>
      </c>
      <c r="B34" s="16" t="s">
        <v>46</v>
      </c>
      <c r="C34" t="s">
        <v>47</v>
      </c>
      <c r="D34" s="16">
        <v>19881</v>
      </c>
      <c r="E34">
        <v>38428651000150</v>
      </c>
      <c r="F34" t="s">
        <v>54</v>
      </c>
      <c r="G34" s="19">
        <v>2963</v>
      </c>
      <c r="H34" s="19">
        <v>1148</v>
      </c>
      <c r="I34" s="15">
        <f t="shared" si="0"/>
        <v>0.38744515693553833</v>
      </c>
      <c r="J34" s="1">
        <v>0.7</v>
      </c>
      <c r="K34" s="12">
        <v>13.75</v>
      </c>
      <c r="L34" s="3">
        <f t="shared" si="3"/>
        <v>926.09999999999945</v>
      </c>
      <c r="M34" s="10">
        <f t="shared" si="4"/>
        <v>12733.874999999993</v>
      </c>
    </row>
    <row r="35" spans="1:13" x14ac:dyDescent="0.35">
      <c r="A35" s="17">
        <v>46023</v>
      </c>
      <c r="B35" s="16" t="s">
        <v>46</v>
      </c>
      <c r="C35" t="s">
        <v>47</v>
      </c>
      <c r="D35" s="16">
        <v>19898</v>
      </c>
      <c r="E35">
        <v>52493270000185</v>
      </c>
      <c r="F35" t="s">
        <v>56</v>
      </c>
      <c r="G35" s="19">
        <v>1321</v>
      </c>
      <c r="H35" s="19">
        <v>352</v>
      </c>
      <c r="I35" s="15">
        <f t="shared" si="0"/>
        <v>0.26646479939439821</v>
      </c>
      <c r="J35" s="1">
        <v>0.7</v>
      </c>
      <c r="K35" s="12">
        <v>13.75</v>
      </c>
      <c r="L35" s="3">
        <f t="shared" si="3"/>
        <v>572.69999999999982</v>
      </c>
      <c r="M35" s="10">
        <f t="shared" si="4"/>
        <v>7874.6249999999973</v>
      </c>
    </row>
    <row r="36" spans="1:13" x14ac:dyDescent="0.35">
      <c r="A36" s="17">
        <v>46023</v>
      </c>
      <c r="B36" s="16" t="s">
        <v>46</v>
      </c>
      <c r="C36" t="s">
        <v>102</v>
      </c>
      <c r="D36" s="16">
        <v>19553</v>
      </c>
      <c r="E36">
        <v>47198534000138</v>
      </c>
      <c r="F36" t="s">
        <v>103</v>
      </c>
      <c r="G36" s="19">
        <v>1930</v>
      </c>
      <c r="H36" s="19">
        <v>750</v>
      </c>
      <c r="I36" s="15">
        <f t="shared" si="0"/>
        <v>0.38860103626943004</v>
      </c>
      <c r="J36" s="1">
        <v>0.7</v>
      </c>
      <c r="K36" s="12">
        <v>13.75</v>
      </c>
      <c r="L36" s="3">
        <f t="shared" si="3"/>
        <v>601</v>
      </c>
      <c r="M36" s="10">
        <f t="shared" si="4"/>
        <v>8263.75</v>
      </c>
    </row>
    <row r="37" spans="1:13" x14ac:dyDescent="0.35">
      <c r="A37" s="17">
        <v>46023</v>
      </c>
      <c r="B37" s="16" t="s">
        <v>59</v>
      </c>
      <c r="C37" t="s">
        <v>312</v>
      </c>
      <c r="D37" s="16">
        <v>19944</v>
      </c>
      <c r="E37">
        <v>46155956000163</v>
      </c>
      <c r="F37" t="s">
        <v>60</v>
      </c>
      <c r="G37" s="19">
        <v>2376</v>
      </c>
      <c r="H37" s="19">
        <v>1035</v>
      </c>
      <c r="I37" s="15">
        <f t="shared" si="0"/>
        <v>0.43560606060606061</v>
      </c>
      <c r="J37" s="1">
        <v>0.7</v>
      </c>
      <c r="K37" s="12">
        <v>13.75</v>
      </c>
      <c r="L37" s="3">
        <f t="shared" si="3"/>
        <v>628.20000000000005</v>
      </c>
      <c r="M37" s="10">
        <f t="shared" si="4"/>
        <v>8637.75</v>
      </c>
    </row>
    <row r="38" spans="1:13" x14ac:dyDescent="0.35">
      <c r="A38" s="17">
        <v>46023</v>
      </c>
      <c r="B38" s="16" t="s">
        <v>59</v>
      </c>
      <c r="C38" t="s">
        <v>104</v>
      </c>
      <c r="D38" s="16">
        <v>19872</v>
      </c>
      <c r="E38">
        <v>55682285000180</v>
      </c>
      <c r="F38" t="s">
        <v>105</v>
      </c>
      <c r="G38" s="19">
        <v>6403</v>
      </c>
      <c r="H38" s="19">
        <v>2944</v>
      </c>
      <c r="I38" s="15">
        <f t="shared" si="0"/>
        <v>0.4597844760268624</v>
      </c>
      <c r="J38" s="1">
        <v>0.7</v>
      </c>
      <c r="K38" s="12">
        <v>13.75</v>
      </c>
      <c r="L38" s="3">
        <f t="shared" si="3"/>
        <v>1538.0999999999995</v>
      </c>
      <c r="M38" s="10">
        <f t="shared" si="4"/>
        <v>21148.874999999993</v>
      </c>
    </row>
    <row r="39" spans="1:13" x14ac:dyDescent="0.35">
      <c r="A39" s="17">
        <v>46023</v>
      </c>
      <c r="B39" s="16" t="s">
        <v>59</v>
      </c>
      <c r="C39" t="s">
        <v>271</v>
      </c>
      <c r="D39" s="16">
        <v>19775</v>
      </c>
      <c r="E39">
        <v>57438869000130</v>
      </c>
      <c r="F39" t="s">
        <v>272</v>
      </c>
      <c r="G39" s="19">
        <v>1405</v>
      </c>
      <c r="H39" s="19">
        <v>474</v>
      </c>
      <c r="I39" s="15">
        <f t="shared" si="0"/>
        <v>0.33736654804270461</v>
      </c>
      <c r="J39" s="1">
        <v>0.7</v>
      </c>
      <c r="K39" s="12">
        <v>13.75</v>
      </c>
      <c r="L39" s="3">
        <f t="shared" si="3"/>
        <v>509.49999999999989</v>
      </c>
      <c r="M39" s="10">
        <f t="shared" si="4"/>
        <v>7005.6249999999982</v>
      </c>
    </row>
    <row r="40" spans="1:13" x14ac:dyDescent="0.35">
      <c r="A40" s="17">
        <v>46023</v>
      </c>
      <c r="B40" s="16" t="s">
        <v>59</v>
      </c>
      <c r="C40" t="s">
        <v>289</v>
      </c>
      <c r="D40" s="16">
        <v>19581</v>
      </c>
      <c r="E40">
        <v>59701973000109</v>
      </c>
      <c r="F40" t="s">
        <v>290</v>
      </c>
      <c r="G40" s="19">
        <v>2578</v>
      </c>
      <c r="H40" s="19">
        <v>811</v>
      </c>
      <c r="I40" s="15">
        <f t="shared" si="0"/>
        <v>0.31458494957331262</v>
      </c>
      <c r="J40" s="1">
        <v>0.7</v>
      </c>
      <c r="K40" s="12">
        <v>13.75</v>
      </c>
      <c r="L40" s="3">
        <f t="shared" si="3"/>
        <v>993.59999999999991</v>
      </c>
      <c r="M40" s="10">
        <f t="shared" si="4"/>
        <v>13661.999999999998</v>
      </c>
    </row>
    <row r="41" spans="1:13" x14ac:dyDescent="0.35">
      <c r="A41" s="17">
        <v>46023</v>
      </c>
      <c r="B41" s="16" t="s">
        <v>59</v>
      </c>
      <c r="C41" t="s">
        <v>289</v>
      </c>
      <c r="D41" s="16">
        <v>19876</v>
      </c>
      <c r="E41">
        <v>35933752000513</v>
      </c>
      <c r="F41" t="s">
        <v>291</v>
      </c>
      <c r="G41" s="19">
        <v>3001</v>
      </c>
      <c r="H41" s="19">
        <v>1029</v>
      </c>
      <c r="I41" s="15">
        <f t="shared" si="0"/>
        <v>0.34288570476507829</v>
      </c>
      <c r="J41" s="1">
        <v>0.7</v>
      </c>
      <c r="K41" s="12">
        <v>13.75</v>
      </c>
      <c r="L41" s="3">
        <f t="shared" si="3"/>
        <v>1071.6999999999998</v>
      </c>
      <c r="M41" s="10">
        <f t="shared" si="4"/>
        <v>14735.874999999998</v>
      </c>
    </row>
    <row r="42" spans="1:13" x14ac:dyDescent="0.35">
      <c r="A42" s="17">
        <v>46023</v>
      </c>
      <c r="B42" s="16" t="s">
        <v>59</v>
      </c>
      <c r="C42" t="s">
        <v>292</v>
      </c>
      <c r="D42" s="16">
        <v>19580</v>
      </c>
      <c r="E42">
        <v>57439562000153</v>
      </c>
      <c r="F42" t="s">
        <v>293</v>
      </c>
      <c r="G42" s="19">
        <v>2446</v>
      </c>
      <c r="H42" s="19">
        <v>746</v>
      </c>
      <c r="I42" s="15">
        <f t="shared" si="0"/>
        <v>0.30498773507767785</v>
      </c>
      <c r="J42" s="1">
        <v>0.7</v>
      </c>
      <c r="K42" s="12">
        <v>13.75</v>
      </c>
      <c r="L42" s="3">
        <f t="shared" si="3"/>
        <v>966.19999999999982</v>
      </c>
      <c r="M42" s="10">
        <f t="shared" si="4"/>
        <v>13285.249999999998</v>
      </c>
    </row>
    <row r="43" spans="1:13" x14ac:dyDescent="0.35">
      <c r="A43" s="17">
        <v>46023</v>
      </c>
      <c r="B43" s="16" t="s">
        <v>59</v>
      </c>
      <c r="C43" t="s">
        <v>292</v>
      </c>
      <c r="D43" s="16">
        <v>19719</v>
      </c>
      <c r="E43">
        <v>57440222000142</v>
      </c>
      <c r="F43" t="s">
        <v>294</v>
      </c>
      <c r="G43" s="19">
        <v>1993</v>
      </c>
      <c r="H43" s="19">
        <v>674</v>
      </c>
      <c r="I43" s="15">
        <f t="shared" si="0"/>
        <v>0.3381836427496237</v>
      </c>
      <c r="J43" s="1">
        <v>0.7</v>
      </c>
      <c r="K43" s="12">
        <v>13.75</v>
      </c>
      <c r="L43" s="3">
        <f t="shared" si="3"/>
        <v>721.09999999999968</v>
      </c>
      <c r="M43" s="10">
        <f t="shared" si="4"/>
        <v>9915.1249999999964</v>
      </c>
    </row>
    <row r="44" spans="1:13" x14ac:dyDescent="0.35">
      <c r="A44" s="17">
        <v>46023</v>
      </c>
      <c r="B44" s="16" t="s">
        <v>7</v>
      </c>
      <c r="C44" t="s">
        <v>8</v>
      </c>
      <c r="D44" s="16">
        <v>19700</v>
      </c>
      <c r="E44">
        <v>24923389000105</v>
      </c>
      <c r="F44" t="s">
        <v>9</v>
      </c>
      <c r="G44" s="19">
        <v>1867</v>
      </c>
      <c r="H44" s="19">
        <v>704</v>
      </c>
      <c r="I44" s="15">
        <f t="shared" si="0"/>
        <v>0.37707552222817353</v>
      </c>
      <c r="J44" s="1">
        <v>0.7</v>
      </c>
      <c r="K44" s="12">
        <v>13.75</v>
      </c>
      <c r="L44" s="3">
        <f t="shared" si="3"/>
        <v>602.89999999999986</v>
      </c>
      <c r="M44" s="10">
        <f t="shared" si="4"/>
        <v>8289.8749999999982</v>
      </c>
    </row>
    <row r="45" spans="1:13" x14ac:dyDescent="0.35">
      <c r="A45" s="17">
        <v>46023</v>
      </c>
      <c r="B45" s="16" t="s">
        <v>7</v>
      </c>
      <c r="C45" t="s">
        <v>99</v>
      </c>
      <c r="D45" s="16">
        <v>19691</v>
      </c>
      <c r="E45">
        <v>24660065000121</v>
      </c>
      <c r="F45" t="s">
        <v>100</v>
      </c>
      <c r="G45" s="19">
        <v>2604</v>
      </c>
      <c r="H45" s="19">
        <v>1143</v>
      </c>
      <c r="I45" s="15">
        <f t="shared" si="0"/>
        <v>0.43894009216589863</v>
      </c>
      <c r="J45" s="1">
        <v>0.7</v>
      </c>
      <c r="K45" s="12">
        <v>13.75</v>
      </c>
      <c r="L45" s="3">
        <f t="shared" si="3"/>
        <v>679.79999999999973</v>
      </c>
      <c r="M45" s="10">
        <f t="shared" si="4"/>
        <v>9347.2499999999964</v>
      </c>
    </row>
    <row r="46" spans="1:13" x14ac:dyDescent="0.35">
      <c r="A46" s="17">
        <v>46023</v>
      </c>
      <c r="B46" s="16" t="s">
        <v>7</v>
      </c>
      <c r="C46" t="s">
        <v>99</v>
      </c>
      <c r="D46" s="16">
        <v>19754</v>
      </c>
      <c r="E46">
        <v>28836652000180</v>
      </c>
      <c r="F46" t="s">
        <v>101</v>
      </c>
      <c r="G46" s="19">
        <v>2925</v>
      </c>
      <c r="H46" s="19">
        <v>1062</v>
      </c>
      <c r="I46" s="15">
        <f t="shared" si="0"/>
        <v>0.36307692307692307</v>
      </c>
      <c r="J46" s="1">
        <v>0.7</v>
      </c>
      <c r="K46" s="12">
        <v>13.75</v>
      </c>
      <c r="L46" s="3">
        <f t="shared" si="3"/>
        <v>985.5</v>
      </c>
      <c r="M46" s="10">
        <f t="shared" si="4"/>
        <v>13550.625</v>
      </c>
    </row>
    <row r="47" spans="1:13" x14ac:dyDescent="0.35">
      <c r="A47" s="17">
        <v>46023</v>
      </c>
      <c r="B47" s="16" t="s">
        <v>244</v>
      </c>
      <c r="C47" t="s">
        <v>245</v>
      </c>
      <c r="D47" s="16">
        <v>19595</v>
      </c>
      <c r="E47">
        <v>49602499000287</v>
      </c>
      <c r="F47" t="s">
        <v>247</v>
      </c>
      <c r="G47" s="19">
        <v>3641</v>
      </c>
      <c r="H47" s="19">
        <v>1728</v>
      </c>
      <c r="I47" s="15">
        <f t="shared" si="0"/>
        <v>0.47459489151332052</v>
      </c>
      <c r="J47" s="1">
        <v>0.7</v>
      </c>
      <c r="K47" s="12">
        <v>13.75</v>
      </c>
      <c r="L47" s="3">
        <f t="shared" si="3"/>
        <v>820.69999999999982</v>
      </c>
      <c r="M47" s="10">
        <f t="shared" si="4"/>
        <v>11284.624999999998</v>
      </c>
    </row>
    <row r="48" spans="1:13" x14ac:dyDescent="0.35">
      <c r="A48" s="17">
        <v>46023</v>
      </c>
      <c r="B48" s="16" t="s">
        <v>244</v>
      </c>
      <c r="C48" t="s">
        <v>245</v>
      </c>
      <c r="D48" s="16">
        <v>19617</v>
      </c>
      <c r="E48">
        <v>49602499000104</v>
      </c>
      <c r="F48" t="s">
        <v>246</v>
      </c>
      <c r="G48" s="19">
        <v>3672</v>
      </c>
      <c r="H48" s="19">
        <v>1580</v>
      </c>
      <c r="I48" s="15">
        <f t="shared" si="0"/>
        <v>0.43028322440087147</v>
      </c>
      <c r="J48" s="1">
        <v>0.7</v>
      </c>
      <c r="K48" s="12">
        <v>13.75</v>
      </c>
      <c r="L48" s="3">
        <f t="shared" si="3"/>
        <v>990.40000000000009</v>
      </c>
      <c r="M48" s="10">
        <f t="shared" si="4"/>
        <v>13618.000000000002</v>
      </c>
    </row>
    <row r="49" spans="1:13" x14ac:dyDescent="0.35">
      <c r="A49" s="17">
        <v>46023</v>
      </c>
      <c r="B49" s="16" t="s">
        <v>14</v>
      </c>
      <c r="C49" t="s">
        <v>29</v>
      </c>
      <c r="D49" s="16">
        <v>19560</v>
      </c>
      <c r="E49">
        <v>24840166006620</v>
      </c>
      <c r="F49" t="s">
        <v>34</v>
      </c>
      <c r="G49" s="19">
        <v>4036</v>
      </c>
      <c r="H49" s="19">
        <v>1730</v>
      </c>
      <c r="I49" s="15">
        <f t="shared" si="0"/>
        <v>0.42864222001982161</v>
      </c>
      <c r="J49" s="1">
        <v>0.7</v>
      </c>
      <c r="K49" s="12">
        <v>13.75</v>
      </c>
      <c r="L49" s="3">
        <f t="shared" si="3"/>
        <v>1095.1999999999998</v>
      </c>
      <c r="M49" s="10">
        <f t="shared" si="4"/>
        <v>15058.999999999998</v>
      </c>
    </row>
    <row r="50" spans="1:13" x14ac:dyDescent="0.35">
      <c r="A50" s="17">
        <v>46023</v>
      </c>
      <c r="B50" s="16" t="s">
        <v>14</v>
      </c>
      <c r="C50" t="s">
        <v>29</v>
      </c>
      <c r="D50" s="16">
        <v>19561</v>
      </c>
      <c r="E50">
        <v>24840166006468</v>
      </c>
      <c r="F50" t="s">
        <v>33</v>
      </c>
      <c r="G50" s="19">
        <v>1611</v>
      </c>
      <c r="H50" s="19">
        <v>608</v>
      </c>
      <c r="I50" s="15">
        <f t="shared" si="0"/>
        <v>0.37740533829919304</v>
      </c>
      <c r="J50" s="1">
        <v>0.7</v>
      </c>
      <c r="K50" s="12">
        <v>13.75</v>
      </c>
      <c r="L50" s="3">
        <f t="shared" si="3"/>
        <v>519.70000000000005</v>
      </c>
      <c r="M50" s="10">
        <f t="shared" si="4"/>
        <v>7145.8750000000009</v>
      </c>
    </row>
    <row r="51" spans="1:13" x14ac:dyDescent="0.35">
      <c r="A51" s="17">
        <v>46023</v>
      </c>
      <c r="B51" s="16" t="s">
        <v>14</v>
      </c>
      <c r="C51" t="s">
        <v>29</v>
      </c>
      <c r="D51" s="16">
        <v>19562</v>
      </c>
      <c r="E51">
        <v>24840166006115</v>
      </c>
      <c r="F51" t="s">
        <v>31</v>
      </c>
      <c r="G51" s="19">
        <v>2067</v>
      </c>
      <c r="H51" s="19">
        <v>965</v>
      </c>
      <c r="I51" s="15">
        <f t="shared" si="0"/>
        <v>0.46686018384131589</v>
      </c>
      <c r="J51" s="1">
        <v>0.7</v>
      </c>
      <c r="K51" s="12">
        <v>13.75</v>
      </c>
      <c r="L51" s="3">
        <f t="shared" si="3"/>
        <v>481.90000000000009</v>
      </c>
      <c r="M51" s="10">
        <f t="shared" si="4"/>
        <v>6626.1250000000009</v>
      </c>
    </row>
    <row r="52" spans="1:13" x14ac:dyDescent="0.35">
      <c r="A52" s="17">
        <v>46023</v>
      </c>
      <c r="B52" s="16" t="s">
        <v>14</v>
      </c>
      <c r="C52" t="s">
        <v>29</v>
      </c>
      <c r="D52" s="16">
        <v>19697</v>
      </c>
      <c r="E52">
        <v>25050439000150</v>
      </c>
      <c r="F52" t="s">
        <v>37</v>
      </c>
      <c r="G52" s="19">
        <v>1871</v>
      </c>
      <c r="H52" s="19">
        <v>753</v>
      </c>
      <c r="I52" s="15">
        <f t="shared" si="0"/>
        <v>0.40245857830037413</v>
      </c>
      <c r="J52" s="1">
        <v>0.7</v>
      </c>
      <c r="K52" s="12">
        <v>13.75</v>
      </c>
      <c r="L52" s="3">
        <f t="shared" si="3"/>
        <v>556.70000000000005</v>
      </c>
      <c r="M52" s="10">
        <f t="shared" si="4"/>
        <v>7654.6250000000009</v>
      </c>
    </row>
    <row r="53" spans="1:13" x14ac:dyDescent="0.35">
      <c r="A53" s="17">
        <v>46023</v>
      </c>
      <c r="B53" s="16" t="s">
        <v>14</v>
      </c>
      <c r="C53" t="s">
        <v>29</v>
      </c>
      <c r="D53" s="16">
        <v>19704</v>
      </c>
      <c r="E53">
        <v>24840166005739</v>
      </c>
      <c r="F53" t="s">
        <v>30</v>
      </c>
      <c r="G53" s="19">
        <v>3544</v>
      </c>
      <c r="H53" s="19">
        <v>1754</v>
      </c>
      <c r="I53" s="15">
        <f t="shared" si="0"/>
        <v>0.49492099322799099</v>
      </c>
      <c r="J53" s="1">
        <v>0.7</v>
      </c>
      <c r="K53" s="12">
        <v>13.75</v>
      </c>
      <c r="L53" s="3">
        <f t="shared" si="3"/>
        <v>726.79999999999973</v>
      </c>
      <c r="M53" s="10">
        <f t="shared" si="4"/>
        <v>9993.4999999999964</v>
      </c>
    </row>
    <row r="54" spans="1:13" x14ac:dyDescent="0.35">
      <c r="A54" s="17">
        <v>46023</v>
      </c>
      <c r="B54" s="16" t="s">
        <v>14</v>
      </c>
      <c r="C54" t="s">
        <v>29</v>
      </c>
      <c r="D54" s="16">
        <v>19720</v>
      </c>
      <c r="E54">
        <v>55056005001361</v>
      </c>
      <c r="F54" t="s">
        <v>36</v>
      </c>
      <c r="G54" s="19">
        <v>1417</v>
      </c>
      <c r="H54" s="19">
        <v>550</v>
      </c>
      <c r="I54" s="15">
        <f t="shared" si="0"/>
        <v>0.38814396612561752</v>
      </c>
      <c r="J54" s="1">
        <v>0.7</v>
      </c>
      <c r="K54" s="12">
        <v>13.75</v>
      </c>
      <c r="L54" s="3">
        <f t="shared" si="3"/>
        <v>441.9</v>
      </c>
      <c r="M54" s="10">
        <f t="shared" si="4"/>
        <v>6076.125</v>
      </c>
    </row>
    <row r="55" spans="1:13" x14ac:dyDescent="0.35">
      <c r="A55" s="17">
        <v>46023</v>
      </c>
      <c r="B55" s="16" t="s">
        <v>14</v>
      </c>
      <c r="C55" t="s">
        <v>29</v>
      </c>
      <c r="D55" s="16">
        <v>19748</v>
      </c>
      <c r="E55">
        <v>24840166006387</v>
      </c>
      <c r="F55" t="s">
        <v>32</v>
      </c>
      <c r="G55" s="19">
        <v>2095</v>
      </c>
      <c r="H55" s="19">
        <v>920</v>
      </c>
      <c r="I55" s="15">
        <f t="shared" si="0"/>
        <v>0.43914081145584727</v>
      </c>
      <c r="J55" s="1">
        <v>0.7</v>
      </c>
      <c r="K55" s="12">
        <v>13.75</v>
      </c>
      <c r="L55" s="3">
        <f t="shared" si="3"/>
        <v>546.5</v>
      </c>
      <c r="M55" s="10">
        <f t="shared" si="4"/>
        <v>7514.375</v>
      </c>
    </row>
    <row r="56" spans="1:13" x14ac:dyDescent="0.35">
      <c r="A56" s="17">
        <v>46023</v>
      </c>
      <c r="B56" s="16" t="s">
        <v>14</v>
      </c>
      <c r="C56" t="s">
        <v>29</v>
      </c>
      <c r="D56" s="16">
        <v>19759</v>
      </c>
      <c r="E56">
        <v>58671851000146</v>
      </c>
      <c r="F56" t="s">
        <v>38</v>
      </c>
      <c r="G56" s="19">
        <v>1528</v>
      </c>
      <c r="H56" s="19">
        <v>654</v>
      </c>
      <c r="I56" s="15">
        <f t="shared" si="0"/>
        <v>0.4280104712041885</v>
      </c>
      <c r="J56" s="1">
        <v>0.7</v>
      </c>
      <c r="K56" s="12">
        <v>13.75</v>
      </c>
      <c r="L56" s="3">
        <f t="shared" si="3"/>
        <v>415.59999999999991</v>
      </c>
      <c r="M56" s="10">
        <f t="shared" si="4"/>
        <v>5714.4999999999991</v>
      </c>
    </row>
    <row r="57" spans="1:13" x14ac:dyDescent="0.35">
      <c r="A57" s="17">
        <v>46023</v>
      </c>
      <c r="B57" s="16" t="s">
        <v>14</v>
      </c>
      <c r="C57" t="s">
        <v>29</v>
      </c>
      <c r="D57" s="16">
        <v>19780</v>
      </c>
      <c r="E57">
        <v>55056005000128</v>
      </c>
      <c r="F57" t="s">
        <v>35</v>
      </c>
      <c r="G57" s="19">
        <v>1508</v>
      </c>
      <c r="H57" s="19">
        <v>871</v>
      </c>
      <c r="I57" s="15">
        <f t="shared" ref="I57:I120" si="5">H57/G57</f>
        <v>0.57758620689655171</v>
      </c>
      <c r="J57" s="1">
        <v>0.7</v>
      </c>
      <c r="K57" s="12">
        <v>13.75</v>
      </c>
      <c r="L57" s="3">
        <f t="shared" si="3"/>
        <v>184.59999999999991</v>
      </c>
      <c r="M57" s="10">
        <f t="shared" si="4"/>
        <v>2538.2499999999986</v>
      </c>
    </row>
    <row r="58" spans="1:13" x14ac:dyDescent="0.35">
      <c r="A58" s="17">
        <v>46023</v>
      </c>
      <c r="B58" s="16" t="s">
        <v>14</v>
      </c>
      <c r="C58" t="s">
        <v>29</v>
      </c>
      <c r="D58" s="16">
        <v>19793</v>
      </c>
      <c r="E58">
        <v>24840166005658</v>
      </c>
      <c r="F58" t="s">
        <v>39</v>
      </c>
      <c r="G58" s="19">
        <v>1486</v>
      </c>
      <c r="H58" s="19">
        <v>650</v>
      </c>
      <c r="I58" s="15">
        <f t="shared" si="5"/>
        <v>0.43741588156123823</v>
      </c>
      <c r="J58" s="1">
        <v>0.7</v>
      </c>
      <c r="K58" s="12">
        <v>13.75</v>
      </c>
      <c r="L58" s="3">
        <f t="shared" si="3"/>
        <v>390.19999999999982</v>
      </c>
      <c r="M58" s="10">
        <f t="shared" si="4"/>
        <v>5365.2499999999973</v>
      </c>
    </row>
    <row r="59" spans="1:13" x14ac:dyDescent="0.35">
      <c r="A59" s="17">
        <v>46023</v>
      </c>
      <c r="B59" s="16" t="s">
        <v>14</v>
      </c>
      <c r="C59" t="s">
        <v>326</v>
      </c>
      <c r="D59" s="16">
        <v>19961</v>
      </c>
      <c r="E59">
        <v>62000582000163</v>
      </c>
      <c r="F59" t="s">
        <v>327</v>
      </c>
      <c r="G59" s="19">
        <v>1841</v>
      </c>
      <c r="H59" s="19">
        <v>770</v>
      </c>
      <c r="I59" s="15">
        <f t="shared" si="5"/>
        <v>0.41825095057034223</v>
      </c>
      <c r="J59" s="1">
        <v>0.7</v>
      </c>
      <c r="K59" s="12">
        <v>13.75</v>
      </c>
      <c r="L59" s="3">
        <f t="shared" si="3"/>
        <v>518.69999999999982</v>
      </c>
      <c r="M59" s="10">
        <f t="shared" si="4"/>
        <v>7132.1249999999973</v>
      </c>
    </row>
    <row r="60" spans="1:13" x14ac:dyDescent="0.35">
      <c r="A60" s="17">
        <v>46023</v>
      </c>
      <c r="B60" s="16" t="s">
        <v>14</v>
      </c>
      <c r="C60" t="s">
        <v>112</v>
      </c>
      <c r="D60" s="16">
        <v>19951</v>
      </c>
      <c r="E60">
        <v>51318025000179</v>
      </c>
      <c r="F60" t="s">
        <v>113</v>
      </c>
      <c r="G60" s="19">
        <v>2281</v>
      </c>
      <c r="H60" s="19">
        <v>804</v>
      </c>
      <c r="I60" s="15">
        <f t="shared" si="5"/>
        <v>0.3524769837790443</v>
      </c>
      <c r="J60" s="1">
        <v>0.7</v>
      </c>
      <c r="K60" s="12">
        <v>13.75</v>
      </c>
      <c r="L60" s="3">
        <f t="shared" si="3"/>
        <v>792.69999999999982</v>
      </c>
      <c r="M60" s="10">
        <f t="shared" si="4"/>
        <v>10899.624999999998</v>
      </c>
    </row>
    <row r="61" spans="1:13" x14ac:dyDescent="0.35">
      <c r="A61" s="17">
        <v>46023</v>
      </c>
      <c r="B61" s="16" t="s">
        <v>14</v>
      </c>
      <c r="C61" t="s">
        <v>114</v>
      </c>
      <c r="D61" s="16">
        <v>19943</v>
      </c>
      <c r="E61">
        <v>49292826000160</v>
      </c>
      <c r="F61" t="s">
        <v>115</v>
      </c>
      <c r="G61" s="19">
        <v>1064</v>
      </c>
      <c r="H61" s="19">
        <v>495</v>
      </c>
      <c r="I61" s="15">
        <f t="shared" si="5"/>
        <v>0.46522556390977443</v>
      </c>
      <c r="J61" s="1">
        <v>0.7</v>
      </c>
      <c r="K61" s="12">
        <v>13.75</v>
      </c>
      <c r="L61" s="3">
        <f t="shared" si="3"/>
        <v>249.79999999999995</v>
      </c>
      <c r="M61" s="10">
        <f t="shared" si="4"/>
        <v>3434.7499999999995</v>
      </c>
    </row>
    <row r="62" spans="1:13" x14ac:dyDescent="0.35">
      <c r="A62" s="17">
        <v>46023</v>
      </c>
      <c r="B62" s="16" t="s">
        <v>14</v>
      </c>
      <c r="C62" t="s">
        <v>317</v>
      </c>
      <c r="D62" s="16">
        <v>19615</v>
      </c>
      <c r="E62">
        <v>52247102000290</v>
      </c>
      <c r="F62" t="s">
        <v>117</v>
      </c>
      <c r="G62" s="19">
        <v>2681</v>
      </c>
      <c r="H62" s="19">
        <v>961</v>
      </c>
      <c r="I62" s="15">
        <f t="shared" si="5"/>
        <v>0.35844834017157778</v>
      </c>
      <c r="J62" s="1">
        <v>0.7</v>
      </c>
      <c r="K62" s="12">
        <v>13.75</v>
      </c>
      <c r="L62" s="3">
        <f t="shared" si="3"/>
        <v>915.69999999999982</v>
      </c>
      <c r="M62" s="10">
        <f t="shared" si="4"/>
        <v>12590.874999999998</v>
      </c>
    </row>
    <row r="63" spans="1:13" x14ac:dyDescent="0.35">
      <c r="A63" s="17">
        <v>46023</v>
      </c>
      <c r="B63" s="16" t="s">
        <v>14</v>
      </c>
      <c r="C63" t="s">
        <v>137</v>
      </c>
      <c r="D63" s="16">
        <v>19796</v>
      </c>
      <c r="E63">
        <v>42748938000215</v>
      </c>
      <c r="F63" t="s">
        <v>139</v>
      </c>
      <c r="G63" s="19">
        <v>2902</v>
      </c>
      <c r="H63" s="19">
        <v>1501</v>
      </c>
      <c r="I63" s="15">
        <f t="shared" si="5"/>
        <v>0.51722949689869058</v>
      </c>
      <c r="J63" s="1">
        <v>0.7</v>
      </c>
      <c r="K63" s="12">
        <v>13.75</v>
      </c>
      <c r="L63" s="3">
        <f t="shared" si="3"/>
        <v>530.40000000000009</v>
      </c>
      <c r="M63" s="10">
        <f t="shared" si="4"/>
        <v>7293.0000000000009</v>
      </c>
    </row>
    <row r="64" spans="1:13" x14ac:dyDescent="0.35">
      <c r="A64" s="17">
        <v>46023</v>
      </c>
      <c r="B64" s="16" t="s">
        <v>14</v>
      </c>
      <c r="C64" t="s">
        <v>137</v>
      </c>
      <c r="D64" s="16">
        <v>19899</v>
      </c>
      <c r="E64">
        <v>42748938000134</v>
      </c>
      <c r="F64" t="s">
        <v>138</v>
      </c>
      <c r="G64" s="19">
        <v>1271</v>
      </c>
      <c r="H64" s="19">
        <v>545</v>
      </c>
      <c r="I64" s="15">
        <f t="shared" si="5"/>
        <v>0.42879622344610541</v>
      </c>
      <c r="J64" s="1">
        <v>0.7</v>
      </c>
      <c r="K64" s="12">
        <v>13.75</v>
      </c>
      <c r="L64" s="3">
        <f t="shared" si="3"/>
        <v>344.70000000000005</v>
      </c>
      <c r="M64" s="10">
        <f t="shared" si="4"/>
        <v>4739.6250000000009</v>
      </c>
    </row>
    <row r="65" spans="1:13" x14ac:dyDescent="0.35">
      <c r="A65" s="17">
        <v>46023</v>
      </c>
      <c r="B65" s="16" t="s">
        <v>14</v>
      </c>
      <c r="C65" t="s">
        <v>273</v>
      </c>
      <c r="D65" s="16">
        <v>19937</v>
      </c>
      <c r="E65">
        <v>46670594000149</v>
      </c>
      <c r="F65" t="s">
        <v>274</v>
      </c>
      <c r="G65" s="19">
        <v>710</v>
      </c>
      <c r="H65" s="19">
        <v>269</v>
      </c>
      <c r="I65" s="15">
        <f t="shared" si="5"/>
        <v>0.37887323943661971</v>
      </c>
      <c r="J65" s="1">
        <v>0.7</v>
      </c>
      <c r="K65" s="12">
        <v>13.75</v>
      </c>
      <c r="L65" s="3">
        <f t="shared" si="3"/>
        <v>227.99999999999994</v>
      </c>
      <c r="M65" s="10">
        <f t="shared" si="4"/>
        <v>3134.9999999999991</v>
      </c>
    </row>
    <row r="66" spans="1:13" x14ac:dyDescent="0.35">
      <c r="A66" s="17">
        <v>46023</v>
      </c>
      <c r="B66" s="16" t="s">
        <v>14</v>
      </c>
      <c r="C66" t="s">
        <v>283</v>
      </c>
      <c r="D66" s="16">
        <v>19912</v>
      </c>
      <c r="E66">
        <v>60794397000162</v>
      </c>
      <c r="F66" t="s">
        <v>284</v>
      </c>
      <c r="G66" s="19">
        <v>1346</v>
      </c>
      <c r="H66" s="19">
        <v>623</v>
      </c>
      <c r="I66" s="15">
        <f t="shared" si="5"/>
        <v>0.46285289747399705</v>
      </c>
      <c r="J66" s="1">
        <v>0.7</v>
      </c>
      <c r="K66" s="12">
        <v>13.75</v>
      </c>
      <c r="L66" s="3">
        <f t="shared" si="3"/>
        <v>319.19999999999993</v>
      </c>
      <c r="M66" s="10">
        <f t="shared" si="4"/>
        <v>4388.9999999999991</v>
      </c>
    </row>
    <row r="67" spans="1:13" x14ac:dyDescent="0.35">
      <c r="A67" s="17">
        <v>46023</v>
      </c>
      <c r="B67" s="16" t="s">
        <v>14</v>
      </c>
      <c r="C67" t="s">
        <v>285</v>
      </c>
      <c r="D67" s="16">
        <v>19563</v>
      </c>
      <c r="E67">
        <v>13012013000122</v>
      </c>
      <c r="F67" t="s">
        <v>286</v>
      </c>
      <c r="G67" s="19">
        <v>3258</v>
      </c>
      <c r="H67" s="19">
        <v>1059</v>
      </c>
      <c r="I67" s="15">
        <f t="shared" si="5"/>
        <v>0.32504604051565378</v>
      </c>
      <c r="J67" s="1">
        <v>0.7</v>
      </c>
      <c r="K67" s="12">
        <v>13.75</v>
      </c>
      <c r="L67" s="3">
        <f t="shared" ref="L67:L130" si="6">H67*J67/I67-H67</f>
        <v>1221.5999999999999</v>
      </c>
      <c r="M67" s="10">
        <f t="shared" ref="M67:M130" si="7">L67*K67</f>
        <v>16797</v>
      </c>
    </row>
    <row r="68" spans="1:13" x14ac:dyDescent="0.35">
      <c r="A68" s="17">
        <v>46023</v>
      </c>
      <c r="B68" s="16" t="s">
        <v>14</v>
      </c>
      <c r="C68" t="s">
        <v>287</v>
      </c>
      <c r="D68" s="16">
        <v>19905</v>
      </c>
      <c r="E68">
        <v>42352151000159</v>
      </c>
      <c r="F68" t="s">
        <v>288</v>
      </c>
      <c r="G68" s="19">
        <v>1297</v>
      </c>
      <c r="H68" s="19">
        <v>590</v>
      </c>
      <c r="I68" s="15">
        <f t="shared" si="5"/>
        <v>0.45489591364687743</v>
      </c>
      <c r="J68" s="1">
        <v>0.7</v>
      </c>
      <c r="K68" s="12">
        <v>13.75</v>
      </c>
      <c r="L68" s="3">
        <f t="shared" si="6"/>
        <v>317.89999999999998</v>
      </c>
      <c r="M68" s="10">
        <f t="shared" si="7"/>
        <v>4371.125</v>
      </c>
    </row>
    <row r="69" spans="1:13" x14ac:dyDescent="0.35">
      <c r="A69" s="17">
        <v>46023</v>
      </c>
      <c r="B69" s="16" t="s">
        <v>68</v>
      </c>
      <c r="C69" t="s">
        <v>69</v>
      </c>
      <c r="D69" s="16">
        <v>19602</v>
      </c>
      <c r="E69">
        <v>53715406000117</v>
      </c>
      <c r="F69" t="s">
        <v>70</v>
      </c>
      <c r="G69" s="19">
        <v>231</v>
      </c>
      <c r="H69" s="19">
        <v>30</v>
      </c>
      <c r="I69" s="15">
        <f t="shared" si="5"/>
        <v>0.12987012987012986</v>
      </c>
      <c r="J69" s="1">
        <v>0.7</v>
      </c>
      <c r="K69" s="12">
        <v>13.75</v>
      </c>
      <c r="L69" s="3">
        <f t="shared" si="6"/>
        <v>131.70000000000002</v>
      </c>
      <c r="M69" s="10">
        <f t="shared" si="7"/>
        <v>1810.8750000000002</v>
      </c>
    </row>
    <row r="70" spans="1:13" x14ac:dyDescent="0.35">
      <c r="A70" s="17">
        <v>46023</v>
      </c>
      <c r="B70" s="16" t="s">
        <v>78</v>
      </c>
      <c r="C70" t="s">
        <v>79</v>
      </c>
      <c r="D70" s="16">
        <v>19730</v>
      </c>
      <c r="E70">
        <v>24454462000147</v>
      </c>
      <c r="F70" t="s">
        <v>80</v>
      </c>
      <c r="G70" s="19">
        <v>2140</v>
      </c>
      <c r="H70" s="19">
        <v>859</v>
      </c>
      <c r="I70" s="15">
        <f t="shared" si="5"/>
        <v>0.40140186915887849</v>
      </c>
      <c r="J70" s="1">
        <v>0.7</v>
      </c>
      <c r="K70" s="12">
        <v>13.75</v>
      </c>
      <c r="L70" s="3">
        <f t="shared" si="6"/>
        <v>639</v>
      </c>
      <c r="M70" s="10">
        <f t="shared" si="7"/>
        <v>8786.25</v>
      </c>
    </row>
    <row r="71" spans="1:13" x14ac:dyDescent="0.35">
      <c r="A71" s="17">
        <v>46023</v>
      </c>
      <c r="B71" s="16" t="s">
        <v>78</v>
      </c>
      <c r="C71" t="s">
        <v>79</v>
      </c>
      <c r="D71" s="16">
        <v>19794</v>
      </c>
      <c r="E71">
        <v>24454462000228</v>
      </c>
      <c r="F71" t="s">
        <v>81</v>
      </c>
      <c r="G71" s="19">
        <v>1499</v>
      </c>
      <c r="H71" s="19">
        <v>561</v>
      </c>
      <c r="I71" s="15">
        <f t="shared" si="5"/>
        <v>0.37424949966644427</v>
      </c>
      <c r="J71" s="1">
        <v>0.7</v>
      </c>
      <c r="K71" s="12">
        <v>13.75</v>
      </c>
      <c r="L71" s="3">
        <f t="shared" si="6"/>
        <v>488.29999999999995</v>
      </c>
      <c r="M71" s="10">
        <f t="shared" si="7"/>
        <v>6714.1249999999991</v>
      </c>
    </row>
    <row r="72" spans="1:13" x14ac:dyDescent="0.35">
      <c r="A72" s="17">
        <v>46023</v>
      </c>
      <c r="B72" s="16" t="s">
        <v>78</v>
      </c>
      <c r="C72" t="s">
        <v>277</v>
      </c>
      <c r="D72" s="16">
        <v>19896</v>
      </c>
      <c r="E72">
        <v>41911650000176</v>
      </c>
      <c r="F72" t="s">
        <v>278</v>
      </c>
      <c r="G72" s="19">
        <v>1495</v>
      </c>
      <c r="H72" s="19">
        <v>708</v>
      </c>
      <c r="I72" s="15">
        <f t="shared" si="5"/>
        <v>0.47357859531772573</v>
      </c>
      <c r="J72" s="1">
        <v>0.7</v>
      </c>
      <c r="K72" s="12">
        <v>13.75</v>
      </c>
      <c r="L72" s="3">
        <f t="shared" si="6"/>
        <v>338.5</v>
      </c>
      <c r="M72" s="10">
        <f t="shared" si="7"/>
        <v>4654.375</v>
      </c>
    </row>
    <row r="73" spans="1:13" x14ac:dyDescent="0.35">
      <c r="A73" s="17">
        <v>46023</v>
      </c>
      <c r="B73" s="16" t="s">
        <v>78</v>
      </c>
      <c r="C73" t="s">
        <v>324</v>
      </c>
      <c r="D73" s="16">
        <v>19958</v>
      </c>
      <c r="E73">
        <v>60219392000106</v>
      </c>
      <c r="F73" t="s">
        <v>310</v>
      </c>
      <c r="G73" s="19">
        <v>1807</v>
      </c>
      <c r="H73" s="19">
        <v>951</v>
      </c>
      <c r="I73" s="15">
        <f t="shared" si="5"/>
        <v>0.52628666297731042</v>
      </c>
      <c r="J73" s="1">
        <v>0.7</v>
      </c>
      <c r="K73" s="12">
        <v>13.75</v>
      </c>
      <c r="L73" s="3">
        <f t="shared" si="6"/>
        <v>313.89999999999986</v>
      </c>
      <c r="M73" s="10">
        <f t="shared" si="7"/>
        <v>4316.1249999999982</v>
      </c>
    </row>
    <row r="74" spans="1:13" x14ac:dyDescent="0.35">
      <c r="A74" s="17">
        <v>46023</v>
      </c>
      <c r="B74" s="16" t="s">
        <v>6</v>
      </c>
      <c r="C74" t="s">
        <v>26</v>
      </c>
      <c r="D74" s="16">
        <v>19597</v>
      </c>
      <c r="E74">
        <v>13466829000126</v>
      </c>
      <c r="F74" t="s">
        <v>27</v>
      </c>
      <c r="G74" s="19">
        <v>3226</v>
      </c>
      <c r="H74" s="19">
        <v>1711</v>
      </c>
      <c r="I74" s="15">
        <f t="shared" si="5"/>
        <v>0.53037817730936143</v>
      </c>
      <c r="J74" s="1">
        <v>0.7</v>
      </c>
      <c r="K74" s="12">
        <v>13.75</v>
      </c>
      <c r="L74" s="3">
        <f t="shared" si="6"/>
        <v>547.19999999999982</v>
      </c>
      <c r="M74" s="10">
        <f t="shared" si="7"/>
        <v>7523.9999999999973</v>
      </c>
    </row>
    <row r="75" spans="1:13" x14ac:dyDescent="0.35">
      <c r="A75" s="17">
        <v>46023</v>
      </c>
      <c r="B75" s="16" t="s">
        <v>6</v>
      </c>
      <c r="C75" t="s">
        <v>26</v>
      </c>
      <c r="D75" s="16">
        <v>19622</v>
      </c>
      <c r="E75">
        <v>19691128000177</v>
      </c>
      <c r="F75" t="s">
        <v>28</v>
      </c>
      <c r="G75" s="19">
        <v>2224</v>
      </c>
      <c r="H75" s="19">
        <v>1232</v>
      </c>
      <c r="I75" s="15">
        <f t="shared" si="5"/>
        <v>0.5539568345323741</v>
      </c>
      <c r="J75" s="1">
        <v>0.7</v>
      </c>
      <c r="K75" s="12">
        <v>13.75</v>
      </c>
      <c r="L75" s="3">
        <f t="shared" si="6"/>
        <v>324.79999999999995</v>
      </c>
      <c r="M75" s="10">
        <f t="shared" si="7"/>
        <v>4465.9999999999991</v>
      </c>
    </row>
    <row r="76" spans="1:13" x14ac:dyDescent="0.35">
      <c r="A76" s="17">
        <v>46023</v>
      </c>
      <c r="B76" s="16" t="s">
        <v>6</v>
      </c>
      <c r="C76" t="s">
        <v>26</v>
      </c>
      <c r="D76" s="16">
        <v>19959</v>
      </c>
      <c r="E76">
        <v>60914670000145</v>
      </c>
      <c r="F76" t="s">
        <v>328</v>
      </c>
      <c r="G76" s="19">
        <v>617</v>
      </c>
      <c r="H76" s="19">
        <v>362</v>
      </c>
      <c r="I76" s="15">
        <f t="shared" si="5"/>
        <v>0.58670988654781198</v>
      </c>
      <c r="J76" s="1">
        <v>0.7</v>
      </c>
      <c r="K76" s="12">
        <v>13.75</v>
      </c>
      <c r="L76" s="3">
        <f t="shared" si="6"/>
        <v>69.899999999999977</v>
      </c>
      <c r="M76" s="10">
        <f t="shared" si="7"/>
        <v>961.12499999999966</v>
      </c>
    </row>
    <row r="77" spans="1:13" x14ac:dyDescent="0.35">
      <c r="A77" s="17">
        <v>46023</v>
      </c>
      <c r="B77" s="16" t="s">
        <v>6</v>
      </c>
      <c r="C77" t="s">
        <v>158</v>
      </c>
      <c r="D77" s="16">
        <v>19914</v>
      </c>
      <c r="E77">
        <v>43315062000103</v>
      </c>
      <c r="F77" t="s">
        <v>159</v>
      </c>
      <c r="G77" s="19">
        <v>2600</v>
      </c>
      <c r="H77" s="19">
        <v>1575</v>
      </c>
      <c r="I77" s="15">
        <f t="shared" si="5"/>
        <v>0.60576923076923073</v>
      </c>
      <c r="J77" s="1">
        <v>0.7</v>
      </c>
      <c r="K77" s="12">
        <v>13.75</v>
      </c>
      <c r="L77" s="3">
        <f t="shared" si="6"/>
        <v>245.00000000000023</v>
      </c>
      <c r="M77" s="10">
        <f t="shared" si="7"/>
        <v>3368.7500000000032</v>
      </c>
    </row>
    <row r="78" spans="1:13" x14ac:dyDescent="0.35">
      <c r="A78" s="17">
        <v>46023</v>
      </c>
      <c r="B78" s="16" t="s">
        <v>6</v>
      </c>
      <c r="C78" t="s">
        <v>236</v>
      </c>
      <c r="D78" s="16">
        <v>19606</v>
      </c>
      <c r="E78">
        <v>58023296000146</v>
      </c>
      <c r="F78" t="s">
        <v>237</v>
      </c>
      <c r="G78" s="19">
        <v>2091</v>
      </c>
      <c r="H78" s="19">
        <v>1137</v>
      </c>
      <c r="I78" s="15">
        <f t="shared" si="5"/>
        <v>0.54375896700143467</v>
      </c>
      <c r="J78" s="1">
        <v>0.7</v>
      </c>
      <c r="K78" s="12">
        <v>13.75</v>
      </c>
      <c r="L78" s="3">
        <f t="shared" si="6"/>
        <v>326.70000000000005</v>
      </c>
      <c r="M78" s="10">
        <f t="shared" si="7"/>
        <v>4492.1250000000009</v>
      </c>
    </row>
    <row r="79" spans="1:13" x14ac:dyDescent="0.35">
      <c r="A79" s="17">
        <v>46023</v>
      </c>
      <c r="B79" s="16" t="s">
        <v>61</v>
      </c>
      <c r="C79" t="s">
        <v>62</v>
      </c>
      <c r="D79" s="16">
        <v>19633</v>
      </c>
      <c r="E79">
        <v>19210526000124</v>
      </c>
      <c r="F79" t="s">
        <v>63</v>
      </c>
      <c r="G79" s="19">
        <v>638</v>
      </c>
      <c r="H79" s="19">
        <v>365</v>
      </c>
      <c r="I79" s="15">
        <f t="shared" si="5"/>
        <v>0.57210031347962387</v>
      </c>
      <c r="J79" s="1">
        <v>0.7</v>
      </c>
      <c r="K79" s="12">
        <v>13.75</v>
      </c>
      <c r="L79" s="3">
        <f t="shared" si="6"/>
        <v>81.599999999999909</v>
      </c>
      <c r="M79" s="10">
        <f t="shared" si="7"/>
        <v>1121.9999999999986</v>
      </c>
    </row>
    <row r="80" spans="1:13" x14ac:dyDescent="0.35">
      <c r="A80" s="17">
        <v>46023</v>
      </c>
      <c r="B80" s="16" t="s">
        <v>61</v>
      </c>
      <c r="C80" t="s">
        <v>329</v>
      </c>
      <c r="D80" s="16">
        <v>19706</v>
      </c>
      <c r="E80">
        <v>59449391000179</v>
      </c>
      <c r="F80" t="s">
        <v>77</v>
      </c>
      <c r="G80" s="19">
        <v>2767</v>
      </c>
      <c r="H80" s="19">
        <v>1443</v>
      </c>
      <c r="I80" s="15">
        <f t="shared" si="5"/>
        <v>0.52150343332128657</v>
      </c>
      <c r="J80" s="1">
        <v>0.7</v>
      </c>
      <c r="K80" s="12">
        <v>13.75</v>
      </c>
      <c r="L80" s="3">
        <f t="shared" si="6"/>
        <v>493.89999999999986</v>
      </c>
      <c r="M80" s="10">
        <f t="shared" si="7"/>
        <v>6791.1249999999982</v>
      </c>
    </row>
    <row r="81" spans="1:13" x14ac:dyDescent="0.35">
      <c r="A81" s="17">
        <v>46023</v>
      </c>
      <c r="B81" s="16" t="s">
        <v>74</v>
      </c>
      <c r="C81" t="s">
        <v>75</v>
      </c>
      <c r="D81" s="16">
        <v>19798</v>
      </c>
      <c r="E81">
        <v>50724770000155</v>
      </c>
      <c r="F81" t="s">
        <v>76</v>
      </c>
      <c r="G81" s="19">
        <v>3200</v>
      </c>
      <c r="H81" s="19">
        <v>1588</v>
      </c>
      <c r="I81" s="15">
        <f t="shared" si="5"/>
        <v>0.49625000000000002</v>
      </c>
      <c r="J81" s="1">
        <v>0.7</v>
      </c>
      <c r="K81" s="12">
        <v>13.75</v>
      </c>
      <c r="L81" s="3">
        <f t="shared" si="6"/>
        <v>651.99999999999955</v>
      </c>
      <c r="M81" s="10">
        <f t="shared" si="7"/>
        <v>8964.9999999999945</v>
      </c>
    </row>
    <row r="82" spans="1:13" x14ac:dyDescent="0.35">
      <c r="A82" s="17">
        <v>46023</v>
      </c>
      <c r="B82" s="16" t="s">
        <v>74</v>
      </c>
      <c r="C82" t="s">
        <v>97</v>
      </c>
      <c r="D82" s="16">
        <v>19911</v>
      </c>
      <c r="E82">
        <v>43675465000155</v>
      </c>
      <c r="F82" t="s">
        <v>98</v>
      </c>
      <c r="G82" s="19">
        <v>1807</v>
      </c>
      <c r="H82" s="19">
        <v>1140</v>
      </c>
      <c r="I82" s="15">
        <f t="shared" si="5"/>
        <v>0.63087991145545097</v>
      </c>
      <c r="J82" s="1">
        <v>0.7</v>
      </c>
      <c r="K82" s="12">
        <v>13.75</v>
      </c>
      <c r="L82" s="3">
        <f t="shared" si="6"/>
        <v>124.90000000000009</v>
      </c>
      <c r="M82" s="10">
        <f t="shared" si="7"/>
        <v>1717.3750000000014</v>
      </c>
    </row>
    <row r="83" spans="1:13" x14ac:dyDescent="0.35">
      <c r="A83" s="17">
        <v>46023</v>
      </c>
      <c r="B83" s="16" t="s">
        <v>74</v>
      </c>
      <c r="C83" t="s">
        <v>316</v>
      </c>
      <c r="D83" s="16">
        <v>19624</v>
      </c>
      <c r="E83">
        <v>20743683000699</v>
      </c>
      <c r="F83" t="s">
        <v>116</v>
      </c>
      <c r="G83" s="19">
        <v>1801</v>
      </c>
      <c r="H83" s="19">
        <v>677</v>
      </c>
      <c r="I83" s="15">
        <f t="shared" si="5"/>
        <v>0.37590227651304831</v>
      </c>
      <c r="J83" s="1">
        <v>0.7</v>
      </c>
      <c r="K83" s="12">
        <v>13.75</v>
      </c>
      <c r="L83" s="3">
        <f t="shared" si="6"/>
        <v>583.70000000000005</v>
      </c>
      <c r="M83" s="10">
        <f t="shared" si="7"/>
        <v>8025.8750000000009</v>
      </c>
    </row>
    <row r="84" spans="1:13" x14ac:dyDescent="0.35">
      <c r="A84" s="17">
        <v>46023</v>
      </c>
      <c r="B84" s="16" t="s">
        <v>74</v>
      </c>
      <c r="C84" t="s">
        <v>169</v>
      </c>
      <c r="D84" s="16">
        <v>19897</v>
      </c>
      <c r="E84">
        <v>19206298000208</v>
      </c>
      <c r="F84" t="s">
        <v>170</v>
      </c>
      <c r="G84" s="19">
        <v>1790</v>
      </c>
      <c r="H84" s="19">
        <v>791</v>
      </c>
      <c r="I84" s="15">
        <f t="shared" si="5"/>
        <v>0.44189944134078213</v>
      </c>
      <c r="J84" s="1">
        <v>0.7</v>
      </c>
      <c r="K84" s="12">
        <v>13.75</v>
      </c>
      <c r="L84" s="3">
        <f t="shared" si="6"/>
        <v>461.99999999999977</v>
      </c>
      <c r="M84" s="10">
        <f t="shared" si="7"/>
        <v>6352.4999999999973</v>
      </c>
    </row>
    <row r="85" spans="1:13" x14ac:dyDescent="0.35">
      <c r="A85" s="17">
        <v>46023</v>
      </c>
      <c r="B85" s="16" t="s">
        <v>74</v>
      </c>
      <c r="C85" t="s">
        <v>186</v>
      </c>
      <c r="D85" s="16">
        <v>19565</v>
      </c>
      <c r="E85">
        <v>20743683000427</v>
      </c>
      <c r="F85" t="s">
        <v>189</v>
      </c>
      <c r="G85" s="19">
        <v>2757</v>
      </c>
      <c r="H85" s="19">
        <v>1031</v>
      </c>
      <c r="I85" s="15">
        <f t="shared" si="5"/>
        <v>0.37395719985491477</v>
      </c>
      <c r="J85" s="1">
        <v>0.7</v>
      </c>
      <c r="K85" s="12">
        <v>13.75</v>
      </c>
      <c r="L85" s="3">
        <f t="shared" si="6"/>
        <v>898.89999999999986</v>
      </c>
      <c r="M85" s="10">
        <f t="shared" si="7"/>
        <v>12359.874999999998</v>
      </c>
    </row>
    <row r="86" spans="1:13" x14ac:dyDescent="0.35">
      <c r="A86" s="17">
        <v>46023</v>
      </c>
      <c r="B86" s="16" t="s">
        <v>74</v>
      </c>
      <c r="C86" t="s">
        <v>186</v>
      </c>
      <c r="D86" s="16">
        <v>19601</v>
      </c>
      <c r="E86">
        <v>20743683000346</v>
      </c>
      <c r="F86" t="s">
        <v>188</v>
      </c>
      <c r="G86" s="19">
        <v>2825</v>
      </c>
      <c r="H86" s="19">
        <v>1276</v>
      </c>
      <c r="I86" s="15">
        <f t="shared" si="5"/>
        <v>0.45168141592920352</v>
      </c>
      <c r="J86" s="1">
        <v>0.7</v>
      </c>
      <c r="K86" s="12">
        <v>13.75</v>
      </c>
      <c r="L86" s="3">
        <f t="shared" si="6"/>
        <v>701.5</v>
      </c>
      <c r="M86" s="10">
        <f t="shared" si="7"/>
        <v>9645.625</v>
      </c>
    </row>
    <row r="87" spans="1:13" x14ac:dyDescent="0.35">
      <c r="A87" s="17">
        <v>46023</v>
      </c>
      <c r="B87" s="16" t="s">
        <v>74</v>
      </c>
      <c r="C87" t="s">
        <v>186</v>
      </c>
      <c r="D87" s="16">
        <v>19649</v>
      </c>
      <c r="E87">
        <v>20743683000184</v>
      </c>
      <c r="F87" t="s">
        <v>187</v>
      </c>
      <c r="G87" s="19">
        <v>3266</v>
      </c>
      <c r="H87" s="19">
        <v>1415</v>
      </c>
      <c r="I87" s="15">
        <f t="shared" si="5"/>
        <v>0.43325168401714637</v>
      </c>
      <c r="J87" s="1">
        <v>0.7</v>
      </c>
      <c r="K87" s="12">
        <v>13.75</v>
      </c>
      <c r="L87" s="3">
        <f t="shared" si="6"/>
        <v>871.19999999999982</v>
      </c>
      <c r="M87" s="10">
        <f t="shared" si="7"/>
        <v>11978.999999999998</v>
      </c>
    </row>
    <row r="88" spans="1:13" x14ac:dyDescent="0.35">
      <c r="A88" s="17">
        <v>46023</v>
      </c>
      <c r="B88" s="16" t="s">
        <v>74</v>
      </c>
      <c r="C88" t="s">
        <v>186</v>
      </c>
      <c r="D88" s="16">
        <v>19654</v>
      </c>
      <c r="E88">
        <v>20743683000508</v>
      </c>
      <c r="F88" t="s">
        <v>190</v>
      </c>
      <c r="G88" s="19">
        <v>2265</v>
      </c>
      <c r="H88" s="19">
        <v>866</v>
      </c>
      <c r="I88" s="15">
        <f t="shared" si="5"/>
        <v>0.38233995584988961</v>
      </c>
      <c r="J88" s="1">
        <v>0.7</v>
      </c>
      <c r="K88" s="12">
        <v>13.75</v>
      </c>
      <c r="L88" s="3">
        <f t="shared" si="6"/>
        <v>719.49999999999977</v>
      </c>
      <c r="M88" s="10">
        <f t="shared" si="7"/>
        <v>9893.1249999999964</v>
      </c>
    </row>
    <row r="89" spans="1:13" x14ac:dyDescent="0.35">
      <c r="A89" s="17">
        <v>46023</v>
      </c>
      <c r="B89" s="16" t="s">
        <v>160</v>
      </c>
      <c r="C89" t="s">
        <v>161</v>
      </c>
      <c r="D89" s="16">
        <v>19954</v>
      </c>
      <c r="E89">
        <v>51569934000180</v>
      </c>
      <c r="F89" t="s">
        <v>162</v>
      </c>
      <c r="G89" s="19">
        <v>965</v>
      </c>
      <c r="H89" s="19">
        <v>614</v>
      </c>
      <c r="I89" s="15">
        <f t="shared" si="5"/>
        <v>0.63626943005181347</v>
      </c>
      <c r="J89" s="1">
        <v>0.7</v>
      </c>
      <c r="K89" s="12">
        <v>13.75</v>
      </c>
      <c r="L89" s="3">
        <f t="shared" si="6"/>
        <v>61.499999999999886</v>
      </c>
      <c r="M89" s="10">
        <f>L89*K89</f>
        <v>845.62499999999841</v>
      </c>
    </row>
    <row r="90" spans="1:13" x14ac:dyDescent="0.35">
      <c r="A90" s="17">
        <v>46023</v>
      </c>
      <c r="B90" s="16" t="s">
        <v>160</v>
      </c>
      <c r="C90" t="s">
        <v>279</v>
      </c>
      <c r="D90" s="16">
        <v>19564</v>
      </c>
      <c r="E90">
        <v>14382670000124</v>
      </c>
      <c r="F90" t="s">
        <v>280</v>
      </c>
      <c r="G90" s="19">
        <v>1501</v>
      </c>
      <c r="H90" s="19">
        <v>730</v>
      </c>
      <c r="I90" s="15">
        <f t="shared" si="5"/>
        <v>0.48634243837441704</v>
      </c>
      <c r="J90" s="1">
        <v>0.7</v>
      </c>
      <c r="K90" s="12">
        <v>13.75</v>
      </c>
      <c r="L90" s="3">
        <f t="shared" si="6"/>
        <v>320.69999999999982</v>
      </c>
      <c r="M90" s="10">
        <f t="shared" si="7"/>
        <v>4409.6249999999973</v>
      </c>
    </row>
    <row r="91" spans="1:13" x14ac:dyDescent="0.35">
      <c r="A91" s="17">
        <v>46023</v>
      </c>
      <c r="B91" s="16" t="s">
        <v>82</v>
      </c>
      <c r="C91" t="s">
        <v>83</v>
      </c>
      <c r="D91" s="16">
        <v>19545</v>
      </c>
      <c r="E91">
        <v>28376673000160</v>
      </c>
      <c r="F91" t="s">
        <v>84</v>
      </c>
      <c r="G91" s="19">
        <v>2167</v>
      </c>
      <c r="H91" s="19">
        <v>959</v>
      </c>
      <c r="I91" s="15">
        <f t="shared" si="5"/>
        <v>0.4425473004153207</v>
      </c>
      <c r="J91" s="1">
        <v>0.7</v>
      </c>
      <c r="K91" s="12">
        <v>13.75</v>
      </c>
      <c r="L91" s="3">
        <f t="shared" si="6"/>
        <v>557.89999999999986</v>
      </c>
      <c r="M91" s="10">
        <f t="shared" si="7"/>
        <v>7671.1249999999982</v>
      </c>
    </row>
    <row r="92" spans="1:13" x14ac:dyDescent="0.35">
      <c r="A92" s="17">
        <v>46023</v>
      </c>
      <c r="B92" s="16" t="s">
        <v>82</v>
      </c>
      <c r="C92" t="s">
        <v>83</v>
      </c>
      <c r="D92" s="16">
        <v>19546</v>
      </c>
      <c r="E92">
        <v>28376673000321</v>
      </c>
      <c r="F92" t="s">
        <v>85</v>
      </c>
      <c r="G92" s="19">
        <v>2169</v>
      </c>
      <c r="H92" s="19">
        <v>797</v>
      </c>
      <c r="I92" s="15">
        <f t="shared" si="5"/>
        <v>0.3674504379898571</v>
      </c>
      <c r="J92" s="1">
        <v>0.7</v>
      </c>
      <c r="K92" s="12">
        <v>13.75</v>
      </c>
      <c r="L92" s="3">
        <f t="shared" si="6"/>
        <v>721.29999999999973</v>
      </c>
      <c r="M92" s="10">
        <f t="shared" si="7"/>
        <v>9917.8749999999964</v>
      </c>
    </row>
    <row r="93" spans="1:13" x14ac:dyDescent="0.35">
      <c r="A93" s="17">
        <v>46023</v>
      </c>
      <c r="B93" s="16" t="s">
        <v>82</v>
      </c>
      <c r="C93" t="s">
        <v>83</v>
      </c>
      <c r="D93" s="16">
        <v>19547</v>
      </c>
      <c r="E93">
        <v>62295143000125</v>
      </c>
      <c r="F93" t="s">
        <v>87</v>
      </c>
      <c r="G93" s="19">
        <v>2354</v>
      </c>
      <c r="H93" s="19">
        <v>665</v>
      </c>
      <c r="I93" s="15">
        <f t="shared" si="5"/>
        <v>0.28249787595581988</v>
      </c>
      <c r="J93" s="1">
        <v>0.7</v>
      </c>
      <c r="K93" s="12">
        <v>13.75</v>
      </c>
      <c r="L93" s="3">
        <f t="shared" si="6"/>
        <v>982.79999999999973</v>
      </c>
      <c r="M93" s="10">
        <f t="shared" si="7"/>
        <v>13513.499999999996</v>
      </c>
    </row>
    <row r="94" spans="1:13" x14ac:dyDescent="0.35">
      <c r="A94" s="17">
        <v>46023</v>
      </c>
      <c r="B94" s="16" t="s">
        <v>82</v>
      </c>
      <c r="C94" t="s">
        <v>83</v>
      </c>
      <c r="D94" s="16">
        <v>19936</v>
      </c>
      <c r="E94">
        <v>62295143000206</v>
      </c>
      <c r="F94" t="s">
        <v>86</v>
      </c>
      <c r="G94" s="19">
        <v>1780</v>
      </c>
      <c r="H94" s="19">
        <v>564</v>
      </c>
      <c r="I94" s="15">
        <f t="shared" si="5"/>
        <v>0.31685393258426964</v>
      </c>
      <c r="J94" s="1">
        <v>0.7</v>
      </c>
      <c r="K94" s="12">
        <v>13.75</v>
      </c>
      <c r="L94" s="3">
        <f t="shared" si="6"/>
        <v>682</v>
      </c>
      <c r="M94" s="10">
        <f t="shared" si="7"/>
        <v>9377.5</v>
      </c>
    </row>
    <row r="95" spans="1:13" x14ac:dyDescent="0.35">
      <c r="A95" s="17">
        <v>46023</v>
      </c>
      <c r="B95" s="16" t="s">
        <v>82</v>
      </c>
      <c r="C95" t="s">
        <v>315</v>
      </c>
      <c r="D95" s="16">
        <v>19772</v>
      </c>
      <c r="E95">
        <v>61944627000195</v>
      </c>
      <c r="F95" t="s">
        <v>96</v>
      </c>
      <c r="G95" s="19">
        <v>1583</v>
      </c>
      <c r="H95" s="19">
        <v>991</v>
      </c>
      <c r="I95" s="15">
        <f t="shared" si="5"/>
        <v>0.62602653190145297</v>
      </c>
      <c r="J95" s="1">
        <v>0.7</v>
      </c>
      <c r="K95" s="12">
        <v>13.75</v>
      </c>
      <c r="L95" s="3">
        <f t="shared" si="6"/>
        <v>117.09999999999991</v>
      </c>
      <c r="M95" s="10">
        <f t="shared" si="7"/>
        <v>1610.1249999999986</v>
      </c>
    </row>
    <row r="96" spans="1:13" x14ac:dyDescent="0.35">
      <c r="A96" s="17">
        <v>46023</v>
      </c>
      <c r="B96" s="16" t="s">
        <v>82</v>
      </c>
      <c r="C96" t="s">
        <v>106</v>
      </c>
      <c r="D96" s="16">
        <v>19927</v>
      </c>
      <c r="E96">
        <v>44994080000113</v>
      </c>
      <c r="F96" t="s">
        <v>107</v>
      </c>
      <c r="G96" s="19">
        <v>774</v>
      </c>
      <c r="H96" s="19">
        <v>249</v>
      </c>
      <c r="I96" s="15">
        <f t="shared" si="5"/>
        <v>0.32170542635658916</v>
      </c>
      <c r="J96" s="1">
        <v>0.7</v>
      </c>
      <c r="K96" s="12">
        <v>13.75</v>
      </c>
      <c r="L96" s="3">
        <f t="shared" si="6"/>
        <v>292.79999999999995</v>
      </c>
      <c r="M96" s="10">
        <f t="shared" si="7"/>
        <v>4025.9999999999995</v>
      </c>
    </row>
    <row r="97" spans="1:13" x14ac:dyDescent="0.35">
      <c r="A97" s="17">
        <v>46023</v>
      </c>
      <c r="B97" s="16" t="s">
        <v>82</v>
      </c>
      <c r="C97" t="s">
        <v>119</v>
      </c>
      <c r="D97" s="16">
        <v>19661</v>
      </c>
      <c r="E97">
        <v>21802064000186</v>
      </c>
      <c r="F97" t="s">
        <v>120</v>
      </c>
      <c r="G97" s="19">
        <v>2654</v>
      </c>
      <c r="H97" s="19">
        <v>837</v>
      </c>
      <c r="I97" s="15">
        <f t="shared" si="5"/>
        <v>0.31537302185380556</v>
      </c>
      <c r="J97" s="1">
        <v>0.7</v>
      </c>
      <c r="K97" s="12">
        <v>13.75</v>
      </c>
      <c r="L97" s="3">
        <f t="shared" si="6"/>
        <v>1020.8</v>
      </c>
      <c r="M97" s="10">
        <f t="shared" si="7"/>
        <v>14036</v>
      </c>
    </row>
    <row r="98" spans="1:13" x14ac:dyDescent="0.35">
      <c r="A98" s="17">
        <v>46023</v>
      </c>
      <c r="B98" s="16" t="s">
        <v>82</v>
      </c>
      <c r="C98" t="s">
        <v>135</v>
      </c>
      <c r="D98" s="16">
        <v>19749</v>
      </c>
      <c r="E98">
        <v>28249012000173</v>
      </c>
      <c r="F98" t="s">
        <v>136</v>
      </c>
      <c r="G98" s="19">
        <v>1604</v>
      </c>
      <c r="H98" s="19">
        <v>591</v>
      </c>
      <c r="I98" s="15">
        <f t="shared" si="5"/>
        <v>0.36845386533665836</v>
      </c>
      <c r="J98" s="1">
        <v>0.7</v>
      </c>
      <c r="K98" s="12">
        <v>13.75</v>
      </c>
      <c r="L98" s="3">
        <f t="shared" si="6"/>
        <v>531.79999999999995</v>
      </c>
      <c r="M98" s="10">
        <f t="shared" si="7"/>
        <v>7312.2499999999991</v>
      </c>
    </row>
    <row r="99" spans="1:13" x14ac:dyDescent="0.35">
      <c r="A99" s="17">
        <v>46023</v>
      </c>
      <c r="B99" s="16" t="s">
        <v>82</v>
      </c>
      <c r="C99" t="s">
        <v>173</v>
      </c>
      <c r="D99" s="16">
        <v>19926</v>
      </c>
      <c r="E99">
        <v>44051871000100</v>
      </c>
      <c r="F99" t="s">
        <v>174</v>
      </c>
      <c r="G99" s="19">
        <v>1216</v>
      </c>
      <c r="H99" s="19">
        <v>483</v>
      </c>
      <c r="I99" s="15">
        <f t="shared" si="5"/>
        <v>0.39720394736842107</v>
      </c>
      <c r="J99" s="1">
        <v>0.7</v>
      </c>
      <c r="K99" s="12">
        <v>13.75</v>
      </c>
      <c r="L99" s="3">
        <f t="shared" si="6"/>
        <v>368.19999999999982</v>
      </c>
      <c r="M99" s="10">
        <f t="shared" si="7"/>
        <v>5062.7499999999973</v>
      </c>
    </row>
    <row r="100" spans="1:13" x14ac:dyDescent="0.35">
      <c r="A100" s="17">
        <v>46023</v>
      </c>
      <c r="B100" s="16" t="s">
        <v>15</v>
      </c>
      <c r="C100" t="s">
        <v>330</v>
      </c>
      <c r="D100" s="16">
        <v>19962</v>
      </c>
      <c r="E100">
        <v>61636402000171</v>
      </c>
      <c r="F100" t="s">
        <v>331</v>
      </c>
      <c r="G100" s="19">
        <v>518</v>
      </c>
      <c r="H100" s="19">
        <v>286</v>
      </c>
      <c r="I100" s="15">
        <f t="shared" si="5"/>
        <v>0.55212355212355213</v>
      </c>
      <c r="J100" s="1">
        <v>0.7</v>
      </c>
      <c r="K100" s="12">
        <v>13.75</v>
      </c>
      <c r="L100" s="3">
        <f t="shared" si="6"/>
        <v>76.599999999999966</v>
      </c>
      <c r="M100" s="10">
        <f t="shared" si="7"/>
        <v>1053.2499999999995</v>
      </c>
    </row>
    <row r="101" spans="1:13" x14ac:dyDescent="0.35">
      <c r="A101" s="17">
        <v>46023</v>
      </c>
      <c r="B101" s="16" t="s">
        <v>15</v>
      </c>
      <c r="C101" t="s">
        <v>311</v>
      </c>
      <c r="D101" s="16">
        <v>19908</v>
      </c>
      <c r="E101">
        <v>57162882000109</v>
      </c>
      <c r="F101" t="s">
        <v>16</v>
      </c>
      <c r="G101" s="19">
        <v>2237</v>
      </c>
      <c r="H101" s="19">
        <v>1102</v>
      </c>
      <c r="I101" s="15">
        <f t="shared" si="5"/>
        <v>0.49262405006705406</v>
      </c>
      <c r="J101" s="1">
        <v>0.7</v>
      </c>
      <c r="K101" s="12">
        <v>13.75</v>
      </c>
      <c r="L101" s="3">
        <f t="shared" si="6"/>
        <v>463.90000000000009</v>
      </c>
      <c r="M101" s="10">
        <f t="shared" si="7"/>
        <v>6378.6250000000009</v>
      </c>
    </row>
    <row r="102" spans="1:13" x14ac:dyDescent="0.35">
      <c r="A102" s="17">
        <v>46023</v>
      </c>
      <c r="B102" s="16" t="s">
        <v>15</v>
      </c>
      <c r="C102" t="s">
        <v>19</v>
      </c>
      <c r="D102" s="16">
        <v>19694</v>
      </c>
      <c r="E102">
        <v>50899851000196</v>
      </c>
      <c r="F102" t="s">
        <v>20</v>
      </c>
      <c r="G102" s="19">
        <v>2246</v>
      </c>
      <c r="H102" s="19">
        <v>1118</v>
      </c>
      <c r="I102" s="15">
        <f t="shared" si="5"/>
        <v>0.49777382012466609</v>
      </c>
      <c r="J102" s="1">
        <v>0.7</v>
      </c>
      <c r="K102" s="12">
        <v>13.75</v>
      </c>
      <c r="L102" s="3">
        <f t="shared" si="6"/>
        <v>454.19999999999982</v>
      </c>
      <c r="M102" s="10">
        <f t="shared" si="7"/>
        <v>6245.2499999999973</v>
      </c>
    </row>
    <row r="103" spans="1:13" x14ac:dyDescent="0.35">
      <c r="A103" s="17">
        <v>46023</v>
      </c>
      <c r="B103" s="16" t="s">
        <v>15</v>
      </c>
      <c r="C103" t="s">
        <v>57</v>
      </c>
      <c r="D103" s="16">
        <v>19657</v>
      </c>
      <c r="E103">
        <v>21309900000195</v>
      </c>
      <c r="F103" t="s">
        <v>58</v>
      </c>
      <c r="G103" s="19">
        <v>2626</v>
      </c>
      <c r="H103" s="19">
        <v>1166</v>
      </c>
      <c r="I103" s="15">
        <f t="shared" si="5"/>
        <v>0.44402132520944404</v>
      </c>
      <c r="J103" s="1">
        <v>0.7</v>
      </c>
      <c r="K103" s="12">
        <v>13.75</v>
      </c>
      <c r="L103" s="3">
        <f t="shared" si="6"/>
        <v>672.19999999999982</v>
      </c>
      <c r="M103" s="10">
        <f t="shared" si="7"/>
        <v>9242.7499999999982</v>
      </c>
    </row>
    <row r="104" spans="1:13" x14ac:dyDescent="0.35">
      <c r="A104" s="17">
        <v>46023</v>
      </c>
      <c r="B104" s="16" t="s">
        <v>15</v>
      </c>
      <c r="C104" t="s">
        <v>313</v>
      </c>
      <c r="D104" s="16">
        <v>19687</v>
      </c>
      <c r="E104">
        <v>29683855000146</v>
      </c>
      <c r="F104" t="s">
        <v>88</v>
      </c>
      <c r="G104" s="19">
        <v>2020</v>
      </c>
      <c r="H104" s="19">
        <v>1578</v>
      </c>
      <c r="I104" s="15">
        <f t="shared" si="5"/>
        <v>0.78118811881188122</v>
      </c>
      <c r="J104" s="1">
        <v>0.7</v>
      </c>
      <c r="K104" s="12">
        <v>13.75</v>
      </c>
      <c r="L104" s="3">
        <f>G104-H104</f>
        <v>442</v>
      </c>
      <c r="M104" s="10">
        <f t="shared" si="7"/>
        <v>6077.5</v>
      </c>
    </row>
    <row r="105" spans="1:13" x14ac:dyDescent="0.35">
      <c r="A105" s="17">
        <v>46023</v>
      </c>
      <c r="B105" s="16" t="s">
        <v>15</v>
      </c>
      <c r="C105" t="s">
        <v>143</v>
      </c>
      <c r="D105" s="16">
        <v>19648</v>
      </c>
      <c r="E105">
        <v>20792407000106</v>
      </c>
      <c r="F105" t="s">
        <v>144</v>
      </c>
      <c r="G105" s="19">
        <v>1733</v>
      </c>
      <c r="H105" s="19">
        <v>510</v>
      </c>
      <c r="I105" s="15">
        <f t="shared" si="5"/>
        <v>0.29428736295441432</v>
      </c>
      <c r="J105" s="1">
        <v>0.7</v>
      </c>
      <c r="K105" s="12">
        <v>13.75</v>
      </c>
      <c r="L105" s="3">
        <f t="shared" si="6"/>
        <v>703.09999999999991</v>
      </c>
      <c r="M105" s="10">
        <f t="shared" si="7"/>
        <v>9667.6249999999982</v>
      </c>
    </row>
    <row r="106" spans="1:13" x14ac:dyDescent="0.35">
      <c r="A106" s="17">
        <v>46023</v>
      </c>
      <c r="B106" s="16" t="s">
        <v>15</v>
      </c>
      <c r="C106" t="s">
        <v>145</v>
      </c>
      <c r="D106" s="16">
        <v>19513</v>
      </c>
      <c r="E106">
        <v>55854505000105</v>
      </c>
      <c r="F106" t="s">
        <v>147</v>
      </c>
      <c r="G106" s="19">
        <v>3095</v>
      </c>
      <c r="H106" s="19">
        <v>1031</v>
      </c>
      <c r="I106" s="15">
        <f t="shared" si="5"/>
        <v>0.33311793214862684</v>
      </c>
      <c r="J106" s="1">
        <v>0.7</v>
      </c>
      <c r="K106" s="12">
        <v>13.75</v>
      </c>
      <c r="L106" s="3">
        <f t="shared" si="6"/>
        <v>1135.4999999999995</v>
      </c>
      <c r="M106" s="10">
        <f t="shared" si="7"/>
        <v>15613.124999999995</v>
      </c>
    </row>
    <row r="107" spans="1:13" x14ac:dyDescent="0.35">
      <c r="A107" s="17">
        <v>46023</v>
      </c>
      <c r="B107" s="16" t="s">
        <v>15</v>
      </c>
      <c r="C107" t="s">
        <v>145</v>
      </c>
      <c r="D107" s="16">
        <v>19525</v>
      </c>
      <c r="E107">
        <v>55856274000179</v>
      </c>
      <c r="F107" t="s">
        <v>148</v>
      </c>
      <c r="G107" s="19">
        <v>3586</v>
      </c>
      <c r="H107" s="19">
        <v>1331</v>
      </c>
      <c r="I107" s="15">
        <f t="shared" si="5"/>
        <v>0.37116564417177916</v>
      </c>
      <c r="J107" s="1">
        <v>0.7</v>
      </c>
      <c r="K107" s="12">
        <v>13.75</v>
      </c>
      <c r="L107" s="3">
        <f t="shared" si="6"/>
        <v>1179.1999999999998</v>
      </c>
      <c r="M107" s="10">
        <f t="shared" si="7"/>
        <v>16213.999999999998</v>
      </c>
    </row>
    <row r="108" spans="1:13" x14ac:dyDescent="0.35">
      <c r="A108" s="17">
        <v>46023</v>
      </c>
      <c r="B108" s="16" t="s">
        <v>15</v>
      </c>
      <c r="C108" t="s">
        <v>145</v>
      </c>
      <c r="D108" s="16">
        <v>19538</v>
      </c>
      <c r="E108">
        <v>48313972000162</v>
      </c>
      <c r="F108" t="s">
        <v>146</v>
      </c>
      <c r="G108" s="19">
        <v>3161</v>
      </c>
      <c r="H108" s="19">
        <v>1389</v>
      </c>
      <c r="I108" s="15">
        <f t="shared" si="5"/>
        <v>0.43941790572603606</v>
      </c>
      <c r="J108" s="1">
        <v>0.7</v>
      </c>
      <c r="K108" s="12">
        <v>13.75</v>
      </c>
      <c r="L108" s="3">
        <f t="shared" si="6"/>
        <v>823.69999999999982</v>
      </c>
      <c r="M108" s="10">
        <f t="shared" si="7"/>
        <v>11325.874999999998</v>
      </c>
    </row>
    <row r="109" spans="1:13" x14ac:dyDescent="0.35">
      <c r="A109" s="17">
        <v>46023</v>
      </c>
      <c r="B109" s="16" t="s">
        <v>15</v>
      </c>
      <c r="C109" t="s">
        <v>149</v>
      </c>
      <c r="D109" s="16">
        <v>19746</v>
      </c>
      <c r="E109">
        <v>46023276000196</v>
      </c>
      <c r="F109" t="s">
        <v>150</v>
      </c>
      <c r="G109" s="19">
        <v>2958</v>
      </c>
      <c r="H109" s="19">
        <v>1768</v>
      </c>
      <c r="I109" s="15">
        <f t="shared" si="5"/>
        <v>0.5977011494252874</v>
      </c>
      <c r="J109" s="1">
        <v>0.7</v>
      </c>
      <c r="K109" s="12">
        <v>13.75</v>
      </c>
      <c r="L109" s="3">
        <f t="shared" si="6"/>
        <v>302.59999999999991</v>
      </c>
      <c r="M109" s="10">
        <f t="shared" si="7"/>
        <v>4160.7499999999991</v>
      </c>
    </row>
    <row r="110" spans="1:13" x14ac:dyDescent="0.35">
      <c r="A110" s="17">
        <v>46023</v>
      </c>
      <c r="B110" s="16" t="s">
        <v>15</v>
      </c>
      <c r="C110" t="s">
        <v>151</v>
      </c>
      <c r="D110" s="16">
        <v>19596</v>
      </c>
      <c r="E110">
        <v>17014738000100</v>
      </c>
      <c r="F110" t="s">
        <v>153</v>
      </c>
      <c r="G110" s="19">
        <v>2180</v>
      </c>
      <c r="H110" s="19">
        <v>934</v>
      </c>
      <c r="I110" s="15">
        <f t="shared" si="5"/>
        <v>0.42844036697247706</v>
      </c>
      <c r="J110" s="1">
        <v>0.7</v>
      </c>
      <c r="K110" s="12">
        <v>13.75</v>
      </c>
      <c r="L110" s="3">
        <f t="shared" si="6"/>
        <v>592</v>
      </c>
      <c r="M110" s="10">
        <f t="shared" si="7"/>
        <v>8140</v>
      </c>
    </row>
    <row r="111" spans="1:13" x14ac:dyDescent="0.35">
      <c r="A111" s="17">
        <v>46023</v>
      </c>
      <c r="B111" s="16" t="s">
        <v>15</v>
      </c>
      <c r="C111" t="s">
        <v>151</v>
      </c>
      <c r="D111" s="16">
        <v>19599</v>
      </c>
      <c r="E111">
        <v>60449012000120</v>
      </c>
      <c r="F111" t="s">
        <v>152</v>
      </c>
      <c r="G111" s="19">
        <v>2613</v>
      </c>
      <c r="H111" s="19">
        <v>1218</v>
      </c>
      <c r="I111" s="15">
        <f t="shared" si="5"/>
        <v>0.46613088404133179</v>
      </c>
      <c r="J111" s="1">
        <v>0.7</v>
      </c>
      <c r="K111" s="12">
        <v>13.75</v>
      </c>
      <c r="L111" s="3">
        <f t="shared" si="6"/>
        <v>611.09999999999991</v>
      </c>
      <c r="M111" s="10">
        <f t="shared" si="7"/>
        <v>8402.6249999999982</v>
      </c>
    </row>
    <row r="112" spans="1:13" x14ac:dyDescent="0.35">
      <c r="A112" s="17">
        <v>46023</v>
      </c>
      <c r="B112" s="16" t="s">
        <v>15</v>
      </c>
      <c r="C112" t="s">
        <v>171</v>
      </c>
      <c r="D112" s="16">
        <v>19520</v>
      </c>
      <c r="E112">
        <v>59759219000111</v>
      </c>
      <c r="F112" t="s">
        <v>172</v>
      </c>
      <c r="G112" s="19">
        <v>1190</v>
      </c>
      <c r="H112" s="19">
        <v>555</v>
      </c>
      <c r="I112" s="15">
        <f t="shared" si="5"/>
        <v>0.46638655462184875</v>
      </c>
      <c r="J112" s="1">
        <v>0.7</v>
      </c>
      <c r="K112" s="12">
        <v>13.75</v>
      </c>
      <c r="L112" s="3">
        <f t="shared" si="6"/>
        <v>278</v>
      </c>
      <c r="M112" s="10">
        <f t="shared" si="7"/>
        <v>3822.5</v>
      </c>
    </row>
    <row r="113" spans="1:13" x14ac:dyDescent="0.35">
      <c r="A113" s="17">
        <v>46023</v>
      </c>
      <c r="B113" s="16" t="s">
        <v>15</v>
      </c>
      <c r="C113" t="s">
        <v>191</v>
      </c>
      <c r="D113" s="16">
        <v>19636</v>
      </c>
      <c r="E113">
        <v>20249984000156</v>
      </c>
      <c r="F113" t="s">
        <v>192</v>
      </c>
      <c r="G113" s="19">
        <v>2626</v>
      </c>
      <c r="H113" s="19">
        <v>996</v>
      </c>
      <c r="I113" s="15">
        <f t="shared" si="5"/>
        <v>0.37928408225437926</v>
      </c>
      <c r="J113" s="1">
        <v>0.7</v>
      </c>
      <c r="K113" s="12">
        <v>13.75</v>
      </c>
      <c r="L113" s="3">
        <f t="shared" si="6"/>
        <v>842.19999999999982</v>
      </c>
      <c r="M113" s="10">
        <f t="shared" si="7"/>
        <v>11580.249999999998</v>
      </c>
    </row>
    <row r="114" spans="1:13" x14ac:dyDescent="0.35">
      <c r="A114" s="17">
        <v>46023</v>
      </c>
      <c r="B114" s="16" t="s">
        <v>15</v>
      </c>
      <c r="C114" t="s">
        <v>320</v>
      </c>
      <c r="D114" s="16">
        <v>19504</v>
      </c>
      <c r="E114">
        <v>24840166012867</v>
      </c>
      <c r="F114" t="s">
        <v>218</v>
      </c>
      <c r="G114" s="19">
        <v>3200</v>
      </c>
      <c r="H114" s="19">
        <v>1407</v>
      </c>
      <c r="I114" s="15">
        <f t="shared" si="5"/>
        <v>0.43968750000000001</v>
      </c>
      <c r="J114" s="1">
        <v>0.7</v>
      </c>
      <c r="K114" s="12">
        <v>13.75</v>
      </c>
      <c r="L114" s="3">
        <f t="shared" si="6"/>
        <v>833</v>
      </c>
      <c r="M114" s="10">
        <f t="shared" si="7"/>
        <v>11453.75</v>
      </c>
    </row>
    <row r="115" spans="1:13" x14ac:dyDescent="0.35">
      <c r="A115" s="17">
        <v>46023</v>
      </c>
      <c r="B115" s="16" t="s">
        <v>15</v>
      </c>
      <c r="C115" t="s">
        <v>320</v>
      </c>
      <c r="D115" s="16">
        <v>19505</v>
      </c>
      <c r="E115">
        <v>24840166000346</v>
      </c>
      <c r="F115" t="s">
        <v>204</v>
      </c>
      <c r="G115" s="19">
        <v>2373</v>
      </c>
      <c r="H115" s="19">
        <v>870</v>
      </c>
      <c r="I115" s="15">
        <f t="shared" si="5"/>
        <v>0.36662452591656131</v>
      </c>
      <c r="J115" s="1">
        <v>0.7</v>
      </c>
      <c r="K115" s="12">
        <v>13.75</v>
      </c>
      <c r="L115" s="3">
        <f t="shared" si="6"/>
        <v>791.10000000000014</v>
      </c>
      <c r="M115" s="10">
        <f t="shared" si="7"/>
        <v>10877.625000000002</v>
      </c>
    </row>
    <row r="116" spans="1:13" x14ac:dyDescent="0.35">
      <c r="A116" s="17">
        <v>46023</v>
      </c>
      <c r="B116" s="16" t="s">
        <v>15</v>
      </c>
      <c r="C116" t="s">
        <v>320</v>
      </c>
      <c r="D116" s="16">
        <v>19506</v>
      </c>
      <c r="E116">
        <v>24901883000179</v>
      </c>
      <c r="F116" t="s">
        <v>220</v>
      </c>
      <c r="G116" s="19">
        <v>2620</v>
      </c>
      <c r="H116" s="19">
        <v>920</v>
      </c>
      <c r="I116" s="15">
        <f t="shared" si="5"/>
        <v>0.35114503816793891</v>
      </c>
      <c r="J116" s="1">
        <v>0.7</v>
      </c>
      <c r="K116" s="12">
        <v>13.75</v>
      </c>
      <c r="L116" s="3">
        <f t="shared" si="6"/>
        <v>914.00000000000023</v>
      </c>
      <c r="M116" s="10">
        <f t="shared" si="7"/>
        <v>12567.500000000004</v>
      </c>
    </row>
    <row r="117" spans="1:13" x14ac:dyDescent="0.35">
      <c r="A117" s="17">
        <v>46023</v>
      </c>
      <c r="B117" s="16" t="s">
        <v>15</v>
      </c>
      <c r="C117" t="s">
        <v>320</v>
      </c>
      <c r="D117" s="16">
        <v>19507</v>
      </c>
      <c r="E117">
        <v>24840166000770</v>
      </c>
      <c r="F117" t="s">
        <v>208</v>
      </c>
      <c r="G117" s="19">
        <v>3436</v>
      </c>
      <c r="H117" s="19">
        <v>1225</v>
      </c>
      <c r="I117" s="15">
        <f t="shared" si="5"/>
        <v>0.35651920838183937</v>
      </c>
      <c r="J117" s="1">
        <v>0.7</v>
      </c>
      <c r="K117" s="12">
        <v>13.75</v>
      </c>
      <c r="L117" s="3">
        <f t="shared" si="6"/>
        <v>1180.1999999999998</v>
      </c>
      <c r="M117" s="10">
        <f t="shared" si="7"/>
        <v>16227.749999999998</v>
      </c>
    </row>
    <row r="118" spans="1:13" x14ac:dyDescent="0.35">
      <c r="A118" s="17">
        <v>46023</v>
      </c>
      <c r="B118" s="16" t="s">
        <v>15</v>
      </c>
      <c r="C118" t="s">
        <v>320</v>
      </c>
      <c r="D118" s="16">
        <v>19508</v>
      </c>
      <c r="E118">
        <v>24840166010228</v>
      </c>
      <c r="F118" t="s">
        <v>212</v>
      </c>
      <c r="G118" s="19">
        <v>2733</v>
      </c>
      <c r="H118" s="19">
        <v>1186</v>
      </c>
      <c r="I118" s="15">
        <f t="shared" si="5"/>
        <v>0.43395536040980609</v>
      </c>
      <c r="J118" s="1">
        <v>0.7</v>
      </c>
      <c r="K118" s="12">
        <v>13.75</v>
      </c>
      <c r="L118" s="3">
        <f t="shared" si="6"/>
        <v>727.09999999999968</v>
      </c>
      <c r="M118" s="10">
        <f t="shared" si="7"/>
        <v>9997.6249999999964</v>
      </c>
    </row>
    <row r="119" spans="1:13" x14ac:dyDescent="0.35">
      <c r="A119" s="17">
        <v>46023</v>
      </c>
      <c r="B119" s="16" t="s">
        <v>15</v>
      </c>
      <c r="C119" t="s">
        <v>320</v>
      </c>
      <c r="D119" s="16">
        <v>19509</v>
      </c>
      <c r="E119">
        <v>24840166010813</v>
      </c>
      <c r="F119" t="s">
        <v>215</v>
      </c>
      <c r="G119" s="19">
        <v>2809</v>
      </c>
      <c r="H119" s="19">
        <v>1004</v>
      </c>
      <c r="I119" s="15">
        <f t="shared" si="5"/>
        <v>0.35742257030971875</v>
      </c>
      <c r="J119" s="1">
        <v>0.7</v>
      </c>
      <c r="K119" s="12">
        <v>13.75</v>
      </c>
      <c r="L119" s="3">
        <f t="shared" si="6"/>
        <v>962.3</v>
      </c>
      <c r="M119" s="10">
        <f t="shared" si="7"/>
        <v>13231.625</v>
      </c>
    </row>
    <row r="120" spans="1:13" x14ac:dyDescent="0.35">
      <c r="A120" s="17">
        <v>46023</v>
      </c>
      <c r="B120" s="16" t="s">
        <v>15</v>
      </c>
      <c r="C120" t="s">
        <v>320</v>
      </c>
      <c r="D120" s="16">
        <v>19511</v>
      </c>
      <c r="E120">
        <v>24840214000215</v>
      </c>
      <c r="F120" t="s">
        <v>219</v>
      </c>
      <c r="G120" s="19">
        <v>2747</v>
      </c>
      <c r="H120" s="19">
        <v>1101</v>
      </c>
      <c r="I120" s="15">
        <f t="shared" si="5"/>
        <v>0.40080087368037859</v>
      </c>
      <c r="J120" s="1">
        <v>0.7</v>
      </c>
      <c r="K120" s="12">
        <v>13.75</v>
      </c>
      <c r="L120" s="3">
        <f t="shared" si="6"/>
        <v>821.89999999999986</v>
      </c>
      <c r="M120" s="10">
        <f t="shared" si="7"/>
        <v>11301.124999999998</v>
      </c>
    </row>
    <row r="121" spans="1:13" x14ac:dyDescent="0.35">
      <c r="A121" s="17">
        <v>46023</v>
      </c>
      <c r="B121" s="16" t="s">
        <v>15</v>
      </c>
      <c r="C121" t="s">
        <v>320</v>
      </c>
      <c r="D121" s="16">
        <v>19512</v>
      </c>
      <c r="E121">
        <v>24840166006034</v>
      </c>
      <c r="F121" t="s">
        <v>211</v>
      </c>
      <c r="G121" s="19">
        <v>2101</v>
      </c>
      <c r="H121" s="19">
        <v>808</v>
      </c>
      <c r="I121" s="15">
        <f t="shared" ref="I121:I184" si="8">H121/G121</f>
        <v>0.38457877201332696</v>
      </c>
      <c r="J121" s="1">
        <v>0.7</v>
      </c>
      <c r="K121" s="12">
        <v>13.75</v>
      </c>
      <c r="L121" s="3">
        <f t="shared" si="6"/>
        <v>662.69999999999982</v>
      </c>
      <c r="M121" s="10">
        <f t="shared" si="7"/>
        <v>9112.1249999999982</v>
      </c>
    </row>
    <row r="122" spans="1:13" x14ac:dyDescent="0.35">
      <c r="A122" s="17">
        <v>46023</v>
      </c>
      <c r="B122" s="16" t="s">
        <v>15</v>
      </c>
      <c r="C122" t="s">
        <v>320</v>
      </c>
      <c r="D122" s="16">
        <v>19514</v>
      </c>
      <c r="E122">
        <v>40448339000170</v>
      </c>
      <c r="F122" t="s">
        <v>221</v>
      </c>
      <c r="G122" s="19">
        <v>3337</v>
      </c>
      <c r="H122" s="19">
        <v>1158</v>
      </c>
      <c r="I122" s="15">
        <f t="shared" si="8"/>
        <v>0.34701827989211864</v>
      </c>
      <c r="J122" s="1">
        <v>0.7</v>
      </c>
      <c r="K122" s="12">
        <v>13.75</v>
      </c>
      <c r="L122" s="3">
        <f t="shared" si="6"/>
        <v>1177.9000000000001</v>
      </c>
      <c r="M122" s="10">
        <f t="shared" si="7"/>
        <v>16196.125000000002</v>
      </c>
    </row>
    <row r="123" spans="1:13" x14ac:dyDescent="0.35">
      <c r="A123" s="17">
        <v>46023</v>
      </c>
      <c r="B123" s="16" t="s">
        <v>15</v>
      </c>
      <c r="C123" t="s">
        <v>320</v>
      </c>
      <c r="D123" s="16">
        <v>19515</v>
      </c>
      <c r="E123">
        <v>24840166000427</v>
      </c>
      <c r="F123" t="s">
        <v>205</v>
      </c>
      <c r="G123" s="19">
        <v>3661</v>
      </c>
      <c r="H123" s="19">
        <v>1376</v>
      </c>
      <c r="I123" s="15">
        <f t="shared" si="8"/>
        <v>0.37585359191477741</v>
      </c>
      <c r="J123" s="1">
        <v>0.7</v>
      </c>
      <c r="K123" s="12">
        <v>13.75</v>
      </c>
      <c r="L123" s="3">
        <f t="shared" si="6"/>
        <v>1186.6999999999998</v>
      </c>
      <c r="M123" s="10">
        <f t="shared" si="7"/>
        <v>16317.124999999998</v>
      </c>
    </row>
    <row r="124" spans="1:13" x14ac:dyDescent="0.35">
      <c r="A124" s="17">
        <v>46023</v>
      </c>
      <c r="B124" s="16" t="s">
        <v>15</v>
      </c>
      <c r="C124" t="s">
        <v>320</v>
      </c>
      <c r="D124" s="16">
        <v>19518</v>
      </c>
      <c r="E124">
        <v>24840166000699</v>
      </c>
      <c r="F124" t="s">
        <v>207</v>
      </c>
      <c r="G124" s="19">
        <v>4681</v>
      </c>
      <c r="H124" s="19">
        <v>1931</v>
      </c>
      <c r="I124" s="15">
        <f t="shared" si="8"/>
        <v>0.41251869258705404</v>
      </c>
      <c r="J124" s="1">
        <v>0.7</v>
      </c>
      <c r="K124" s="12">
        <v>13.75</v>
      </c>
      <c r="L124" s="3">
        <f t="shared" si="6"/>
        <v>1345.6999999999998</v>
      </c>
      <c r="M124" s="10">
        <f t="shared" si="7"/>
        <v>18503.374999999996</v>
      </c>
    </row>
    <row r="125" spans="1:13" x14ac:dyDescent="0.35">
      <c r="A125" s="17">
        <v>46023</v>
      </c>
      <c r="B125" s="16" t="s">
        <v>15</v>
      </c>
      <c r="C125" t="s">
        <v>320</v>
      </c>
      <c r="D125" s="16">
        <v>19519</v>
      </c>
      <c r="E125">
        <v>24840166000508</v>
      </c>
      <c r="F125" t="s">
        <v>206</v>
      </c>
      <c r="G125" s="19">
        <v>6487</v>
      </c>
      <c r="H125" s="19">
        <v>2636</v>
      </c>
      <c r="I125" s="15">
        <f t="shared" si="8"/>
        <v>0.40635116386619391</v>
      </c>
      <c r="J125" s="1">
        <v>0.7</v>
      </c>
      <c r="K125" s="12">
        <v>13.75</v>
      </c>
      <c r="L125" s="3">
        <f t="shared" si="6"/>
        <v>1904.8999999999996</v>
      </c>
      <c r="M125" s="10">
        <f t="shared" si="7"/>
        <v>26192.374999999996</v>
      </c>
    </row>
    <row r="126" spans="1:13" x14ac:dyDescent="0.35">
      <c r="A126" s="17">
        <v>46023</v>
      </c>
      <c r="B126" s="16" t="s">
        <v>15</v>
      </c>
      <c r="C126" t="s">
        <v>320</v>
      </c>
      <c r="D126" s="16">
        <v>19521</v>
      </c>
      <c r="E126">
        <v>10861940000129</v>
      </c>
      <c r="F126" t="s">
        <v>199</v>
      </c>
      <c r="G126" s="19">
        <v>3487</v>
      </c>
      <c r="H126" s="19">
        <v>1784</v>
      </c>
      <c r="I126" s="15">
        <f t="shared" si="8"/>
        <v>0.51161456839690278</v>
      </c>
      <c r="J126" s="1">
        <v>0.7</v>
      </c>
      <c r="K126" s="12">
        <v>13.75</v>
      </c>
      <c r="L126" s="3">
        <f t="shared" si="6"/>
        <v>656.90000000000009</v>
      </c>
      <c r="M126" s="10">
        <f t="shared" si="7"/>
        <v>9032.3750000000018</v>
      </c>
    </row>
    <row r="127" spans="1:13" x14ac:dyDescent="0.35">
      <c r="A127" s="17">
        <v>46023</v>
      </c>
      <c r="B127" s="16" t="s">
        <v>15</v>
      </c>
      <c r="C127" t="s">
        <v>320</v>
      </c>
      <c r="D127" s="16">
        <v>19523</v>
      </c>
      <c r="E127">
        <v>44620937000135</v>
      </c>
      <c r="F127" t="s">
        <v>224</v>
      </c>
      <c r="G127" s="19">
        <v>3292</v>
      </c>
      <c r="H127" s="19">
        <v>962</v>
      </c>
      <c r="I127" s="15">
        <f t="shared" si="8"/>
        <v>0.29222357229647633</v>
      </c>
      <c r="J127" s="1">
        <v>0.7</v>
      </c>
      <c r="K127" s="12">
        <v>13.75</v>
      </c>
      <c r="L127" s="3">
        <f t="shared" si="6"/>
        <v>1342.3999999999996</v>
      </c>
      <c r="M127" s="10">
        <f t="shared" si="7"/>
        <v>18457.999999999996</v>
      </c>
    </row>
    <row r="128" spans="1:13" x14ac:dyDescent="0.35">
      <c r="A128" s="17">
        <v>46023</v>
      </c>
      <c r="B128" s="16" t="s">
        <v>15</v>
      </c>
      <c r="C128" t="s">
        <v>320</v>
      </c>
      <c r="D128" s="16">
        <v>19526</v>
      </c>
      <c r="E128">
        <v>24840166010570</v>
      </c>
      <c r="F128" t="s">
        <v>214</v>
      </c>
      <c r="G128" s="19">
        <v>1723</v>
      </c>
      <c r="H128" s="19">
        <v>652</v>
      </c>
      <c r="I128" s="15">
        <f t="shared" si="8"/>
        <v>0.3784097504352873</v>
      </c>
      <c r="J128" s="1">
        <v>0.7</v>
      </c>
      <c r="K128" s="12">
        <v>13.75</v>
      </c>
      <c r="L128" s="3">
        <f t="shared" si="6"/>
        <v>554.09999999999991</v>
      </c>
      <c r="M128" s="10">
        <f t="shared" si="7"/>
        <v>7618.8749999999991</v>
      </c>
    </row>
    <row r="129" spans="1:13" x14ac:dyDescent="0.35">
      <c r="A129" s="17">
        <v>46023</v>
      </c>
      <c r="B129" s="16" t="s">
        <v>15</v>
      </c>
      <c r="C129" t="s">
        <v>320</v>
      </c>
      <c r="D129" s="16">
        <v>19528</v>
      </c>
      <c r="E129">
        <v>42766874000102</v>
      </c>
      <c r="F129" t="s">
        <v>223</v>
      </c>
      <c r="G129" s="19">
        <v>2545</v>
      </c>
      <c r="H129" s="19">
        <v>873</v>
      </c>
      <c r="I129" s="15">
        <f t="shared" si="8"/>
        <v>0.34302554027504911</v>
      </c>
      <c r="J129" s="1">
        <v>0.7</v>
      </c>
      <c r="K129" s="12">
        <v>13.75</v>
      </c>
      <c r="L129" s="3">
        <f t="shared" si="6"/>
        <v>908.49999999999977</v>
      </c>
      <c r="M129" s="10">
        <f t="shared" si="7"/>
        <v>12491.874999999996</v>
      </c>
    </row>
    <row r="130" spans="1:13" x14ac:dyDescent="0.35">
      <c r="A130" s="17">
        <v>46023</v>
      </c>
      <c r="B130" s="16" t="s">
        <v>15</v>
      </c>
      <c r="C130" t="s">
        <v>320</v>
      </c>
      <c r="D130" s="16">
        <v>19529</v>
      </c>
      <c r="E130">
        <v>44620937000305</v>
      </c>
      <c r="F130" t="s">
        <v>226</v>
      </c>
      <c r="G130" s="19">
        <v>5795</v>
      </c>
      <c r="H130" s="19">
        <v>1869</v>
      </c>
      <c r="I130" s="15">
        <f t="shared" si="8"/>
        <v>0.32251941328731665</v>
      </c>
      <c r="J130" s="1">
        <v>0.7</v>
      </c>
      <c r="K130" s="12">
        <v>13.75</v>
      </c>
      <c r="L130" s="3">
        <f t="shared" si="6"/>
        <v>2187.5</v>
      </c>
      <c r="M130" s="10">
        <f t="shared" si="7"/>
        <v>30078.125</v>
      </c>
    </row>
    <row r="131" spans="1:13" x14ac:dyDescent="0.35">
      <c r="A131" s="17">
        <v>46023</v>
      </c>
      <c r="B131" s="16" t="s">
        <v>15</v>
      </c>
      <c r="C131" t="s">
        <v>320</v>
      </c>
      <c r="D131" s="16">
        <v>19536</v>
      </c>
      <c r="E131">
        <v>15442958000100</v>
      </c>
      <c r="F131" t="s">
        <v>200</v>
      </c>
      <c r="G131" s="19">
        <v>2546</v>
      </c>
      <c r="H131" s="19">
        <v>946</v>
      </c>
      <c r="I131" s="15">
        <f t="shared" si="8"/>
        <v>0.37156323644933231</v>
      </c>
      <c r="J131" s="1">
        <v>0.7</v>
      </c>
      <c r="K131" s="12">
        <v>13.75</v>
      </c>
      <c r="L131" s="3">
        <f t="shared" ref="L131:L194" si="9">H131*J131/I131-H131</f>
        <v>836.19999999999959</v>
      </c>
      <c r="M131" s="10">
        <f t="shared" ref="M131:M194" si="10">L131*K131</f>
        <v>11497.749999999995</v>
      </c>
    </row>
    <row r="132" spans="1:13" x14ac:dyDescent="0.35">
      <c r="A132" s="17">
        <v>46023</v>
      </c>
      <c r="B132" s="16" t="s">
        <v>15</v>
      </c>
      <c r="C132" t="s">
        <v>320</v>
      </c>
      <c r="D132" s="16">
        <v>19600</v>
      </c>
      <c r="E132">
        <v>40448339000250</v>
      </c>
      <c r="F132" t="s">
        <v>222</v>
      </c>
      <c r="G132" s="19">
        <v>2586</v>
      </c>
      <c r="H132" s="19">
        <v>987</v>
      </c>
      <c r="I132" s="15">
        <f t="shared" si="8"/>
        <v>0.38167053364269143</v>
      </c>
      <c r="J132" s="1">
        <v>0.7</v>
      </c>
      <c r="K132" s="12">
        <v>13.75</v>
      </c>
      <c r="L132" s="3">
        <f t="shared" si="9"/>
        <v>823.19999999999982</v>
      </c>
      <c r="M132" s="10">
        <f t="shared" si="10"/>
        <v>11318.999999999998</v>
      </c>
    </row>
    <row r="133" spans="1:13" x14ac:dyDescent="0.35">
      <c r="A133" s="17">
        <v>46023</v>
      </c>
      <c r="B133" s="16" t="s">
        <v>15</v>
      </c>
      <c r="C133" t="s">
        <v>320</v>
      </c>
      <c r="D133" s="16">
        <v>19609</v>
      </c>
      <c r="E133">
        <v>45858277000198</v>
      </c>
      <c r="F133" t="s">
        <v>227</v>
      </c>
      <c r="G133" s="19">
        <v>1881</v>
      </c>
      <c r="H133" s="19">
        <v>827</v>
      </c>
      <c r="I133" s="15">
        <f t="shared" si="8"/>
        <v>0.43965975544922914</v>
      </c>
      <c r="J133" s="1">
        <v>0.7</v>
      </c>
      <c r="K133" s="12">
        <v>13.75</v>
      </c>
      <c r="L133" s="3">
        <f t="shared" si="9"/>
        <v>489.69999999999982</v>
      </c>
      <c r="M133" s="10">
        <f t="shared" si="10"/>
        <v>6733.3749999999973</v>
      </c>
    </row>
    <row r="134" spans="1:13" x14ac:dyDescent="0.35">
      <c r="A134" s="17">
        <v>46023</v>
      </c>
      <c r="B134" s="16" t="s">
        <v>15</v>
      </c>
      <c r="C134" t="s">
        <v>320</v>
      </c>
      <c r="D134" s="16">
        <v>19618</v>
      </c>
      <c r="E134">
        <v>18946221000112</v>
      </c>
      <c r="F134" t="s">
        <v>202</v>
      </c>
      <c r="G134" s="19">
        <v>2359</v>
      </c>
      <c r="H134" s="19">
        <v>940</v>
      </c>
      <c r="I134" s="15">
        <f t="shared" si="8"/>
        <v>0.39847392963119965</v>
      </c>
      <c r="J134" s="1">
        <v>0.7</v>
      </c>
      <c r="K134" s="12">
        <v>13.75</v>
      </c>
      <c r="L134" s="3">
        <f t="shared" si="9"/>
        <v>711.3</v>
      </c>
      <c r="M134" s="10">
        <f t="shared" si="10"/>
        <v>9780.375</v>
      </c>
    </row>
    <row r="135" spans="1:13" x14ac:dyDescent="0.35">
      <c r="A135" s="17">
        <v>46023</v>
      </c>
      <c r="B135" s="16" t="s">
        <v>15</v>
      </c>
      <c r="C135" t="s">
        <v>320</v>
      </c>
      <c r="D135" s="16">
        <v>19632</v>
      </c>
      <c r="E135">
        <v>20032392000188</v>
      </c>
      <c r="F135" t="s">
        <v>203</v>
      </c>
      <c r="G135" s="19">
        <v>2817</v>
      </c>
      <c r="H135" s="19">
        <v>1316</v>
      </c>
      <c r="I135" s="15">
        <f t="shared" si="8"/>
        <v>0.46716364927227549</v>
      </c>
      <c r="J135" s="1">
        <v>0.7</v>
      </c>
      <c r="K135" s="12">
        <v>13.75</v>
      </c>
      <c r="L135" s="3">
        <f t="shared" si="9"/>
        <v>655.89999999999986</v>
      </c>
      <c r="M135" s="10">
        <f t="shared" si="10"/>
        <v>9018.6249999999982</v>
      </c>
    </row>
    <row r="136" spans="1:13" x14ac:dyDescent="0.35">
      <c r="A136" s="17">
        <v>46023</v>
      </c>
      <c r="B136" s="16" t="s">
        <v>15</v>
      </c>
      <c r="C136" t="s">
        <v>320</v>
      </c>
      <c r="D136" s="16">
        <v>19635</v>
      </c>
      <c r="E136">
        <v>24840166012000</v>
      </c>
      <c r="F136" t="s">
        <v>216</v>
      </c>
      <c r="G136" s="19">
        <v>2038</v>
      </c>
      <c r="H136" s="19">
        <v>901</v>
      </c>
      <c r="I136" s="15">
        <f t="shared" si="8"/>
        <v>0.44210009813542689</v>
      </c>
      <c r="J136" s="1">
        <v>0.7</v>
      </c>
      <c r="K136" s="12">
        <v>13.75</v>
      </c>
      <c r="L136" s="3">
        <f t="shared" si="9"/>
        <v>525.59999999999991</v>
      </c>
      <c r="M136" s="10">
        <f t="shared" si="10"/>
        <v>7226.9999999999991</v>
      </c>
    </row>
    <row r="137" spans="1:13" x14ac:dyDescent="0.35">
      <c r="A137" s="17">
        <v>46023</v>
      </c>
      <c r="B137" s="16" t="s">
        <v>15</v>
      </c>
      <c r="C137" t="s">
        <v>320</v>
      </c>
      <c r="D137" s="16">
        <v>19652</v>
      </c>
      <c r="E137">
        <v>44620937000216</v>
      </c>
      <c r="F137" t="s">
        <v>225</v>
      </c>
      <c r="G137" s="19">
        <v>4960</v>
      </c>
      <c r="H137" s="19">
        <v>1400</v>
      </c>
      <c r="I137" s="15">
        <f t="shared" si="8"/>
        <v>0.28225806451612906</v>
      </c>
      <c r="J137" s="1">
        <v>0.7</v>
      </c>
      <c r="K137" s="12">
        <v>13.75</v>
      </c>
      <c r="L137" s="3">
        <f t="shared" si="9"/>
        <v>2071.9999999999991</v>
      </c>
      <c r="M137" s="10">
        <f t="shared" si="10"/>
        <v>28489.999999999989</v>
      </c>
    </row>
    <row r="138" spans="1:13" x14ac:dyDescent="0.35">
      <c r="A138" s="17">
        <v>46023</v>
      </c>
      <c r="B138" s="16" t="s">
        <v>15</v>
      </c>
      <c r="C138" t="s">
        <v>320</v>
      </c>
      <c r="D138" s="16">
        <v>19665</v>
      </c>
      <c r="E138">
        <v>24840166012514</v>
      </c>
      <c r="F138" t="s">
        <v>217</v>
      </c>
      <c r="G138" s="19">
        <v>2014</v>
      </c>
      <c r="H138" s="19">
        <v>754</v>
      </c>
      <c r="I138" s="15">
        <f t="shared" si="8"/>
        <v>0.3743793445878848</v>
      </c>
      <c r="J138" s="1">
        <v>0.7</v>
      </c>
      <c r="K138" s="12">
        <v>13.75</v>
      </c>
      <c r="L138" s="3">
        <f t="shared" si="9"/>
        <v>655.8</v>
      </c>
      <c r="M138" s="10">
        <f t="shared" si="10"/>
        <v>9017.25</v>
      </c>
    </row>
    <row r="139" spans="1:13" x14ac:dyDescent="0.35">
      <c r="A139" s="17">
        <v>46023</v>
      </c>
      <c r="B139" s="16" t="s">
        <v>15</v>
      </c>
      <c r="C139" t="s">
        <v>320</v>
      </c>
      <c r="D139" s="16">
        <v>19685</v>
      </c>
      <c r="E139">
        <v>3777902000127</v>
      </c>
      <c r="F139" t="s">
        <v>198</v>
      </c>
      <c r="G139" s="19">
        <v>1138</v>
      </c>
      <c r="H139" s="19">
        <v>458</v>
      </c>
      <c r="I139" s="15">
        <f t="shared" si="8"/>
        <v>0.4024604569420035</v>
      </c>
      <c r="J139" s="1">
        <v>0.7</v>
      </c>
      <c r="K139" s="12">
        <v>13.75</v>
      </c>
      <c r="L139" s="3">
        <f t="shared" si="9"/>
        <v>338.59999999999991</v>
      </c>
      <c r="M139" s="10">
        <f t="shared" si="10"/>
        <v>4655.7499999999991</v>
      </c>
    </row>
    <row r="140" spans="1:13" x14ac:dyDescent="0.35">
      <c r="A140" s="17">
        <v>46023</v>
      </c>
      <c r="B140" s="16" t="s">
        <v>15</v>
      </c>
      <c r="C140" t="s">
        <v>320</v>
      </c>
      <c r="D140" s="16">
        <v>19714</v>
      </c>
      <c r="E140">
        <v>24840166000850</v>
      </c>
      <c r="F140" t="s">
        <v>209</v>
      </c>
      <c r="G140" s="19">
        <v>2516</v>
      </c>
      <c r="H140" s="19">
        <v>894</v>
      </c>
      <c r="I140" s="15">
        <f t="shared" si="8"/>
        <v>0.35532591414944353</v>
      </c>
      <c r="J140" s="1">
        <v>0.7</v>
      </c>
      <c r="K140" s="12">
        <v>13.75</v>
      </c>
      <c r="L140" s="3">
        <f t="shared" si="9"/>
        <v>867.2</v>
      </c>
      <c r="M140" s="10">
        <f t="shared" si="10"/>
        <v>11924</v>
      </c>
    </row>
    <row r="141" spans="1:13" x14ac:dyDescent="0.35">
      <c r="A141" s="17">
        <v>46023</v>
      </c>
      <c r="B141" s="16" t="s">
        <v>15</v>
      </c>
      <c r="C141" t="s">
        <v>320</v>
      </c>
      <c r="D141" s="16">
        <v>19727</v>
      </c>
      <c r="E141">
        <v>15442958000290</v>
      </c>
      <c r="F141" t="s">
        <v>201</v>
      </c>
      <c r="G141" s="19">
        <v>1538</v>
      </c>
      <c r="H141" s="19">
        <v>675</v>
      </c>
      <c r="I141" s="15">
        <f t="shared" si="8"/>
        <v>0.43888166449934979</v>
      </c>
      <c r="J141" s="1">
        <v>0.7</v>
      </c>
      <c r="K141" s="12">
        <v>13.75</v>
      </c>
      <c r="L141" s="3">
        <f t="shared" si="9"/>
        <v>401.59999999999991</v>
      </c>
      <c r="M141" s="10">
        <f t="shared" si="10"/>
        <v>5521.9999999999991</v>
      </c>
    </row>
    <row r="142" spans="1:13" x14ac:dyDescent="0.35">
      <c r="A142" s="17">
        <v>46023</v>
      </c>
      <c r="B142" s="16" t="s">
        <v>15</v>
      </c>
      <c r="C142" t="s">
        <v>320</v>
      </c>
      <c r="D142" s="16">
        <v>19844</v>
      </c>
      <c r="E142">
        <v>24840166004171</v>
      </c>
      <c r="F142" t="s">
        <v>210</v>
      </c>
      <c r="G142" s="19">
        <v>2359</v>
      </c>
      <c r="H142" s="19">
        <v>900</v>
      </c>
      <c r="I142" s="15">
        <f t="shared" si="8"/>
        <v>0.3815175922000848</v>
      </c>
      <c r="J142" s="1">
        <v>0.7</v>
      </c>
      <c r="K142" s="12">
        <v>13.75</v>
      </c>
      <c r="L142" s="3">
        <f t="shared" si="9"/>
        <v>751.3</v>
      </c>
      <c r="M142" s="10">
        <f t="shared" si="10"/>
        <v>10330.375</v>
      </c>
    </row>
    <row r="143" spans="1:13" x14ac:dyDescent="0.35">
      <c r="A143" s="17">
        <v>46023</v>
      </c>
      <c r="B143" s="16" t="s">
        <v>15</v>
      </c>
      <c r="C143" t="s">
        <v>320</v>
      </c>
      <c r="D143" s="16">
        <v>19894</v>
      </c>
      <c r="E143">
        <v>24840166010490</v>
      </c>
      <c r="F143" t="s">
        <v>213</v>
      </c>
      <c r="G143" s="19">
        <v>2531</v>
      </c>
      <c r="H143" s="19">
        <v>934</v>
      </c>
      <c r="I143" s="15">
        <f t="shared" si="8"/>
        <v>0.36902410114579215</v>
      </c>
      <c r="J143" s="1">
        <v>0.7</v>
      </c>
      <c r="K143" s="12">
        <v>13.75</v>
      </c>
      <c r="L143" s="3">
        <f t="shared" si="9"/>
        <v>837.7</v>
      </c>
      <c r="M143" s="10">
        <f t="shared" si="10"/>
        <v>11518.375</v>
      </c>
    </row>
    <row r="144" spans="1:13" x14ac:dyDescent="0.35">
      <c r="A144" s="17">
        <v>46023</v>
      </c>
      <c r="B144" s="16" t="s">
        <v>15</v>
      </c>
      <c r="C144" t="s">
        <v>281</v>
      </c>
      <c r="D144" s="16">
        <v>19671</v>
      </c>
      <c r="E144">
        <v>23049894000100</v>
      </c>
      <c r="F144" t="s">
        <v>282</v>
      </c>
      <c r="G144" s="19">
        <v>2770</v>
      </c>
      <c r="H144" s="19">
        <v>1195</v>
      </c>
      <c r="I144" s="15">
        <f t="shared" si="8"/>
        <v>0.43140794223826717</v>
      </c>
      <c r="J144" s="1">
        <v>0.7</v>
      </c>
      <c r="K144" s="12">
        <v>13.75</v>
      </c>
      <c r="L144" s="3">
        <f t="shared" si="9"/>
        <v>744</v>
      </c>
      <c r="M144" s="10">
        <f t="shared" si="10"/>
        <v>10230</v>
      </c>
    </row>
    <row r="145" spans="1:13" x14ac:dyDescent="0.35">
      <c r="A145" s="17">
        <v>46023</v>
      </c>
      <c r="B145" s="16" t="s">
        <v>15</v>
      </c>
      <c r="C145" t="s">
        <v>296</v>
      </c>
      <c r="D145" s="16">
        <v>19524</v>
      </c>
      <c r="E145">
        <v>13647401000180</v>
      </c>
      <c r="F145" t="s">
        <v>297</v>
      </c>
      <c r="G145" s="19">
        <v>2353</v>
      </c>
      <c r="H145" s="19">
        <v>1022</v>
      </c>
      <c r="I145" s="15">
        <f t="shared" si="8"/>
        <v>0.43433914152146197</v>
      </c>
      <c r="J145" s="1">
        <v>0.7</v>
      </c>
      <c r="K145" s="12">
        <v>13.75</v>
      </c>
      <c r="L145" s="3">
        <f t="shared" si="9"/>
        <v>625.09999999999991</v>
      </c>
      <c r="M145" s="10">
        <f t="shared" si="10"/>
        <v>8595.1249999999982</v>
      </c>
    </row>
    <row r="146" spans="1:13" x14ac:dyDescent="0.35">
      <c r="A146" s="17">
        <v>46023</v>
      </c>
      <c r="B146" s="16" t="s">
        <v>140</v>
      </c>
      <c r="C146" t="s">
        <v>141</v>
      </c>
      <c r="D146" s="16">
        <v>19940</v>
      </c>
      <c r="E146">
        <v>47677381000101</v>
      </c>
      <c r="F146" t="s">
        <v>142</v>
      </c>
      <c r="G146" s="19">
        <v>2000</v>
      </c>
      <c r="H146" s="19">
        <v>1170</v>
      </c>
      <c r="I146" s="15">
        <f t="shared" si="8"/>
        <v>0.58499999999999996</v>
      </c>
      <c r="J146" s="1">
        <v>0.7</v>
      </c>
      <c r="K146" s="12">
        <v>13.75</v>
      </c>
      <c r="L146" s="3">
        <f t="shared" si="9"/>
        <v>230</v>
      </c>
      <c r="M146" s="10">
        <f t="shared" si="10"/>
        <v>3162.5</v>
      </c>
    </row>
    <row r="147" spans="1:13" x14ac:dyDescent="0.35">
      <c r="A147" s="17">
        <v>46023</v>
      </c>
      <c r="B147" s="16" t="s">
        <v>183</v>
      </c>
      <c r="C147" t="s">
        <v>184</v>
      </c>
      <c r="D147" s="16">
        <v>19752</v>
      </c>
      <c r="E147">
        <v>22045671000101</v>
      </c>
      <c r="F147" t="s">
        <v>185</v>
      </c>
      <c r="G147" s="19">
        <v>885</v>
      </c>
      <c r="H147" s="19">
        <v>399</v>
      </c>
      <c r="I147" s="15">
        <f t="shared" si="8"/>
        <v>0.45084745762711864</v>
      </c>
      <c r="J147" s="1">
        <v>0.7</v>
      </c>
      <c r="K147" s="12">
        <v>13.75</v>
      </c>
      <c r="L147" s="3">
        <f t="shared" si="9"/>
        <v>220.49999999999989</v>
      </c>
      <c r="M147" s="10">
        <f t="shared" si="10"/>
        <v>3031.8749999999986</v>
      </c>
    </row>
    <row r="148" spans="1:13" x14ac:dyDescent="0.35">
      <c r="A148" s="17">
        <v>46023</v>
      </c>
      <c r="B148" s="16" t="s">
        <v>40</v>
      </c>
      <c r="C148" t="s">
        <v>41</v>
      </c>
      <c r="D148" s="16">
        <v>19787</v>
      </c>
      <c r="E148">
        <v>31010714000104</v>
      </c>
      <c r="F148" t="s">
        <v>42</v>
      </c>
      <c r="G148" s="19">
        <v>972</v>
      </c>
      <c r="H148" s="19">
        <v>598</v>
      </c>
      <c r="I148" s="15">
        <f t="shared" si="8"/>
        <v>0.6152263374485597</v>
      </c>
      <c r="J148" s="1">
        <v>0.7</v>
      </c>
      <c r="K148" s="12">
        <v>13.75</v>
      </c>
      <c r="L148" s="3">
        <f t="shared" si="9"/>
        <v>82.399999999999864</v>
      </c>
      <c r="M148" s="10">
        <f t="shared" si="10"/>
        <v>1132.9999999999982</v>
      </c>
    </row>
    <row r="149" spans="1:13" x14ac:dyDescent="0.35">
      <c r="A149" s="17">
        <v>46023</v>
      </c>
      <c r="B149" s="16" t="s">
        <v>40</v>
      </c>
      <c r="C149" t="s">
        <v>41</v>
      </c>
      <c r="D149" s="16">
        <v>19868</v>
      </c>
      <c r="E149">
        <v>60067492000164</v>
      </c>
      <c r="F149" t="s">
        <v>43</v>
      </c>
      <c r="G149" s="19">
        <v>1876</v>
      </c>
      <c r="H149" s="19">
        <v>1393</v>
      </c>
      <c r="I149" s="15">
        <f t="shared" si="8"/>
        <v>0.7425373134328358</v>
      </c>
      <c r="J149" s="1">
        <v>0.7</v>
      </c>
      <c r="K149" s="12">
        <v>13.75</v>
      </c>
      <c r="L149" s="3">
        <f>G149-H149</f>
        <v>483</v>
      </c>
      <c r="M149" s="10">
        <f t="shared" si="10"/>
        <v>6641.25</v>
      </c>
    </row>
    <row r="150" spans="1:13" x14ac:dyDescent="0.35">
      <c r="A150" s="17">
        <v>46023</v>
      </c>
      <c r="B150" s="16" t="s">
        <v>71</v>
      </c>
      <c r="C150" t="s">
        <v>72</v>
      </c>
      <c r="D150" s="16">
        <v>19883</v>
      </c>
      <c r="E150">
        <v>39935443000100</v>
      </c>
      <c r="F150" t="s">
        <v>73</v>
      </c>
      <c r="G150" s="19">
        <v>1535</v>
      </c>
      <c r="H150" s="19">
        <v>626</v>
      </c>
      <c r="I150" s="15">
        <f t="shared" si="8"/>
        <v>0.40781758957654723</v>
      </c>
      <c r="J150" s="1">
        <v>0.7</v>
      </c>
      <c r="K150" s="12">
        <v>13.75</v>
      </c>
      <c r="L150" s="3">
        <f t="shared" si="9"/>
        <v>448.5</v>
      </c>
      <c r="M150" s="10">
        <f t="shared" si="10"/>
        <v>6166.875</v>
      </c>
    </row>
    <row r="151" spans="1:13" x14ac:dyDescent="0.35">
      <c r="A151" s="17">
        <v>46023</v>
      </c>
      <c r="B151" s="16" t="s">
        <v>71</v>
      </c>
      <c r="C151" t="s">
        <v>308</v>
      </c>
      <c r="D151" s="16">
        <v>19956</v>
      </c>
      <c r="E151">
        <v>56195938000169</v>
      </c>
      <c r="F151" t="s">
        <v>309</v>
      </c>
      <c r="G151" s="19">
        <v>1011</v>
      </c>
      <c r="H151" s="19">
        <v>396</v>
      </c>
      <c r="I151" s="15">
        <f t="shared" si="8"/>
        <v>0.39169139465875369</v>
      </c>
      <c r="J151" s="1">
        <v>0.7</v>
      </c>
      <c r="K151" s="12">
        <v>13.75</v>
      </c>
      <c r="L151" s="3">
        <f t="shared" si="9"/>
        <v>311.70000000000005</v>
      </c>
      <c r="M151" s="10">
        <f t="shared" si="10"/>
        <v>4285.8750000000009</v>
      </c>
    </row>
    <row r="152" spans="1:13" x14ac:dyDescent="0.35">
      <c r="A152" s="17">
        <v>46023</v>
      </c>
      <c r="B152" s="16" t="s">
        <v>71</v>
      </c>
      <c r="C152" t="s">
        <v>163</v>
      </c>
      <c r="D152" s="16">
        <v>19933</v>
      </c>
      <c r="E152">
        <v>46091372000171</v>
      </c>
      <c r="F152" t="s">
        <v>164</v>
      </c>
      <c r="G152" s="19">
        <v>394</v>
      </c>
      <c r="H152" s="19">
        <v>100</v>
      </c>
      <c r="I152" s="15">
        <f t="shared" si="8"/>
        <v>0.25380710659898476</v>
      </c>
      <c r="J152" s="1">
        <v>0.7</v>
      </c>
      <c r="K152" s="12">
        <v>13.75</v>
      </c>
      <c r="L152" s="3">
        <f t="shared" si="9"/>
        <v>175.8</v>
      </c>
      <c r="M152" s="10">
        <f t="shared" si="10"/>
        <v>2417.25</v>
      </c>
    </row>
    <row r="153" spans="1:13" x14ac:dyDescent="0.35">
      <c r="A153" s="17">
        <v>46023</v>
      </c>
      <c r="B153" s="16" t="s">
        <v>71</v>
      </c>
      <c r="C153" t="s">
        <v>175</v>
      </c>
      <c r="D153" s="16">
        <v>19540</v>
      </c>
      <c r="E153">
        <v>10689976000177</v>
      </c>
      <c r="F153" t="s">
        <v>176</v>
      </c>
      <c r="G153" s="19">
        <v>3883</v>
      </c>
      <c r="H153" s="19">
        <v>1722</v>
      </c>
      <c r="I153" s="15">
        <f t="shared" si="8"/>
        <v>0.44347154262168426</v>
      </c>
      <c r="J153" s="1">
        <v>0.7</v>
      </c>
      <c r="K153" s="12">
        <v>13.75</v>
      </c>
      <c r="L153" s="3">
        <f t="shared" si="9"/>
        <v>996.09999999999991</v>
      </c>
      <c r="M153" s="10">
        <f t="shared" si="10"/>
        <v>13696.374999999998</v>
      </c>
    </row>
    <row r="154" spans="1:13" x14ac:dyDescent="0.35">
      <c r="A154" s="17">
        <v>46023</v>
      </c>
      <c r="B154" s="16" t="s">
        <v>71</v>
      </c>
      <c r="C154" t="s">
        <v>175</v>
      </c>
      <c r="D154" s="16">
        <v>19788</v>
      </c>
      <c r="E154">
        <v>31613281000181</v>
      </c>
      <c r="F154" t="s">
        <v>177</v>
      </c>
      <c r="G154" s="19">
        <v>3868</v>
      </c>
      <c r="H154" s="19">
        <v>1313</v>
      </c>
      <c r="I154" s="15">
        <f t="shared" si="8"/>
        <v>0.33945191313340228</v>
      </c>
      <c r="J154" s="1">
        <v>0.7</v>
      </c>
      <c r="K154" s="12">
        <v>13.75</v>
      </c>
      <c r="L154" s="3">
        <f t="shared" si="9"/>
        <v>1394.5999999999995</v>
      </c>
      <c r="M154" s="10">
        <f t="shared" si="10"/>
        <v>19175.749999999993</v>
      </c>
    </row>
    <row r="155" spans="1:13" x14ac:dyDescent="0.35">
      <c r="A155" s="17">
        <v>46023</v>
      </c>
      <c r="B155" s="16" t="s">
        <v>71</v>
      </c>
      <c r="C155" t="s">
        <v>175</v>
      </c>
      <c r="D155" s="16">
        <v>19842</v>
      </c>
      <c r="E155">
        <v>34924567000176</v>
      </c>
      <c r="F155" t="s">
        <v>178</v>
      </c>
      <c r="G155" s="19">
        <v>3141</v>
      </c>
      <c r="H155" s="19">
        <v>1048</v>
      </c>
      <c r="I155" s="15">
        <f t="shared" si="8"/>
        <v>0.33365170327921045</v>
      </c>
      <c r="J155" s="1">
        <v>0.7</v>
      </c>
      <c r="K155" s="12">
        <v>13.75</v>
      </c>
      <c r="L155" s="3">
        <f t="shared" si="9"/>
        <v>1150.6999999999998</v>
      </c>
      <c r="M155" s="10">
        <f t="shared" si="10"/>
        <v>15822.124999999998</v>
      </c>
    </row>
    <row r="156" spans="1:13" x14ac:dyDescent="0.35">
      <c r="A156" s="17">
        <v>46023</v>
      </c>
      <c r="B156" s="16" t="s">
        <v>71</v>
      </c>
      <c r="C156" t="s">
        <v>175</v>
      </c>
      <c r="D156" s="16">
        <v>19874</v>
      </c>
      <c r="E156">
        <v>36860191000109</v>
      </c>
      <c r="F156" t="s">
        <v>179</v>
      </c>
      <c r="G156" s="19">
        <v>3480</v>
      </c>
      <c r="H156" s="19">
        <v>1281</v>
      </c>
      <c r="I156" s="15">
        <f t="shared" si="8"/>
        <v>0.36810344827586206</v>
      </c>
      <c r="J156" s="1">
        <v>0.7</v>
      </c>
      <c r="K156" s="12">
        <v>13.75</v>
      </c>
      <c r="L156" s="3">
        <f t="shared" si="9"/>
        <v>1155</v>
      </c>
      <c r="M156" s="10">
        <f t="shared" si="10"/>
        <v>15881.25</v>
      </c>
    </row>
    <row r="157" spans="1:13" x14ac:dyDescent="0.35">
      <c r="A157" s="17">
        <v>46023</v>
      </c>
      <c r="B157" s="16" t="s">
        <v>71</v>
      </c>
      <c r="C157" t="s">
        <v>175</v>
      </c>
      <c r="D157" s="16">
        <v>19947</v>
      </c>
      <c r="E157">
        <v>48557307000114</v>
      </c>
      <c r="F157" t="s">
        <v>180</v>
      </c>
      <c r="G157" s="19">
        <v>2973</v>
      </c>
      <c r="H157" s="19">
        <v>1012</v>
      </c>
      <c r="I157" s="15">
        <f t="shared" si="8"/>
        <v>0.34039690548267743</v>
      </c>
      <c r="J157" s="1">
        <v>0.7</v>
      </c>
      <c r="K157" s="12">
        <v>13.75</v>
      </c>
      <c r="L157" s="3">
        <f t="shared" si="9"/>
        <v>1069.0999999999999</v>
      </c>
      <c r="M157" s="10">
        <f t="shared" si="10"/>
        <v>14700.124999999998</v>
      </c>
    </row>
    <row r="158" spans="1:13" x14ac:dyDescent="0.35">
      <c r="A158" s="17">
        <v>46023</v>
      </c>
      <c r="B158" s="16" t="s">
        <v>3</v>
      </c>
      <c r="C158" t="s">
        <v>4</v>
      </c>
      <c r="D158" s="16">
        <v>19928</v>
      </c>
      <c r="E158">
        <v>45991327000100</v>
      </c>
      <c r="F158" t="s">
        <v>5</v>
      </c>
      <c r="G158" s="19">
        <v>2179</v>
      </c>
      <c r="H158" s="19">
        <v>1057</v>
      </c>
      <c r="I158" s="15">
        <f t="shared" si="8"/>
        <v>0.48508490133088572</v>
      </c>
      <c r="J158" s="1">
        <v>0.7</v>
      </c>
      <c r="K158" s="12">
        <v>13.75</v>
      </c>
      <c r="L158" s="3">
        <f t="shared" si="9"/>
        <v>468.29999999999995</v>
      </c>
      <c r="M158" s="10">
        <f t="shared" si="10"/>
        <v>6439.1249999999991</v>
      </c>
    </row>
    <row r="159" spans="1:13" x14ac:dyDescent="0.35">
      <c r="A159" s="17">
        <v>46023</v>
      </c>
      <c r="B159" s="16" t="s">
        <v>3</v>
      </c>
      <c r="C159" t="s">
        <v>10</v>
      </c>
      <c r="D159" s="16">
        <v>19948</v>
      </c>
      <c r="E159">
        <v>50668787000132</v>
      </c>
      <c r="F159" t="s">
        <v>11</v>
      </c>
      <c r="G159" s="19">
        <v>1419</v>
      </c>
      <c r="H159" s="19">
        <v>464</v>
      </c>
      <c r="I159" s="15">
        <f t="shared" si="8"/>
        <v>0.32699083861874562</v>
      </c>
      <c r="J159" s="1">
        <v>0.7</v>
      </c>
      <c r="K159" s="12">
        <v>13.75</v>
      </c>
      <c r="L159" s="3">
        <f t="shared" si="9"/>
        <v>529.29999999999984</v>
      </c>
      <c r="M159" s="10">
        <f t="shared" si="10"/>
        <v>7277.8749999999982</v>
      </c>
    </row>
    <row r="160" spans="1:13" x14ac:dyDescent="0.35">
      <c r="A160" s="17">
        <v>46023</v>
      </c>
      <c r="B160" s="16" t="s">
        <v>3</v>
      </c>
      <c r="C160" t="s">
        <v>12</v>
      </c>
      <c r="D160" s="16">
        <v>19901</v>
      </c>
      <c r="E160">
        <v>42741697000100</v>
      </c>
      <c r="F160" t="s">
        <v>13</v>
      </c>
      <c r="G160" s="19">
        <v>986</v>
      </c>
      <c r="H160" s="19">
        <v>298</v>
      </c>
      <c r="I160" s="15">
        <f t="shared" si="8"/>
        <v>0.30223123732251522</v>
      </c>
      <c r="J160" s="1">
        <v>0.7</v>
      </c>
      <c r="K160" s="12">
        <v>13.75</v>
      </c>
      <c r="L160" s="3">
        <f t="shared" si="9"/>
        <v>392.19999999999993</v>
      </c>
      <c r="M160" s="10">
        <f t="shared" si="10"/>
        <v>5392.7499999999991</v>
      </c>
    </row>
    <row r="161" spans="1:13" x14ac:dyDescent="0.35">
      <c r="A161" s="17">
        <v>46023</v>
      </c>
      <c r="B161" s="16" t="s">
        <v>3</v>
      </c>
      <c r="C161" t="s">
        <v>17</v>
      </c>
      <c r="D161" s="16">
        <v>19715</v>
      </c>
      <c r="E161">
        <v>26174368000160</v>
      </c>
      <c r="F161" t="s">
        <v>18</v>
      </c>
      <c r="G161" s="19">
        <v>1977</v>
      </c>
      <c r="H161" s="19">
        <v>1141</v>
      </c>
      <c r="I161" s="15">
        <f t="shared" si="8"/>
        <v>0.57713707637835099</v>
      </c>
      <c r="J161" s="1">
        <v>0.7</v>
      </c>
      <c r="K161" s="12">
        <v>13.75</v>
      </c>
      <c r="L161" s="3">
        <f t="shared" si="9"/>
        <v>242.90000000000009</v>
      </c>
      <c r="M161" s="10">
        <f t="shared" si="10"/>
        <v>3339.8750000000014</v>
      </c>
    </row>
    <row r="162" spans="1:13" x14ac:dyDescent="0.35">
      <c r="A162" s="17">
        <v>46023</v>
      </c>
      <c r="B162" s="16" t="s">
        <v>3</v>
      </c>
      <c r="C162" t="s">
        <v>24</v>
      </c>
      <c r="D162" s="16">
        <v>19805</v>
      </c>
      <c r="E162">
        <v>55056005001280</v>
      </c>
      <c r="F162" t="s">
        <v>25</v>
      </c>
      <c r="G162" s="19">
        <v>1774</v>
      </c>
      <c r="H162" s="19">
        <v>775</v>
      </c>
      <c r="I162" s="15">
        <f t="shared" si="8"/>
        <v>0.43686583990980832</v>
      </c>
      <c r="J162" s="1">
        <v>0.7</v>
      </c>
      <c r="K162" s="12">
        <v>13.75</v>
      </c>
      <c r="L162" s="3">
        <f t="shared" si="9"/>
        <v>466.80000000000018</v>
      </c>
      <c r="M162" s="10">
        <f t="shared" si="10"/>
        <v>6418.5000000000027</v>
      </c>
    </row>
    <row r="163" spans="1:13" x14ac:dyDescent="0.35">
      <c r="A163" s="17">
        <v>46023</v>
      </c>
      <c r="B163" s="16" t="s">
        <v>3</v>
      </c>
      <c r="C163" t="s">
        <v>44</v>
      </c>
      <c r="D163" s="16">
        <v>19930</v>
      </c>
      <c r="E163">
        <v>45614459000113</v>
      </c>
      <c r="F163" t="s">
        <v>45</v>
      </c>
      <c r="G163" s="19">
        <v>2687</v>
      </c>
      <c r="H163" s="19">
        <v>1305</v>
      </c>
      <c r="I163" s="15">
        <f t="shared" si="8"/>
        <v>0.48567175288425751</v>
      </c>
      <c r="J163" s="1">
        <v>0.7</v>
      </c>
      <c r="K163" s="12">
        <v>13.75</v>
      </c>
      <c r="L163" s="3">
        <f t="shared" si="9"/>
        <v>575.89999999999986</v>
      </c>
      <c r="M163" s="10">
        <f t="shared" si="10"/>
        <v>7918.6249999999982</v>
      </c>
    </row>
    <row r="164" spans="1:13" x14ac:dyDescent="0.35">
      <c r="A164" s="17">
        <v>46023</v>
      </c>
      <c r="B164" s="16" t="s">
        <v>3</v>
      </c>
      <c r="C164" t="s">
        <v>64</v>
      </c>
      <c r="D164" s="16">
        <v>19616</v>
      </c>
      <c r="E164">
        <v>52739207000186</v>
      </c>
      <c r="F164" t="s">
        <v>66</v>
      </c>
      <c r="G164" s="19">
        <v>3681</v>
      </c>
      <c r="H164" s="19">
        <v>1404</v>
      </c>
      <c r="I164" s="15">
        <f t="shared" si="8"/>
        <v>0.38141809290953543</v>
      </c>
      <c r="J164" s="1">
        <v>0.7</v>
      </c>
      <c r="K164" s="12">
        <v>13.75</v>
      </c>
      <c r="L164" s="3">
        <f t="shared" si="9"/>
        <v>1172.6999999999998</v>
      </c>
      <c r="M164" s="10">
        <f t="shared" si="10"/>
        <v>16124.624999999998</v>
      </c>
    </row>
    <row r="165" spans="1:13" x14ac:dyDescent="0.35">
      <c r="A165" s="17">
        <v>46023</v>
      </c>
      <c r="B165" s="16" t="s">
        <v>3</v>
      </c>
      <c r="C165" t="s">
        <v>64</v>
      </c>
      <c r="D165" s="16">
        <v>19688</v>
      </c>
      <c r="E165">
        <v>52739920000120</v>
      </c>
      <c r="F165" t="s">
        <v>67</v>
      </c>
      <c r="G165" s="19">
        <v>1649</v>
      </c>
      <c r="H165" s="19">
        <v>507</v>
      </c>
      <c r="I165" s="15">
        <f t="shared" si="8"/>
        <v>0.30745906610066709</v>
      </c>
      <c r="J165" s="1">
        <v>0.7</v>
      </c>
      <c r="K165" s="12">
        <v>13.75</v>
      </c>
      <c r="L165" s="3">
        <f t="shared" si="9"/>
        <v>647.29999999999995</v>
      </c>
      <c r="M165" s="10">
        <f t="shared" si="10"/>
        <v>8900.375</v>
      </c>
    </row>
    <row r="166" spans="1:13" x14ac:dyDescent="0.35">
      <c r="A166" s="17">
        <v>46023</v>
      </c>
      <c r="B166" s="16" t="s">
        <v>3</v>
      </c>
      <c r="C166" t="s">
        <v>64</v>
      </c>
      <c r="D166" s="16">
        <v>19696</v>
      </c>
      <c r="E166">
        <v>39735734000154</v>
      </c>
      <c r="F166" t="s">
        <v>65</v>
      </c>
      <c r="G166" s="19">
        <v>1038</v>
      </c>
      <c r="H166" s="19">
        <v>326</v>
      </c>
      <c r="I166" s="15">
        <f t="shared" si="8"/>
        <v>0.31406551059730248</v>
      </c>
      <c r="J166" s="1">
        <v>0.7</v>
      </c>
      <c r="K166" s="12">
        <v>13.75</v>
      </c>
      <c r="L166" s="3">
        <f t="shared" si="9"/>
        <v>400.6</v>
      </c>
      <c r="M166" s="10">
        <f t="shared" si="10"/>
        <v>5508.25</v>
      </c>
    </row>
    <row r="167" spans="1:13" x14ac:dyDescent="0.35">
      <c r="A167" s="17">
        <v>46023</v>
      </c>
      <c r="B167" s="16" t="s">
        <v>3</v>
      </c>
      <c r="C167" t="s">
        <v>108</v>
      </c>
      <c r="D167" s="16">
        <v>19877</v>
      </c>
      <c r="E167">
        <v>55056005001442</v>
      </c>
      <c r="F167" t="s">
        <v>109</v>
      </c>
      <c r="G167" s="19">
        <v>3232</v>
      </c>
      <c r="H167" s="19">
        <v>836</v>
      </c>
      <c r="I167" s="15">
        <f t="shared" si="8"/>
        <v>0.25866336633663367</v>
      </c>
      <c r="J167" s="1">
        <v>0.7</v>
      </c>
      <c r="K167" s="12">
        <v>13.75</v>
      </c>
      <c r="L167" s="3">
        <f t="shared" si="9"/>
        <v>1426.3999999999996</v>
      </c>
      <c r="M167" s="10">
        <f t="shared" si="10"/>
        <v>19612.999999999996</v>
      </c>
    </row>
    <row r="168" spans="1:13" x14ac:dyDescent="0.35">
      <c r="A168" s="17">
        <v>46023</v>
      </c>
      <c r="B168" s="16" t="s">
        <v>3</v>
      </c>
      <c r="C168" t="s">
        <v>110</v>
      </c>
      <c r="D168" s="16">
        <v>19884</v>
      </c>
      <c r="E168">
        <v>52912647000436</v>
      </c>
      <c r="F168" t="s">
        <v>111</v>
      </c>
      <c r="G168" s="19">
        <v>1732</v>
      </c>
      <c r="H168" s="19">
        <v>566</v>
      </c>
      <c r="I168" s="15">
        <f t="shared" si="8"/>
        <v>0.32678983833718245</v>
      </c>
      <c r="J168" s="1">
        <v>0.7</v>
      </c>
      <c r="K168" s="12">
        <v>13.75</v>
      </c>
      <c r="L168" s="3">
        <f t="shared" si="9"/>
        <v>646.39999999999986</v>
      </c>
      <c r="M168" s="10">
        <f t="shared" si="10"/>
        <v>8887.9999999999982</v>
      </c>
    </row>
    <row r="169" spans="1:13" x14ac:dyDescent="0.35">
      <c r="A169" s="17">
        <v>46023</v>
      </c>
      <c r="B169" s="16" t="s">
        <v>3</v>
      </c>
      <c r="C169" t="s">
        <v>319</v>
      </c>
      <c r="D169" s="16">
        <v>19745</v>
      </c>
      <c r="E169">
        <v>55056005000632</v>
      </c>
      <c r="F169" t="s">
        <v>154</v>
      </c>
      <c r="G169" s="19">
        <v>2013</v>
      </c>
      <c r="H169" s="19">
        <v>853</v>
      </c>
      <c r="I169" s="15">
        <f t="shared" si="8"/>
        <v>0.42374565325385</v>
      </c>
      <c r="J169" s="1">
        <v>0.7</v>
      </c>
      <c r="K169" s="12">
        <v>13.75</v>
      </c>
      <c r="L169" s="3">
        <f t="shared" si="9"/>
        <v>556.09999999999968</v>
      </c>
      <c r="M169" s="10">
        <f t="shared" si="10"/>
        <v>7646.3749999999955</v>
      </c>
    </row>
    <row r="170" spans="1:13" x14ac:dyDescent="0.35">
      <c r="A170" s="17">
        <v>46023</v>
      </c>
      <c r="B170" s="16" t="s">
        <v>3</v>
      </c>
      <c r="C170" t="s">
        <v>165</v>
      </c>
      <c r="D170" s="16">
        <v>19761</v>
      </c>
      <c r="E170">
        <v>37557897000169</v>
      </c>
      <c r="F170" t="s">
        <v>166</v>
      </c>
      <c r="G170" s="19">
        <v>1492</v>
      </c>
      <c r="H170" s="19">
        <v>633</v>
      </c>
      <c r="I170" s="15">
        <f t="shared" si="8"/>
        <v>0.42426273458445041</v>
      </c>
      <c r="J170" s="1">
        <v>0.7</v>
      </c>
      <c r="K170" s="12">
        <v>13.75</v>
      </c>
      <c r="L170" s="3">
        <f t="shared" si="9"/>
        <v>411.39999999999986</v>
      </c>
      <c r="M170" s="10">
        <f t="shared" si="10"/>
        <v>5656.7499999999982</v>
      </c>
    </row>
    <row r="171" spans="1:13" x14ac:dyDescent="0.35">
      <c r="A171" s="17">
        <v>46023</v>
      </c>
      <c r="B171" s="16" t="s">
        <v>3</v>
      </c>
      <c r="C171" t="s">
        <v>167</v>
      </c>
      <c r="D171" s="16">
        <v>19578</v>
      </c>
      <c r="E171">
        <v>15811307000220</v>
      </c>
      <c r="F171" t="s">
        <v>168</v>
      </c>
      <c r="G171" s="19">
        <v>2106</v>
      </c>
      <c r="H171" s="19">
        <v>749</v>
      </c>
      <c r="I171" s="15">
        <f t="shared" si="8"/>
        <v>0.35565052231718897</v>
      </c>
      <c r="J171" s="1">
        <v>0.7</v>
      </c>
      <c r="K171" s="12">
        <v>13.75</v>
      </c>
      <c r="L171" s="3">
        <f t="shared" si="9"/>
        <v>725.2</v>
      </c>
      <c r="M171" s="10">
        <f t="shared" si="10"/>
        <v>9971.5</v>
      </c>
    </row>
    <row r="172" spans="1:13" x14ac:dyDescent="0.35">
      <c r="A172" s="17">
        <v>46023</v>
      </c>
      <c r="B172" s="16" t="s">
        <v>3</v>
      </c>
      <c r="C172" t="s">
        <v>193</v>
      </c>
      <c r="D172" s="16">
        <v>19832</v>
      </c>
      <c r="E172">
        <v>57674702000178</v>
      </c>
      <c r="F172" t="s">
        <v>194</v>
      </c>
      <c r="G172" s="19">
        <v>1333</v>
      </c>
      <c r="H172" s="19">
        <v>472</v>
      </c>
      <c r="I172" s="15">
        <f t="shared" si="8"/>
        <v>0.35408852213053266</v>
      </c>
      <c r="J172" s="1">
        <v>0.7</v>
      </c>
      <c r="K172" s="12">
        <v>13.75</v>
      </c>
      <c r="L172" s="3">
        <f t="shared" si="9"/>
        <v>461.09999999999991</v>
      </c>
      <c r="M172" s="10">
        <f t="shared" si="10"/>
        <v>6340.1249999999991</v>
      </c>
    </row>
    <row r="173" spans="1:13" x14ac:dyDescent="0.35">
      <c r="A173" s="17">
        <v>46023</v>
      </c>
      <c r="B173" s="16" t="s">
        <v>3</v>
      </c>
      <c r="C173" t="s">
        <v>321</v>
      </c>
      <c r="D173" s="16">
        <v>19847</v>
      </c>
      <c r="E173">
        <v>55056005000390</v>
      </c>
      <c r="F173" t="s">
        <v>238</v>
      </c>
      <c r="G173" s="19">
        <v>1811</v>
      </c>
      <c r="H173" s="19">
        <v>562</v>
      </c>
      <c r="I173" s="15">
        <f t="shared" si="8"/>
        <v>0.31032578685808948</v>
      </c>
      <c r="J173" s="1">
        <v>0.7</v>
      </c>
      <c r="K173" s="12">
        <v>13.75</v>
      </c>
      <c r="L173" s="3">
        <f t="shared" si="9"/>
        <v>705.69999999999982</v>
      </c>
      <c r="M173" s="10">
        <f t="shared" si="10"/>
        <v>9703.3749999999982</v>
      </c>
    </row>
    <row r="174" spans="1:13" x14ac:dyDescent="0.35">
      <c r="A174" s="17">
        <v>46023</v>
      </c>
      <c r="B174" s="16" t="s">
        <v>3</v>
      </c>
      <c r="C174" t="s">
        <v>239</v>
      </c>
      <c r="D174" s="16">
        <v>19708</v>
      </c>
      <c r="E174">
        <v>55056005000551</v>
      </c>
      <c r="F174" t="s">
        <v>240</v>
      </c>
      <c r="G174" s="19">
        <v>2816</v>
      </c>
      <c r="H174" s="19">
        <v>1048</v>
      </c>
      <c r="I174" s="15">
        <f t="shared" si="8"/>
        <v>0.37215909090909088</v>
      </c>
      <c r="J174" s="1">
        <v>0.7</v>
      </c>
      <c r="K174" s="12">
        <v>13.75</v>
      </c>
      <c r="L174" s="3">
        <f t="shared" si="9"/>
        <v>923.19999999999982</v>
      </c>
      <c r="M174" s="10">
        <f t="shared" si="10"/>
        <v>12693.999999999998</v>
      </c>
    </row>
    <row r="175" spans="1:13" x14ac:dyDescent="0.35">
      <c r="A175" s="17">
        <v>46023</v>
      </c>
      <c r="B175" s="16" t="s">
        <v>3</v>
      </c>
      <c r="C175" t="s">
        <v>322</v>
      </c>
      <c r="D175" s="16">
        <v>19820</v>
      </c>
      <c r="E175">
        <v>55056005001108</v>
      </c>
      <c r="F175" t="s">
        <v>242</v>
      </c>
      <c r="G175" s="19">
        <v>1074</v>
      </c>
      <c r="H175" s="19">
        <v>317</v>
      </c>
      <c r="I175" s="15">
        <f t="shared" si="8"/>
        <v>0.2951582867783985</v>
      </c>
      <c r="J175" s="1">
        <v>0.7</v>
      </c>
      <c r="K175" s="12">
        <v>13.75</v>
      </c>
      <c r="L175" s="3">
        <f t="shared" si="9"/>
        <v>434.79999999999995</v>
      </c>
      <c r="M175" s="10">
        <f t="shared" si="10"/>
        <v>5978.4999999999991</v>
      </c>
    </row>
    <row r="176" spans="1:13" x14ac:dyDescent="0.35">
      <c r="A176" s="17">
        <v>46023</v>
      </c>
      <c r="B176" s="16" t="s">
        <v>3</v>
      </c>
      <c r="C176" t="s">
        <v>322</v>
      </c>
      <c r="D176" s="16">
        <v>19825</v>
      </c>
      <c r="E176">
        <v>55056005000209</v>
      </c>
      <c r="F176" t="s">
        <v>241</v>
      </c>
      <c r="G176" s="19">
        <v>1483</v>
      </c>
      <c r="H176" s="19">
        <v>455</v>
      </c>
      <c r="I176" s="15">
        <f t="shared" si="8"/>
        <v>0.30681051921780178</v>
      </c>
      <c r="J176" s="1">
        <v>0.7</v>
      </c>
      <c r="K176" s="12">
        <v>13.75</v>
      </c>
      <c r="L176" s="3">
        <f t="shared" si="9"/>
        <v>583.09999999999991</v>
      </c>
      <c r="M176" s="10">
        <f t="shared" si="10"/>
        <v>8017.6249999999991</v>
      </c>
    </row>
    <row r="177" spans="1:13" x14ac:dyDescent="0.35">
      <c r="A177" s="17">
        <v>46023</v>
      </c>
      <c r="B177" s="16" t="s">
        <v>3</v>
      </c>
      <c r="C177" t="s">
        <v>323</v>
      </c>
      <c r="D177" s="16">
        <v>19808</v>
      </c>
      <c r="E177">
        <v>55056005000985</v>
      </c>
      <c r="F177" t="s">
        <v>243</v>
      </c>
      <c r="G177" s="19">
        <v>1472</v>
      </c>
      <c r="H177" s="19">
        <v>396</v>
      </c>
      <c r="I177" s="15">
        <f t="shared" si="8"/>
        <v>0.26902173913043476</v>
      </c>
      <c r="J177" s="1">
        <v>0.7</v>
      </c>
      <c r="K177" s="12">
        <v>13.75</v>
      </c>
      <c r="L177" s="3">
        <f t="shared" si="9"/>
        <v>634.40000000000009</v>
      </c>
      <c r="M177" s="10">
        <f t="shared" si="10"/>
        <v>8723.0000000000018</v>
      </c>
    </row>
    <row r="178" spans="1:13" x14ac:dyDescent="0.35">
      <c r="A178" s="17">
        <v>46023</v>
      </c>
      <c r="B178" s="16" t="s">
        <v>3</v>
      </c>
      <c r="C178" t="s">
        <v>248</v>
      </c>
      <c r="D178" s="16">
        <v>19572</v>
      </c>
      <c r="E178">
        <v>15811307000140</v>
      </c>
      <c r="F178" t="s">
        <v>249</v>
      </c>
      <c r="G178" s="19">
        <v>4462</v>
      </c>
      <c r="H178" s="19">
        <v>2053</v>
      </c>
      <c r="I178" s="15">
        <f t="shared" si="8"/>
        <v>0.46010757507844013</v>
      </c>
      <c r="J178" s="1">
        <v>0.7</v>
      </c>
      <c r="K178" s="12">
        <v>13.75</v>
      </c>
      <c r="L178" s="3">
        <f t="shared" si="9"/>
        <v>1070.4000000000001</v>
      </c>
      <c r="M178" s="10">
        <f t="shared" si="10"/>
        <v>14718.000000000002</v>
      </c>
    </row>
    <row r="179" spans="1:13" x14ac:dyDescent="0.35">
      <c r="A179" s="17">
        <v>46023</v>
      </c>
      <c r="B179" s="16" t="s">
        <v>3</v>
      </c>
      <c r="C179" t="s">
        <v>248</v>
      </c>
      <c r="D179" s="16">
        <v>19579</v>
      </c>
      <c r="E179">
        <v>23104950000757</v>
      </c>
      <c r="F179" t="s">
        <v>254</v>
      </c>
      <c r="G179" s="19">
        <v>1644</v>
      </c>
      <c r="H179" s="19">
        <v>593</v>
      </c>
      <c r="I179" s="15">
        <f t="shared" si="8"/>
        <v>0.36070559610705594</v>
      </c>
      <c r="J179" s="1">
        <v>0.7</v>
      </c>
      <c r="K179" s="12">
        <v>13.75</v>
      </c>
      <c r="L179" s="3">
        <f t="shared" si="9"/>
        <v>557.79999999999995</v>
      </c>
      <c r="M179" s="10">
        <f t="shared" si="10"/>
        <v>7669.7499999999991</v>
      </c>
    </row>
    <row r="180" spans="1:13" x14ac:dyDescent="0.35">
      <c r="A180" s="17">
        <v>46023</v>
      </c>
      <c r="B180" s="16" t="s">
        <v>3</v>
      </c>
      <c r="C180" t="s">
        <v>248</v>
      </c>
      <c r="D180" s="16">
        <v>19674</v>
      </c>
      <c r="E180">
        <v>23104950000161</v>
      </c>
      <c r="F180" t="s">
        <v>251</v>
      </c>
      <c r="G180" s="19">
        <v>1926</v>
      </c>
      <c r="H180" s="19">
        <v>612</v>
      </c>
      <c r="I180" s="15">
        <f t="shared" si="8"/>
        <v>0.31775700934579437</v>
      </c>
      <c r="J180" s="1">
        <v>0.7</v>
      </c>
      <c r="K180" s="12">
        <v>13.75</v>
      </c>
      <c r="L180" s="3">
        <f t="shared" si="9"/>
        <v>736.2</v>
      </c>
      <c r="M180" s="10">
        <f t="shared" si="10"/>
        <v>10122.75</v>
      </c>
    </row>
    <row r="181" spans="1:13" x14ac:dyDescent="0.35">
      <c r="A181" s="17">
        <v>46023</v>
      </c>
      <c r="B181" s="16" t="s">
        <v>3</v>
      </c>
      <c r="C181" t="s">
        <v>248</v>
      </c>
      <c r="D181" s="16">
        <v>19710</v>
      </c>
      <c r="E181">
        <v>55056005000713</v>
      </c>
      <c r="F181" t="s">
        <v>261</v>
      </c>
      <c r="G181" s="19">
        <v>1634</v>
      </c>
      <c r="H181" s="19">
        <v>674</v>
      </c>
      <c r="I181" s="15">
        <f t="shared" si="8"/>
        <v>0.41248470012239902</v>
      </c>
      <c r="J181" s="1">
        <v>0.7</v>
      </c>
      <c r="K181" s="12">
        <v>13.75</v>
      </c>
      <c r="L181" s="3">
        <f t="shared" si="9"/>
        <v>469.79999999999995</v>
      </c>
      <c r="M181" s="10">
        <f t="shared" si="10"/>
        <v>6459.7499999999991</v>
      </c>
    </row>
    <row r="182" spans="1:13" x14ac:dyDescent="0.35">
      <c r="A182" s="17">
        <v>46023</v>
      </c>
      <c r="B182" s="16" t="s">
        <v>3</v>
      </c>
      <c r="C182" t="s">
        <v>248</v>
      </c>
      <c r="D182" s="16">
        <v>19711</v>
      </c>
      <c r="E182">
        <v>52912647000860</v>
      </c>
      <c r="F182" t="s">
        <v>264</v>
      </c>
      <c r="G182" s="19">
        <v>1460</v>
      </c>
      <c r="H182" s="19">
        <v>530</v>
      </c>
      <c r="I182" s="15">
        <f t="shared" si="8"/>
        <v>0.36301369863013699</v>
      </c>
      <c r="J182" s="1">
        <v>0.7</v>
      </c>
      <c r="K182" s="12">
        <v>13.75</v>
      </c>
      <c r="L182" s="3">
        <f t="shared" si="9"/>
        <v>492</v>
      </c>
      <c r="M182" s="10">
        <f t="shared" si="10"/>
        <v>6765</v>
      </c>
    </row>
    <row r="183" spans="1:13" x14ac:dyDescent="0.35">
      <c r="A183" s="17">
        <v>46023</v>
      </c>
      <c r="B183" s="16" t="s">
        <v>3</v>
      </c>
      <c r="C183" t="s">
        <v>248</v>
      </c>
      <c r="D183" s="16">
        <v>19716</v>
      </c>
      <c r="E183">
        <v>26128584000179</v>
      </c>
      <c r="F183" t="s">
        <v>262</v>
      </c>
      <c r="G183" s="19">
        <v>1743</v>
      </c>
      <c r="H183" s="19">
        <v>701</v>
      </c>
      <c r="I183" s="15">
        <f t="shared" si="8"/>
        <v>0.40218014916810096</v>
      </c>
      <c r="J183" s="1">
        <v>0.7</v>
      </c>
      <c r="K183" s="12">
        <v>13.75</v>
      </c>
      <c r="L183" s="3">
        <f t="shared" si="9"/>
        <v>519.09999999999991</v>
      </c>
      <c r="M183" s="10">
        <f t="shared" si="10"/>
        <v>7137.6249999999991</v>
      </c>
    </row>
    <row r="184" spans="1:13" x14ac:dyDescent="0.35">
      <c r="A184" s="17">
        <v>46023</v>
      </c>
      <c r="B184" s="16" t="s">
        <v>3</v>
      </c>
      <c r="C184" t="s">
        <v>248</v>
      </c>
      <c r="D184" s="16">
        <v>19753</v>
      </c>
      <c r="E184">
        <v>28835850000129</v>
      </c>
      <c r="F184" t="s">
        <v>265</v>
      </c>
      <c r="G184" s="19">
        <v>2411</v>
      </c>
      <c r="H184" s="19">
        <v>1010</v>
      </c>
      <c r="I184" s="15">
        <f t="shared" si="8"/>
        <v>0.41891331397760267</v>
      </c>
      <c r="J184" s="1">
        <v>0.7</v>
      </c>
      <c r="K184" s="12">
        <v>13.75</v>
      </c>
      <c r="L184" s="3">
        <f t="shared" si="9"/>
        <v>677.69999999999982</v>
      </c>
      <c r="M184" s="10">
        <f t="shared" si="10"/>
        <v>9318.3749999999982</v>
      </c>
    </row>
    <row r="185" spans="1:13" x14ac:dyDescent="0.35">
      <c r="A185" s="17">
        <v>46023</v>
      </c>
      <c r="B185" s="16" t="s">
        <v>3</v>
      </c>
      <c r="C185" t="s">
        <v>248</v>
      </c>
      <c r="D185" s="16">
        <v>19756</v>
      </c>
      <c r="E185">
        <v>23104950000242</v>
      </c>
      <c r="F185" t="s">
        <v>252</v>
      </c>
      <c r="G185" s="19">
        <v>1532</v>
      </c>
      <c r="H185" s="19">
        <v>551</v>
      </c>
      <c r="I185" s="15">
        <f t="shared" ref="I185:I248" si="11">H185/G185</f>
        <v>0.35966057441253263</v>
      </c>
      <c r="J185" s="1">
        <v>0.7</v>
      </c>
      <c r="K185" s="12">
        <v>13.75</v>
      </c>
      <c r="L185" s="3">
        <f t="shared" si="9"/>
        <v>521.40000000000009</v>
      </c>
      <c r="M185" s="10">
        <f t="shared" si="10"/>
        <v>7169.2500000000009</v>
      </c>
    </row>
    <row r="186" spans="1:13" x14ac:dyDescent="0.35">
      <c r="A186" s="17">
        <v>46023</v>
      </c>
      <c r="B186" s="16" t="s">
        <v>3</v>
      </c>
      <c r="C186" t="s">
        <v>248</v>
      </c>
      <c r="D186" s="16">
        <v>19763</v>
      </c>
      <c r="E186">
        <v>52912647000940</v>
      </c>
      <c r="F186" t="s">
        <v>263</v>
      </c>
      <c r="G186" s="19">
        <v>1345</v>
      </c>
      <c r="H186" s="19">
        <v>530</v>
      </c>
      <c r="I186" s="15">
        <f t="shared" si="11"/>
        <v>0.39405204460966542</v>
      </c>
      <c r="J186" s="1">
        <v>0.7</v>
      </c>
      <c r="K186" s="12">
        <v>13.75</v>
      </c>
      <c r="L186" s="3">
        <f t="shared" si="9"/>
        <v>411.5</v>
      </c>
      <c r="M186" s="10">
        <f t="shared" si="10"/>
        <v>5658.125</v>
      </c>
    </row>
    <row r="187" spans="1:13" x14ac:dyDescent="0.35">
      <c r="A187" s="17">
        <v>46023</v>
      </c>
      <c r="B187" s="16" t="s">
        <v>3</v>
      </c>
      <c r="C187" t="s">
        <v>248</v>
      </c>
      <c r="D187" s="16">
        <v>19774</v>
      </c>
      <c r="E187">
        <v>15811307000654</v>
      </c>
      <c r="F187" t="s">
        <v>250</v>
      </c>
      <c r="G187" s="19">
        <v>2590</v>
      </c>
      <c r="H187" s="19">
        <v>937</v>
      </c>
      <c r="I187" s="15">
        <f t="shared" si="11"/>
        <v>0.36177606177606175</v>
      </c>
      <c r="J187" s="1">
        <v>0.7</v>
      </c>
      <c r="K187" s="12">
        <v>13.75</v>
      </c>
      <c r="L187" s="3">
        <f t="shared" si="9"/>
        <v>876</v>
      </c>
      <c r="M187" s="10">
        <f t="shared" si="10"/>
        <v>12045</v>
      </c>
    </row>
    <row r="188" spans="1:13" x14ac:dyDescent="0.35">
      <c r="A188" s="17">
        <v>46023</v>
      </c>
      <c r="B188" s="16" t="s">
        <v>3</v>
      </c>
      <c r="C188" t="s">
        <v>248</v>
      </c>
      <c r="D188" s="16">
        <v>19804</v>
      </c>
      <c r="E188">
        <v>55056005001019</v>
      </c>
      <c r="F188" t="s">
        <v>255</v>
      </c>
      <c r="G188" s="19">
        <v>1401</v>
      </c>
      <c r="H188" s="19">
        <v>438</v>
      </c>
      <c r="I188" s="15">
        <f t="shared" si="11"/>
        <v>0.31263383297644537</v>
      </c>
      <c r="J188" s="1">
        <v>0.7</v>
      </c>
      <c r="K188" s="12">
        <v>13.75</v>
      </c>
      <c r="L188" s="3">
        <f t="shared" si="9"/>
        <v>542.69999999999993</v>
      </c>
      <c r="M188" s="10">
        <f t="shared" si="10"/>
        <v>7462.1249999999991</v>
      </c>
    </row>
    <row r="189" spans="1:13" x14ac:dyDescent="0.35">
      <c r="A189" s="17">
        <v>46023</v>
      </c>
      <c r="B189" s="16" t="s">
        <v>3</v>
      </c>
      <c r="C189" t="s">
        <v>248</v>
      </c>
      <c r="D189" s="16">
        <v>19809</v>
      </c>
      <c r="E189">
        <v>23104950000595</v>
      </c>
      <c r="F189" t="s">
        <v>253</v>
      </c>
      <c r="G189" s="19">
        <v>2253</v>
      </c>
      <c r="H189" s="19">
        <v>784</v>
      </c>
      <c r="I189" s="15">
        <f t="shared" si="11"/>
        <v>0.34798047048379938</v>
      </c>
      <c r="J189" s="1">
        <v>0.7</v>
      </c>
      <c r="K189" s="12">
        <v>13.75</v>
      </c>
      <c r="L189" s="3">
        <f t="shared" si="9"/>
        <v>793.09999999999991</v>
      </c>
      <c r="M189" s="10">
        <f t="shared" si="10"/>
        <v>10905.124999999998</v>
      </c>
    </row>
    <row r="190" spans="1:13" x14ac:dyDescent="0.35">
      <c r="A190" s="17">
        <v>46023</v>
      </c>
      <c r="B190" s="16" t="s">
        <v>3</v>
      </c>
      <c r="C190" t="s">
        <v>248</v>
      </c>
      <c r="D190" s="16">
        <v>19817</v>
      </c>
      <c r="E190">
        <v>52912647000274</v>
      </c>
      <c r="F190" t="s">
        <v>269</v>
      </c>
      <c r="G190" s="19">
        <v>1344</v>
      </c>
      <c r="H190" s="19">
        <v>490</v>
      </c>
      <c r="I190" s="15">
        <f t="shared" si="11"/>
        <v>0.36458333333333331</v>
      </c>
      <c r="J190" s="1">
        <v>0.7</v>
      </c>
      <c r="K190" s="12">
        <v>13.75</v>
      </c>
      <c r="L190" s="3">
        <f t="shared" si="9"/>
        <v>450.80000000000007</v>
      </c>
      <c r="M190" s="10">
        <f t="shared" si="10"/>
        <v>6198.5000000000009</v>
      </c>
    </row>
    <row r="191" spans="1:13" x14ac:dyDescent="0.35">
      <c r="A191" s="17">
        <v>46023</v>
      </c>
      <c r="B191" s="16" t="s">
        <v>3</v>
      </c>
      <c r="C191" t="s">
        <v>248</v>
      </c>
      <c r="D191" s="16">
        <v>19821</v>
      </c>
      <c r="E191">
        <v>60667414000109</v>
      </c>
      <c r="F191" t="s">
        <v>256</v>
      </c>
      <c r="G191" s="19">
        <v>1628</v>
      </c>
      <c r="H191" s="19">
        <v>597</v>
      </c>
      <c r="I191" s="15">
        <f t="shared" si="11"/>
        <v>0.3667076167076167</v>
      </c>
      <c r="J191" s="1">
        <v>0.7</v>
      </c>
      <c r="K191" s="12">
        <v>13.75</v>
      </c>
      <c r="L191" s="3">
        <f t="shared" si="9"/>
        <v>542.59999999999991</v>
      </c>
      <c r="M191" s="10">
        <f t="shared" si="10"/>
        <v>7460.7499999999991</v>
      </c>
    </row>
    <row r="192" spans="1:13" x14ac:dyDescent="0.35">
      <c r="A192" s="17">
        <v>46023</v>
      </c>
      <c r="B192" s="16" t="s">
        <v>3</v>
      </c>
      <c r="C192" t="s">
        <v>248</v>
      </c>
      <c r="D192" s="16">
        <v>19855</v>
      </c>
      <c r="E192">
        <v>60482492000120</v>
      </c>
      <c r="F192" t="s">
        <v>257</v>
      </c>
      <c r="G192" s="19">
        <v>1296</v>
      </c>
      <c r="H192" s="19">
        <v>366</v>
      </c>
      <c r="I192" s="15">
        <f t="shared" si="11"/>
        <v>0.28240740740740738</v>
      </c>
      <c r="J192" s="1">
        <v>0.7</v>
      </c>
      <c r="K192" s="12">
        <v>13.75</v>
      </c>
      <c r="L192" s="3">
        <f t="shared" si="9"/>
        <v>541.20000000000005</v>
      </c>
      <c r="M192" s="10">
        <f t="shared" si="10"/>
        <v>7441.5000000000009</v>
      </c>
    </row>
    <row r="193" spans="1:13" x14ac:dyDescent="0.35">
      <c r="A193" s="17">
        <v>46023</v>
      </c>
      <c r="B193" s="16" t="s">
        <v>3</v>
      </c>
      <c r="C193" t="s">
        <v>248</v>
      </c>
      <c r="D193" s="16">
        <v>19859</v>
      </c>
      <c r="E193">
        <v>52912647000517</v>
      </c>
      <c r="F193" t="s">
        <v>258</v>
      </c>
      <c r="G193" s="19">
        <v>1901</v>
      </c>
      <c r="H193" s="19">
        <v>594</v>
      </c>
      <c r="I193" s="15">
        <f t="shared" si="11"/>
        <v>0.31246712256706999</v>
      </c>
      <c r="J193" s="1">
        <v>0.7</v>
      </c>
      <c r="K193" s="12">
        <v>13.75</v>
      </c>
      <c r="L193" s="3">
        <f t="shared" si="9"/>
        <v>736.69999999999982</v>
      </c>
      <c r="M193" s="10">
        <f t="shared" si="10"/>
        <v>10129.624999999998</v>
      </c>
    </row>
    <row r="194" spans="1:13" x14ac:dyDescent="0.35">
      <c r="A194" s="17">
        <v>46023</v>
      </c>
      <c r="B194" s="16" t="s">
        <v>3</v>
      </c>
      <c r="C194" t="s">
        <v>248</v>
      </c>
      <c r="D194" s="16">
        <v>19863</v>
      </c>
      <c r="E194">
        <v>52912647000193</v>
      </c>
      <c r="F194" t="s">
        <v>268</v>
      </c>
      <c r="G194" s="19">
        <v>2598</v>
      </c>
      <c r="H194" s="19">
        <v>903</v>
      </c>
      <c r="I194" s="15">
        <f t="shared" si="11"/>
        <v>0.34757505773672054</v>
      </c>
      <c r="J194" s="1">
        <v>0.7</v>
      </c>
      <c r="K194" s="12">
        <v>13.75</v>
      </c>
      <c r="L194" s="3">
        <f t="shared" si="9"/>
        <v>915.59999999999991</v>
      </c>
      <c r="M194" s="10">
        <f t="shared" si="10"/>
        <v>12589.499999999998</v>
      </c>
    </row>
    <row r="195" spans="1:13" x14ac:dyDescent="0.35">
      <c r="A195" s="17">
        <v>46023</v>
      </c>
      <c r="B195" s="16" t="s">
        <v>3</v>
      </c>
      <c r="C195" t="s">
        <v>248</v>
      </c>
      <c r="D195" s="16">
        <v>19866</v>
      </c>
      <c r="E195">
        <v>52912647000355</v>
      </c>
      <c r="F195" t="s">
        <v>270</v>
      </c>
      <c r="G195" s="19">
        <v>1419</v>
      </c>
      <c r="H195" s="19">
        <v>450</v>
      </c>
      <c r="I195" s="15">
        <f t="shared" si="11"/>
        <v>0.31712473572938688</v>
      </c>
      <c r="J195" s="1">
        <v>0.7</v>
      </c>
      <c r="K195" s="12">
        <v>13.75</v>
      </c>
      <c r="L195" s="3">
        <f t="shared" ref="L195:L258" si="12">H195*J195/I195-H195</f>
        <v>543.30000000000007</v>
      </c>
      <c r="M195" s="10">
        <f t="shared" ref="M195:M258" si="13">L195*K195</f>
        <v>7470.3750000000009</v>
      </c>
    </row>
    <row r="196" spans="1:13" x14ac:dyDescent="0.35">
      <c r="A196" s="17">
        <v>46023</v>
      </c>
      <c r="B196" s="16" t="s">
        <v>3</v>
      </c>
      <c r="C196" t="s">
        <v>248</v>
      </c>
      <c r="D196" s="16">
        <v>19888</v>
      </c>
      <c r="E196">
        <v>44980313000200</v>
      </c>
      <c r="F196" t="s">
        <v>267</v>
      </c>
      <c r="G196" s="19">
        <v>1469</v>
      </c>
      <c r="H196" s="19">
        <v>543</v>
      </c>
      <c r="I196" s="15">
        <f t="shared" si="11"/>
        <v>0.36963921034717495</v>
      </c>
      <c r="J196" s="1">
        <v>0.7</v>
      </c>
      <c r="K196" s="12">
        <v>13.75</v>
      </c>
      <c r="L196" s="3">
        <f t="shared" si="12"/>
        <v>485.29999999999995</v>
      </c>
      <c r="M196" s="10">
        <f t="shared" si="13"/>
        <v>6672.8749999999991</v>
      </c>
    </row>
    <row r="197" spans="1:13" x14ac:dyDescent="0.35">
      <c r="A197" s="17">
        <v>46023</v>
      </c>
      <c r="B197" s="16" t="s">
        <v>3</v>
      </c>
      <c r="C197" t="s">
        <v>248</v>
      </c>
      <c r="D197" s="16">
        <v>19889</v>
      </c>
      <c r="E197">
        <v>44980313000129</v>
      </c>
      <c r="F197" t="s">
        <v>266</v>
      </c>
      <c r="G197" s="19">
        <v>1607</v>
      </c>
      <c r="H197" s="19">
        <v>532</v>
      </c>
      <c r="I197" s="15">
        <f t="shared" si="11"/>
        <v>0.3310516490354698</v>
      </c>
      <c r="J197" s="1">
        <v>0.7</v>
      </c>
      <c r="K197" s="12">
        <v>13.75</v>
      </c>
      <c r="L197" s="3">
        <f t="shared" si="12"/>
        <v>592.90000000000009</v>
      </c>
      <c r="M197" s="10">
        <f t="shared" si="13"/>
        <v>8152.3750000000009</v>
      </c>
    </row>
    <row r="198" spans="1:13" x14ac:dyDescent="0.35">
      <c r="A198" s="17">
        <v>46023</v>
      </c>
      <c r="B198" s="16" t="s">
        <v>3</v>
      </c>
      <c r="C198" t="s">
        <v>248</v>
      </c>
      <c r="D198" s="16">
        <v>19890</v>
      </c>
      <c r="E198">
        <v>55056005000470</v>
      </c>
      <c r="F198" t="s">
        <v>259</v>
      </c>
      <c r="G198" s="19">
        <v>1227</v>
      </c>
      <c r="H198" s="19">
        <v>444</v>
      </c>
      <c r="I198" s="15">
        <f t="shared" si="11"/>
        <v>0.36185819070904646</v>
      </c>
      <c r="J198" s="1">
        <v>0.7</v>
      </c>
      <c r="K198" s="12">
        <v>13.75</v>
      </c>
      <c r="L198" s="3">
        <f t="shared" si="12"/>
        <v>414.89999999999986</v>
      </c>
      <c r="M198" s="10">
        <f t="shared" si="13"/>
        <v>5704.8749999999982</v>
      </c>
    </row>
    <row r="199" spans="1:13" x14ac:dyDescent="0.35">
      <c r="A199" s="17">
        <v>46023</v>
      </c>
      <c r="B199" s="16" t="s">
        <v>3</v>
      </c>
      <c r="C199" t="s">
        <v>248</v>
      </c>
      <c r="D199" s="16">
        <v>19891</v>
      </c>
      <c r="E199">
        <v>55056005000802</v>
      </c>
      <c r="F199" t="s">
        <v>260</v>
      </c>
      <c r="G199" s="19">
        <v>1322</v>
      </c>
      <c r="H199" s="19">
        <v>625</v>
      </c>
      <c r="I199" s="15">
        <f t="shared" si="11"/>
        <v>0.47276853252647505</v>
      </c>
      <c r="J199" s="1">
        <v>0.7</v>
      </c>
      <c r="K199" s="12">
        <v>13.75</v>
      </c>
      <c r="L199" s="3">
        <f t="shared" si="12"/>
        <v>300.39999999999998</v>
      </c>
      <c r="M199" s="10">
        <f t="shared" si="13"/>
        <v>4130.5</v>
      </c>
    </row>
    <row r="200" spans="1:13" x14ac:dyDescent="0.35">
      <c r="A200" s="17">
        <v>46023</v>
      </c>
      <c r="B200" s="16" t="s">
        <v>3</v>
      </c>
      <c r="C200" t="s">
        <v>275</v>
      </c>
      <c r="D200" s="16">
        <v>19721</v>
      </c>
      <c r="E200">
        <v>52755023000100</v>
      </c>
      <c r="F200" t="s">
        <v>276</v>
      </c>
      <c r="G200" s="19">
        <v>2164</v>
      </c>
      <c r="H200" s="19">
        <v>885</v>
      </c>
      <c r="I200" s="15">
        <f t="shared" si="11"/>
        <v>0.40896487985212571</v>
      </c>
      <c r="J200" s="1">
        <v>0.7</v>
      </c>
      <c r="K200" s="12">
        <v>13.75</v>
      </c>
      <c r="L200" s="3">
        <f t="shared" si="12"/>
        <v>629.79999999999995</v>
      </c>
      <c r="M200" s="10">
        <f t="shared" si="13"/>
        <v>8659.75</v>
      </c>
    </row>
    <row r="201" spans="1:13" x14ac:dyDescent="0.35">
      <c r="A201" s="18">
        <v>46023</v>
      </c>
      <c r="B201" s="16" t="s">
        <v>155</v>
      </c>
      <c r="C201" t="s">
        <v>156</v>
      </c>
      <c r="D201" s="16">
        <v>19916</v>
      </c>
      <c r="E201">
        <v>43503208000136</v>
      </c>
      <c r="F201" t="s">
        <v>157</v>
      </c>
      <c r="G201" s="19">
        <v>1830</v>
      </c>
      <c r="H201" s="19">
        <v>970</v>
      </c>
      <c r="I201" s="15">
        <f t="shared" si="11"/>
        <v>0.5300546448087432</v>
      </c>
      <c r="J201" s="1">
        <v>0.7</v>
      </c>
      <c r="K201" s="12">
        <v>13.75</v>
      </c>
      <c r="L201" s="3">
        <f t="shared" si="12"/>
        <v>311</v>
      </c>
      <c r="M201" s="10">
        <f t="shared" si="13"/>
        <v>4276.25</v>
      </c>
    </row>
    <row r="202" spans="1:13" x14ac:dyDescent="0.35">
      <c r="A202" s="17"/>
      <c r="B202" s="16"/>
      <c r="C202"/>
      <c r="D202" s="16"/>
      <c r="E202"/>
      <c r="F202" s="16"/>
      <c r="I202" s="15"/>
      <c r="J202" s="1"/>
      <c r="K202" s="12"/>
      <c r="L202" s="3"/>
      <c r="M202" s="10"/>
    </row>
    <row r="203" spans="1:13" x14ac:dyDescent="0.35">
      <c r="A203" s="17"/>
      <c r="B203" s="16"/>
      <c r="C203"/>
      <c r="D203" s="16"/>
      <c r="E203"/>
      <c r="F203" s="16"/>
      <c r="I203" s="15"/>
      <c r="J203" s="1"/>
      <c r="K203" s="12"/>
      <c r="L203" s="3"/>
      <c r="M203" s="10"/>
    </row>
    <row r="204" spans="1:13" x14ac:dyDescent="0.35">
      <c r="A204" s="17"/>
      <c r="B204" s="16"/>
      <c r="C204"/>
      <c r="D204" s="16"/>
      <c r="E204"/>
      <c r="F204" s="16"/>
      <c r="I204" s="15"/>
      <c r="J204" s="1"/>
      <c r="K204" s="12"/>
      <c r="L204" s="3"/>
      <c r="M204" s="10"/>
    </row>
    <row r="205" spans="1:13" x14ac:dyDescent="0.35">
      <c r="A205" s="17"/>
      <c r="B205" s="16"/>
      <c r="C205"/>
      <c r="D205" s="16"/>
      <c r="E205"/>
      <c r="F205" s="16"/>
      <c r="I205" s="15"/>
      <c r="J205" s="1"/>
      <c r="K205" s="12"/>
      <c r="L205" s="3"/>
      <c r="M205" s="10"/>
    </row>
    <row r="206" spans="1:13" x14ac:dyDescent="0.35">
      <c r="A206" s="17"/>
      <c r="B206" s="16"/>
      <c r="C206"/>
      <c r="D206" s="16"/>
      <c r="E206"/>
      <c r="F206" s="16"/>
      <c r="I206" s="15"/>
      <c r="J206" s="1"/>
      <c r="K206" s="12"/>
      <c r="L206" s="3"/>
      <c r="M206" s="10"/>
    </row>
    <row r="207" spans="1:13" x14ac:dyDescent="0.35">
      <c r="A207" s="17"/>
      <c r="B207" s="16"/>
      <c r="C207"/>
      <c r="D207" s="16"/>
      <c r="E207"/>
      <c r="F207" s="16"/>
      <c r="I207" s="15"/>
      <c r="J207" s="1"/>
      <c r="K207" s="12"/>
      <c r="L207" s="3"/>
      <c r="M207" s="10"/>
    </row>
    <row r="208" spans="1:13" x14ac:dyDescent="0.35">
      <c r="A208" s="17"/>
      <c r="B208" s="16"/>
      <c r="C208"/>
      <c r="D208" s="16"/>
      <c r="E208"/>
      <c r="F208" s="16"/>
      <c r="I208" s="15"/>
      <c r="J208" s="1"/>
      <c r="K208" s="12"/>
      <c r="L208" s="3"/>
      <c r="M208" s="10"/>
    </row>
    <row r="209" spans="1:13" x14ac:dyDescent="0.35">
      <c r="A209" s="17"/>
      <c r="B209" s="16"/>
      <c r="C209"/>
      <c r="D209" s="16"/>
      <c r="E209"/>
      <c r="F209" s="16"/>
      <c r="I209" s="15"/>
      <c r="J209" s="1"/>
      <c r="K209" s="12"/>
      <c r="L209" s="3"/>
      <c r="M209" s="10"/>
    </row>
    <row r="210" spans="1:13" x14ac:dyDescent="0.35">
      <c r="A210" s="17"/>
      <c r="B210" s="16"/>
      <c r="C210"/>
      <c r="D210" s="16"/>
      <c r="E210"/>
      <c r="F210" s="16"/>
      <c r="I210" s="15"/>
      <c r="J210" s="1"/>
      <c r="K210" s="12"/>
      <c r="L210" s="3"/>
      <c r="M210" s="10"/>
    </row>
    <row r="211" spans="1:13" x14ac:dyDescent="0.35">
      <c r="A211" s="17"/>
      <c r="B211" s="16"/>
      <c r="C211"/>
      <c r="D211" s="16"/>
      <c r="E211"/>
      <c r="F211" s="16"/>
      <c r="I211" s="15"/>
      <c r="J211" s="1"/>
      <c r="K211" s="12"/>
      <c r="L211" s="3"/>
      <c r="M211" s="10"/>
    </row>
    <row r="212" spans="1:13" x14ac:dyDescent="0.35">
      <c r="A212" s="17"/>
      <c r="B212" s="16"/>
      <c r="C212"/>
      <c r="D212" s="16"/>
      <c r="E212"/>
      <c r="F212" s="16"/>
      <c r="I212" s="15"/>
      <c r="J212" s="1"/>
      <c r="K212" s="12"/>
      <c r="L212" s="3"/>
      <c r="M212" s="10"/>
    </row>
    <row r="213" spans="1:13" x14ac:dyDescent="0.35">
      <c r="A213" s="17"/>
      <c r="B213" s="16"/>
      <c r="C213"/>
      <c r="D213" s="16"/>
      <c r="E213"/>
      <c r="F213" s="16"/>
      <c r="I213" s="15"/>
      <c r="J213" s="1"/>
      <c r="K213" s="12"/>
      <c r="L213" s="3"/>
      <c r="M213" s="10"/>
    </row>
    <row r="214" spans="1:13" x14ac:dyDescent="0.35">
      <c r="A214" s="17"/>
      <c r="B214" s="16"/>
      <c r="C214"/>
      <c r="D214" s="16"/>
      <c r="E214"/>
      <c r="F214" s="16"/>
      <c r="I214" s="15"/>
      <c r="J214" s="1"/>
      <c r="K214" s="12"/>
      <c r="L214" s="3"/>
      <c r="M214" s="10"/>
    </row>
    <row r="215" spans="1:13" x14ac:dyDescent="0.35">
      <c r="A215" s="17"/>
      <c r="B215" s="16"/>
      <c r="C215"/>
      <c r="D215" s="16"/>
      <c r="E215"/>
      <c r="F215" s="16"/>
      <c r="I215" s="15"/>
      <c r="J215" s="1"/>
      <c r="K215" s="12"/>
      <c r="L215" s="3"/>
      <c r="M215" s="10"/>
    </row>
    <row r="216" spans="1:13" x14ac:dyDescent="0.35">
      <c r="A216" s="17"/>
      <c r="B216" s="16"/>
      <c r="C216"/>
      <c r="D216" s="16"/>
      <c r="E216"/>
      <c r="F216" s="16"/>
      <c r="I216" s="15"/>
      <c r="J216" s="1"/>
      <c r="K216" s="12"/>
      <c r="L216" s="3"/>
      <c r="M216" s="10"/>
    </row>
    <row r="217" spans="1:13" x14ac:dyDescent="0.35">
      <c r="A217" s="17"/>
      <c r="B217" s="16"/>
      <c r="C217"/>
      <c r="D217" s="16"/>
      <c r="E217"/>
      <c r="F217" s="16"/>
      <c r="I217" s="15"/>
      <c r="J217" s="1"/>
      <c r="K217" s="12"/>
      <c r="L217" s="3"/>
      <c r="M217" s="10"/>
    </row>
    <row r="218" spans="1:13" x14ac:dyDescent="0.35">
      <c r="A218" s="17"/>
      <c r="B218" s="16"/>
      <c r="C218"/>
      <c r="D218" s="16"/>
      <c r="E218"/>
      <c r="F218" s="16"/>
      <c r="I218" s="15"/>
      <c r="J218" s="1"/>
      <c r="K218" s="12"/>
      <c r="L218" s="3"/>
      <c r="M218" s="10"/>
    </row>
    <row r="219" spans="1:13" x14ac:dyDescent="0.35">
      <c r="A219" s="17"/>
      <c r="B219" s="16"/>
      <c r="C219"/>
      <c r="D219" s="16"/>
      <c r="E219"/>
      <c r="F219" s="16"/>
      <c r="I219" s="15"/>
      <c r="J219" s="1"/>
      <c r="K219" s="12"/>
      <c r="L219" s="3"/>
      <c r="M219" s="10"/>
    </row>
    <row r="220" spans="1:13" x14ac:dyDescent="0.35">
      <c r="A220" s="17"/>
      <c r="B220" s="16"/>
      <c r="C220"/>
      <c r="D220" s="16"/>
      <c r="E220"/>
      <c r="F220" s="16"/>
      <c r="I220" s="15"/>
      <c r="J220" s="1"/>
      <c r="K220" s="12"/>
      <c r="L220" s="3"/>
      <c r="M220" s="10"/>
    </row>
    <row r="221" spans="1:13" x14ac:dyDescent="0.35">
      <c r="A221" s="17"/>
      <c r="B221" s="16"/>
      <c r="C221"/>
      <c r="D221" s="16"/>
      <c r="E221"/>
      <c r="F221" s="16"/>
      <c r="I221" s="15"/>
      <c r="J221" s="1"/>
      <c r="K221" s="12"/>
      <c r="L221" s="3"/>
      <c r="M221" s="10"/>
    </row>
    <row r="222" spans="1:13" x14ac:dyDescent="0.35">
      <c r="A222" s="17"/>
      <c r="B222" s="16"/>
      <c r="C222"/>
      <c r="D222" s="16"/>
      <c r="E222"/>
      <c r="F222" s="16"/>
      <c r="I222" s="15"/>
      <c r="J222" s="1"/>
      <c r="K222" s="12"/>
      <c r="L222" s="3"/>
      <c r="M222" s="10"/>
    </row>
    <row r="223" spans="1:13" x14ac:dyDescent="0.35">
      <c r="A223" s="17"/>
      <c r="B223" s="16"/>
      <c r="C223"/>
      <c r="D223" s="16"/>
      <c r="E223"/>
      <c r="F223" s="16"/>
      <c r="I223" s="15"/>
      <c r="J223" s="1"/>
      <c r="K223" s="12"/>
      <c r="L223" s="3"/>
      <c r="M223" s="10"/>
    </row>
    <row r="224" spans="1:13" x14ac:dyDescent="0.35">
      <c r="A224" s="17"/>
      <c r="B224" s="16"/>
      <c r="C224"/>
      <c r="D224" s="16"/>
      <c r="E224"/>
      <c r="F224" s="16"/>
      <c r="I224" s="15"/>
      <c r="J224" s="1"/>
      <c r="K224" s="12"/>
      <c r="L224" s="3"/>
      <c r="M224" s="10"/>
    </row>
    <row r="225" spans="1:13" x14ac:dyDescent="0.35">
      <c r="A225" s="17"/>
      <c r="B225" s="16"/>
      <c r="C225"/>
      <c r="D225" s="16"/>
      <c r="E225"/>
      <c r="F225" s="16"/>
      <c r="I225" s="15"/>
      <c r="J225" s="1"/>
      <c r="K225" s="12"/>
      <c r="L225" s="3"/>
      <c r="M225" s="10"/>
    </row>
    <row r="226" spans="1:13" x14ac:dyDescent="0.35">
      <c r="A226" s="17"/>
      <c r="B226" s="16"/>
      <c r="C226"/>
      <c r="D226" s="16"/>
      <c r="E226"/>
      <c r="F226" s="16"/>
      <c r="I226" s="15"/>
      <c r="J226" s="1"/>
      <c r="K226" s="12"/>
      <c r="L226" s="3"/>
      <c r="M226" s="10"/>
    </row>
    <row r="227" spans="1:13" x14ac:dyDescent="0.35">
      <c r="A227" s="17"/>
      <c r="B227" s="16"/>
      <c r="C227"/>
      <c r="D227" s="16"/>
      <c r="E227"/>
      <c r="F227" s="16"/>
      <c r="I227" s="15"/>
      <c r="J227" s="1"/>
      <c r="K227" s="12"/>
      <c r="L227" s="3"/>
      <c r="M227" s="10"/>
    </row>
    <row r="228" spans="1:13" x14ac:dyDescent="0.35">
      <c r="A228" s="17"/>
      <c r="B228" s="16"/>
      <c r="C228"/>
      <c r="D228" s="16"/>
      <c r="E228"/>
      <c r="F228" s="16"/>
      <c r="I228" s="15"/>
      <c r="J228" s="1"/>
      <c r="K228" s="12"/>
      <c r="L228" s="3"/>
      <c r="M228" s="10"/>
    </row>
    <row r="229" spans="1:13" x14ac:dyDescent="0.35">
      <c r="A229" s="17"/>
      <c r="B229" s="16"/>
      <c r="C229"/>
      <c r="D229" s="16"/>
      <c r="E229"/>
      <c r="F229" s="16"/>
      <c r="I229" s="15"/>
      <c r="J229" s="1"/>
      <c r="K229" s="12"/>
      <c r="L229" s="3"/>
      <c r="M229" s="10"/>
    </row>
    <row r="230" spans="1:13" x14ac:dyDescent="0.35">
      <c r="A230" s="17"/>
      <c r="B230" s="16"/>
      <c r="C230"/>
      <c r="D230" s="16"/>
      <c r="E230"/>
      <c r="F230" s="16"/>
      <c r="I230" s="15"/>
      <c r="J230" s="1"/>
      <c r="K230" s="12"/>
      <c r="L230" s="3"/>
      <c r="M230" s="10"/>
    </row>
    <row r="231" spans="1:13" x14ac:dyDescent="0.35">
      <c r="A231" s="17"/>
      <c r="B231" s="16"/>
      <c r="C231"/>
      <c r="D231" s="16"/>
      <c r="E231"/>
      <c r="F231" s="16"/>
      <c r="I231" s="15"/>
      <c r="J231" s="1"/>
      <c r="K231" s="12"/>
      <c r="L231" s="3"/>
      <c r="M231" s="10"/>
    </row>
    <row r="232" spans="1:13" x14ac:dyDescent="0.35">
      <c r="A232" s="17"/>
      <c r="B232" s="16"/>
      <c r="C232"/>
      <c r="D232" s="16"/>
      <c r="E232"/>
      <c r="F232" s="16"/>
      <c r="I232" s="15"/>
      <c r="J232" s="1"/>
      <c r="K232" s="12"/>
      <c r="L232" s="3"/>
      <c r="M232" s="10"/>
    </row>
    <row r="233" spans="1:13" x14ac:dyDescent="0.35">
      <c r="A233" s="17"/>
      <c r="B233" s="16"/>
      <c r="C233"/>
      <c r="D233" s="16"/>
      <c r="E233"/>
      <c r="F233" s="16"/>
      <c r="I233" s="15"/>
      <c r="J233" s="1"/>
      <c r="K233" s="12"/>
      <c r="L233" s="3"/>
      <c r="M233" s="10"/>
    </row>
    <row r="234" spans="1:13" x14ac:dyDescent="0.35">
      <c r="A234" s="17"/>
      <c r="B234" s="16"/>
      <c r="C234"/>
      <c r="D234" s="16"/>
      <c r="E234"/>
      <c r="F234" s="16"/>
      <c r="I234" s="15"/>
      <c r="J234" s="1"/>
      <c r="K234" s="12"/>
      <c r="L234" s="3"/>
      <c r="M234" s="10"/>
    </row>
    <row r="235" spans="1:13" x14ac:dyDescent="0.35">
      <c r="A235" s="17"/>
      <c r="B235" s="16"/>
      <c r="C235"/>
      <c r="D235" s="16"/>
      <c r="E235"/>
      <c r="F235" s="16"/>
      <c r="I235" s="15"/>
      <c r="J235" s="1"/>
      <c r="K235" s="12"/>
      <c r="L235" s="3"/>
      <c r="M235" s="10"/>
    </row>
    <row r="236" spans="1:13" x14ac:dyDescent="0.35">
      <c r="A236" s="17"/>
      <c r="B236" s="16"/>
      <c r="C236"/>
      <c r="D236" s="16"/>
      <c r="E236"/>
      <c r="F236" s="16"/>
      <c r="I236" s="15"/>
      <c r="J236" s="1"/>
      <c r="K236" s="12"/>
      <c r="L236" s="3"/>
      <c r="M236" s="10"/>
    </row>
    <row r="237" spans="1:13" x14ac:dyDescent="0.35">
      <c r="A237" s="17"/>
      <c r="B237" s="16"/>
      <c r="C237"/>
      <c r="D237" s="16"/>
      <c r="E237"/>
      <c r="F237" s="16"/>
      <c r="I237" s="15"/>
      <c r="J237" s="1"/>
      <c r="K237" s="12"/>
      <c r="L237" s="3"/>
      <c r="M237" s="10"/>
    </row>
    <row r="238" spans="1:13" x14ac:dyDescent="0.35">
      <c r="A238" s="17"/>
      <c r="B238" s="16"/>
      <c r="C238"/>
      <c r="D238" s="16"/>
      <c r="E238"/>
      <c r="F238" s="16"/>
      <c r="I238" s="15"/>
      <c r="J238" s="1"/>
      <c r="K238" s="12"/>
      <c r="L238" s="3"/>
      <c r="M238" s="10"/>
    </row>
    <row r="239" spans="1:13" x14ac:dyDescent="0.35">
      <c r="A239" s="17"/>
      <c r="B239" s="16"/>
      <c r="C239"/>
      <c r="D239" s="16"/>
      <c r="E239"/>
      <c r="F239" s="16"/>
      <c r="I239" s="15"/>
      <c r="J239" s="1"/>
      <c r="K239" s="12"/>
      <c r="L239" s="3"/>
      <c r="M239" s="10"/>
    </row>
    <row r="240" spans="1:13" x14ac:dyDescent="0.35">
      <c r="A240" s="17"/>
      <c r="B240" s="16"/>
      <c r="C240"/>
      <c r="D240" s="16"/>
      <c r="E240"/>
      <c r="F240" s="16"/>
      <c r="I240" s="15"/>
      <c r="J240" s="1"/>
      <c r="K240" s="12"/>
      <c r="L240" s="3"/>
      <c r="M240" s="10"/>
    </row>
    <row r="241" spans="1:13" x14ac:dyDescent="0.35">
      <c r="A241" s="17"/>
      <c r="B241" s="16"/>
      <c r="C241"/>
      <c r="D241" s="16"/>
      <c r="E241"/>
      <c r="F241" s="16"/>
      <c r="I241" s="15"/>
      <c r="J241" s="1"/>
      <c r="K241" s="12"/>
      <c r="L241" s="3"/>
      <c r="M241" s="10"/>
    </row>
    <row r="242" spans="1:13" x14ac:dyDescent="0.35">
      <c r="A242" s="17"/>
      <c r="B242" s="16"/>
      <c r="C242"/>
      <c r="D242" s="16"/>
      <c r="E242"/>
      <c r="F242" s="16"/>
      <c r="I242" s="15"/>
      <c r="J242" s="1"/>
      <c r="K242" s="12"/>
      <c r="L242" s="3"/>
      <c r="M242" s="10"/>
    </row>
    <row r="243" spans="1:13" x14ac:dyDescent="0.35">
      <c r="A243" s="17"/>
      <c r="B243" s="16"/>
      <c r="C243"/>
      <c r="D243" s="16"/>
      <c r="E243"/>
      <c r="F243" s="16"/>
      <c r="I243" s="15"/>
      <c r="J243" s="1"/>
      <c r="K243" s="12"/>
      <c r="L243" s="3"/>
      <c r="M243" s="10"/>
    </row>
    <row r="244" spans="1:13" x14ac:dyDescent="0.35">
      <c r="A244" s="17"/>
      <c r="B244" s="16"/>
      <c r="C244"/>
      <c r="D244" s="16"/>
      <c r="E244"/>
      <c r="F244" s="16"/>
      <c r="I244" s="15"/>
      <c r="J244" s="1"/>
      <c r="K244" s="12"/>
      <c r="L244" s="3"/>
      <c r="M244" s="10"/>
    </row>
    <row r="245" spans="1:13" x14ac:dyDescent="0.35">
      <c r="A245" s="17"/>
      <c r="B245" s="16"/>
      <c r="C245"/>
      <c r="D245" s="16"/>
      <c r="E245"/>
      <c r="F245" s="16"/>
      <c r="I245" s="15"/>
      <c r="J245" s="1"/>
      <c r="K245" s="12"/>
      <c r="L245" s="3"/>
      <c r="M245" s="10"/>
    </row>
    <row r="246" spans="1:13" x14ac:dyDescent="0.35">
      <c r="A246" s="17"/>
      <c r="B246" s="16"/>
      <c r="C246"/>
      <c r="D246" s="16"/>
      <c r="E246"/>
      <c r="F246" s="16"/>
      <c r="I246" s="15"/>
      <c r="J246" s="1"/>
      <c r="K246" s="12"/>
      <c r="L246" s="3"/>
      <c r="M246" s="10"/>
    </row>
    <row r="247" spans="1:13" x14ac:dyDescent="0.35">
      <c r="A247" s="17"/>
      <c r="B247" s="16"/>
      <c r="C247"/>
      <c r="D247" s="16"/>
      <c r="E247"/>
      <c r="F247" s="16"/>
      <c r="I247" s="15"/>
      <c r="J247" s="1"/>
      <c r="K247" s="12"/>
      <c r="L247" s="3"/>
      <c r="M247" s="10"/>
    </row>
    <row r="248" spans="1:13" x14ac:dyDescent="0.35">
      <c r="A248" s="17"/>
      <c r="B248" s="16"/>
      <c r="C248"/>
      <c r="D248" s="16"/>
      <c r="E248"/>
      <c r="F248" s="16"/>
      <c r="I248" s="15"/>
      <c r="J248" s="1"/>
      <c r="K248" s="12"/>
      <c r="L248" s="3"/>
      <c r="M248" s="10"/>
    </row>
    <row r="249" spans="1:13" x14ac:dyDescent="0.35">
      <c r="A249" s="17"/>
      <c r="B249" s="16"/>
      <c r="C249"/>
      <c r="D249" s="16"/>
      <c r="E249"/>
      <c r="F249" s="16"/>
      <c r="I249" s="15"/>
      <c r="J249" s="1"/>
      <c r="K249" s="12"/>
      <c r="L249" s="3"/>
      <c r="M249" s="10"/>
    </row>
    <row r="250" spans="1:13" x14ac:dyDescent="0.35">
      <c r="A250" s="17"/>
      <c r="B250" s="16"/>
      <c r="C250"/>
      <c r="D250" s="16"/>
      <c r="E250"/>
      <c r="F250" s="16"/>
      <c r="I250" s="15"/>
      <c r="J250" s="1"/>
      <c r="K250" s="12"/>
      <c r="L250" s="3"/>
      <c r="M250" s="10"/>
    </row>
    <row r="251" spans="1:13" x14ac:dyDescent="0.35">
      <c r="A251" s="17"/>
      <c r="B251" s="16"/>
      <c r="C251"/>
      <c r="D251" s="16"/>
      <c r="E251"/>
      <c r="F251" s="16"/>
      <c r="I251" s="15"/>
      <c r="J251" s="1"/>
      <c r="K251" s="12"/>
      <c r="L251" s="3"/>
      <c r="M251" s="10"/>
    </row>
    <row r="252" spans="1:13" x14ac:dyDescent="0.35">
      <c r="A252" s="17"/>
      <c r="B252" s="16"/>
      <c r="C252"/>
      <c r="D252" s="16"/>
      <c r="E252"/>
      <c r="F252" s="16"/>
      <c r="I252" s="15"/>
      <c r="J252" s="1"/>
      <c r="K252" s="12"/>
      <c r="L252" s="3"/>
      <c r="M252" s="10"/>
    </row>
    <row r="253" spans="1:13" x14ac:dyDescent="0.35">
      <c r="A253" s="17"/>
      <c r="B253" s="16"/>
      <c r="C253"/>
      <c r="D253" s="16"/>
      <c r="E253"/>
      <c r="F253" s="16"/>
      <c r="I253" s="15"/>
      <c r="J253" s="1"/>
      <c r="K253" s="12"/>
      <c r="L253" s="3"/>
      <c r="M253" s="10"/>
    </row>
    <row r="254" spans="1:13" x14ac:dyDescent="0.35">
      <c r="A254" s="17"/>
      <c r="B254" s="16"/>
      <c r="C254"/>
      <c r="D254" s="16"/>
      <c r="E254"/>
      <c r="F254" s="16"/>
      <c r="I254" s="15"/>
      <c r="J254" s="1"/>
      <c r="K254" s="12"/>
      <c r="L254" s="3"/>
      <c r="M254" s="10"/>
    </row>
    <row r="255" spans="1:13" x14ac:dyDescent="0.35">
      <c r="A255" s="17"/>
      <c r="B255" s="16"/>
      <c r="C255"/>
      <c r="D255" s="16"/>
      <c r="E255"/>
      <c r="F255" s="16"/>
      <c r="I255" s="15"/>
      <c r="J255" s="1"/>
      <c r="K255" s="12"/>
      <c r="L255" s="3"/>
      <c r="M255" s="10"/>
    </row>
    <row r="256" spans="1:13" x14ac:dyDescent="0.35">
      <c r="A256" s="17"/>
      <c r="B256" s="16"/>
      <c r="C256"/>
      <c r="D256" s="16"/>
      <c r="E256"/>
      <c r="F256" s="16"/>
      <c r="I256" s="15"/>
      <c r="J256" s="1"/>
      <c r="K256" s="12"/>
      <c r="L256" s="3"/>
      <c r="M256" s="10"/>
    </row>
    <row r="257" spans="1:13" x14ac:dyDescent="0.35">
      <c r="A257" s="17"/>
      <c r="B257" s="16"/>
      <c r="C257"/>
      <c r="D257" s="16"/>
      <c r="E257"/>
      <c r="F257" s="16"/>
      <c r="I257" s="15"/>
      <c r="J257" s="1"/>
      <c r="K257" s="12"/>
      <c r="L257" s="3"/>
      <c r="M257" s="10"/>
    </row>
    <row r="258" spans="1:13" x14ac:dyDescent="0.35">
      <c r="A258" s="17"/>
      <c r="B258" s="16"/>
      <c r="C258"/>
      <c r="D258" s="16"/>
      <c r="E258"/>
      <c r="F258" s="16"/>
      <c r="I258" s="15"/>
      <c r="J258" s="1"/>
      <c r="K258" s="12"/>
      <c r="L258" s="3"/>
      <c r="M258" s="10"/>
    </row>
    <row r="259" spans="1:13" x14ac:dyDescent="0.35">
      <c r="A259" s="17"/>
      <c r="B259" s="16"/>
      <c r="C259"/>
      <c r="D259" s="16"/>
      <c r="E259"/>
      <c r="F259" s="16"/>
      <c r="I259" s="15"/>
      <c r="J259" s="1"/>
      <c r="K259" s="12"/>
      <c r="L259" s="3"/>
      <c r="M259" s="10"/>
    </row>
    <row r="260" spans="1:13" x14ac:dyDescent="0.35">
      <c r="A260" s="17"/>
      <c r="B260" s="16"/>
      <c r="C260"/>
      <c r="D260" s="16"/>
      <c r="E260"/>
      <c r="F260" s="16"/>
      <c r="I260" s="15"/>
      <c r="J260" s="1"/>
      <c r="K260" s="12"/>
      <c r="L260" s="3"/>
      <c r="M260" s="10"/>
    </row>
    <row r="261" spans="1:13" x14ac:dyDescent="0.35">
      <c r="A261" s="17"/>
      <c r="B261" s="16"/>
      <c r="C261"/>
      <c r="D261" s="16"/>
      <c r="E261"/>
      <c r="F261" s="16"/>
      <c r="I261" s="15"/>
      <c r="J261" s="1"/>
      <c r="K261" s="12"/>
      <c r="L261" s="3"/>
      <c r="M261" s="10"/>
    </row>
    <row r="262" spans="1:13" x14ac:dyDescent="0.35">
      <c r="A262" s="17"/>
      <c r="B262" s="16"/>
      <c r="C262"/>
      <c r="D262" s="16"/>
      <c r="E262"/>
      <c r="F262" s="16"/>
      <c r="I262" s="15"/>
      <c r="J262" s="1"/>
      <c r="K262" s="12"/>
      <c r="L262" s="3"/>
      <c r="M262" s="10"/>
    </row>
    <row r="263" spans="1:13" x14ac:dyDescent="0.35">
      <c r="A263" s="17"/>
      <c r="B263" s="16"/>
      <c r="C263"/>
      <c r="D263" s="16"/>
      <c r="E263"/>
      <c r="F263" s="16"/>
      <c r="I263" s="15"/>
      <c r="J263" s="1"/>
      <c r="K263" s="12"/>
      <c r="L263" s="3"/>
      <c r="M263" s="10"/>
    </row>
    <row r="264" spans="1:13" x14ac:dyDescent="0.35">
      <c r="A264" s="17"/>
      <c r="B264" s="16"/>
      <c r="C264"/>
      <c r="D264" s="16"/>
      <c r="E264"/>
      <c r="F264" s="16"/>
      <c r="I264" s="15"/>
      <c r="J264" s="1"/>
      <c r="K264" s="12"/>
      <c r="L264" s="3"/>
      <c r="M264" s="10"/>
    </row>
    <row r="265" spans="1:13" x14ac:dyDescent="0.35">
      <c r="A265" s="17"/>
      <c r="B265" s="16"/>
      <c r="C265"/>
      <c r="D265" s="16"/>
      <c r="E265"/>
      <c r="F265" s="16"/>
      <c r="I265" s="15"/>
      <c r="J265" s="1"/>
      <c r="K265" s="12"/>
      <c r="L265" s="3"/>
      <c r="M265" s="10"/>
    </row>
    <row r="266" spans="1:13" x14ac:dyDescent="0.35">
      <c r="A266" s="17"/>
      <c r="B266" s="16"/>
      <c r="C266"/>
      <c r="D266" s="16"/>
      <c r="E266"/>
      <c r="F266" s="16"/>
      <c r="I266" s="15"/>
      <c r="J266" s="1"/>
      <c r="K266" s="12"/>
      <c r="L266" s="3"/>
      <c r="M266" s="10"/>
    </row>
    <row r="267" spans="1:13" x14ac:dyDescent="0.35">
      <c r="A267" s="17"/>
      <c r="B267" s="16"/>
      <c r="C267"/>
      <c r="D267" s="16"/>
      <c r="E267"/>
      <c r="F267" s="16"/>
      <c r="I267" s="15"/>
      <c r="J267" s="1"/>
      <c r="K267" s="12"/>
      <c r="L267" s="3"/>
      <c r="M267" s="10"/>
    </row>
    <row r="268" spans="1:13" x14ac:dyDescent="0.35">
      <c r="A268" s="17"/>
      <c r="B268" s="16"/>
      <c r="C268"/>
      <c r="D268" s="16"/>
      <c r="E268"/>
      <c r="F268" s="16"/>
      <c r="I268" s="15"/>
      <c r="J268" s="1"/>
      <c r="K268" s="12"/>
      <c r="L268" s="3"/>
      <c r="M268" s="10"/>
    </row>
    <row r="269" spans="1:13" x14ac:dyDescent="0.35">
      <c r="A269" s="17"/>
      <c r="B269" s="16"/>
      <c r="C269"/>
      <c r="D269" s="16"/>
      <c r="E269"/>
      <c r="F269" s="16"/>
      <c r="I269" s="15"/>
      <c r="J269" s="1"/>
      <c r="K269" s="12"/>
      <c r="L269" s="3"/>
      <c r="M269" s="10"/>
    </row>
    <row r="270" spans="1:13" x14ac:dyDescent="0.35">
      <c r="A270" s="17"/>
      <c r="B270" s="16"/>
      <c r="C270"/>
      <c r="D270" s="16"/>
      <c r="E270"/>
      <c r="F270" s="16"/>
      <c r="I270" s="15"/>
      <c r="J270" s="1"/>
      <c r="K270" s="12"/>
      <c r="L270" s="3"/>
      <c r="M270" s="10"/>
    </row>
    <row r="271" spans="1:13" x14ac:dyDescent="0.35">
      <c r="A271" s="17"/>
      <c r="B271" s="16"/>
      <c r="C271"/>
      <c r="D271" s="16"/>
      <c r="E271"/>
      <c r="F271" s="16"/>
      <c r="I271" s="15"/>
      <c r="J271" s="1"/>
      <c r="K271" s="12"/>
      <c r="L271" s="3"/>
      <c r="M271" s="10"/>
    </row>
    <row r="272" spans="1:13" x14ac:dyDescent="0.35">
      <c r="A272" s="17"/>
      <c r="B272" s="16"/>
      <c r="C272"/>
      <c r="D272" s="16"/>
      <c r="E272"/>
      <c r="F272" s="16"/>
      <c r="I272" s="15"/>
      <c r="J272" s="1"/>
      <c r="K272" s="12"/>
      <c r="L272" s="3"/>
      <c r="M272" s="10"/>
    </row>
    <row r="273" spans="1:13" x14ac:dyDescent="0.35">
      <c r="A273" s="17"/>
      <c r="B273" s="16"/>
      <c r="C273"/>
      <c r="D273" s="16"/>
      <c r="E273"/>
      <c r="F273" s="16"/>
      <c r="I273" s="15"/>
      <c r="J273" s="1"/>
      <c r="K273" s="12"/>
      <c r="L273" s="3"/>
      <c r="M273" s="10"/>
    </row>
    <row r="274" spans="1:13" x14ac:dyDescent="0.35">
      <c r="A274" s="17"/>
      <c r="B274" s="16"/>
      <c r="C274"/>
      <c r="D274" s="16"/>
      <c r="E274"/>
      <c r="F274" s="16"/>
      <c r="I274" s="15"/>
      <c r="J274" s="1"/>
      <c r="K274" s="12"/>
      <c r="L274" s="3"/>
      <c r="M274" s="10"/>
    </row>
    <row r="275" spans="1:13" x14ac:dyDescent="0.35">
      <c r="A275" s="17"/>
      <c r="B275" s="16"/>
      <c r="C275"/>
      <c r="D275" s="16"/>
      <c r="E275"/>
      <c r="F275" s="16"/>
      <c r="I275" s="15"/>
      <c r="J275" s="1"/>
      <c r="K275" s="12"/>
      <c r="L275" s="3"/>
      <c r="M275" s="10"/>
    </row>
    <row r="276" spans="1:13" x14ac:dyDescent="0.35">
      <c r="A276" s="17"/>
      <c r="B276" s="16"/>
      <c r="C276"/>
      <c r="D276" s="16"/>
      <c r="E276"/>
      <c r="F276" s="16"/>
      <c r="I276" s="15"/>
      <c r="J276" s="1"/>
      <c r="K276" s="12"/>
      <c r="L276" s="3"/>
      <c r="M276" s="10"/>
    </row>
    <row r="277" spans="1:13" x14ac:dyDescent="0.35">
      <c r="A277" s="17"/>
      <c r="B277" s="16"/>
      <c r="C277"/>
      <c r="D277" s="16"/>
      <c r="E277"/>
      <c r="F277" s="16"/>
      <c r="I277" s="15"/>
      <c r="J277" s="1"/>
      <c r="K277" s="12"/>
      <c r="L277" s="3"/>
      <c r="M277" s="10"/>
    </row>
    <row r="278" spans="1:13" x14ac:dyDescent="0.35">
      <c r="A278" s="17"/>
      <c r="B278" s="16"/>
      <c r="C278"/>
      <c r="D278" s="16"/>
      <c r="E278"/>
      <c r="F278" s="16"/>
      <c r="I278" s="15"/>
      <c r="J278" s="1"/>
      <c r="K278" s="12"/>
      <c r="L278" s="3"/>
      <c r="M278" s="10"/>
    </row>
    <row r="279" spans="1:13" x14ac:dyDescent="0.35">
      <c r="A279" s="17"/>
      <c r="B279" s="16"/>
      <c r="C279"/>
      <c r="D279" s="16"/>
      <c r="E279"/>
      <c r="F279" s="16"/>
      <c r="I279" s="15"/>
      <c r="J279" s="1"/>
      <c r="K279" s="12"/>
      <c r="L279" s="3"/>
      <c r="M279" s="10"/>
    </row>
    <row r="280" spans="1:13" x14ac:dyDescent="0.35">
      <c r="A280" s="17"/>
      <c r="B280" s="16"/>
      <c r="C280"/>
      <c r="D280" s="16"/>
      <c r="E280"/>
      <c r="F280" s="16"/>
      <c r="I280" s="15"/>
      <c r="J280" s="1"/>
      <c r="K280" s="12"/>
      <c r="L280" s="3"/>
      <c r="M280" s="10"/>
    </row>
    <row r="281" spans="1:13" x14ac:dyDescent="0.35">
      <c r="A281" s="17"/>
      <c r="B281" s="16"/>
      <c r="C281"/>
      <c r="D281" s="16"/>
      <c r="E281"/>
      <c r="F281" s="16"/>
      <c r="I281" s="15"/>
      <c r="J281" s="1"/>
      <c r="K281" s="12"/>
      <c r="L281" s="3"/>
      <c r="M281" s="10"/>
    </row>
    <row r="282" spans="1:13" x14ac:dyDescent="0.35">
      <c r="A282" s="17"/>
      <c r="B282" s="16"/>
      <c r="C282"/>
      <c r="D282" s="16"/>
      <c r="E282"/>
      <c r="F282" s="16"/>
      <c r="I282" s="15"/>
      <c r="J282" s="1"/>
      <c r="K282" s="12"/>
      <c r="L282" s="3"/>
      <c r="M282" s="10"/>
    </row>
    <row r="283" spans="1:13" x14ac:dyDescent="0.35">
      <c r="A283" s="17"/>
      <c r="B283" s="16"/>
      <c r="C283"/>
      <c r="D283" s="16"/>
      <c r="E283"/>
      <c r="F283" s="16"/>
      <c r="I283" s="15"/>
      <c r="J283" s="1"/>
      <c r="K283" s="12"/>
      <c r="L283" s="3"/>
      <c r="M283" s="10"/>
    </row>
    <row r="284" spans="1:13" x14ac:dyDescent="0.35">
      <c r="A284" s="17"/>
      <c r="B284" s="16"/>
      <c r="C284"/>
      <c r="D284" s="16"/>
      <c r="E284"/>
      <c r="F284" s="16"/>
      <c r="I284" s="15"/>
      <c r="J284" s="1"/>
      <c r="K284" s="12"/>
      <c r="L284" s="3"/>
      <c r="M284" s="10"/>
    </row>
    <row r="285" spans="1:13" x14ac:dyDescent="0.35">
      <c r="A285" s="17"/>
      <c r="B285" s="16"/>
      <c r="C285"/>
      <c r="D285" s="16"/>
      <c r="E285"/>
      <c r="F285" s="16"/>
      <c r="I285" s="15"/>
      <c r="J285" s="1"/>
      <c r="K285" s="12"/>
      <c r="L285" s="3"/>
      <c r="M285" s="10"/>
    </row>
    <row r="286" spans="1:13" x14ac:dyDescent="0.35">
      <c r="A286" s="17"/>
      <c r="B286" s="16"/>
      <c r="C286"/>
      <c r="D286" s="16"/>
      <c r="E286"/>
      <c r="F286" s="16"/>
      <c r="I286" s="15"/>
      <c r="J286" s="1"/>
      <c r="K286" s="12"/>
      <c r="L286" s="3"/>
      <c r="M286" s="10"/>
    </row>
    <row r="287" spans="1:13" x14ac:dyDescent="0.35">
      <c r="A287" s="17"/>
      <c r="B287" s="16"/>
      <c r="C287"/>
      <c r="D287" s="16"/>
      <c r="E287"/>
      <c r="F287" s="16"/>
      <c r="I287" s="15"/>
      <c r="J287" s="1"/>
      <c r="K287" s="12"/>
      <c r="L287" s="3"/>
      <c r="M287" s="10"/>
    </row>
    <row r="288" spans="1:13" x14ac:dyDescent="0.35">
      <c r="A288" s="17"/>
      <c r="B288" s="16"/>
      <c r="C288"/>
      <c r="D288" s="16"/>
      <c r="E288"/>
      <c r="F288" s="16"/>
      <c r="I288" s="15"/>
      <c r="J288" s="1"/>
      <c r="K288" s="12"/>
      <c r="L288" s="3"/>
      <c r="M288" s="10"/>
    </row>
    <row r="289" spans="1:13" x14ac:dyDescent="0.35">
      <c r="A289" s="17"/>
      <c r="B289" s="16"/>
      <c r="C289"/>
      <c r="D289" s="16"/>
      <c r="E289"/>
      <c r="F289" s="16"/>
      <c r="I289" s="15"/>
      <c r="J289" s="1"/>
      <c r="K289" s="12"/>
      <c r="L289" s="3"/>
      <c r="M289" s="10"/>
    </row>
    <row r="290" spans="1:13" x14ac:dyDescent="0.35">
      <c r="A290" s="17"/>
      <c r="B290" s="16"/>
      <c r="C290"/>
      <c r="D290" s="16"/>
      <c r="E290"/>
      <c r="F290" s="16"/>
      <c r="I290" s="15"/>
      <c r="J290" s="1"/>
      <c r="K290" s="12"/>
      <c r="L290" s="3"/>
      <c r="M290" s="10"/>
    </row>
    <row r="291" spans="1:13" x14ac:dyDescent="0.35">
      <c r="A291" s="17"/>
      <c r="B291" s="16"/>
      <c r="C291"/>
      <c r="D291" s="16"/>
      <c r="E291"/>
      <c r="F291" s="16"/>
      <c r="I291" s="15"/>
      <c r="J291" s="1"/>
      <c r="K291" s="12"/>
      <c r="L291" s="3"/>
      <c r="M291" s="10"/>
    </row>
    <row r="292" spans="1:13" x14ac:dyDescent="0.35">
      <c r="A292" s="17"/>
      <c r="B292" s="16"/>
      <c r="C292"/>
      <c r="D292" s="16"/>
      <c r="E292"/>
      <c r="F292" s="16"/>
      <c r="I292" s="15"/>
      <c r="J292" s="1"/>
      <c r="K292" s="12"/>
      <c r="L292" s="3"/>
      <c r="M292" s="10"/>
    </row>
    <row r="293" spans="1:13" x14ac:dyDescent="0.35">
      <c r="A293" s="17"/>
      <c r="B293" s="16"/>
      <c r="C293"/>
      <c r="D293" s="16"/>
      <c r="E293"/>
      <c r="F293" s="16"/>
      <c r="I293" s="15"/>
      <c r="J293" s="1"/>
      <c r="K293" s="12"/>
      <c r="L293" s="3"/>
      <c r="M293" s="10"/>
    </row>
    <row r="294" spans="1:13" x14ac:dyDescent="0.35">
      <c r="A294" s="17"/>
      <c r="B294" s="16"/>
      <c r="C294"/>
      <c r="D294" s="16"/>
      <c r="E294"/>
      <c r="F294" s="16"/>
      <c r="I294" s="15"/>
      <c r="J294" s="1"/>
      <c r="K294" s="12"/>
      <c r="L294" s="3"/>
      <c r="M294" s="10"/>
    </row>
    <row r="295" spans="1:13" x14ac:dyDescent="0.35">
      <c r="A295" s="17"/>
      <c r="B295" s="16"/>
      <c r="C295"/>
      <c r="D295" s="16"/>
      <c r="E295"/>
      <c r="F295" s="16"/>
      <c r="I295" s="15"/>
      <c r="J295" s="1"/>
      <c r="K295" s="12"/>
      <c r="L295" s="3"/>
      <c r="M295" s="10"/>
    </row>
    <row r="296" spans="1:13" x14ac:dyDescent="0.35">
      <c r="A296" s="17"/>
      <c r="B296" s="16"/>
      <c r="C296"/>
      <c r="D296" s="16"/>
      <c r="E296"/>
      <c r="F296" s="16"/>
      <c r="I296" s="15"/>
      <c r="J296" s="1"/>
      <c r="K296" s="12"/>
      <c r="L296" s="3"/>
      <c r="M296" s="10"/>
    </row>
    <row r="297" spans="1:13" x14ac:dyDescent="0.35">
      <c r="A297" s="17"/>
      <c r="B297" s="16"/>
      <c r="C297"/>
      <c r="D297" s="16"/>
      <c r="E297"/>
      <c r="F297" s="16"/>
      <c r="I297" s="15"/>
      <c r="J297" s="1"/>
      <c r="K297" s="12"/>
      <c r="L297" s="3"/>
      <c r="M297" s="10"/>
    </row>
    <row r="298" spans="1:13" x14ac:dyDescent="0.35">
      <c r="A298" s="17"/>
      <c r="B298" s="16"/>
      <c r="C298"/>
      <c r="D298" s="16"/>
      <c r="E298"/>
      <c r="F298" s="16"/>
      <c r="I298" s="15"/>
      <c r="J298" s="1"/>
      <c r="K298" s="12"/>
      <c r="L298" s="3"/>
      <c r="M298" s="10"/>
    </row>
    <row r="299" spans="1:13" x14ac:dyDescent="0.35">
      <c r="A299" s="17"/>
      <c r="B299" s="16"/>
      <c r="C299"/>
      <c r="D299" s="16"/>
      <c r="E299"/>
      <c r="F299" s="16"/>
      <c r="I299" s="15"/>
      <c r="J299" s="1"/>
      <c r="K299" s="12"/>
      <c r="L299" s="3"/>
      <c r="M299" s="10"/>
    </row>
    <row r="300" spans="1:13" x14ac:dyDescent="0.35">
      <c r="A300" s="17"/>
      <c r="B300" s="16"/>
      <c r="C300"/>
      <c r="D300" s="16"/>
      <c r="E300"/>
      <c r="F300" s="16"/>
      <c r="I300" s="15"/>
      <c r="J300" s="1"/>
      <c r="K300" s="12"/>
      <c r="L300" s="3"/>
      <c r="M300" s="10"/>
    </row>
    <row r="301" spans="1:13" x14ac:dyDescent="0.35">
      <c r="A301" s="17"/>
      <c r="B301" s="16"/>
      <c r="C301"/>
      <c r="D301" s="16"/>
      <c r="E301"/>
      <c r="F301" s="16"/>
      <c r="I301" s="15"/>
      <c r="J301" s="1"/>
      <c r="K301" s="12"/>
      <c r="L301" s="3"/>
      <c r="M301" s="10"/>
    </row>
    <row r="302" spans="1:13" x14ac:dyDescent="0.35">
      <c r="A302" s="17"/>
      <c r="B302" s="16"/>
      <c r="C302"/>
      <c r="D302" s="16"/>
      <c r="E302"/>
      <c r="F302" s="16"/>
      <c r="I302" s="15"/>
      <c r="J302" s="1"/>
      <c r="K302" s="12"/>
      <c r="L302" s="3"/>
      <c r="M302" s="10"/>
    </row>
    <row r="303" spans="1:13" x14ac:dyDescent="0.35">
      <c r="A303" s="17"/>
      <c r="B303" s="16"/>
      <c r="C303"/>
      <c r="D303" s="16"/>
      <c r="E303"/>
      <c r="F303" s="16"/>
      <c r="I303" s="15"/>
      <c r="J303" s="1"/>
      <c r="K303" s="12"/>
      <c r="L303" s="3"/>
      <c r="M303" s="10"/>
    </row>
    <row r="304" spans="1:13" x14ac:dyDescent="0.35">
      <c r="A304" s="17"/>
      <c r="B304" s="16"/>
      <c r="C304"/>
      <c r="D304" s="16"/>
      <c r="E304"/>
      <c r="F304" s="16"/>
      <c r="I304" s="15"/>
      <c r="J304" s="1"/>
      <c r="K304" s="12"/>
      <c r="L304" s="3"/>
      <c r="M304" s="10"/>
    </row>
    <row r="305" spans="1:13" x14ac:dyDescent="0.35">
      <c r="A305" s="17"/>
      <c r="B305" s="16"/>
      <c r="C305"/>
      <c r="D305" s="16"/>
      <c r="E305"/>
      <c r="F305" s="16"/>
      <c r="I305" s="15"/>
      <c r="J305" s="1"/>
      <c r="K305" s="12"/>
      <c r="L305" s="3"/>
      <c r="M305" s="10"/>
    </row>
    <row r="306" spans="1:13" x14ac:dyDescent="0.35">
      <c r="A306" s="17"/>
      <c r="B306" s="16"/>
      <c r="C306"/>
      <c r="D306" s="16"/>
      <c r="E306"/>
      <c r="F306" s="16"/>
      <c r="I306" s="15"/>
      <c r="J306" s="1"/>
      <c r="K306" s="12"/>
      <c r="L306" s="3"/>
      <c r="M306" s="10"/>
    </row>
    <row r="307" spans="1:13" x14ac:dyDescent="0.35">
      <c r="A307" s="17"/>
      <c r="B307" s="16"/>
      <c r="C307"/>
      <c r="D307" s="16"/>
      <c r="E307"/>
      <c r="F307" s="16"/>
      <c r="I307" s="15"/>
      <c r="J307" s="1"/>
      <c r="K307" s="12"/>
      <c r="L307" s="3"/>
      <c r="M307" s="10"/>
    </row>
    <row r="308" spans="1:13" x14ac:dyDescent="0.35">
      <c r="A308" s="17"/>
      <c r="B308" s="16"/>
      <c r="C308"/>
      <c r="D308" s="16"/>
      <c r="E308"/>
      <c r="F308" s="16"/>
      <c r="I308" s="15"/>
      <c r="J308" s="1"/>
      <c r="K308" s="12"/>
      <c r="L308" s="3"/>
      <c r="M308" s="10"/>
    </row>
    <row r="309" spans="1:13" x14ac:dyDescent="0.35">
      <c r="A309" s="17"/>
      <c r="B309" s="16"/>
      <c r="C309"/>
      <c r="D309" s="16"/>
      <c r="E309"/>
      <c r="F309" s="16"/>
      <c r="I309" s="15"/>
      <c r="J309" s="1"/>
      <c r="K309" s="12"/>
      <c r="L309" s="3"/>
      <c r="M309" s="10"/>
    </row>
    <row r="310" spans="1:13" x14ac:dyDescent="0.35">
      <c r="A310" s="17"/>
      <c r="B310" s="16"/>
      <c r="C310"/>
      <c r="D310" s="16"/>
      <c r="E310"/>
      <c r="F310" s="16"/>
      <c r="I310" s="15"/>
      <c r="J310" s="1"/>
      <c r="K310" s="12"/>
      <c r="L310" s="3"/>
      <c r="M310" s="10"/>
    </row>
    <row r="311" spans="1:13" x14ac:dyDescent="0.35">
      <c r="A311" s="17"/>
      <c r="B311" s="16"/>
      <c r="C311"/>
      <c r="D311" s="16"/>
      <c r="E311"/>
      <c r="F311" s="16"/>
      <c r="I311" s="15"/>
      <c r="J311" s="1"/>
      <c r="K311" s="12"/>
      <c r="L311" s="3"/>
      <c r="M311" s="10"/>
    </row>
    <row r="312" spans="1:13" x14ac:dyDescent="0.35">
      <c r="A312" s="17"/>
      <c r="B312" s="16"/>
      <c r="C312"/>
      <c r="D312" s="16"/>
      <c r="E312"/>
      <c r="F312" s="16"/>
      <c r="I312" s="15"/>
      <c r="J312" s="1"/>
      <c r="K312" s="12"/>
      <c r="L312" s="3"/>
      <c r="M312" s="10"/>
    </row>
    <row r="313" spans="1:13" x14ac:dyDescent="0.35">
      <c r="A313" s="17"/>
      <c r="B313" s="16"/>
      <c r="C313"/>
      <c r="D313" s="16"/>
      <c r="E313"/>
      <c r="F313" s="16"/>
      <c r="I313" s="15"/>
      <c r="J313" s="1"/>
      <c r="K313" s="12"/>
      <c r="L313" s="3"/>
      <c r="M313" s="10"/>
    </row>
    <row r="314" spans="1:13" x14ac:dyDescent="0.35">
      <c r="A314" s="17"/>
      <c r="B314" s="16"/>
      <c r="C314"/>
      <c r="D314" s="16"/>
      <c r="E314"/>
      <c r="F314" s="16"/>
      <c r="I314" s="15"/>
      <c r="J314" s="1"/>
      <c r="K314" s="12"/>
      <c r="L314" s="3"/>
      <c r="M314" s="10"/>
    </row>
    <row r="315" spans="1:13" x14ac:dyDescent="0.35">
      <c r="A315" s="17"/>
      <c r="B315" s="16"/>
      <c r="C315"/>
      <c r="D315" s="16"/>
      <c r="E315"/>
      <c r="F315" s="16"/>
      <c r="I315" s="15"/>
      <c r="J315" s="1"/>
      <c r="K315" s="12"/>
      <c r="L315" s="3"/>
      <c r="M315" s="10"/>
    </row>
    <row r="316" spans="1:13" x14ac:dyDescent="0.35">
      <c r="A316" s="17"/>
      <c r="B316" s="16"/>
      <c r="C316"/>
      <c r="D316" s="16"/>
      <c r="E316"/>
      <c r="F316" s="16"/>
      <c r="I316" s="15"/>
      <c r="J316" s="1"/>
      <c r="K316" s="12"/>
      <c r="L316" s="3"/>
      <c r="M316" s="10"/>
    </row>
    <row r="317" spans="1:13" x14ac:dyDescent="0.35">
      <c r="A317" s="17"/>
      <c r="B317" s="16"/>
      <c r="C317"/>
      <c r="D317" s="16"/>
      <c r="E317"/>
      <c r="F317" s="16"/>
      <c r="I317" s="15"/>
      <c r="J317" s="1"/>
      <c r="K317" s="12"/>
      <c r="L317" s="3"/>
      <c r="M317" s="10"/>
    </row>
    <row r="318" spans="1:13" x14ac:dyDescent="0.35">
      <c r="A318" s="17"/>
      <c r="B318" s="16"/>
      <c r="C318"/>
      <c r="D318" s="16"/>
      <c r="E318"/>
      <c r="F318" s="16"/>
      <c r="I318" s="15"/>
      <c r="J318" s="1"/>
      <c r="K318" s="12"/>
      <c r="L318" s="3"/>
      <c r="M318" s="10"/>
    </row>
    <row r="319" spans="1:13" x14ac:dyDescent="0.35">
      <c r="A319" s="17"/>
      <c r="B319" s="16"/>
      <c r="C319"/>
      <c r="D319" s="16"/>
      <c r="E319"/>
      <c r="F319" s="16"/>
      <c r="I319" s="15"/>
      <c r="J319" s="1"/>
      <c r="K319" s="12"/>
      <c r="L319" s="3"/>
      <c r="M319" s="10"/>
    </row>
    <row r="320" spans="1:13" x14ac:dyDescent="0.35">
      <c r="A320" s="17"/>
      <c r="B320" s="16"/>
      <c r="C320"/>
      <c r="D320" s="16"/>
      <c r="E320"/>
      <c r="F320" s="16"/>
      <c r="I320" s="15"/>
      <c r="J320" s="1"/>
      <c r="K320" s="12"/>
      <c r="L320" s="3"/>
      <c r="M320" s="10"/>
    </row>
    <row r="321" spans="1:13" x14ac:dyDescent="0.35">
      <c r="A321" s="17"/>
      <c r="B321" s="16"/>
      <c r="C321"/>
      <c r="D321" s="16"/>
      <c r="E321"/>
      <c r="F321" s="16"/>
      <c r="I321" s="15"/>
      <c r="J321" s="1"/>
      <c r="K321" s="12"/>
      <c r="L321" s="3"/>
      <c r="M321" s="10"/>
    </row>
    <row r="322" spans="1:13" x14ac:dyDescent="0.35">
      <c r="A322" s="17"/>
      <c r="B322" s="16"/>
      <c r="C322"/>
      <c r="D322" s="16"/>
      <c r="E322"/>
      <c r="F322" s="16"/>
      <c r="I322" s="15"/>
      <c r="J322" s="1"/>
      <c r="K322" s="12"/>
      <c r="L322" s="3"/>
      <c r="M322" s="10"/>
    </row>
    <row r="323" spans="1:13" x14ac:dyDescent="0.35">
      <c r="A323" s="17"/>
      <c r="B323" s="16"/>
      <c r="C323"/>
      <c r="D323" s="16"/>
      <c r="E323"/>
      <c r="F323" s="16"/>
      <c r="I323" s="15"/>
      <c r="J323" s="1"/>
      <c r="K323" s="12"/>
      <c r="L323" s="3"/>
      <c r="M323" s="10"/>
    </row>
    <row r="324" spans="1:13" x14ac:dyDescent="0.35">
      <c r="A324" s="17"/>
      <c r="B324" s="16"/>
      <c r="C324"/>
      <c r="D324" s="16"/>
      <c r="E324"/>
      <c r="F324" s="16"/>
      <c r="I324" s="15"/>
      <c r="J324" s="1"/>
      <c r="K324" s="12"/>
      <c r="L324" s="3"/>
      <c r="M324" s="10"/>
    </row>
    <row r="325" spans="1:13" x14ac:dyDescent="0.35">
      <c r="A325" s="17"/>
      <c r="B325" s="16"/>
      <c r="C325"/>
      <c r="D325" s="16"/>
      <c r="E325"/>
      <c r="F325" s="16"/>
      <c r="I325" s="15"/>
      <c r="J325" s="1"/>
      <c r="K325" s="12"/>
      <c r="L325" s="3"/>
      <c r="M325" s="10"/>
    </row>
    <row r="326" spans="1:13" x14ac:dyDescent="0.35">
      <c r="A326" s="17"/>
      <c r="B326" s="16"/>
      <c r="C326"/>
      <c r="D326" s="16"/>
      <c r="E326"/>
      <c r="F326" s="16"/>
      <c r="I326" s="15"/>
      <c r="J326" s="1"/>
      <c r="K326" s="12"/>
      <c r="L326" s="3"/>
      <c r="M326" s="10"/>
    </row>
    <row r="327" spans="1:13" x14ac:dyDescent="0.35">
      <c r="A327" s="17"/>
      <c r="B327" s="16"/>
      <c r="C327"/>
      <c r="D327" s="16"/>
      <c r="E327"/>
      <c r="F327" s="16"/>
      <c r="I327" s="15"/>
      <c r="J327" s="1"/>
      <c r="K327" s="12"/>
      <c r="L327" s="3"/>
      <c r="M327" s="10"/>
    </row>
    <row r="328" spans="1:13" x14ac:dyDescent="0.35">
      <c r="A328" s="17"/>
      <c r="B328" s="16"/>
      <c r="C328"/>
      <c r="D328" s="16"/>
      <c r="E328"/>
      <c r="F328" s="16"/>
      <c r="I328" s="15"/>
      <c r="J328" s="1"/>
      <c r="K328" s="12"/>
      <c r="L328" s="3"/>
      <c r="M328" s="10"/>
    </row>
    <row r="329" spans="1:13" x14ac:dyDescent="0.35">
      <c r="A329" s="17"/>
      <c r="B329" s="16"/>
      <c r="C329"/>
      <c r="D329" s="16"/>
      <c r="E329"/>
      <c r="F329" s="16"/>
      <c r="I329" s="15"/>
      <c r="J329" s="1"/>
      <c r="K329" s="12"/>
      <c r="L329" s="3"/>
      <c r="M329" s="10"/>
    </row>
    <row r="330" spans="1:13" x14ac:dyDescent="0.35">
      <c r="A330" s="17"/>
      <c r="B330" s="16"/>
      <c r="C330"/>
      <c r="D330" s="16"/>
      <c r="E330"/>
      <c r="F330" s="16"/>
      <c r="I330" s="15"/>
      <c r="J330" s="1"/>
      <c r="K330" s="12"/>
      <c r="L330" s="3"/>
      <c r="M330" s="10"/>
    </row>
    <row r="331" spans="1:13" x14ac:dyDescent="0.35">
      <c r="A331" s="17"/>
      <c r="B331" s="16"/>
      <c r="C331"/>
      <c r="D331" s="16"/>
      <c r="E331"/>
      <c r="F331" s="16"/>
      <c r="I331" s="15"/>
      <c r="J331" s="1"/>
      <c r="K331" s="12"/>
      <c r="L331" s="3"/>
      <c r="M331" s="10"/>
    </row>
    <row r="332" spans="1:13" x14ac:dyDescent="0.35">
      <c r="A332" s="17"/>
      <c r="B332" s="16"/>
      <c r="C332"/>
      <c r="D332" s="16"/>
      <c r="E332"/>
      <c r="F332" s="16"/>
      <c r="I332" s="15"/>
      <c r="J332" s="1"/>
      <c r="K332" s="12"/>
      <c r="L332" s="3"/>
      <c r="M332" s="10"/>
    </row>
    <row r="333" spans="1:13" x14ac:dyDescent="0.35">
      <c r="A333" s="17"/>
      <c r="B333" s="16"/>
      <c r="C333"/>
      <c r="D333" s="16"/>
      <c r="E333"/>
      <c r="F333" s="16"/>
      <c r="I333" s="15"/>
      <c r="J333" s="1"/>
      <c r="K333" s="12"/>
      <c r="L333" s="3"/>
      <c r="M333" s="10"/>
    </row>
    <row r="334" spans="1:13" x14ac:dyDescent="0.35">
      <c r="A334" s="17"/>
      <c r="B334" s="16"/>
      <c r="C334"/>
      <c r="D334" s="16"/>
      <c r="E334"/>
      <c r="F334" s="16"/>
      <c r="I334" s="15"/>
      <c r="J334" s="1"/>
      <c r="K334" s="12"/>
      <c r="L334" s="3"/>
      <c r="M334" s="10"/>
    </row>
    <row r="335" spans="1:13" x14ac:dyDescent="0.35">
      <c r="A335" s="17"/>
      <c r="B335" s="16"/>
      <c r="C335"/>
      <c r="D335" s="16"/>
      <c r="E335"/>
      <c r="F335" s="16"/>
      <c r="I335" s="15"/>
      <c r="J335" s="1"/>
      <c r="K335" s="12"/>
      <c r="L335" s="3"/>
      <c r="M335" s="10"/>
    </row>
    <row r="336" spans="1:13" x14ac:dyDescent="0.35">
      <c r="A336" s="17"/>
      <c r="B336" s="16"/>
      <c r="C336"/>
      <c r="D336" s="16"/>
      <c r="E336"/>
      <c r="F336" s="16"/>
      <c r="I336" s="15"/>
      <c r="J336" s="1"/>
      <c r="K336" s="12"/>
      <c r="L336" s="3"/>
      <c r="M336" s="10"/>
    </row>
    <row r="337" spans="1:13" x14ac:dyDescent="0.35">
      <c r="A337" s="17"/>
      <c r="B337" s="16"/>
      <c r="C337"/>
      <c r="D337" s="16"/>
      <c r="E337"/>
      <c r="F337" s="16"/>
      <c r="I337" s="15"/>
      <c r="J337" s="1"/>
      <c r="K337" s="12"/>
      <c r="L337" s="3"/>
      <c r="M337" s="10"/>
    </row>
    <row r="338" spans="1:13" x14ac:dyDescent="0.35">
      <c r="A338" s="17"/>
      <c r="B338" s="16"/>
      <c r="C338"/>
      <c r="D338" s="16"/>
      <c r="E338"/>
      <c r="F338" s="16"/>
      <c r="I338" s="15"/>
      <c r="J338" s="1"/>
      <c r="K338" s="12"/>
      <c r="L338" s="3"/>
      <c r="M338" s="10"/>
    </row>
    <row r="339" spans="1:13" x14ac:dyDescent="0.35">
      <c r="A339" s="17"/>
      <c r="B339" s="16"/>
      <c r="C339"/>
      <c r="D339" s="16"/>
      <c r="E339"/>
      <c r="F339" s="16"/>
      <c r="I339" s="15"/>
      <c r="J339" s="1"/>
      <c r="K339" s="12"/>
      <c r="L339" s="3"/>
      <c r="M339" s="10"/>
    </row>
    <row r="340" spans="1:13" x14ac:dyDescent="0.35">
      <c r="A340" s="17"/>
      <c r="B340" s="16"/>
      <c r="C340"/>
      <c r="D340" s="16"/>
      <c r="E340"/>
      <c r="F340" s="16"/>
      <c r="I340" s="15"/>
      <c r="J340" s="1"/>
      <c r="K340" s="12"/>
      <c r="L340" s="3"/>
      <c r="M340" s="10"/>
    </row>
    <row r="341" spans="1:13" x14ac:dyDescent="0.35">
      <c r="A341" s="17"/>
      <c r="B341" s="16"/>
      <c r="C341"/>
      <c r="D341" s="16"/>
      <c r="E341"/>
      <c r="F341" s="16"/>
      <c r="I341" s="15"/>
      <c r="J341" s="1"/>
      <c r="K341" s="12"/>
      <c r="L341" s="3"/>
      <c r="M341" s="10"/>
    </row>
    <row r="342" spans="1:13" x14ac:dyDescent="0.35">
      <c r="A342" s="17"/>
      <c r="B342" s="16"/>
      <c r="C342"/>
      <c r="D342" s="16"/>
      <c r="E342"/>
      <c r="F342" s="16"/>
      <c r="I342" s="15"/>
      <c r="J342" s="1"/>
      <c r="K342" s="12"/>
      <c r="L342" s="3"/>
      <c r="M342" s="10"/>
    </row>
    <row r="343" spans="1:13" x14ac:dyDescent="0.35">
      <c r="A343" s="17"/>
      <c r="B343" s="16"/>
      <c r="C343"/>
      <c r="D343" s="16"/>
      <c r="E343"/>
      <c r="F343" s="16"/>
      <c r="I343" s="15"/>
      <c r="J343" s="1"/>
      <c r="K343" s="12"/>
      <c r="L343" s="3"/>
      <c r="M343" s="10"/>
    </row>
    <row r="344" spans="1:13" x14ac:dyDescent="0.35">
      <c r="A344" s="17"/>
      <c r="B344" s="16"/>
      <c r="C344"/>
      <c r="D344" s="16"/>
      <c r="E344"/>
      <c r="F344" s="16"/>
      <c r="I344" s="15"/>
      <c r="J344" s="1"/>
      <c r="K344" s="12"/>
      <c r="L344" s="3"/>
      <c r="M344" s="10"/>
    </row>
    <row r="345" spans="1:13" x14ac:dyDescent="0.35">
      <c r="A345" s="17"/>
      <c r="B345" s="16"/>
      <c r="C345"/>
      <c r="D345" s="16"/>
      <c r="E345"/>
      <c r="F345" s="16"/>
      <c r="I345" s="15"/>
      <c r="J345" s="1"/>
      <c r="K345" s="12"/>
      <c r="L345" s="3"/>
      <c r="M345" s="10"/>
    </row>
    <row r="346" spans="1:13" x14ac:dyDescent="0.35">
      <c r="A346" s="17"/>
      <c r="B346" s="16"/>
      <c r="C346"/>
      <c r="D346" s="16"/>
      <c r="E346"/>
      <c r="F346" s="16"/>
      <c r="I346" s="15"/>
      <c r="J346" s="1"/>
      <c r="K346" s="12"/>
      <c r="L346" s="3"/>
      <c r="M346" s="10"/>
    </row>
    <row r="347" spans="1:13" x14ac:dyDescent="0.35">
      <c r="A347" s="17"/>
      <c r="B347" s="16"/>
      <c r="C347"/>
      <c r="D347" s="16"/>
      <c r="E347"/>
      <c r="F347" s="16"/>
      <c r="I347" s="15"/>
      <c r="J347" s="1"/>
      <c r="K347" s="12"/>
      <c r="L347" s="3"/>
      <c r="M347" s="10"/>
    </row>
    <row r="348" spans="1:13" x14ac:dyDescent="0.35">
      <c r="A348" s="17"/>
      <c r="B348" s="16"/>
      <c r="C348"/>
      <c r="D348" s="16"/>
      <c r="E348"/>
      <c r="F348" s="16"/>
      <c r="I348" s="15"/>
      <c r="J348" s="1"/>
      <c r="K348" s="12"/>
      <c r="L348" s="3"/>
      <c r="M348" s="10"/>
    </row>
    <row r="349" spans="1:13" x14ac:dyDescent="0.35">
      <c r="A349" s="17"/>
      <c r="B349" s="16"/>
      <c r="C349"/>
      <c r="D349" s="16"/>
      <c r="E349"/>
      <c r="F349" s="16"/>
      <c r="I349" s="15"/>
      <c r="J349" s="1"/>
      <c r="K349" s="12"/>
      <c r="L349" s="3"/>
      <c r="M349" s="10"/>
    </row>
    <row r="350" spans="1:13" x14ac:dyDescent="0.35">
      <c r="A350" s="17"/>
      <c r="B350" s="16"/>
      <c r="C350"/>
      <c r="D350" s="16"/>
      <c r="E350"/>
      <c r="F350" s="16"/>
      <c r="I350" s="15"/>
      <c r="J350" s="1"/>
      <c r="K350" s="12"/>
      <c r="L350" s="3"/>
      <c r="M350" s="10"/>
    </row>
    <row r="351" spans="1:13" x14ac:dyDescent="0.35">
      <c r="A351" s="17"/>
      <c r="B351" s="16"/>
      <c r="C351"/>
      <c r="D351" s="16"/>
      <c r="E351"/>
      <c r="F351" s="16"/>
      <c r="I351" s="15"/>
      <c r="J351" s="1"/>
      <c r="K351" s="12"/>
      <c r="L351" s="3"/>
      <c r="M351" s="10"/>
    </row>
    <row r="352" spans="1:13" x14ac:dyDescent="0.35">
      <c r="A352" s="17"/>
      <c r="B352" s="16"/>
      <c r="C352"/>
      <c r="D352" s="16"/>
      <c r="E352"/>
      <c r="F352" s="16"/>
      <c r="I352" s="15"/>
      <c r="J352" s="1"/>
      <c r="K352" s="12"/>
      <c r="L352" s="3"/>
      <c r="M352" s="10"/>
    </row>
    <row r="353" spans="1:13" x14ac:dyDescent="0.35">
      <c r="A353" s="17"/>
      <c r="B353" s="16"/>
      <c r="C353"/>
      <c r="D353" s="16"/>
      <c r="E353"/>
      <c r="F353" s="16"/>
      <c r="I353" s="15"/>
      <c r="J353" s="1"/>
      <c r="K353" s="12"/>
      <c r="L353" s="3"/>
      <c r="M353" s="10"/>
    </row>
    <row r="354" spans="1:13" x14ac:dyDescent="0.35">
      <c r="A354" s="17"/>
      <c r="B354" s="16"/>
      <c r="C354"/>
      <c r="D354" s="16"/>
      <c r="E354"/>
      <c r="F354" s="16"/>
      <c r="I354" s="15"/>
      <c r="J354" s="1"/>
      <c r="K354" s="12"/>
      <c r="L354" s="3"/>
      <c r="M354" s="10"/>
    </row>
    <row r="355" spans="1:13" x14ac:dyDescent="0.35">
      <c r="A355" s="17"/>
      <c r="B355" s="16"/>
      <c r="C355"/>
      <c r="D355" s="16"/>
      <c r="E355"/>
      <c r="F355" s="16"/>
      <c r="I355" s="15"/>
      <c r="J355" s="1"/>
      <c r="K355" s="12"/>
      <c r="L355" s="3"/>
      <c r="M355" s="10"/>
    </row>
    <row r="356" spans="1:13" x14ac:dyDescent="0.35">
      <c r="A356" s="17"/>
      <c r="B356" s="16"/>
      <c r="C356"/>
      <c r="D356" s="16"/>
      <c r="E356"/>
      <c r="F356" s="16"/>
      <c r="I356" s="15"/>
      <c r="J356" s="1"/>
      <c r="K356" s="12"/>
      <c r="L356" s="3"/>
      <c r="M356" s="10"/>
    </row>
    <row r="357" spans="1:13" x14ac:dyDescent="0.35">
      <c r="A357" s="17"/>
      <c r="B357" s="16"/>
      <c r="C357"/>
      <c r="D357" s="16"/>
      <c r="E357"/>
      <c r="F357" s="16"/>
      <c r="I357" s="15"/>
      <c r="J357" s="1"/>
      <c r="K357" s="12"/>
      <c r="L357" s="3"/>
      <c r="M357" s="10"/>
    </row>
    <row r="358" spans="1:13" x14ac:dyDescent="0.35">
      <c r="A358" s="17"/>
      <c r="B358" s="16"/>
      <c r="C358"/>
      <c r="D358" s="16"/>
      <c r="E358"/>
      <c r="F358" s="16"/>
      <c r="I358" s="15"/>
      <c r="J358" s="1"/>
      <c r="K358" s="12"/>
      <c r="L358" s="3"/>
      <c r="M358" s="10"/>
    </row>
    <row r="359" spans="1:13" x14ac:dyDescent="0.35">
      <c r="A359" s="17"/>
      <c r="B359" s="16"/>
      <c r="C359"/>
      <c r="D359" s="16"/>
      <c r="E359"/>
      <c r="F359" s="16"/>
      <c r="I359" s="15"/>
      <c r="J359" s="1"/>
      <c r="K359" s="12"/>
      <c r="L359" s="3"/>
      <c r="M359" s="10"/>
    </row>
    <row r="360" spans="1:13" x14ac:dyDescent="0.35">
      <c r="A360" s="17"/>
      <c r="B360" s="16"/>
      <c r="C360"/>
      <c r="D360" s="16"/>
      <c r="E360"/>
      <c r="F360" s="16"/>
      <c r="I360" s="15"/>
      <c r="J360" s="1"/>
      <c r="K360" s="12"/>
      <c r="L360" s="3"/>
      <c r="M360" s="10"/>
    </row>
    <row r="361" spans="1:13" x14ac:dyDescent="0.35">
      <c r="A361" s="17"/>
      <c r="B361" s="16"/>
      <c r="C361"/>
      <c r="D361" s="16"/>
      <c r="E361"/>
      <c r="F361" s="16"/>
      <c r="I361" s="15"/>
      <c r="J361" s="1"/>
      <c r="K361" s="12"/>
      <c r="L361" s="3"/>
      <c r="M361" s="10"/>
    </row>
    <row r="362" spans="1:13" x14ac:dyDescent="0.35">
      <c r="A362" s="17"/>
      <c r="B362" s="16"/>
      <c r="C362"/>
      <c r="D362" s="16"/>
      <c r="E362"/>
      <c r="F362" s="16"/>
      <c r="I362" s="15"/>
      <c r="J362" s="1"/>
      <c r="K362" s="12"/>
      <c r="L362" s="3"/>
      <c r="M362" s="10"/>
    </row>
    <row r="363" spans="1:13" x14ac:dyDescent="0.35">
      <c r="A363" s="17"/>
      <c r="B363" s="16"/>
      <c r="C363"/>
      <c r="D363" s="16"/>
      <c r="E363"/>
      <c r="F363" s="16"/>
      <c r="I363" s="15"/>
      <c r="J363" s="1"/>
      <c r="K363" s="12"/>
      <c r="L363" s="3"/>
      <c r="M363" s="10"/>
    </row>
    <row r="364" spans="1:13" x14ac:dyDescent="0.35">
      <c r="A364" s="17"/>
      <c r="B364" s="16"/>
      <c r="C364"/>
      <c r="D364" s="16"/>
      <c r="E364"/>
      <c r="F364" s="16"/>
      <c r="I364" s="15"/>
      <c r="J364" s="1"/>
      <c r="K364" s="12"/>
      <c r="L364" s="3"/>
      <c r="M364" s="10"/>
    </row>
    <row r="365" spans="1:13" x14ac:dyDescent="0.35">
      <c r="A365" s="17"/>
      <c r="B365" s="16"/>
      <c r="C365"/>
      <c r="D365" s="16"/>
      <c r="E365"/>
      <c r="F365" s="16"/>
      <c r="I365" s="15"/>
      <c r="J365" s="1"/>
      <c r="K365" s="12"/>
      <c r="L365" s="3"/>
      <c r="M365" s="10"/>
    </row>
    <row r="366" spans="1:13" x14ac:dyDescent="0.35">
      <c r="A366" s="17"/>
      <c r="B366" s="16"/>
      <c r="C366"/>
      <c r="D366" s="16"/>
      <c r="E366"/>
      <c r="F366" s="16"/>
      <c r="I366" s="15"/>
      <c r="J366" s="1"/>
      <c r="K366" s="12"/>
      <c r="L366" s="3"/>
      <c r="M366" s="10"/>
    </row>
    <row r="367" spans="1:13" x14ac:dyDescent="0.35">
      <c r="A367" s="17"/>
      <c r="B367" s="16"/>
      <c r="C367"/>
      <c r="D367" s="16"/>
      <c r="E367"/>
      <c r="F367" s="16"/>
      <c r="I367" s="15"/>
      <c r="J367" s="1"/>
      <c r="K367" s="12"/>
      <c r="L367" s="3"/>
      <c r="M367" s="10"/>
    </row>
    <row r="368" spans="1:13" x14ac:dyDescent="0.35">
      <c r="A368" s="17"/>
      <c r="B368" s="16"/>
      <c r="C368"/>
      <c r="D368" s="16"/>
      <c r="E368"/>
      <c r="F368" s="16"/>
      <c r="I368" s="15"/>
      <c r="J368" s="1"/>
      <c r="K368" s="12"/>
      <c r="L368" s="3"/>
      <c r="M368" s="10"/>
    </row>
    <row r="369" spans="1:13" x14ac:dyDescent="0.35">
      <c r="A369" s="17"/>
      <c r="B369" s="16"/>
      <c r="C369"/>
      <c r="D369" s="16"/>
      <c r="E369"/>
      <c r="F369" s="16"/>
      <c r="I369" s="15"/>
      <c r="J369" s="1"/>
      <c r="K369" s="12"/>
      <c r="L369" s="3"/>
      <c r="M369" s="10"/>
    </row>
    <row r="370" spans="1:13" x14ac:dyDescent="0.35">
      <c r="A370" s="17"/>
      <c r="B370" s="16"/>
      <c r="C370"/>
      <c r="D370" s="16"/>
      <c r="E370"/>
      <c r="F370" s="16"/>
      <c r="I370" s="15"/>
      <c r="J370" s="1"/>
      <c r="K370" s="12"/>
      <c r="L370" s="3"/>
      <c r="M370" s="10"/>
    </row>
    <row r="371" spans="1:13" x14ac:dyDescent="0.35">
      <c r="A371" s="17"/>
      <c r="B371" s="16"/>
      <c r="C371"/>
      <c r="D371" s="16"/>
      <c r="E371"/>
      <c r="F371" s="16"/>
      <c r="I371" s="15"/>
      <c r="J371" s="1"/>
      <c r="K371" s="12"/>
      <c r="L371" s="3"/>
      <c r="M371" s="10"/>
    </row>
    <row r="372" spans="1:13" x14ac:dyDescent="0.35">
      <c r="A372" s="17"/>
      <c r="B372" s="16"/>
      <c r="C372"/>
      <c r="D372" s="16"/>
      <c r="E372"/>
      <c r="F372" s="16"/>
      <c r="I372" s="15"/>
      <c r="J372" s="1"/>
      <c r="K372" s="12"/>
      <c r="L372" s="3"/>
      <c r="M372" s="10"/>
    </row>
    <row r="373" spans="1:13" x14ac:dyDescent="0.35">
      <c r="A373" s="17"/>
      <c r="B373" s="16"/>
      <c r="C373"/>
      <c r="D373" s="16"/>
      <c r="E373"/>
      <c r="F373" s="16"/>
      <c r="I373" s="15"/>
      <c r="J373" s="1"/>
      <c r="K373" s="12"/>
      <c r="L373" s="3"/>
      <c r="M373" s="10"/>
    </row>
    <row r="374" spans="1:13" x14ac:dyDescent="0.35">
      <c r="A374" s="17"/>
      <c r="B374" s="16"/>
      <c r="C374"/>
      <c r="D374" s="16"/>
      <c r="E374"/>
      <c r="F374" s="16"/>
      <c r="I374" s="15"/>
      <c r="J374" s="1"/>
      <c r="K374" s="12"/>
      <c r="L374" s="3"/>
      <c r="M374" s="10"/>
    </row>
    <row r="375" spans="1:13" x14ac:dyDescent="0.35">
      <c r="A375" s="17"/>
      <c r="B375" s="16"/>
      <c r="C375"/>
      <c r="D375" s="16"/>
      <c r="E375"/>
      <c r="F375" s="16"/>
      <c r="I375" s="15"/>
      <c r="J375" s="1"/>
      <c r="K375" s="12"/>
      <c r="L375" s="3"/>
      <c r="M375" s="10"/>
    </row>
    <row r="376" spans="1:13" x14ac:dyDescent="0.35">
      <c r="A376" s="17"/>
      <c r="B376" s="16"/>
      <c r="C376"/>
      <c r="D376" s="16"/>
      <c r="E376"/>
      <c r="F376" s="16"/>
      <c r="I376" s="15"/>
      <c r="J376" s="1"/>
      <c r="K376" s="12"/>
      <c r="L376" s="3"/>
      <c r="M376" s="10"/>
    </row>
    <row r="377" spans="1:13" x14ac:dyDescent="0.35">
      <c r="A377" s="17"/>
      <c r="B377" s="16"/>
      <c r="C377"/>
      <c r="D377" s="16"/>
      <c r="E377"/>
      <c r="F377" s="16"/>
      <c r="I377" s="15"/>
      <c r="J377" s="1"/>
      <c r="K377" s="12"/>
      <c r="L377" s="3"/>
      <c r="M377" s="10"/>
    </row>
    <row r="378" spans="1:13" x14ac:dyDescent="0.35">
      <c r="A378" s="17"/>
      <c r="B378" s="16"/>
      <c r="C378"/>
      <c r="D378" s="16"/>
      <c r="E378"/>
      <c r="F378" s="16"/>
      <c r="I378" s="15"/>
      <c r="J378" s="1"/>
      <c r="K378" s="12"/>
      <c r="L378" s="3"/>
      <c r="M378" s="10"/>
    </row>
    <row r="379" spans="1:13" x14ac:dyDescent="0.35">
      <c r="A379" s="17"/>
      <c r="B379" s="16"/>
      <c r="C379"/>
      <c r="D379" s="16"/>
      <c r="E379"/>
      <c r="F379" s="16"/>
      <c r="I379" s="15"/>
      <c r="J379" s="1"/>
      <c r="K379" s="12"/>
      <c r="L379" s="3"/>
      <c r="M379" s="10"/>
    </row>
    <row r="380" spans="1:13" x14ac:dyDescent="0.35">
      <c r="A380" s="17"/>
      <c r="B380" s="16"/>
      <c r="C380"/>
      <c r="D380" s="16"/>
      <c r="E380"/>
      <c r="F380" s="16"/>
      <c r="I380" s="15"/>
      <c r="J380" s="1"/>
      <c r="K380" s="12"/>
      <c r="L380" s="3"/>
      <c r="M380" s="10"/>
    </row>
    <row r="381" spans="1:13" x14ac:dyDescent="0.35">
      <c r="A381" s="17"/>
      <c r="B381" s="16"/>
      <c r="C381"/>
      <c r="D381" s="16"/>
      <c r="E381"/>
      <c r="F381" s="16"/>
      <c r="I381" s="15"/>
      <c r="J381" s="1"/>
      <c r="K381" s="12"/>
      <c r="L381" s="3"/>
      <c r="M381" s="10"/>
    </row>
    <row r="382" spans="1:13" x14ac:dyDescent="0.35">
      <c r="A382" s="17"/>
      <c r="B382" s="16"/>
      <c r="C382"/>
      <c r="D382" s="16"/>
      <c r="E382"/>
      <c r="F382" s="16"/>
      <c r="I382" s="15"/>
      <c r="J382" s="1"/>
      <c r="K382" s="12"/>
      <c r="L382" s="3"/>
      <c r="M382" s="10"/>
    </row>
    <row r="383" spans="1:13" x14ac:dyDescent="0.35">
      <c r="A383" s="17"/>
      <c r="B383" s="16"/>
      <c r="C383"/>
      <c r="D383" s="16"/>
      <c r="E383"/>
      <c r="F383" s="16"/>
      <c r="I383" s="15"/>
      <c r="J383" s="1"/>
      <c r="K383" s="12"/>
      <c r="L383" s="3"/>
      <c r="M383" s="10"/>
    </row>
    <row r="384" spans="1:13" x14ac:dyDescent="0.35">
      <c r="A384" s="17"/>
      <c r="B384" s="16"/>
      <c r="C384"/>
      <c r="D384" s="16"/>
      <c r="E384"/>
      <c r="F384" s="16"/>
      <c r="I384" s="15"/>
      <c r="J384" s="1"/>
      <c r="K384" s="12"/>
      <c r="L384" s="3"/>
      <c r="M384" s="10"/>
    </row>
    <row r="385" spans="1:13" x14ac:dyDescent="0.35">
      <c r="A385" s="17"/>
      <c r="B385" s="16"/>
      <c r="C385"/>
      <c r="D385" s="16"/>
      <c r="E385"/>
      <c r="F385" s="16"/>
      <c r="I385" s="15"/>
      <c r="J385" s="1"/>
      <c r="K385" s="12"/>
      <c r="L385" s="3"/>
      <c r="M385" s="10"/>
    </row>
    <row r="386" spans="1:13" x14ac:dyDescent="0.35">
      <c r="A386" s="17"/>
      <c r="B386" s="16"/>
      <c r="C386"/>
      <c r="D386" s="16"/>
      <c r="E386"/>
      <c r="F386" s="16"/>
      <c r="I386" s="15"/>
      <c r="J386" s="1"/>
      <c r="K386" s="12"/>
      <c r="L386" s="3"/>
      <c r="M386" s="10"/>
    </row>
    <row r="387" spans="1:13" x14ac:dyDescent="0.35">
      <c r="A387" s="17"/>
      <c r="B387" s="16"/>
      <c r="C387"/>
      <c r="D387" s="16"/>
      <c r="E387"/>
      <c r="F387" s="16"/>
      <c r="I387" s="15"/>
      <c r="J387" s="1"/>
      <c r="K387" s="12"/>
      <c r="L387" s="3"/>
      <c r="M387" s="10"/>
    </row>
    <row r="388" spans="1:13" x14ac:dyDescent="0.35">
      <c r="A388" s="17"/>
      <c r="B388" s="16"/>
      <c r="C388"/>
      <c r="D388" s="16"/>
      <c r="E388"/>
      <c r="F388" s="16"/>
      <c r="I388" s="15"/>
      <c r="J388" s="1"/>
      <c r="K388" s="12"/>
      <c r="L388" s="3"/>
      <c r="M388" s="10"/>
    </row>
    <row r="389" spans="1:13" x14ac:dyDescent="0.35">
      <c r="A389" s="17"/>
      <c r="B389" s="16"/>
      <c r="C389"/>
      <c r="D389" s="16"/>
      <c r="E389"/>
      <c r="F389" s="16"/>
      <c r="I389" s="15"/>
      <c r="J389" s="1"/>
      <c r="K389" s="12"/>
      <c r="L389" s="3"/>
      <c r="M389" s="10"/>
    </row>
    <row r="390" spans="1:13" x14ac:dyDescent="0.35">
      <c r="A390" s="17"/>
      <c r="B390" s="16"/>
      <c r="C390"/>
      <c r="D390" s="16"/>
      <c r="E390"/>
      <c r="F390" s="16"/>
      <c r="I390" s="15"/>
      <c r="J390" s="1"/>
      <c r="K390" s="12"/>
      <c r="L390" s="3"/>
      <c r="M390" s="10"/>
    </row>
    <row r="391" spans="1:13" x14ac:dyDescent="0.35">
      <c r="A391" s="17"/>
      <c r="B391" s="16"/>
      <c r="C391"/>
      <c r="D391" s="16"/>
      <c r="E391"/>
      <c r="F391" s="16"/>
      <c r="I391" s="15"/>
      <c r="J391" s="1"/>
      <c r="K391" s="12"/>
      <c r="L391" s="3"/>
      <c r="M391" s="10"/>
    </row>
    <row r="392" spans="1:13" x14ac:dyDescent="0.35">
      <c r="A392" s="17"/>
      <c r="B392" s="16"/>
      <c r="C392"/>
      <c r="D392" s="16"/>
      <c r="E392"/>
      <c r="F392" s="16"/>
      <c r="I392" s="15"/>
      <c r="J392" s="1"/>
      <c r="K392" s="12"/>
      <c r="L392" s="3"/>
      <c r="M392" s="10"/>
    </row>
    <row r="393" spans="1:13" x14ac:dyDescent="0.35">
      <c r="A393" s="17"/>
      <c r="B393" s="16"/>
      <c r="C393"/>
      <c r="D393" s="16"/>
      <c r="E393"/>
      <c r="F393" s="16"/>
      <c r="I393" s="15"/>
      <c r="J393" s="1"/>
      <c r="K393" s="12"/>
      <c r="L393" s="3"/>
      <c r="M393" s="10"/>
    </row>
    <row r="394" spans="1:13" x14ac:dyDescent="0.35">
      <c r="A394" s="17"/>
      <c r="B394" s="16"/>
      <c r="C394"/>
      <c r="D394" s="16"/>
      <c r="E394"/>
      <c r="F394" s="16"/>
      <c r="I394" s="15"/>
      <c r="J394" s="1"/>
      <c r="K394" s="12"/>
      <c r="L394" s="3"/>
      <c r="M394" s="10"/>
    </row>
    <row r="395" spans="1:13" x14ac:dyDescent="0.35">
      <c r="A395" s="17"/>
      <c r="B395" s="16"/>
      <c r="C395"/>
      <c r="D395" s="16"/>
      <c r="E395"/>
      <c r="F395" s="16"/>
      <c r="I395" s="15"/>
      <c r="J395" s="1"/>
      <c r="K395" s="12"/>
      <c r="L395" s="3"/>
      <c r="M395" s="10"/>
    </row>
    <row r="396" spans="1:13" x14ac:dyDescent="0.35">
      <c r="A396" s="17"/>
      <c r="B396" s="16"/>
      <c r="C396"/>
      <c r="D396" s="16"/>
      <c r="E396"/>
      <c r="F396" s="16"/>
      <c r="I396" s="15"/>
      <c r="J396" s="1"/>
      <c r="K396" s="12"/>
      <c r="L396" s="3"/>
      <c r="M396" s="10"/>
    </row>
    <row r="397" spans="1:13" x14ac:dyDescent="0.35">
      <c r="A397" s="17"/>
      <c r="B397" s="16"/>
      <c r="C397"/>
      <c r="D397" s="16"/>
      <c r="E397"/>
      <c r="F397" s="16"/>
      <c r="I397" s="15"/>
      <c r="J397" s="1"/>
      <c r="K397" s="12"/>
      <c r="L397" s="3"/>
      <c r="M397" s="10"/>
    </row>
    <row r="398" spans="1:13" x14ac:dyDescent="0.35">
      <c r="A398" s="17"/>
      <c r="B398" s="16"/>
      <c r="C398"/>
      <c r="D398" s="16"/>
      <c r="E398"/>
      <c r="F398" s="16"/>
      <c r="I398" s="15"/>
      <c r="J398" s="1"/>
      <c r="K398" s="12"/>
      <c r="L398" s="3"/>
      <c r="M398" s="10"/>
    </row>
    <row r="399" spans="1:13" x14ac:dyDescent="0.35">
      <c r="A399" s="17"/>
      <c r="B399" s="16"/>
      <c r="C399"/>
      <c r="D399" s="16"/>
      <c r="E399"/>
      <c r="F399" s="16"/>
      <c r="I399" s="15"/>
      <c r="J399" s="1"/>
      <c r="K399" s="12"/>
      <c r="L399" s="3"/>
      <c r="M399" s="10"/>
    </row>
    <row r="400" spans="1:13" x14ac:dyDescent="0.35">
      <c r="A400" s="17"/>
      <c r="B400" s="16"/>
      <c r="C400"/>
      <c r="D400" s="16"/>
      <c r="E400"/>
      <c r="F400" s="16"/>
      <c r="I400" s="15"/>
      <c r="J400" s="1"/>
      <c r="K400" s="12"/>
      <c r="L400" s="3"/>
      <c r="M400" s="10"/>
    </row>
    <row r="401" spans="1:13" x14ac:dyDescent="0.35">
      <c r="A401" s="17"/>
      <c r="B401" s="16"/>
      <c r="C401"/>
      <c r="D401" s="16"/>
      <c r="E401"/>
      <c r="F401" s="16"/>
      <c r="I401" s="15"/>
      <c r="J401" s="1"/>
      <c r="K401" s="12"/>
      <c r="L401" s="3"/>
      <c r="M401" s="10"/>
    </row>
    <row r="402" spans="1:13" x14ac:dyDescent="0.35">
      <c r="A402" s="17"/>
      <c r="B402" s="16"/>
      <c r="C402"/>
      <c r="D402" s="16"/>
      <c r="E402"/>
      <c r="F402" s="16"/>
      <c r="I402" s="15"/>
      <c r="J402" s="1"/>
      <c r="K402" s="12"/>
      <c r="L402" s="3"/>
      <c r="M402" s="10"/>
    </row>
    <row r="403" spans="1:13" x14ac:dyDescent="0.35">
      <c r="A403" s="17"/>
      <c r="B403" s="16"/>
      <c r="C403"/>
      <c r="D403" s="16"/>
      <c r="E403"/>
      <c r="F403" s="16"/>
      <c r="I403" s="15"/>
      <c r="J403" s="1"/>
      <c r="K403" s="12"/>
      <c r="L403" s="3"/>
      <c r="M403" s="10"/>
    </row>
    <row r="404" spans="1:13" x14ac:dyDescent="0.35">
      <c r="A404" s="17"/>
      <c r="B404" s="16"/>
      <c r="C404"/>
      <c r="D404" s="16"/>
      <c r="E404"/>
      <c r="F404" s="16"/>
      <c r="I404" s="15"/>
      <c r="J404" s="1"/>
      <c r="K404" s="12"/>
      <c r="L404" s="3"/>
      <c r="M404" s="10"/>
    </row>
    <row r="405" spans="1:13" x14ac:dyDescent="0.35">
      <c r="A405" s="17"/>
      <c r="B405" s="16"/>
      <c r="C405"/>
      <c r="D405" s="16"/>
      <c r="E405"/>
      <c r="F405" s="16"/>
      <c r="I405" s="15"/>
      <c r="J405" s="1"/>
      <c r="K405" s="12"/>
      <c r="L405" s="3"/>
      <c r="M405" s="10"/>
    </row>
    <row r="406" spans="1:13" x14ac:dyDescent="0.35">
      <c r="A406" s="17"/>
      <c r="B406" s="16"/>
      <c r="C406"/>
      <c r="D406" s="16"/>
      <c r="E406"/>
      <c r="F406" s="16"/>
      <c r="I406" s="15"/>
      <c r="J406" s="1"/>
      <c r="K406" s="12"/>
      <c r="L406" s="3"/>
      <c r="M406" s="10"/>
    </row>
    <row r="407" spans="1:13" x14ac:dyDescent="0.35">
      <c r="A407" s="17"/>
      <c r="B407" s="16"/>
      <c r="C407"/>
      <c r="D407" s="16"/>
      <c r="E407"/>
      <c r="F407" s="16"/>
      <c r="I407" s="15"/>
      <c r="J407" s="1"/>
      <c r="K407" s="12"/>
      <c r="L407" s="3"/>
      <c r="M407" s="10"/>
    </row>
    <row r="408" spans="1:13" x14ac:dyDescent="0.35">
      <c r="A408" s="17"/>
      <c r="B408" s="16"/>
      <c r="C408"/>
      <c r="D408" s="16"/>
      <c r="E408"/>
      <c r="F408" s="16"/>
      <c r="I408" s="15"/>
      <c r="J408" s="1"/>
      <c r="K408" s="12"/>
      <c r="L408" s="3"/>
      <c r="M408" s="10"/>
    </row>
    <row r="409" spans="1:13" x14ac:dyDescent="0.35">
      <c r="A409" s="17"/>
      <c r="B409" s="16"/>
      <c r="C409"/>
      <c r="D409" s="16"/>
      <c r="E409"/>
      <c r="F409" s="16"/>
      <c r="I409" s="15"/>
      <c r="J409" s="1"/>
      <c r="K409" s="12"/>
      <c r="L409" s="3"/>
      <c r="M409" s="10"/>
    </row>
    <row r="410" spans="1:13" x14ac:dyDescent="0.35">
      <c r="A410" s="17"/>
      <c r="B410" s="16"/>
      <c r="C410"/>
      <c r="D410" s="16"/>
      <c r="E410"/>
      <c r="F410" s="16"/>
      <c r="I410" s="15"/>
      <c r="J410" s="1"/>
      <c r="K410" s="12"/>
      <c r="L410" s="3"/>
      <c r="M410" s="10"/>
    </row>
    <row r="411" spans="1:13" x14ac:dyDescent="0.35">
      <c r="A411" s="17"/>
      <c r="B411" s="16"/>
      <c r="C411"/>
      <c r="D411" s="16"/>
      <c r="E411"/>
      <c r="F411" s="16"/>
      <c r="I411" s="15"/>
      <c r="J411" s="1"/>
      <c r="K411" s="12"/>
      <c r="L411" s="3"/>
      <c r="M411" s="10"/>
    </row>
    <row r="412" spans="1:13" x14ac:dyDescent="0.35">
      <c r="A412" s="17"/>
      <c r="B412" s="16"/>
      <c r="C412"/>
      <c r="D412" s="16"/>
      <c r="E412"/>
      <c r="F412" s="16"/>
      <c r="I412" s="15"/>
      <c r="J412" s="1"/>
      <c r="K412" s="12"/>
      <c r="L412" s="3"/>
      <c r="M412" s="10"/>
    </row>
    <row r="413" spans="1:13" x14ac:dyDescent="0.35">
      <c r="A413" s="17"/>
      <c r="B413" s="16"/>
      <c r="C413"/>
      <c r="D413" s="16"/>
      <c r="E413"/>
      <c r="F413" s="16"/>
      <c r="I413" s="15"/>
      <c r="J413" s="1"/>
      <c r="K413" s="12"/>
      <c r="L413" s="3"/>
      <c r="M413" s="10"/>
    </row>
    <row r="414" spans="1:13" x14ac:dyDescent="0.35">
      <c r="A414" s="17"/>
      <c r="B414" s="16"/>
      <c r="C414"/>
      <c r="D414" s="16"/>
      <c r="E414"/>
      <c r="F414" s="16"/>
      <c r="I414" s="15"/>
      <c r="J414" s="1"/>
      <c r="K414" s="12"/>
      <c r="L414" s="3"/>
      <c r="M414" s="10"/>
    </row>
    <row r="415" spans="1:13" x14ac:dyDescent="0.35">
      <c r="A415" s="17"/>
      <c r="B415" s="16"/>
      <c r="C415"/>
      <c r="D415" s="16"/>
      <c r="E415"/>
      <c r="F415" s="16"/>
      <c r="I415" s="15"/>
      <c r="J415" s="1"/>
      <c r="K415" s="12"/>
      <c r="L415" s="3"/>
      <c r="M415" s="10"/>
    </row>
    <row r="416" spans="1:13" x14ac:dyDescent="0.35">
      <c r="A416" s="17"/>
      <c r="B416" s="16"/>
      <c r="C416"/>
      <c r="D416" s="16"/>
      <c r="E416"/>
      <c r="F416" s="16"/>
      <c r="I416" s="15"/>
      <c r="J416" s="1"/>
      <c r="K416" s="12"/>
      <c r="L416" s="3"/>
      <c r="M416" s="10"/>
    </row>
    <row r="417" spans="1:13" x14ac:dyDescent="0.35">
      <c r="A417" s="17"/>
      <c r="B417" s="16"/>
      <c r="C417"/>
      <c r="D417" s="16"/>
      <c r="E417"/>
      <c r="F417" s="16"/>
      <c r="I417" s="15"/>
      <c r="J417" s="1"/>
      <c r="K417" s="12"/>
      <c r="L417" s="3"/>
      <c r="M417" s="10"/>
    </row>
    <row r="418" spans="1:13" x14ac:dyDescent="0.35">
      <c r="A418" s="17"/>
      <c r="B418" s="16"/>
      <c r="C418"/>
      <c r="D418" s="16"/>
      <c r="E418"/>
      <c r="F418" s="16"/>
      <c r="I418" s="15"/>
      <c r="J418" s="1"/>
      <c r="K418" s="12"/>
      <c r="L418" s="3"/>
      <c r="M418" s="10"/>
    </row>
    <row r="419" spans="1:13" x14ac:dyDescent="0.35">
      <c r="A419" s="17"/>
      <c r="B419" s="16"/>
      <c r="C419"/>
      <c r="D419" s="16"/>
      <c r="E419"/>
      <c r="F419" s="16"/>
      <c r="I419" s="15"/>
      <c r="J419" s="1"/>
      <c r="K419" s="12"/>
      <c r="L419" s="3"/>
      <c r="M419" s="10"/>
    </row>
    <row r="420" spans="1:13" x14ac:dyDescent="0.35">
      <c r="A420" s="17"/>
      <c r="B420" s="16"/>
      <c r="C420"/>
      <c r="D420" s="16"/>
      <c r="E420"/>
      <c r="F420" s="16"/>
      <c r="I420" s="15"/>
      <c r="J420" s="1"/>
      <c r="K420" s="12"/>
      <c r="L420" s="3"/>
      <c r="M420" s="10"/>
    </row>
    <row r="421" spans="1:13" x14ac:dyDescent="0.35">
      <c r="A421" s="17"/>
      <c r="B421" s="16"/>
      <c r="C421"/>
      <c r="D421" s="16"/>
      <c r="E421"/>
      <c r="F421" s="16"/>
      <c r="I421" s="15"/>
      <c r="J421" s="1"/>
      <c r="K421" s="12"/>
      <c r="L421" s="3"/>
      <c r="M421" s="10"/>
    </row>
    <row r="422" spans="1:13" x14ac:dyDescent="0.35">
      <c r="A422" s="17"/>
      <c r="B422" s="16"/>
      <c r="C422"/>
      <c r="D422" s="16"/>
      <c r="E422"/>
      <c r="F422" s="16"/>
      <c r="I422" s="15"/>
      <c r="J422" s="1"/>
      <c r="K422" s="12"/>
      <c r="L422" s="3"/>
      <c r="M422" s="10"/>
    </row>
    <row r="423" spans="1:13" x14ac:dyDescent="0.35">
      <c r="A423" s="17"/>
      <c r="B423" s="16"/>
      <c r="C423"/>
      <c r="D423" s="16"/>
      <c r="E423"/>
      <c r="F423" s="16"/>
      <c r="I423" s="15"/>
      <c r="J423" s="1"/>
      <c r="K423" s="12"/>
      <c r="L423" s="3"/>
      <c r="M423" s="10"/>
    </row>
    <row r="424" spans="1:13" x14ac:dyDescent="0.35">
      <c r="A424" s="17"/>
      <c r="B424" s="16"/>
      <c r="C424"/>
      <c r="D424" s="16"/>
      <c r="E424"/>
      <c r="F424" s="16"/>
      <c r="I424" s="15"/>
      <c r="J424" s="1"/>
      <c r="K424" s="12"/>
      <c r="L424" s="3"/>
      <c r="M424" s="10"/>
    </row>
    <row r="425" spans="1:13" x14ac:dyDescent="0.35">
      <c r="A425" s="17"/>
      <c r="B425" s="16"/>
      <c r="C425"/>
      <c r="D425" s="16"/>
      <c r="E425"/>
      <c r="F425" s="16"/>
      <c r="I425" s="15"/>
      <c r="J425" s="1"/>
      <c r="K425" s="12"/>
      <c r="L425" s="3"/>
      <c r="M425" s="10"/>
    </row>
    <row r="426" spans="1:13" x14ac:dyDescent="0.35">
      <c r="A426" s="17"/>
      <c r="B426" s="16"/>
      <c r="C426"/>
      <c r="D426" s="16"/>
      <c r="E426"/>
      <c r="F426" s="16"/>
      <c r="I426" s="15"/>
      <c r="J426" s="1"/>
      <c r="K426" s="12"/>
      <c r="L426" s="3"/>
      <c r="M426" s="10"/>
    </row>
    <row r="427" spans="1:13" x14ac:dyDescent="0.35">
      <c r="A427" s="17"/>
      <c r="B427" s="16"/>
      <c r="C427"/>
      <c r="D427" s="16"/>
      <c r="E427"/>
      <c r="F427" s="16"/>
      <c r="I427" s="15"/>
      <c r="J427" s="1"/>
      <c r="K427" s="12"/>
      <c r="L427" s="3"/>
      <c r="M427" s="10"/>
    </row>
    <row r="428" spans="1:13" x14ac:dyDescent="0.35">
      <c r="A428" s="17"/>
      <c r="B428" s="16"/>
      <c r="C428"/>
      <c r="D428" s="16"/>
      <c r="E428"/>
      <c r="F428" s="16"/>
      <c r="I428" s="15"/>
      <c r="J428" s="1"/>
      <c r="K428" s="12"/>
      <c r="L428" s="3"/>
      <c r="M428" s="10"/>
    </row>
    <row r="429" spans="1:13" x14ac:dyDescent="0.35">
      <c r="A429" s="17"/>
      <c r="B429" s="16"/>
      <c r="C429"/>
      <c r="D429" s="16"/>
      <c r="E429"/>
      <c r="F429" s="16"/>
      <c r="I429" s="15"/>
      <c r="J429" s="1"/>
      <c r="K429" s="12"/>
      <c r="L429" s="3"/>
      <c r="M429" s="10"/>
    </row>
    <row r="430" spans="1:13" x14ac:dyDescent="0.35">
      <c r="A430" s="17"/>
      <c r="B430" s="16"/>
      <c r="C430"/>
      <c r="D430" s="16"/>
      <c r="E430"/>
      <c r="F430" s="16"/>
      <c r="I430" s="15"/>
      <c r="J430" s="1"/>
      <c r="K430" s="12"/>
      <c r="L430" s="3"/>
      <c r="M430" s="10"/>
    </row>
    <row r="431" spans="1:13" x14ac:dyDescent="0.35">
      <c r="A431" s="17"/>
      <c r="B431" s="16"/>
      <c r="C431"/>
      <c r="D431" s="16"/>
      <c r="E431"/>
      <c r="F431" s="16"/>
      <c r="I431" s="15"/>
      <c r="J431" s="1"/>
      <c r="K431" s="12"/>
      <c r="L431" s="3"/>
      <c r="M431" s="10"/>
    </row>
    <row r="432" spans="1:13" x14ac:dyDescent="0.35">
      <c r="A432" s="17"/>
      <c r="B432" s="16"/>
      <c r="C432"/>
      <c r="D432" s="16"/>
      <c r="E432"/>
      <c r="F432" s="16"/>
      <c r="I432" s="15"/>
      <c r="J432" s="1"/>
      <c r="K432" s="12"/>
      <c r="L432" s="3"/>
      <c r="M432" s="10"/>
    </row>
    <row r="433" spans="1:13" x14ac:dyDescent="0.35">
      <c r="A433" s="17"/>
      <c r="B433" s="16"/>
      <c r="C433"/>
      <c r="D433" s="16"/>
      <c r="E433"/>
      <c r="F433" s="16"/>
      <c r="I433" s="15"/>
      <c r="J433" s="1"/>
      <c r="K433" s="12"/>
      <c r="L433" s="3"/>
      <c r="M433" s="10"/>
    </row>
    <row r="434" spans="1:13" x14ac:dyDescent="0.35">
      <c r="A434" s="17"/>
      <c r="B434" s="16"/>
      <c r="C434"/>
      <c r="D434" s="16"/>
      <c r="E434"/>
      <c r="F434" s="16"/>
      <c r="I434" s="15"/>
      <c r="J434" s="1"/>
      <c r="K434" s="12"/>
      <c r="L434" s="3"/>
      <c r="M434" s="10"/>
    </row>
    <row r="435" spans="1:13" x14ac:dyDescent="0.35">
      <c r="A435" s="17"/>
      <c r="B435" s="16"/>
      <c r="C435"/>
      <c r="D435" s="16"/>
      <c r="E435"/>
      <c r="F435" s="16"/>
      <c r="I435" s="15"/>
      <c r="J435" s="1"/>
      <c r="K435" s="12"/>
      <c r="L435" s="3"/>
      <c r="M435" s="10"/>
    </row>
    <row r="436" spans="1:13" x14ac:dyDescent="0.35">
      <c r="A436" s="17"/>
      <c r="B436" s="16"/>
      <c r="C436"/>
      <c r="D436" s="16"/>
      <c r="E436"/>
      <c r="F436" s="16"/>
      <c r="I436" s="15"/>
      <c r="J436" s="1"/>
      <c r="K436" s="12"/>
      <c r="L436" s="3"/>
      <c r="M436" s="10"/>
    </row>
    <row r="437" spans="1:13" x14ac:dyDescent="0.35">
      <c r="A437" s="17"/>
      <c r="B437" s="16"/>
      <c r="C437"/>
      <c r="D437" s="16"/>
      <c r="E437"/>
      <c r="F437" s="16"/>
      <c r="I437" s="15"/>
      <c r="J437" s="1"/>
      <c r="K437" s="12"/>
      <c r="L437" s="3"/>
      <c r="M437" s="10"/>
    </row>
    <row r="438" spans="1:13" x14ac:dyDescent="0.35">
      <c r="A438" s="17"/>
      <c r="B438" s="16"/>
      <c r="C438"/>
      <c r="D438" s="16"/>
      <c r="E438"/>
      <c r="F438" s="16"/>
      <c r="I438" s="15"/>
      <c r="J438" s="1"/>
      <c r="K438" s="12"/>
      <c r="L438" s="3"/>
      <c r="M438" s="10"/>
    </row>
    <row r="439" spans="1:13" x14ac:dyDescent="0.35">
      <c r="A439" s="17"/>
      <c r="B439" s="16"/>
      <c r="C439"/>
      <c r="D439" s="16"/>
      <c r="E439"/>
      <c r="F439" s="16"/>
      <c r="I439" s="15"/>
      <c r="J439" s="1"/>
      <c r="K439" s="12"/>
      <c r="L439" s="3"/>
      <c r="M439" s="10"/>
    </row>
    <row r="440" spans="1:13" x14ac:dyDescent="0.35">
      <c r="A440" s="17"/>
      <c r="B440" s="16"/>
      <c r="C440"/>
      <c r="D440" s="16"/>
      <c r="E440"/>
      <c r="F440" s="16"/>
      <c r="I440" s="15"/>
      <c r="J440" s="1"/>
      <c r="K440" s="12"/>
      <c r="L440" s="3"/>
      <c r="M440" s="10"/>
    </row>
    <row r="441" spans="1:13" x14ac:dyDescent="0.35">
      <c r="A441" s="17"/>
      <c r="B441" s="16"/>
      <c r="C441"/>
      <c r="D441" s="16"/>
      <c r="E441"/>
      <c r="F441" s="16"/>
      <c r="I441" s="15"/>
      <c r="J441" s="1"/>
      <c r="K441" s="12"/>
      <c r="L441" s="3"/>
      <c r="M441" s="10"/>
    </row>
    <row r="442" spans="1:13" x14ac:dyDescent="0.35">
      <c r="A442" s="17"/>
      <c r="B442" s="16"/>
      <c r="C442"/>
      <c r="D442" s="16"/>
      <c r="E442"/>
      <c r="F442" s="16"/>
      <c r="I442" s="15"/>
      <c r="J442" s="1"/>
      <c r="K442" s="12"/>
      <c r="L442" s="3"/>
      <c r="M442" s="10"/>
    </row>
    <row r="443" spans="1:13" x14ac:dyDescent="0.35">
      <c r="A443" s="17"/>
      <c r="B443" s="16"/>
      <c r="C443"/>
      <c r="D443" s="16"/>
      <c r="E443"/>
      <c r="F443" s="16"/>
      <c r="I443" s="15"/>
      <c r="J443" s="1"/>
      <c r="K443" s="12"/>
      <c r="L443" s="3"/>
      <c r="M443" s="10"/>
    </row>
    <row r="444" spans="1:13" x14ac:dyDescent="0.35">
      <c r="A444" s="17"/>
      <c r="B444" s="16"/>
      <c r="C444"/>
      <c r="D444" s="16"/>
      <c r="E444"/>
      <c r="F444" s="16"/>
      <c r="I444" s="15"/>
      <c r="J444" s="1"/>
      <c r="K444" s="12"/>
      <c r="L444" s="3"/>
      <c r="M444" s="10"/>
    </row>
    <row r="445" spans="1:13" x14ac:dyDescent="0.35">
      <c r="A445" s="17"/>
      <c r="B445" s="16"/>
      <c r="C445"/>
      <c r="D445" s="16"/>
      <c r="E445"/>
      <c r="F445" s="16"/>
      <c r="I445" s="15"/>
      <c r="J445" s="1"/>
      <c r="K445" s="12"/>
      <c r="L445" s="3"/>
      <c r="M445" s="10"/>
    </row>
    <row r="446" spans="1:13" x14ac:dyDescent="0.35">
      <c r="A446" s="17"/>
      <c r="B446" s="16"/>
      <c r="C446"/>
      <c r="D446" s="16"/>
      <c r="E446"/>
      <c r="F446" s="16"/>
      <c r="I446" s="15"/>
      <c r="J446" s="1"/>
      <c r="K446" s="12"/>
      <c r="L446" s="3"/>
      <c r="M446" s="10"/>
    </row>
    <row r="447" spans="1:13" x14ac:dyDescent="0.35">
      <c r="A447" s="17"/>
      <c r="B447" s="16"/>
      <c r="C447"/>
      <c r="D447" s="16"/>
      <c r="E447"/>
      <c r="F447" s="16"/>
      <c r="I447" s="15"/>
      <c r="J447" s="1"/>
      <c r="K447" s="12"/>
      <c r="L447" s="3"/>
      <c r="M447" s="10"/>
    </row>
    <row r="448" spans="1:13" x14ac:dyDescent="0.35">
      <c r="A448" s="17"/>
      <c r="B448" s="16"/>
      <c r="C448"/>
      <c r="D448" s="16"/>
      <c r="E448"/>
      <c r="F448" s="16"/>
      <c r="I448" s="15"/>
      <c r="J448" s="1"/>
      <c r="K448" s="12"/>
      <c r="L448" s="3"/>
      <c r="M448" s="10"/>
    </row>
    <row r="449" spans="1:13" x14ac:dyDescent="0.35">
      <c r="A449" s="17"/>
      <c r="B449" s="16"/>
      <c r="C449"/>
      <c r="D449" s="16"/>
      <c r="E449"/>
      <c r="F449" s="16"/>
      <c r="I449" s="15"/>
      <c r="J449" s="1"/>
      <c r="K449" s="12"/>
      <c r="L449" s="3"/>
      <c r="M449" s="10"/>
    </row>
    <row r="450" spans="1:13" x14ac:dyDescent="0.35">
      <c r="A450" s="17"/>
      <c r="B450" s="16"/>
      <c r="C450"/>
      <c r="D450" s="16"/>
      <c r="E450"/>
      <c r="F450" s="16"/>
      <c r="I450" s="15"/>
      <c r="J450" s="1"/>
      <c r="K450" s="12"/>
      <c r="L450" s="3"/>
      <c r="M450" s="10"/>
    </row>
    <row r="451" spans="1:13" x14ac:dyDescent="0.35">
      <c r="A451" s="17"/>
      <c r="B451" s="16"/>
      <c r="C451"/>
      <c r="D451" s="16"/>
      <c r="E451"/>
      <c r="F451" s="16"/>
      <c r="I451" s="15"/>
      <c r="J451" s="1"/>
      <c r="K451" s="12"/>
      <c r="L451" s="3"/>
      <c r="M451" s="10"/>
    </row>
    <row r="452" spans="1:13" x14ac:dyDescent="0.35">
      <c r="A452" s="17"/>
      <c r="B452" s="16"/>
      <c r="C452"/>
      <c r="D452" s="16"/>
      <c r="E452"/>
      <c r="F452" s="16"/>
      <c r="I452" s="15"/>
      <c r="J452" s="1"/>
      <c r="K452" s="12"/>
      <c r="L452" s="3"/>
      <c r="M452" s="10"/>
    </row>
    <row r="453" spans="1:13" x14ac:dyDescent="0.35">
      <c r="A453" s="17"/>
      <c r="B453" s="16"/>
      <c r="C453"/>
      <c r="D453" s="16"/>
      <c r="E453"/>
      <c r="F453" s="16"/>
      <c r="I453" s="15"/>
      <c r="J453" s="1"/>
      <c r="K453" s="12"/>
      <c r="L453" s="3"/>
      <c r="M453" s="10"/>
    </row>
    <row r="454" spans="1:13" x14ac:dyDescent="0.35">
      <c r="A454" s="17"/>
      <c r="B454" s="16"/>
      <c r="C454"/>
      <c r="D454" s="16"/>
      <c r="E454"/>
      <c r="F454" s="16"/>
      <c r="I454" s="15"/>
      <c r="J454" s="1"/>
      <c r="K454" s="12"/>
      <c r="L454" s="3"/>
      <c r="M454" s="10"/>
    </row>
    <row r="455" spans="1:13" x14ac:dyDescent="0.35">
      <c r="A455" s="17"/>
      <c r="B455" s="16"/>
      <c r="C455"/>
      <c r="D455" s="16"/>
      <c r="E455"/>
      <c r="F455" s="16"/>
      <c r="I455" s="15"/>
      <c r="J455" s="1"/>
      <c r="K455" s="12"/>
      <c r="L455" s="3"/>
      <c r="M455" s="10"/>
    </row>
    <row r="456" spans="1:13" x14ac:dyDescent="0.35">
      <c r="A456" s="17"/>
      <c r="B456" s="16"/>
      <c r="C456"/>
      <c r="D456" s="16"/>
      <c r="E456"/>
      <c r="F456" s="16"/>
      <c r="I456" s="15"/>
      <c r="J456" s="1"/>
      <c r="K456" s="12"/>
      <c r="L456" s="3"/>
      <c r="M456" s="10"/>
    </row>
    <row r="457" spans="1:13" x14ac:dyDescent="0.35">
      <c r="A457" s="17"/>
      <c r="B457" s="16"/>
      <c r="C457"/>
      <c r="D457" s="16"/>
      <c r="E457"/>
      <c r="F457" s="16"/>
      <c r="I457" s="15"/>
      <c r="J457" s="1"/>
      <c r="K457" s="12"/>
      <c r="L457" s="3"/>
      <c r="M457" s="10"/>
    </row>
    <row r="458" spans="1:13" x14ac:dyDescent="0.35">
      <c r="A458" s="17"/>
      <c r="B458" s="16"/>
      <c r="C458"/>
      <c r="D458" s="16"/>
      <c r="E458"/>
      <c r="F458" s="16"/>
      <c r="I458" s="15"/>
      <c r="J458" s="1"/>
      <c r="K458" s="12"/>
      <c r="L458" s="3"/>
      <c r="M458" s="10"/>
    </row>
    <row r="459" spans="1:13" x14ac:dyDescent="0.35">
      <c r="A459" s="17"/>
      <c r="B459" s="16"/>
      <c r="C459"/>
      <c r="D459" s="16"/>
      <c r="E459"/>
      <c r="F459" s="16"/>
      <c r="I459" s="15"/>
      <c r="J459" s="1"/>
      <c r="K459" s="12"/>
      <c r="L459" s="3"/>
      <c r="M459" s="10"/>
    </row>
    <row r="460" spans="1:13" x14ac:dyDescent="0.35">
      <c r="A460" s="17"/>
      <c r="B460" s="16"/>
      <c r="C460"/>
      <c r="D460" s="16"/>
      <c r="E460"/>
      <c r="F460" s="16"/>
      <c r="I460" s="15"/>
      <c r="J460" s="1"/>
      <c r="K460" s="12"/>
      <c r="L460" s="3"/>
      <c r="M460" s="10"/>
    </row>
    <row r="461" spans="1:13" x14ac:dyDescent="0.35">
      <c r="A461" s="17"/>
      <c r="B461" s="16"/>
      <c r="C461"/>
      <c r="D461" s="16"/>
      <c r="E461"/>
      <c r="F461" s="16"/>
      <c r="I461" s="15"/>
      <c r="J461" s="1"/>
      <c r="K461" s="12"/>
      <c r="L461" s="3"/>
      <c r="M461" s="10"/>
    </row>
    <row r="462" spans="1:13" x14ac:dyDescent="0.35">
      <c r="A462" s="17"/>
      <c r="B462" s="16"/>
      <c r="C462"/>
      <c r="D462" s="16"/>
      <c r="E462"/>
      <c r="F462" s="16"/>
      <c r="I462" s="15"/>
      <c r="J462" s="1"/>
      <c r="K462" s="12"/>
      <c r="L462" s="3"/>
      <c r="M462" s="10"/>
    </row>
    <row r="463" spans="1:13" x14ac:dyDescent="0.35">
      <c r="A463" s="17"/>
      <c r="B463" s="16"/>
      <c r="C463"/>
      <c r="D463" s="16"/>
      <c r="E463"/>
      <c r="F463" s="16"/>
      <c r="I463" s="15"/>
      <c r="J463" s="1"/>
      <c r="K463" s="12"/>
      <c r="L463" s="3"/>
      <c r="M463" s="10"/>
    </row>
    <row r="464" spans="1:13" x14ac:dyDescent="0.35">
      <c r="A464" s="17"/>
      <c r="B464" s="16"/>
      <c r="C464"/>
      <c r="D464" s="16"/>
      <c r="E464"/>
      <c r="F464" s="16"/>
      <c r="I464" s="15"/>
      <c r="J464" s="1"/>
      <c r="K464" s="12"/>
      <c r="L464" s="3"/>
      <c r="M464" s="10"/>
    </row>
    <row r="465" spans="1:13" x14ac:dyDescent="0.35">
      <c r="A465" s="17"/>
      <c r="B465" s="16"/>
      <c r="C465"/>
      <c r="D465" s="16"/>
      <c r="E465"/>
      <c r="F465" s="16"/>
      <c r="I465" s="15"/>
      <c r="J465" s="1"/>
      <c r="K465" s="12"/>
      <c r="L465" s="3"/>
      <c r="M465" s="10"/>
    </row>
    <row r="466" spans="1:13" x14ac:dyDescent="0.35">
      <c r="A466" s="17"/>
      <c r="B466" s="16"/>
      <c r="C466"/>
      <c r="D466" s="16"/>
      <c r="E466"/>
      <c r="F466" s="16"/>
      <c r="I466" s="15"/>
      <c r="J466" s="1"/>
      <c r="K466" s="12"/>
      <c r="L466" s="3"/>
      <c r="M466" s="10"/>
    </row>
    <row r="467" spans="1:13" x14ac:dyDescent="0.35">
      <c r="A467" s="17"/>
      <c r="B467" s="16"/>
      <c r="C467"/>
      <c r="D467" s="16"/>
      <c r="E467"/>
      <c r="F467" s="16"/>
      <c r="I467" s="15"/>
      <c r="J467" s="1"/>
      <c r="K467" s="12"/>
      <c r="L467" s="3"/>
      <c r="M467" s="10"/>
    </row>
    <row r="468" spans="1:13" x14ac:dyDescent="0.35">
      <c r="A468" s="17"/>
      <c r="B468" s="16"/>
      <c r="C468"/>
      <c r="D468" s="16"/>
      <c r="E468"/>
      <c r="F468" s="16"/>
      <c r="I468" s="15"/>
      <c r="J468" s="1"/>
      <c r="K468" s="12"/>
      <c r="L468" s="3"/>
      <c r="M468" s="10"/>
    </row>
    <row r="469" spans="1:13" x14ac:dyDescent="0.35">
      <c r="A469" s="17"/>
      <c r="B469" s="16"/>
      <c r="C469"/>
      <c r="D469" s="16"/>
      <c r="E469"/>
      <c r="F469" s="16"/>
      <c r="I469" s="15"/>
      <c r="J469" s="1"/>
      <c r="K469" s="12"/>
      <c r="L469" s="3"/>
      <c r="M469" s="10"/>
    </row>
    <row r="470" spans="1:13" x14ac:dyDescent="0.35">
      <c r="A470" s="17"/>
      <c r="B470" s="16"/>
      <c r="C470"/>
      <c r="D470" s="16"/>
      <c r="E470"/>
      <c r="F470" s="16"/>
      <c r="I470" s="15"/>
      <c r="J470" s="1"/>
      <c r="K470" s="12"/>
      <c r="L470" s="3"/>
      <c r="M470" s="10"/>
    </row>
    <row r="471" spans="1:13" x14ac:dyDescent="0.35">
      <c r="A471" s="17"/>
      <c r="B471" s="16"/>
      <c r="C471"/>
      <c r="D471" s="16"/>
      <c r="E471"/>
      <c r="F471" s="16"/>
      <c r="I471" s="15"/>
      <c r="J471" s="1"/>
      <c r="K471" s="12"/>
      <c r="L471" s="3"/>
      <c r="M471" s="10"/>
    </row>
    <row r="472" spans="1:13" x14ac:dyDescent="0.35">
      <c r="A472" s="17"/>
      <c r="B472" s="16"/>
      <c r="C472"/>
      <c r="D472" s="16"/>
      <c r="E472"/>
      <c r="F472" s="16"/>
      <c r="I472" s="15"/>
      <c r="J472" s="1"/>
      <c r="K472" s="12"/>
      <c r="L472" s="3"/>
      <c r="M472" s="10"/>
    </row>
    <row r="473" spans="1:13" x14ac:dyDescent="0.35">
      <c r="A473" s="17"/>
      <c r="B473" s="16"/>
      <c r="C473"/>
      <c r="D473" s="16"/>
      <c r="E473"/>
      <c r="F473" s="16"/>
      <c r="I473" s="15"/>
      <c r="J473" s="1"/>
      <c r="K473" s="12"/>
      <c r="L473" s="3"/>
      <c r="M473" s="10"/>
    </row>
    <row r="474" spans="1:13" x14ac:dyDescent="0.35">
      <c r="A474" s="17"/>
      <c r="B474" s="16"/>
      <c r="C474"/>
      <c r="D474" s="16"/>
      <c r="E474"/>
      <c r="F474" s="16"/>
      <c r="I474" s="15"/>
      <c r="J474" s="1"/>
      <c r="K474" s="12"/>
      <c r="L474" s="3"/>
      <c r="M474" s="10"/>
    </row>
    <row r="475" spans="1:13" x14ac:dyDescent="0.35">
      <c r="A475" s="17"/>
      <c r="B475" s="16"/>
      <c r="C475"/>
      <c r="D475" s="16"/>
      <c r="E475"/>
      <c r="F475" s="16"/>
      <c r="I475" s="15"/>
      <c r="J475" s="1"/>
      <c r="K475" s="12"/>
      <c r="L475" s="3"/>
      <c r="M475" s="10"/>
    </row>
    <row r="476" spans="1:13" x14ac:dyDescent="0.35">
      <c r="A476" s="17"/>
      <c r="B476" s="16"/>
      <c r="C476"/>
      <c r="D476" s="16"/>
      <c r="E476"/>
      <c r="F476" s="16"/>
      <c r="I476" s="15"/>
      <c r="J476" s="1"/>
      <c r="K476" s="12"/>
      <c r="L476" s="3"/>
      <c r="M476" s="10"/>
    </row>
    <row r="477" spans="1:13" x14ac:dyDescent="0.35">
      <c r="A477" s="17"/>
      <c r="B477" s="16"/>
      <c r="C477"/>
      <c r="D477" s="16"/>
      <c r="E477"/>
      <c r="F477" s="16"/>
      <c r="I477" s="15"/>
      <c r="J477" s="1"/>
      <c r="K477" s="12"/>
      <c r="L477" s="3"/>
      <c r="M477" s="10"/>
    </row>
    <row r="478" spans="1:13" x14ac:dyDescent="0.35">
      <c r="A478" s="17"/>
      <c r="B478" s="16"/>
      <c r="C478"/>
      <c r="D478" s="16"/>
      <c r="E478"/>
      <c r="F478" s="16"/>
      <c r="I478" s="15"/>
      <c r="J478" s="1"/>
      <c r="K478" s="12"/>
      <c r="L478" s="3"/>
      <c r="M478" s="10"/>
    </row>
    <row r="479" spans="1:13" x14ac:dyDescent="0.35">
      <c r="A479" s="17"/>
      <c r="B479" s="16"/>
      <c r="C479"/>
      <c r="D479" s="16"/>
      <c r="E479"/>
      <c r="F479" s="16"/>
      <c r="I479" s="15"/>
      <c r="J479" s="1"/>
      <c r="K479" s="12"/>
      <c r="L479" s="3"/>
      <c r="M479" s="10"/>
    </row>
    <row r="480" spans="1:13" x14ac:dyDescent="0.35">
      <c r="A480" s="17"/>
      <c r="B480" s="16"/>
      <c r="C480"/>
      <c r="D480" s="16"/>
      <c r="E480"/>
      <c r="F480" s="16"/>
      <c r="I480" s="15"/>
      <c r="J480" s="1"/>
      <c r="K480" s="12"/>
      <c r="L480" s="3"/>
      <c r="M480" s="10"/>
    </row>
    <row r="481" spans="1:13" x14ac:dyDescent="0.35">
      <c r="A481" s="17"/>
      <c r="B481" s="16"/>
      <c r="C481"/>
      <c r="D481" s="16"/>
      <c r="E481"/>
      <c r="F481" s="16"/>
      <c r="I481" s="15"/>
      <c r="J481" s="1"/>
      <c r="K481" s="12"/>
      <c r="L481" s="3"/>
      <c r="M481" s="10"/>
    </row>
    <row r="482" spans="1:13" x14ac:dyDescent="0.35">
      <c r="A482" s="17"/>
      <c r="B482" s="16"/>
      <c r="C482"/>
      <c r="D482" s="16"/>
      <c r="E482"/>
      <c r="F482" s="16"/>
      <c r="I482" s="15"/>
      <c r="J482" s="1"/>
      <c r="K482" s="12"/>
      <c r="L482" s="3"/>
      <c r="M482" s="10"/>
    </row>
    <row r="483" spans="1:13" x14ac:dyDescent="0.35">
      <c r="A483" s="17"/>
      <c r="B483" s="16"/>
      <c r="C483"/>
      <c r="D483" s="16"/>
      <c r="E483"/>
      <c r="F483" s="16"/>
      <c r="I483" s="15"/>
      <c r="J483" s="1"/>
      <c r="K483" s="12"/>
      <c r="L483" s="3"/>
      <c r="M483" s="10"/>
    </row>
    <row r="484" spans="1:13" x14ac:dyDescent="0.35">
      <c r="A484" s="17"/>
      <c r="B484" s="16"/>
      <c r="C484"/>
      <c r="D484" s="16"/>
      <c r="E484"/>
      <c r="F484" s="16"/>
      <c r="I484" s="15"/>
      <c r="J484" s="1"/>
      <c r="K484" s="12"/>
      <c r="L484" s="3"/>
      <c r="M484" s="10"/>
    </row>
    <row r="485" spans="1:13" x14ac:dyDescent="0.35">
      <c r="A485" s="17"/>
      <c r="B485" s="16"/>
      <c r="C485"/>
      <c r="D485" s="16"/>
      <c r="E485"/>
      <c r="F485" s="16"/>
      <c r="I485" s="15"/>
      <c r="J485" s="1"/>
      <c r="K485" s="12"/>
      <c r="L485" s="3"/>
      <c r="M485" s="10"/>
    </row>
    <row r="486" spans="1:13" x14ac:dyDescent="0.35">
      <c r="A486" s="17"/>
      <c r="B486" s="16"/>
      <c r="C486"/>
      <c r="D486" s="16"/>
      <c r="E486"/>
      <c r="F486" s="16"/>
      <c r="I486" s="15"/>
      <c r="J486" s="1"/>
      <c r="K486" s="12"/>
      <c r="L486" s="3"/>
      <c r="M486" s="10"/>
    </row>
    <row r="487" spans="1:13" x14ac:dyDescent="0.35">
      <c r="A487" s="17"/>
      <c r="B487" s="16"/>
      <c r="C487"/>
      <c r="D487" s="16"/>
      <c r="E487"/>
      <c r="F487" s="16"/>
      <c r="I487" s="15"/>
      <c r="J487" s="1"/>
      <c r="K487" s="12"/>
      <c r="L487" s="3"/>
      <c r="M487" s="10"/>
    </row>
    <row r="488" spans="1:13" x14ac:dyDescent="0.35">
      <c r="A488" s="17"/>
      <c r="B488" s="16"/>
      <c r="C488"/>
      <c r="D488" s="16"/>
      <c r="E488"/>
      <c r="F488" s="16"/>
      <c r="I488" s="15"/>
      <c r="J488" s="1"/>
      <c r="K488" s="12"/>
      <c r="L488" s="3"/>
      <c r="M488" s="10"/>
    </row>
    <row r="489" spans="1:13" x14ac:dyDescent="0.35">
      <c r="A489" s="17"/>
      <c r="B489" s="16"/>
      <c r="C489"/>
      <c r="D489" s="16"/>
      <c r="E489"/>
      <c r="F489" s="16"/>
      <c r="I489" s="15"/>
      <c r="J489" s="1"/>
      <c r="K489" s="12"/>
      <c r="L489" s="3"/>
      <c r="M489" s="10"/>
    </row>
    <row r="490" spans="1:13" x14ac:dyDescent="0.35">
      <c r="A490" s="17"/>
      <c r="B490" s="16"/>
      <c r="C490"/>
      <c r="D490" s="16"/>
      <c r="E490"/>
      <c r="F490" s="16"/>
      <c r="I490" s="15"/>
      <c r="J490" s="1"/>
      <c r="K490" s="12"/>
      <c r="L490" s="3"/>
      <c r="M490" s="10"/>
    </row>
    <row r="491" spans="1:13" x14ac:dyDescent="0.35">
      <c r="A491" s="17"/>
      <c r="B491" s="16"/>
      <c r="C491"/>
      <c r="D491" s="16"/>
      <c r="E491"/>
      <c r="F491" s="16"/>
      <c r="I491" s="15"/>
      <c r="J491" s="1"/>
      <c r="K491" s="12"/>
      <c r="L491" s="3"/>
      <c r="M491" s="10"/>
    </row>
    <row r="492" spans="1:13" x14ac:dyDescent="0.35">
      <c r="A492" s="17"/>
      <c r="B492" s="16"/>
      <c r="C492"/>
      <c r="D492" s="16"/>
      <c r="E492"/>
      <c r="F492" s="16"/>
      <c r="I492" s="15"/>
      <c r="J492" s="1"/>
      <c r="K492" s="12"/>
      <c r="L492" s="3"/>
      <c r="M492" s="10"/>
    </row>
    <row r="493" spans="1:13" x14ac:dyDescent="0.35">
      <c r="A493" s="17"/>
      <c r="B493" s="16"/>
      <c r="C493"/>
      <c r="D493" s="16"/>
      <c r="E493"/>
      <c r="F493" s="16"/>
      <c r="I493" s="15"/>
      <c r="J493" s="1"/>
      <c r="K493" s="12"/>
      <c r="L493" s="3"/>
      <c r="M493" s="10"/>
    </row>
    <row r="494" spans="1:13" x14ac:dyDescent="0.35">
      <c r="A494" s="17"/>
      <c r="B494" s="16"/>
      <c r="C494"/>
      <c r="D494" s="16"/>
      <c r="E494"/>
      <c r="F494" s="16"/>
      <c r="I494" s="15"/>
      <c r="J494" s="1"/>
      <c r="K494" s="12"/>
      <c r="L494" s="3"/>
      <c r="M494" s="10"/>
    </row>
    <row r="495" spans="1:13" x14ac:dyDescent="0.35">
      <c r="A495" s="17"/>
      <c r="B495" s="16"/>
      <c r="C495"/>
      <c r="D495" s="16"/>
      <c r="E495"/>
      <c r="F495" s="16"/>
      <c r="I495" s="15"/>
      <c r="J495" s="1"/>
      <c r="K495" s="12"/>
      <c r="L495" s="3"/>
      <c r="M495" s="10"/>
    </row>
    <row r="496" spans="1:13" x14ac:dyDescent="0.35">
      <c r="A496" s="17"/>
      <c r="B496" s="16"/>
      <c r="C496"/>
      <c r="D496" s="16"/>
      <c r="E496"/>
      <c r="F496" s="16"/>
      <c r="I496" s="15"/>
      <c r="J496" s="1"/>
      <c r="K496" s="12"/>
      <c r="L496" s="3"/>
      <c r="M496" s="10"/>
    </row>
    <row r="497" spans="1:13" x14ac:dyDescent="0.35">
      <c r="A497" s="17"/>
      <c r="B497" s="16"/>
      <c r="C497"/>
      <c r="D497" s="16"/>
      <c r="E497"/>
      <c r="F497" s="16"/>
      <c r="I497" s="15"/>
      <c r="J497" s="1"/>
      <c r="K497" s="12"/>
      <c r="L497" s="3"/>
      <c r="M497" s="10"/>
    </row>
    <row r="498" spans="1:13" x14ac:dyDescent="0.35">
      <c r="A498" s="17"/>
      <c r="B498" s="16"/>
      <c r="C498"/>
      <c r="D498" s="16"/>
      <c r="E498"/>
      <c r="F498" s="16"/>
      <c r="I498" s="15"/>
      <c r="J498" s="1"/>
      <c r="K498" s="12"/>
      <c r="L498" s="3"/>
      <c r="M498" s="10"/>
    </row>
    <row r="499" spans="1:13" x14ac:dyDescent="0.35">
      <c r="A499" s="17"/>
      <c r="B499" s="16"/>
      <c r="C499"/>
      <c r="D499" s="16"/>
      <c r="E499"/>
      <c r="F499" s="16"/>
      <c r="I499" s="15"/>
      <c r="J499" s="1"/>
      <c r="K499" s="12"/>
      <c r="L499" s="3"/>
      <c r="M499" s="10"/>
    </row>
    <row r="500" spans="1:13" x14ac:dyDescent="0.35">
      <c r="A500" s="17"/>
      <c r="B500" s="16"/>
      <c r="C500"/>
      <c r="D500" s="16"/>
      <c r="E500"/>
      <c r="F500" s="16"/>
      <c r="I500" s="15"/>
      <c r="J500" s="1"/>
      <c r="K500" s="12"/>
      <c r="L500" s="3"/>
      <c r="M500" s="10"/>
    </row>
    <row r="501" spans="1:13" x14ac:dyDescent="0.35">
      <c r="A501" s="17"/>
      <c r="B501" s="16"/>
      <c r="C501"/>
      <c r="D501" s="16"/>
      <c r="E501"/>
      <c r="F501" s="16"/>
      <c r="I501" s="15"/>
      <c r="J501" s="1"/>
      <c r="K501" s="12"/>
      <c r="L501" s="3"/>
      <c r="M501" s="10"/>
    </row>
    <row r="502" spans="1:13" x14ac:dyDescent="0.35">
      <c r="A502" s="17"/>
      <c r="B502" s="16"/>
      <c r="C502"/>
      <c r="D502" s="16"/>
      <c r="E502"/>
      <c r="F502" s="16"/>
      <c r="I502" s="15"/>
      <c r="J502" s="1"/>
      <c r="K502" s="12"/>
      <c r="L502" s="3"/>
      <c r="M502" s="10"/>
    </row>
    <row r="503" spans="1:13" x14ac:dyDescent="0.35">
      <c r="A503" s="17"/>
      <c r="B503" s="16"/>
      <c r="C503"/>
      <c r="D503" s="16"/>
      <c r="E503"/>
      <c r="F503" s="16"/>
      <c r="I503" s="15"/>
      <c r="J503" s="1"/>
      <c r="K503" s="12"/>
      <c r="L503" s="3"/>
      <c r="M503" s="10"/>
    </row>
    <row r="504" spans="1:13" x14ac:dyDescent="0.35">
      <c r="A504" s="17"/>
      <c r="B504" s="16"/>
      <c r="C504"/>
      <c r="D504" s="16"/>
      <c r="E504"/>
      <c r="F504" s="16"/>
      <c r="I504" s="15"/>
      <c r="J504" s="1"/>
      <c r="K504" s="12"/>
      <c r="L504" s="3"/>
      <c r="M504" s="10"/>
    </row>
    <row r="505" spans="1:13" x14ac:dyDescent="0.35">
      <c r="A505" s="17"/>
      <c r="B505" s="16"/>
      <c r="C505"/>
      <c r="D505" s="16"/>
      <c r="E505"/>
      <c r="F505" s="16"/>
      <c r="I505" s="15"/>
      <c r="J505" s="1"/>
      <c r="K505" s="12"/>
      <c r="L505" s="3"/>
      <c r="M505" s="10"/>
    </row>
    <row r="506" spans="1:13" x14ac:dyDescent="0.35">
      <c r="A506" s="17"/>
      <c r="B506" s="16"/>
      <c r="C506"/>
      <c r="D506" s="16"/>
      <c r="E506"/>
      <c r="F506" s="16"/>
      <c r="I506" s="15"/>
      <c r="J506" s="1"/>
      <c r="K506" s="12"/>
      <c r="L506" s="3"/>
      <c r="M506" s="10"/>
    </row>
    <row r="507" spans="1:13" x14ac:dyDescent="0.35">
      <c r="A507" s="17"/>
      <c r="B507" s="16"/>
      <c r="C507"/>
      <c r="D507" s="16"/>
      <c r="E507"/>
      <c r="F507" s="16"/>
      <c r="I507" s="15"/>
      <c r="J507" s="1"/>
      <c r="K507" s="12"/>
      <c r="L507" s="3"/>
      <c r="M507" s="10"/>
    </row>
    <row r="508" spans="1:13" x14ac:dyDescent="0.35">
      <c r="A508" s="17"/>
      <c r="B508" s="16"/>
      <c r="C508"/>
      <c r="D508" s="16"/>
      <c r="E508"/>
      <c r="F508" s="16"/>
      <c r="I508" s="15"/>
      <c r="J508" s="1"/>
      <c r="K508" s="12"/>
      <c r="L508" s="3"/>
      <c r="M508" s="10"/>
    </row>
    <row r="509" spans="1:13" x14ac:dyDescent="0.35">
      <c r="A509" s="17"/>
      <c r="B509" s="16"/>
      <c r="C509"/>
      <c r="D509" s="16"/>
      <c r="E509"/>
      <c r="F509" s="16"/>
      <c r="I509" s="15"/>
      <c r="J509" s="1"/>
      <c r="K509" s="12"/>
      <c r="L509" s="3"/>
      <c r="M509" s="10"/>
    </row>
    <row r="510" spans="1:13" x14ac:dyDescent="0.35">
      <c r="A510" s="17"/>
      <c r="B510" s="16"/>
      <c r="C510"/>
      <c r="D510" s="16"/>
      <c r="E510"/>
      <c r="F510" s="16"/>
      <c r="I510" s="15"/>
      <c r="J510" s="1"/>
      <c r="K510" s="12"/>
      <c r="L510" s="3"/>
      <c r="M510" s="10"/>
    </row>
    <row r="511" spans="1:13" x14ac:dyDescent="0.35">
      <c r="A511" s="17"/>
      <c r="B511" s="16"/>
      <c r="C511"/>
      <c r="D511" s="16"/>
      <c r="E511"/>
      <c r="F511" s="16"/>
      <c r="I511" s="15"/>
      <c r="J511" s="1"/>
      <c r="K511" s="12"/>
      <c r="L511" s="3"/>
      <c r="M511" s="10"/>
    </row>
    <row r="512" spans="1:13" x14ac:dyDescent="0.35">
      <c r="A512" s="17"/>
      <c r="B512" s="16"/>
      <c r="C512"/>
      <c r="D512" s="16"/>
      <c r="E512"/>
      <c r="F512" s="16"/>
      <c r="I512" s="15"/>
      <c r="J512" s="1"/>
      <c r="K512" s="12"/>
      <c r="L512" s="3"/>
      <c r="M512" s="10"/>
    </row>
    <row r="513" spans="1:13" x14ac:dyDescent="0.35">
      <c r="A513" s="17"/>
      <c r="B513" s="16"/>
      <c r="C513"/>
      <c r="D513" s="16"/>
      <c r="E513"/>
      <c r="F513" s="16"/>
      <c r="I513" s="15"/>
      <c r="J513" s="1"/>
      <c r="K513" s="12"/>
      <c r="L513" s="3"/>
      <c r="M513" s="10"/>
    </row>
    <row r="514" spans="1:13" x14ac:dyDescent="0.35">
      <c r="A514" s="17"/>
      <c r="B514" s="16"/>
      <c r="C514"/>
      <c r="D514" s="16"/>
      <c r="E514"/>
      <c r="F514" s="16"/>
      <c r="I514" s="15"/>
      <c r="J514" s="1"/>
      <c r="K514" s="12"/>
      <c r="L514" s="3"/>
      <c r="M514" s="10"/>
    </row>
    <row r="515" spans="1:13" x14ac:dyDescent="0.35">
      <c r="A515" s="17"/>
      <c r="B515" s="16"/>
      <c r="C515"/>
      <c r="D515" s="16"/>
      <c r="E515"/>
      <c r="F515" s="16"/>
      <c r="I515" s="15"/>
      <c r="J515" s="1"/>
      <c r="K515" s="12"/>
      <c r="L515" s="3"/>
      <c r="M515" s="10"/>
    </row>
    <row r="516" spans="1:13" x14ac:dyDescent="0.35">
      <c r="A516" s="17"/>
      <c r="B516" s="16"/>
      <c r="C516"/>
      <c r="D516" s="16"/>
      <c r="E516"/>
      <c r="F516" s="16"/>
      <c r="I516" s="15"/>
      <c r="J516" s="1"/>
      <c r="K516" s="12"/>
      <c r="L516" s="3"/>
      <c r="M516" s="10"/>
    </row>
    <row r="517" spans="1:13" x14ac:dyDescent="0.35">
      <c r="A517" s="17"/>
      <c r="B517" s="16"/>
      <c r="C517"/>
      <c r="D517" s="16"/>
      <c r="E517"/>
      <c r="F517" s="16"/>
      <c r="I517" s="15"/>
      <c r="J517" s="1"/>
      <c r="K517" s="12"/>
      <c r="L517" s="3"/>
      <c r="M517" s="10"/>
    </row>
    <row r="518" spans="1:13" x14ac:dyDescent="0.35">
      <c r="A518" s="17"/>
      <c r="B518" s="16"/>
      <c r="C518"/>
      <c r="D518" s="16"/>
      <c r="E518"/>
      <c r="F518" s="16"/>
      <c r="I518" s="15"/>
      <c r="J518" s="1"/>
      <c r="K518" s="12"/>
      <c r="L518" s="3"/>
      <c r="M518" s="10"/>
    </row>
    <row r="519" spans="1:13" x14ac:dyDescent="0.35">
      <c r="A519" s="17"/>
      <c r="B519" s="16"/>
      <c r="C519"/>
      <c r="D519" s="16"/>
      <c r="E519"/>
      <c r="F519" s="16"/>
      <c r="I519" s="15"/>
      <c r="J519" s="1"/>
      <c r="K519" s="12"/>
      <c r="L519" s="3"/>
      <c r="M519" s="10"/>
    </row>
    <row r="520" spans="1:13" x14ac:dyDescent="0.35">
      <c r="A520" s="17"/>
      <c r="B520" s="16"/>
      <c r="C520"/>
      <c r="D520" s="16"/>
      <c r="E520"/>
      <c r="F520" s="16"/>
      <c r="I520" s="15"/>
      <c r="J520" s="1"/>
      <c r="K520" s="12"/>
      <c r="L520" s="3"/>
      <c r="M520" s="10"/>
    </row>
    <row r="521" spans="1:13" x14ac:dyDescent="0.35">
      <c r="A521" s="17"/>
      <c r="B521" s="16"/>
      <c r="C521"/>
      <c r="D521" s="16"/>
      <c r="E521"/>
      <c r="F521" s="16"/>
      <c r="I521" s="15"/>
      <c r="J521" s="1"/>
      <c r="K521" s="12"/>
      <c r="L521" s="3"/>
      <c r="M521" s="10"/>
    </row>
    <row r="522" spans="1:13" x14ac:dyDescent="0.35">
      <c r="A522" s="17"/>
      <c r="B522" s="16"/>
      <c r="C522"/>
      <c r="D522" s="16"/>
      <c r="E522"/>
      <c r="F522" s="16"/>
      <c r="I522" s="15"/>
      <c r="J522" s="1"/>
      <c r="K522" s="12"/>
      <c r="L522" s="3"/>
      <c r="M522" s="10"/>
    </row>
    <row r="523" spans="1:13" x14ac:dyDescent="0.35">
      <c r="A523" s="17"/>
      <c r="B523" s="16"/>
      <c r="C523"/>
      <c r="D523" s="16"/>
      <c r="E523"/>
      <c r="F523" s="16"/>
      <c r="I523" s="15"/>
      <c r="J523" s="1"/>
      <c r="K523" s="12"/>
      <c r="L523" s="3"/>
      <c r="M523" s="10"/>
    </row>
    <row r="524" spans="1:13" x14ac:dyDescent="0.35">
      <c r="A524" s="17"/>
      <c r="B524" s="16"/>
      <c r="C524"/>
      <c r="D524" s="16"/>
      <c r="E524"/>
      <c r="F524" s="16"/>
      <c r="I524" s="15"/>
      <c r="J524" s="1"/>
      <c r="K524" s="12"/>
      <c r="L524" s="3"/>
      <c r="M524" s="10"/>
    </row>
    <row r="525" spans="1:13" x14ac:dyDescent="0.35">
      <c r="A525" s="17"/>
      <c r="B525" s="16"/>
      <c r="C525"/>
      <c r="D525" s="16"/>
      <c r="E525"/>
      <c r="F525" s="16"/>
      <c r="I525" s="15"/>
      <c r="J525" s="1"/>
      <c r="K525" s="12"/>
      <c r="L525" s="3"/>
      <c r="M525" s="10"/>
    </row>
    <row r="526" spans="1:13" x14ac:dyDescent="0.35">
      <c r="A526" s="17"/>
      <c r="B526" s="16"/>
      <c r="C526"/>
      <c r="D526" s="16"/>
      <c r="E526"/>
      <c r="F526" s="16"/>
      <c r="I526" s="15"/>
      <c r="J526" s="1"/>
      <c r="K526" s="12"/>
      <c r="L526" s="3"/>
      <c r="M526" s="10"/>
    </row>
    <row r="527" spans="1:13" x14ac:dyDescent="0.35">
      <c r="A527" s="17"/>
      <c r="B527" s="16"/>
      <c r="C527"/>
      <c r="D527" s="16"/>
      <c r="E527"/>
      <c r="F527" s="16"/>
      <c r="I527" s="15"/>
      <c r="J527" s="1"/>
      <c r="K527" s="12"/>
      <c r="L527" s="3"/>
      <c r="M527" s="10"/>
    </row>
    <row r="528" spans="1:13" x14ac:dyDescent="0.35">
      <c r="A528" s="17"/>
      <c r="B528" s="16"/>
      <c r="C528"/>
      <c r="D528" s="16"/>
      <c r="E528"/>
      <c r="F528" s="16"/>
      <c r="I528" s="15"/>
      <c r="J528" s="1"/>
      <c r="K528" s="12"/>
      <c r="L528" s="3"/>
      <c r="M528" s="10"/>
    </row>
    <row r="529" spans="1:13" x14ac:dyDescent="0.35">
      <c r="A529" s="17"/>
      <c r="B529" s="16"/>
      <c r="C529"/>
      <c r="D529" s="16"/>
      <c r="E529"/>
      <c r="F529" s="16"/>
      <c r="I529" s="15"/>
      <c r="J529" s="1"/>
      <c r="K529" s="12"/>
      <c r="L529" s="3"/>
      <c r="M529" s="10"/>
    </row>
    <row r="530" spans="1:13" x14ac:dyDescent="0.35">
      <c r="A530" s="17"/>
      <c r="B530" s="16"/>
      <c r="C530"/>
      <c r="D530" s="16"/>
      <c r="E530"/>
      <c r="F530" s="16"/>
      <c r="I530" s="15"/>
      <c r="J530" s="1"/>
      <c r="K530" s="12"/>
      <c r="L530" s="3"/>
      <c r="M530" s="10"/>
    </row>
    <row r="531" spans="1:13" x14ac:dyDescent="0.35">
      <c r="A531" s="17"/>
      <c r="B531" s="16"/>
      <c r="C531"/>
      <c r="D531" s="16"/>
      <c r="E531"/>
      <c r="F531" s="16"/>
      <c r="I531" s="15"/>
      <c r="J531" s="1"/>
      <c r="K531" s="12"/>
      <c r="L531" s="3"/>
      <c r="M531" s="10"/>
    </row>
    <row r="532" spans="1:13" x14ac:dyDescent="0.35">
      <c r="A532" s="17"/>
      <c r="B532" s="16"/>
      <c r="C532"/>
      <c r="D532" s="16"/>
      <c r="E532"/>
      <c r="F532" s="16"/>
      <c r="I532" s="15"/>
      <c r="J532" s="1"/>
      <c r="K532" s="12"/>
      <c r="L532" s="3"/>
      <c r="M532" s="10"/>
    </row>
    <row r="533" spans="1:13" x14ac:dyDescent="0.35">
      <c r="A533" s="17"/>
      <c r="B533" s="16"/>
      <c r="C533"/>
      <c r="D533" s="16"/>
      <c r="E533"/>
      <c r="F533" s="16"/>
      <c r="I533" s="15"/>
      <c r="J533" s="1"/>
      <c r="K533" s="12"/>
      <c r="L533" s="3"/>
      <c r="M533" s="10"/>
    </row>
    <row r="534" spans="1:13" x14ac:dyDescent="0.35">
      <c r="A534" s="17"/>
      <c r="B534" s="16"/>
      <c r="C534"/>
      <c r="D534" s="16"/>
      <c r="E534"/>
      <c r="F534" s="16"/>
      <c r="I534" s="15"/>
      <c r="J534" s="1"/>
      <c r="K534" s="12"/>
      <c r="L534" s="3"/>
      <c r="M534" s="10"/>
    </row>
    <row r="535" spans="1:13" x14ac:dyDescent="0.35">
      <c r="A535" s="17"/>
      <c r="B535" s="16"/>
      <c r="C535"/>
      <c r="D535" s="16"/>
      <c r="E535"/>
      <c r="F535" s="16"/>
      <c r="I535" s="15"/>
      <c r="J535" s="1"/>
      <c r="K535" s="12"/>
      <c r="L535" s="3"/>
      <c r="M535" s="10"/>
    </row>
    <row r="536" spans="1:13" x14ac:dyDescent="0.35">
      <c r="A536" s="17"/>
      <c r="B536" s="16"/>
      <c r="C536"/>
      <c r="D536" s="16"/>
      <c r="E536"/>
      <c r="F536" s="16"/>
      <c r="I536" s="15"/>
      <c r="J536" s="1"/>
      <c r="K536" s="12"/>
      <c r="L536" s="3"/>
      <c r="M536" s="10"/>
    </row>
    <row r="537" spans="1:13" x14ac:dyDescent="0.35">
      <c r="A537" s="17"/>
      <c r="B537" s="16"/>
      <c r="C537"/>
      <c r="D537" s="16"/>
      <c r="E537"/>
      <c r="F537" s="16"/>
      <c r="I537" s="15"/>
      <c r="J537" s="1"/>
      <c r="K537" s="12"/>
      <c r="L537" s="3"/>
      <c r="M537" s="10"/>
    </row>
    <row r="538" spans="1:13" x14ac:dyDescent="0.35">
      <c r="A538" s="17"/>
      <c r="B538" s="16"/>
      <c r="C538"/>
      <c r="D538" s="16"/>
      <c r="E538"/>
      <c r="F538" s="16"/>
      <c r="I538" s="15"/>
      <c r="J538" s="1"/>
      <c r="K538" s="12"/>
      <c r="L538" s="3"/>
      <c r="M538" s="10"/>
    </row>
    <row r="539" spans="1:13" x14ac:dyDescent="0.35">
      <c r="A539" s="17"/>
      <c r="B539" s="16"/>
      <c r="C539"/>
      <c r="D539" s="16"/>
      <c r="E539"/>
      <c r="F539" s="16"/>
      <c r="I539" s="15"/>
      <c r="J539" s="1"/>
      <c r="K539" s="12"/>
      <c r="L539" s="3"/>
      <c r="M539" s="10"/>
    </row>
    <row r="540" spans="1:13" x14ac:dyDescent="0.35">
      <c r="A540" s="17"/>
      <c r="B540" s="16"/>
      <c r="C540"/>
      <c r="D540" s="16"/>
      <c r="E540"/>
      <c r="F540" s="16"/>
      <c r="I540" s="15"/>
      <c r="J540" s="1"/>
      <c r="K540" s="12"/>
      <c r="L540" s="3"/>
      <c r="M540" s="10"/>
    </row>
    <row r="541" spans="1:13" x14ac:dyDescent="0.35">
      <c r="A541" s="17"/>
      <c r="B541" s="16"/>
      <c r="C541"/>
      <c r="D541" s="16"/>
      <c r="E541"/>
      <c r="F541" s="16"/>
      <c r="I541" s="15"/>
      <c r="J541" s="1"/>
      <c r="K541" s="12"/>
      <c r="L541" s="3"/>
      <c r="M541" s="10"/>
    </row>
    <row r="542" spans="1:13" x14ac:dyDescent="0.35">
      <c r="A542" s="17"/>
      <c r="B542" s="16"/>
      <c r="C542"/>
      <c r="D542" s="16"/>
      <c r="E542"/>
      <c r="F542" s="16"/>
      <c r="I542" s="15"/>
      <c r="J542" s="1"/>
      <c r="K542" s="12"/>
      <c r="L542" s="3"/>
      <c r="M542" s="10"/>
    </row>
    <row r="543" spans="1:13" x14ac:dyDescent="0.35">
      <c r="A543" s="17"/>
      <c r="B543" s="16"/>
      <c r="C543"/>
      <c r="D543" s="16"/>
      <c r="E543"/>
      <c r="F543" s="16"/>
      <c r="I543" s="15"/>
      <c r="J543" s="1"/>
      <c r="K543" s="12"/>
      <c r="L543" s="3"/>
      <c r="M543" s="10"/>
    </row>
    <row r="544" spans="1:13" x14ac:dyDescent="0.35">
      <c r="A544" s="17"/>
      <c r="B544" s="16"/>
      <c r="C544"/>
      <c r="D544" s="16"/>
      <c r="E544"/>
      <c r="F544" s="16"/>
      <c r="I544" s="15"/>
      <c r="J544" s="1"/>
      <c r="K544" s="12"/>
      <c r="L544" s="3"/>
      <c r="M544" s="10"/>
    </row>
    <row r="545" spans="1:13" x14ac:dyDescent="0.35">
      <c r="A545" s="17"/>
      <c r="B545" s="16"/>
      <c r="C545"/>
      <c r="D545" s="16"/>
      <c r="E545"/>
      <c r="F545" s="16"/>
      <c r="I545" s="15"/>
      <c r="J545" s="1"/>
      <c r="K545" s="12"/>
      <c r="L545" s="3"/>
      <c r="M545" s="10"/>
    </row>
    <row r="546" spans="1:13" x14ac:dyDescent="0.35">
      <c r="A546" s="17"/>
      <c r="B546" s="16"/>
      <c r="C546"/>
      <c r="D546" s="16"/>
      <c r="E546"/>
      <c r="F546" s="16"/>
      <c r="I546" s="15"/>
      <c r="J546" s="1"/>
      <c r="K546" s="12"/>
      <c r="L546" s="3"/>
      <c r="M546" s="10"/>
    </row>
    <row r="547" spans="1:13" x14ac:dyDescent="0.35">
      <c r="A547" s="17"/>
      <c r="B547" s="16"/>
      <c r="C547"/>
      <c r="D547" s="16"/>
      <c r="E547"/>
      <c r="F547" s="16"/>
      <c r="I547" s="15"/>
      <c r="J547" s="1"/>
      <c r="K547" s="12"/>
      <c r="L547" s="3"/>
      <c r="M547" s="10"/>
    </row>
    <row r="548" spans="1:13" x14ac:dyDescent="0.35">
      <c r="A548" s="17"/>
      <c r="B548" s="16"/>
      <c r="C548"/>
      <c r="D548" s="16"/>
      <c r="E548"/>
      <c r="F548" s="16"/>
      <c r="I548" s="15"/>
      <c r="J548" s="1"/>
      <c r="K548" s="12"/>
      <c r="L548" s="3"/>
      <c r="M548" s="10"/>
    </row>
    <row r="549" spans="1:13" x14ac:dyDescent="0.35">
      <c r="A549" s="17"/>
      <c r="B549" s="16"/>
      <c r="C549"/>
      <c r="D549" s="16"/>
      <c r="E549"/>
      <c r="F549" s="16"/>
      <c r="I549" s="15"/>
      <c r="J549" s="1"/>
      <c r="K549" s="12"/>
      <c r="L549" s="3"/>
      <c r="M549" s="10"/>
    </row>
    <row r="550" spans="1:13" x14ac:dyDescent="0.35">
      <c r="A550" s="17"/>
      <c r="B550" s="16"/>
      <c r="C550"/>
      <c r="D550" s="16"/>
      <c r="E550"/>
      <c r="F550" s="16"/>
      <c r="I550" s="15"/>
      <c r="J550" s="1"/>
      <c r="K550" s="12"/>
      <c r="L550" s="3"/>
      <c r="M550" s="10"/>
    </row>
    <row r="551" spans="1:13" x14ac:dyDescent="0.35">
      <c r="A551" s="17"/>
      <c r="B551" s="16"/>
      <c r="C551"/>
      <c r="D551" s="16"/>
      <c r="E551"/>
      <c r="F551" s="16"/>
      <c r="I551" s="15"/>
      <c r="J551" s="1"/>
      <c r="K551" s="12"/>
      <c r="L551" s="3"/>
      <c r="M551" s="10"/>
    </row>
    <row r="552" spans="1:13" x14ac:dyDescent="0.35">
      <c r="A552" s="17"/>
      <c r="B552" s="16"/>
      <c r="C552"/>
      <c r="D552" s="16"/>
      <c r="E552"/>
      <c r="F552" s="16"/>
      <c r="I552" s="15"/>
      <c r="J552" s="1"/>
      <c r="K552" s="12"/>
      <c r="L552" s="3"/>
      <c r="M552" s="10"/>
    </row>
    <row r="553" spans="1:13" x14ac:dyDescent="0.35">
      <c r="A553" s="17"/>
      <c r="B553" s="16"/>
      <c r="C553"/>
      <c r="D553" s="16"/>
      <c r="E553"/>
      <c r="F553" s="16"/>
      <c r="I553" s="15"/>
      <c r="J553" s="1"/>
      <c r="K553" s="12"/>
      <c r="L553" s="3"/>
      <c r="M553" s="10"/>
    </row>
    <row r="554" spans="1:13" x14ac:dyDescent="0.35">
      <c r="A554" s="17"/>
      <c r="B554" s="16"/>
      <c r="C554"/>
      <c r="D554" s="16"/>
      <c r="E554"/>
      <c r="F554" s="16"/>
      <c r="I554" s="15"/>
      <c r="J554" s="1"/>
      <c r="K554" s="12"/>
      <c r="L554" s="3"/>
      <c r="M554" s="10"/>
    </row>
    <row r="555" spans="1:13" x14ac:dyDescent="0.35">
      <c r="A555" s="17"/>
      <c r="B555" s="16"/>
      <c r="C555"/>
      <c r="D555" s="16"/>
      <c r="E555"/>
      <c r="F555" s="16"/>
      <c r="I555" s="15"/>
      <c r="J555" s="1"/>
      <c r="K555" s="12"/>
      <c r="L555" s="3"/>
      <c r="M555" s="10"/>
    </row>
    <row r="556" spans="1:13" x14ac:dyDescent="0.35">
      <c r="A556" s="17"/>
      <c r="B556" s="16"/>
      <c r="C556"/>
      <c r="D556" s="16"/>
      <c r="E556"/>
      <c r="F556" s="16"/>
      <c r="I556" s="15"/>
      <c r="J556" s="1"/>
      <c r="K556" s="12"/>
      <c r="L556" s="3"/>
      <c r="M556" s="10"/>
    </row>
    <row r="557" spans="1:13" x14ac:dyDescent="0.35">
      <c r="A557" s="17"/>
      <c r="B557" s="16"/>
      <c r="C557"/>
      <c r="D557" s="16"/>
      <c r="E557"/>
      <c r="F557" s="16"/>
      <c r="I557" s="15"/>
      <c r="J557" s="1"/>
      <c r="K557" s="12"/>
      <c r="L557" s="3"/>
      <c r="M557" s="10"/>
    </row>
    <row r="558" spans="1:13" x14ac:dyDescent="0.35">
      <c r="A558" s="17"/>
      <c r="B558" s="16"/>
      <c r="C558"/>
      <c r="D558" s="16"/>
      <c r="E558"/>
      <c r="F558" s="16"/>
      <c r="I558" s="15"/>
      <c r="J558" s="1"/>
      <c r="K558" s="12"/>
      <c r="L558" s="3"/>
      <c r="M558" s="10"/>
    </row>
    <row r="559" spans="1:13" x14ac:dyDescent="0.35">
      <c r="A559" s="17"/>
      <c r="B559" s="16"/>
      <c r="C559"/>
      <c r="D559" s="16"/>
      <c r="E559"/>
      <c r="F559" s="16"/>
      <c r="I559" s="15"/>
      <c r="J559" s="1"/>
      <c r="K559" s="12"/>
      <c r="L559" s="3"/>
      <c r="M559" s="10"/>
    </row>
    <row r="560" spans="1:13" x14ac:dyDescent="0.35">
      <c r="A560" s="17"/>
      <c r="B560" s="16"/>
      <c r="C560"/>
      <c r="D560" s="16"/>
      <c r="E560"/>
      <c r="F560" s="16"/>
      <c r="I560" s="15"/>
      <c r="J560" s="1"/>
      <c r="K560" s="12"/>
      <c r="L560" s="3"/>
      <c r="M560" s="10"/>
    </row>
    <row r="561" spans="1:13" x14ac:dyDescent="0.35">
      <c r="A561" s="17"/>
      <c r="B561" s="16"/>
      <c r="C561"/>
      <c r="D561" s="16"/>
      <c r="E561"/>
      <c r="F561" s="16"/>
      <c r="I561" s="15"/>
      <c r="J561" s="1"/>
      <c r="K561" s="12"/>
      <c r="L561" s="3"/>
      <c r="M561" s="10"/>
    </row>
    <row r="562" spans="1:13" x14ac:dyDescent="0.35">
      <c r="A562" s="17"/>
      <c r="B562" s="16"/>
      <c r="C562"/>
      <c r="D562" s="16"/>
      <c r="E562"/>
      <c r="F562" s="16"/>
      <c r="I562" s="15"/>
      <c r="J562" s="1"/>
      <c r="K562" s="12"/>
      <c r="L562" s="3"/>
      <c r="M562" s="10"/>
    </row>
    <row r="563" spans="1:13" x14ac:dyDescent="0.35">
      <c r="A563" s="17"/>
      <c r="B563" s="16"/>
      <c r="C563"/>
      <c r="D563" s="16"/>
      <c r="E563"/>
      <c r="F563" s="16"/>
      <c r="I563" s="15"/>
      <c r="J563" s="1"/>
      <c r="K563" s="12"/>
      <c r="L563" s="3"/>
      <c r="M563" s="10"/>
    </row>
    <row r="564" spans="1:13" x14ac:dyDescent="0.35">
      <c r="A564" s="17"/>
      <c r="B564" s="16"/>
      <c r="C564"/>
      <c r="D564" s="16"/>
      <c r="E564"/>
      <c r="F564" s="16"/>
      <c r="I564" s="15"/>
      <c r="J564" s="1"/>
      <c r="K564" s="12"/>
      <c r="L564" s="3"/>
      <c r="M564" s="10"/>
    </row>
    <row r="565" spans="1:13" x14ac:dyDescent="0.35">
      <c r="A565" s="17"/>
      <c r="B565" s="16"/>
      <c r="C565"/>
      <c r="D565" s="16"/>
      <c r="E565"/>
      <c r="F565" s="16"/>
      <c r="I565" s="15"/>
      <c r="J565" s="1"/>
      <c r="K565" s="12"/>
      <c r="L565" s="3"/>
      <c r="M565" s="10"/>
    </row>
    <row r="566" spans="1:13" x14ac:dyDescent="0.35">
      <c r="A566" s="17"/>
      <c r="B566" s="16"/>
      <c r="C566"/>
      <c r="D566" s="16"/>
      <c r="E566"/>
      <c r="F566" s="16"/>
      <c r="I566" s="15"/>
      <c r="J566" s="1"/>
      <c r="K566" s="12"/>
      <c r="L566" s="3"/>
      <c r="M566" s="10"/>
    </row>
    <row r="567" spans="1:13" x14ac:dyDescent="0.35">
      <c r="A567" s="17"/>
      <c r="B567" s="16"/>
      <c r="C567"/>
      <c r="D567" s="16"/>
      <c r="E567"/>
      <c r="F567" s="16"/>
      <c r="I567" s="15"/>
      <c r="J567" s="1"/>
      <c r="K567" s="12"/>
      <c r="L567" s="3"/>
      <c r="M567" s="10"/>
    </row>
    <row r="568" spans="1:13" x14ac:dyDescent="0.35">
      <c r="A568" s="17"/>
      <c r="B568" s="16"/>
      <c r="C568"/>
      <c r="D568" s="16"/>
      <c r="E568"/>
      <c r="F568" s="16"/>
      <c r="I568" s="15"/>
      <c r="J568" s="1"/>
      <c r="K568" s="12"/>
      <c r="L568" s="3"/>
      <c r="M568" s="10"/>
    </row>
    <row r="569" spans="1:13" x14ac:dyDescent="0.35">
      <c r="A569" s="17"/>
      <c r="B569" s="16"/>
      <c r="C569"/>
      <c r="D569" s="16"/>
      <c r="E569"/>
      <c r="F569" s="16"/>
      <c r="I569" s="15"/>
      <c r="J569" s="1"/>
      <c r="K569" s="12"/>
      <c r="L569" s="3"/>
      <c r="M569" s="10"/>
    </row>
    <row r="570" spans="1:13" x14ac:dyDescent="0.35">
      <c r="A570" s="17"/>
      <c r="B570" s="16"/>
      <c r="C570"/>
      <c r="D570" s="16"/>
      <c r="E570"/>
      <c r="F570" s="16"/>
      <c r="I570" s="15"/>
      <c r="J570" s="1"/>
      <c r="K570" s="12"/>
      <c r="L570" s="3"/>
      <c r="M570" s="10"/>
    </row>
    <row r="571" spans="1:13" x14ac:dyDescent="0.35">
      <c r="A571" s="17"/>
      <c r="B571" s="16"/>
      <c r="C571"/>
      <c r="D571" s="16"/>
      <c r="E571"/>
      <c r="F571" s="16"/>
      <c r="I571" s="15"/>
      <c r="J571" s="1"/>
      <c r="K571" s="12"/>
      <c r="L571" s="3"/>
      <c r="M571" s="10"/>
    </row>
    <row r="572" spans="1:13" x14ac:dyDescent="0.35">
      <c r="A572" s="17"/>
      <c r="B572" s="16"/>
      <c r="C572"/>
      <c r="D572" s="16"/>
      <c r="E572"/>
      <c r="F572" s="16"/>
      <c r="I572" s="15"/>
      <c r="J572" s="1"/>
      <c r="K572" s="12"/>
      <c r="L572" s="3"/>
      <c r="M572" s="10"/>
    </row>
    <row r="573" spans="1:13" x14ac:dyDescent="0.35">
      <c r="A573" s="17"/>
      <c r="B573" s="16"/>
      <c r="C573"/>
      <c r="D573" s="16"/>
      <c r="E573"/>
      <c r="F573" s="16"/>
      <c r="I573" s="15"/>
      <c r="J573" s="1"/>
      <c r="K573" s="12"/>
      <c r="L573" s="3"/>
      <c r="M573" s="10"/>
    </row>
    <row r="574" spans="1:13" x14ac:dyDescent="0.35">
      <c r="A574" s="17"/>
      <c r="B574" s="16"/>
      <c r="C574"/>
      <c r="D574" s="16"/>
      <c r="E574"/>
      <c r="F574" s="16"/>
      <c r="I574" s="15"/>
      <c r="J574" s="1"/>
      <c r="K574" s="12"/>
      <c r="L574" s="3"/>
      <c r="M574" s="10"/>
    </row>
    <row r="575" spans="1:13" x14ac:dyDescent="0.35">
      <c r="A575" s="17"/>
      <c r="B575" s="16"/>
      <c r="C575"/>
      <c r="D575" s="16"/>
      <c r="E575"/>
      <c r="F575" s="16"/>
      <c r="I575" s="15"/>
      <c r="J575" s="1"/>
      <c r="K575" s="12"/>
      <c r="L575" s="3"/>
      <c r="M575" s="10"/>
    </row>
    <row r="576" spans="1:13" x14ac:dyDescent="0.35">
      <c r="A576" s="17"/>
      <c r="B576" s="16"/>
      <c r="C576"/>
      <c r="D576" s="16"/>
      <c r="E576"/>
      <c r="F576" s="16"/>
      <c r="I576" s="15"/>
      <c r="J576" s="1"/>
      <c r="K576" s="12"/>
      <c r="L576" s="3"/>
      <c r="M576" s="10"/>
    </row>
    <row r="577" spans="1:13" x14ac:dyDescent="0.35">
      <c r="A577" s="17"/>
      <c r="B577" s="16"/>
      <c r="C577"/>
      <c r="D577" s="16"/>
      <c r="E577"/>
      <c r="F577" s="16"/>
      <c r="I577" s="15"/>
      <c r="J577" s="1"/>
      <c r="K577" s="12"/>
      <c r="L577" s="3"/>
      <c r="M577" s="10"/>
    </row>
    <row r="578" spans="1:13" x14ac:dyDescent="0.35">
      <c r="A578" s="17"/>
      <c r="B578" s="16"/>
      <c r="C578"/>
      <c r="D578" s="16"/>
      <c r="E578"/>
      <c r="F578" s="16"/>
      <c r="I578" s="15"/>
      <c r="J578" s="1"/>
      <c r="K578" s="12"/>
      <c r="L578" s="3"/>
      <c r="M578" s="10"/>
    </row>
    <row r="579" spans="1:13" x14ac:dyDescent="0.35">
      <c r="A579" s="17"/>
      <c r="B579" s="16"/>
      <c r="C579"/>
      <c r="D579" s="16"/>
      <c r="E579"/>
      <c r="F579" s="16"/>
      <c r="I579" s="15"/>
      <c r="J579" s="1"/>
      <c r="K579" s="12"/>
      <c r="L579" s="3"/>
      <c r="M579" s="10"/>
    </row>
    <row r="580" spans="1:13" x14ac:dyDescent="0.35">
      <c r="A580" s="17"/>
      <c r="B580" s="16"/>
      <c r="C580"/>
      <c r="D580" s="16"/>
      <c r="E580"/>
      <c r="F580" s="16"/>
      <c r="I580" s="15"/>
      <c r="J580" s="1"/>
      <c r="K580" s="12"/>
      <c r="L580" s="3"/>
      <c r="M580" s="10"/>
    </row>
    <row r="581" spans="1:13" x14ac:dyDescent="0.35">
      <c r="A581" s="17"/>
      <c r="B581" s="16"/>
      <c r="C581"/>
      <c r="D581" s="16"/>
      <c r="E581"/>
      <c r="F581" s="16"/>
      <c r="I581" s="15"/>
      <c r="J581" s="1"/>
      <c r="K581" s="12"/>
      <c r="L581" s="3"/>
      <c r="M581" s="10"/>
    </row>
    <row r="582" spans="1:13" x14ac:dyDescent="0.35">
      <c r="A582" s="17"/>
      <c r="B582" s="16"/>
      <c r="C582"/>
      <c r="D582" s="16"/>
      <c r="E582"/>
      <c r="F582" s="16"/>
      <c r="I582" s="15"/>
      <c r="J582" s="1"/>
      <c r="K582" s="12"/>
      <c r="L582" s="3"/>
      <c r="M582" s="10"/>
    </row>
    <row r="583" spans="1:13" x14ac:dyDescent="0.35">
      <c r="A583" s="17"/>
      <c r="B583" s="16"/>
      <c r="C583"/>
      <c r="D583" s="16"/>
      <c r="E583"/>
      <c r="F583" s="16"/>
      <c r="I583" s="15"/>
      <c r="J583" s="1"/>
      <c r="K583" s="12"/>
      <c r="L583" s="3"/>
      <c r="M583" s="10"/>
    </row>
    <row r="584" spans="1:13" x14ac:dyDescent="0.35">
      <c r="A584" s="17"/>
      <c r="B584" s="16"/>
      <c r="C584"/>
      <c r="D584" s="16"/>
      <c r="E584"/>
      <c r="F584" s="16"/>
      <c r="I584" s="15"/>
      <c r="J584" s="1"/>
      <c r="K584" s="12"/>
      <c r="L584" s="3"/>
      <c r="M584" s="10"/>
    </row>
    <row r="585" spans="1:13" x14ac:dyDescent="0.35">
      <c r="A585" s="17"/>
      <c r="B585" s="16"/>
      <c r="C585"/>
      <c r="D585" s="16"/>
      <c r="E585"/>
      <c r="F585" s="16"/>
      <c r="I585" s="15"/>
      <c r="J585" s="1"/>
      <c r="K585" s="12"/>
      <c r="L585" s="3"/>
      <c r="M585" s="10"/>
    </row>
    <row r="586" spans="1:13" x14ac:dyDescent="0.35">
      <c r="A586" s="17"/>
      <c r="B586" s="16"/>
      <c r="C586"/>
      <c r="D586" s="16"/>
      <c r="E586"/>
      <c r="F586" s="16"/>
      <c r="I586" s="15"/>
      <c r="J586" s="1"/>
      <c r="K586" s="12"/>
      <c r="L586" s="3"/>
      <c r="M586" s="10"/>
    </row>
    <row r="587" spans="1:13" x14ac:dyDescent="0.35">
      <c r="A587" s="17"/>
      <c r="B587" s="16"/>
      <c r="C587"/>
      <c r="D587" s="16"/>
      <c r="E587"/>
      <c r="F587" s="16"/>
      <c r="I587" s="15"/>
      <c r="J587" s="1"/>
      <c r="K587" s="12"/>
      <c r="L587" s="3"/>
      <c r="M587" s="10"/>
    </row>
    <row r="588" spans="1:13" x14ac:dyDescent="0.35">
      <c r="A588" s="17"/>
      <c r="B588" s="16"/>
      <c r="C588"/>
      <c r="D588" s="16"/>
      <c r="E588"/>
      <c r="F588" s="16"/>
      <c r="I588" s="15"/>
      <c r="J588" s="1"/>
      <c r="K588" s="12"/>
      <c r="L588" s="3"/>
      <c r="M588" s="10"/>
    </row>
    <row r="589" spans="1:13" x14ac:dyDescent="0.35">
      <c r="A589" s="17"/>
      <c r="B589" s="16"/>
      <c r="C589"/>
      <c r="D589" s="16"/>
      <c r="E589"/>
      <c r="F589" s="16"/>
      <c r="I589" s="15"/>
      <c r="J589" s="1"/>
      <c r="K589" s="12"/>
      <c r="L589" s="3"/>
      <c r="M589" s="10"/>
    </row>
    <row r="590" spans="1:13" x14ac:dyDescent="0.35">
      <c r="A590" s="17"/>
      <c r="B590" s="16"/>
      <c r="C590"/>
      <c r="D590" s="16"/>
      <c r="E590"/>
      <c r="F590" s="16"/>
      <c r="I590" s="15"/>
      <c r="J590" s="1"/>
      <c r="K590" s="12"/>
      <c r="L590" s="3"/>
      <c r="M590" s="10"/>
    </row>
    <row r="591" spans="1:13" x14ac:dyDescent="0.35">
      <c r="A591" s="17"/>
      <c r="B591" s="16"/>
      <c r="C591"/>
      <c r="D591" s="16"/>
      <c r="E591"/>
      <c r="F591" s="16"/>
      <c r="I591" s="15"/>
      <c r="J591" s="1"/>
      <c r="K591" s="12"/>
      <c r="L591" s="3"/>
      <c r="M591" s="10"/>
    </row>
    <row r="592" spans="1:13" x14ac:dyDescent="0.35">
      <c r="A592" s="17"/>
      <c r="B592" s="16"/>
      <c r="C592"/>
      <c r="D592" s="16"/>
      <c r="E592"/>
      <c r="F592" s="16"/>
      <c r="I592" s="15"/>
      <c r="J592" s="1"/>
      <c r="K592" s="12"/>
      <c r="L592" s="3"/>
      <c r="M592" s="10"/>
    </row>
    <row r="593" spans="1:13" x14ac:dyDescent="0.35">
      <c r="A593" s="17"/>
      <c r="B593" s="16"/>
      <c r="C593"/>
      <c r="D593" s="16"/>
      <c r="E593"/>
      <c r="F593" s="16"/>
      <c r="I593" s="15"/>
      <c r="J593" s="1"/>
      <c r="K593" s="12"/>
      <c r="L593" s="3"/>
      <c r="M593" s="10"/>
    </row>
    <row r="594" spans="1:13" x14ac:dyDescent="0.35">
      <c r="A594" s="17"/>
      <c r="B594" s="16"/>
      <c r="C594"/>
      <c r="D594" s="16"/>
      <c r="E594"/>
      <c r="F594" s="16"/>
      <c r="I594" s="15"/>
      <c r="J594" s="1"/>
      <c r="K594" s="12"/>
      <c r="L594" s="3"/>
      <c r="M594" s="10"/>
    </row>
    <row r="595" spans="1:13" x14ac:dyDescent="0.35">
      <c r="A595" s="17"/>
      <c r="B595" s="16"/>
      <c r="C595"/>
      <c r="D595" s="16"/>
      <c r="E595"/>
      <c r="F595" s="16"/>
      <c r="I595" s="15"/>
      <c r="J595" s="1"/>
      <c r="K595" s="12"/>
      <c r="L595" s="3"/>
      <c r="M595" s="10"/>
    </row>
    <row r="596" spans="1:13" x14ac:dyDescent="0.35">
      <c r="A596" s="17"/>
      <c r="B596" s="16"/>
      <c r="C596"/>
      <c r="D596" s="16"/>
      <c r="E596"/>
      <c r="F596" s="16"/>
      <c r="I596" s="15"/>
      <c r="J596" s="1"/>
      <c r="K596" s="12"/>
      <c r="L596" s="3"/>
      <c r="M596" s="10"/>
    </row>
    <row r="597" spans="1:13" x14ac:dyDescent="0.35">
      <c r="A597" s="17"/>
      <c r="B597" s="16"/>
      <c r="C597"/>
      <c r="D597" s="16"/>
      <c r="E597"/>
      <c r="F597" s="16"/>
      <c r="I597" s="15"/>
      <c r="J597" s="1"/>
      <c r="K597" s="12"/>
      <c r="L597" s="3"/>
      <c r="M597" s="10"/>
    </row>
    <row r="598" spans="1:13" x14ac:dyDescent="0.35">
      <c r="A598" s="17"/>
      <c r="B598" s="16"/>
      <c r="C598"/>
      <c r="D598" s="16"/>
      <c r="E598"/>
      <c r="F598" s="16"/>
      <c r="I598" s="15"/>
      <c r="J598" s="1"/>
      <c r="K598" s="12"/>
      <c r="L598" s="3"/>
      <c r="M598" s="10"/>
    </row>
    <row r="599" spans="1:13" x14ac:dyDescent="0.35">
      <c r="A599" s="17"/>
      <c r="B599" s="16"/>
      <c r="C599"/>
      <c r="D599" s="16"/>
      <c r="E599"/>
      <c r="F599" s="16"/>
      <c r="I599" s="15"/>
      <c r="J599" s="1"/>
      <c r="K599" s="12"/>
      <c r="L599" s="3"/>
      <c r="M599" s="10"/>
    </row>
    <row r="600" spans="1:13" x14ac:dyDescent="0.35">
      <c r="A600" s="17"/>
      <c r="B600" s="16"/>
      <c r="C600"/>
      <c r="D600" s="16"/>
      <c r="E600"/>
      <c r="F600" s="16"/>
      <c r="I600" s="15"/>
      <c r="J600" s="1"/>
      <c r="K600" s="12"/>
      <c r="L600" s="3"/>
      <c r="M600" s="10"/>
    </row>
    <row r="601" spans="1:13" x14ac:dyDescent="0.35">
      <c r="A601" s="17"/>
      <c r="B601" s="16"/>
      <c r="C601"/>
      <c r="D601" s="16"/>
      <c r="E601"/>
      <c r="F601" s="16"/>
      <c r="I601" s="15"/>
      <c r="J601" s="1"/>
      <c r="K601" s="12"/>
      <c r="L601" s="3"/>
      <c r="M601" s="10"/>
    </row>
    <row r="602" spans="1:13" x14ac:dyDescent="0.35">
      <c r="A602" s="17"/>
      <c r="B602" s="16"/>
      <c r="C602"/>
      <c r="D602" s="16"/>
      <c r="E602"/>
      <c r="F602" s="16"/>
      <c r="I602" s="15"/>
      <c r="J602" s="1"/>
      <c r="K602" s="12"/>
      <c r="L602" s="3"/>
      <c r="M602" s="10"/>
    </row>
    <row r="603" spans="1:13" x14ac:dyDescent="0.35">
      <c r="A603" s="17"/>
      <c r="B603" s="16"/>
      <c r="C603"/>
      <c r="D603" s="16"/>
      <c r="E603"/>
      <c r="F603" s="16"/>
      <c r="I603" s="15"/>
      <c r="J603" s="1"/>
      <c r="K603" s="12"/>
      <c r="L603" s="3"/>
      <c r="M603" s="10"/>
    </row>
    <row r="604" spans="1:13" x14ac:dyDescent="0.35">
      <c r="A604" s="17"/>
      <c r="B604" s="16"/>
      <c r="C604"/>
      <c r="D604" s="16"/>
      <c r="E604"/>
      <c r="F604" s="16"/>
      <c r="I604" s="15"/>
      <c r="J604" s="1"/>
      <c r="K604" s="12"/>
      <c r="L604" s="3"/>
      <c r="M604" s="10"/>
    </row>
    <row r="605" spans="1:13" x14ac:dyDescent="0.35">
      <c r="A605" s="17"/>
      <c r="B605" s="16"/>
      <c r="C605"/>
      <c r="D605" s="16"/>
      <c r="E605"/>
      <c r="F605" s="16"/>
      <c r="I605" s="15"/>
      <c r="J605" s="1"/>
      <c r="K605" s="12"/>
      <c r="L605" s="3"/>
      <c r="M605" s="10"/>
    </row>
    <row r="606" spans="1:13" x14ac:dyDescent="0.35">
      <c r="A606" s="17"/>
      <c r="B606" s="16"/>
      <c r="C606"/>
      <c r="D606" s="16"/>
      <c r="E606"/>
      <c r="F606" s="16"/>
      <c r="I606" s="15"/>
      <c r="J606" s="1"/>
      <c r="K606" s="12"/>
      <c r="L606" s="3"/>
      <c r="M606" s="10"/>
    </row>
    <row r="607" spans="1:13" x14ac:dyDescent="0.35">
      <c r="A607" s="17"/>
      <c r="B607" s="16"/>
      <c r="C607"/>
      <c r="D607" s="16"/>
      <c r="E607"/>
      <c r="F607" s="16"/>
      <c r="I607" s="15"/>
      <c r="J607" s="1"/>
      <c r="K607" s="12"/>
      <c r="L607" s="3"/>
      <c r="M607" s="10"/>
    </row>
    <row r="608" spans="1:13" x14ac:dyDescent="0.35">
      <c r="A608" s="17"/>
      <c r="B608" s="16"/>
      <c r="C608"/>
      <c r="D608" s="16"/>
      <c r="E608"/>
      <c r="F608" s="16"/>
      <c r="I608" s="15"/>
      <c r="J608" s="1"/>
      <c r="K608" s="12"/>
      <c r="L608" s="3"/>
      <c r="M608" s="10"/>
    </row>
    <row r="609" spans="1:13" x14ac:dyDescent="0.35">
      <c r="A609" s="17"/>
      <c r="B609" s="16"/>
      <c r="C609"/>
      <c r="D609" s="16"/>
      <c r="E609"/>
      <c r="F609" s="16"/>
      <c r="I609" s="15"/>
      <c r="J609" s="1"/>
      <c r="K609" s="12"/>
      <c r="L609" s="3"/>
      <c r="M609" s="10"/>
    </row>
    <row r="610" spans="1:13" x14ac:dyDescent="0.35">
      <c r="A610" s="17"/>
      <c r="B610" s="16"/>
      <c r="C610"/>
      <c r="D610" s="16"/>
      <c r="E610"/>
      <c r="F610" s="16"/>
      <c r="I610" s="15"/>
      <c r="J610" s="1"/>
      <c r="K610" s="12"/>
      <c r="L610" s="3"/>
      <c r="M610" s="10"/>
    </row>
    <row r="611" spans="1:13" x14ac:dyDescent="0.35">
      <c r="A611" s="17"/>
      <c r="B611" s="16"/>
      <c r="C611"/>
      <c r="D611" s="16"/>
      <c r="E611"/>
      <c r="F611" s="16"/>
      <c r="I611" s="15"/>
      <c r="J611" s="1"/>
      <c r="K611" s="12"/>
      <c r="L611" s="3"/>
      <c r="M611" s="10"/>
    </row>
    <row r="612" spans="1:13" x14ac:dyDescent="0.35">
      <c r="A612" s="17"/>
      <c r="B612" s="16"/>
      <c r="C612"/>
      <c r="D612" s="16"/>
      <c r="E612"/>
      <c r="F612" s="16"/>
      <c r="I612" s="15"/>
      <c r="J612" s="1"/>
      <c r="K612" s="12"/>
      <c r="L612" s="3"/>
      <c r="M612" s="10"/>
    </row>
    <row r="613" spans="1:13" x14ac:dyDescent="0.35">
      <c r="A613" s="17"/>
      <c r="B613" s="16"/>
      <c r="C613"/>
      <c r="D613" s="16"/>
      <c r="E613"/>
      <c r="F613" s="16"/>
      <c r="I613" s="15"/>
      <c r="J613" s="1"/>
      <c r="K613" s="12"/>
      <c r="L613" s="3"/>
      <c r="M613" s="10"/>
    </row>
    <row r="614" spans="1:13" x14ac:dyDescent="0.35">
      <c r="A614" s="17"/>
      <c r="B614" s="16"/>
      <c r="C614"/>
      <c r="D614" s="16"/>
      <c r="E614"/>
      <c r="F614" s="16"/>
      <c r="I614" s="15"/>
      <c r="J614" s="1"/>
      <c r="K614" s="12"/>
      <c r="L614" s="3"/>
      <c r="M614" s="10"/>
    </row>
    <row r="615" spans="1:13" x14ac:dyDescent="0.35">
      <c r="A615" s="17"/>
      <c r="B615" s="16"/>
      <c r="C615"/>
      <c r="D615" s="16"/>
      <c r="E615"/>
      <c r="F615" s="16"/>
      <c r="I615" s="15"/>
      <c r="J615" s="1"/>
      <c r="K615" s="12"/>
      <c r="L615" s="3"/>
      <c r="M615" s="10"/>
    </row>
    <row r="616" spans="1:13" x14ac:dyDescent="0.35">
      <c r="A616" s="17"/>
      <c r="B616" s="16"/>
      <c r="C616"/>
      <c r="D616" s="16"/>
      <c r="E616"/>
      <c r="F616" s="16"/>
      <c r="I616" s="15"/>
      <c r="J616" s="1"/>
      <c r="K616" s="12"/>
      <c r="L616" s="3"/>
      <c r="M616" s="10"/>
    </row>
    <row r="617" spans="1:13" x14ac:dyDescent="0.35">
      <c r="A617" s="17"/>
      <c r="B617" s="16"/>
      <c r="C617"/>
      <c r="D617" s="16"/>
      <c r="E617"/>
      <c r="F617" s="16"/>
      <c r="I617" s="15"/>
      <c r="J617" s="1"/>
      <c r="K617" s="12"/>
      <c r="L617" s="3"/>
      <c r="M617" s="10"/>
    </row>
    <row r="618" spans="1:13" x14ac:dyDescent="0.35">
      <c r="A618" s="17"/>
      <c r="B618" s="16"/>
      <c r="C618"/>
      <c r="D618" s="16"/>
      <c r="E618"/>
      <c r="F618" s="16"/>
      <c r="I618" s="15"/>
      <c r="J618" s="1"/>
      <c r="K618" s="12"/>
      <c r="L618" s="3"/>
      <c r="M618" s="10"/>
    </row>
    <row r="619" spans="1:13" x14ac:dyDescent="0.35">
      <c r="A619" s="17"/>
      <c r="B619" s="16"/>
      <c r="C619"/>
      <c r="D619" s="16"/>
      <c r="E619"/>
      <c r="F619" s="16"/>
      <c r="I619" s="15"/>
      <c r="J619" s="1"/>
      <c r="K619" s="12"/>
      <c r="L619" s="3"/>
      <c r="M619" s="10"/>
    </row>
    <row r="620" spans="1:13" x14ac:dyDescent="0.35">
      <c r="A620" s="17"/>
      <c r="B620" s="16"/>
      <c r="C620"/>
      <c r="D620" s="16"/>
      <c r="E620"/>
      <c r="F620" s="16"/>
      <c r="I620" s="15"/>
      <c r="J620" s="1"/>
      <c r="K620" s="12"/>
      <c r="L620" s="3"/>
      <c r="M620" s="10"/>
    </row>
    <row r="621" spans="1:13" x14ac:dyDescent="0.35">
      <c r="A621" s="17"/>
      <c r="B621" s="16"/>
      <c r="C621"/>
      <c r="D621" s="16"/>
      <c r="E621"/>
      <c r="F621" s="16"/>
      <c r="I621" s="15"/>
      <c r="J621" s="1"/>
      <c r="K621" s="12"/>
      <c r="L621" s="3"/>
      <c r="M621" s="10"/>
    </row>
    <row r="622" spans="1:13" x14ac:dyDescent="0.35">
      <c r="A622" s="17"/>
      <c r="B622" s="16"/>
      <c r="C622"/>
      <c r="D622" s="16"/>
      <c r="E622"/>
      <c r="F622" s="16"/>
      <c r="I622" s="15"/>
      <c r="J622" s="1"/>
      <c r="K622" s="12"/>
      <c r="L622" s="3"/>
      <c r="M622" s="10"/>
    </row>
    <row r="623" spans="1:13" x14ac:dyDescent="0.35">
      <c r="A623" s="17"/>
      <c r="B623" s="16"/>
      <c r="C623"/>
      <c r="D623" s="16"/>
      <c r="E623"/>
      <c r="F623" s="16"/>
      <c r="I623" s="15"/>
      <c r="J623" s="1"/>
      <c r="K623" s="12"/>
      <c r="L623" s="3"/>
      <c r="M623" s="10"/>
    </row>
    <row r="624" spans="1:13" x14ac:dyDescent="0.35">
      <c r="A624" s="17"/>
      <c r="B624" s="16"/>
      <c r="C624"/>
      <c r="D624" s="16"/>
      <c r="E624"/>
      <c r="F624" s="16"/>
      <c r="I624" s="15"/>
      <c r="J624" s="1"/>
      <c r="K624" s="12"/>
      <c r="L624" s="3"/>
      <c r="M624" s="10"/>
    </row>
    <row r="625" spans="1:13" x14ac:dyDescent="0.35">
      <c r="A625" s="17"/>
      <c r="B625" s="16"/>
      <c r="C625"/>
      <c r="D625" s="16"/>
      <c r="E625"/>
      <c r="F625" s="16"/>
      <c r="I625" s="15"/>
      <c r="J625" s="1"/>
      <c r="K625" s="12"/>
      <c r="L625" s="3"/>
      <c r="M625" s="10"/>
    </row>
    <row r="626" spans="1:13" x14ac:dyDescent="0.35">
      <c r="A626" s="17"/>
      <c r="B626" s="16"/>
      <c r="C626"/>
      <c r="D626" s="16"/>
      <c r="E626"/>
      <c r="F626" s="16"/>
      <c r="I626" s="15"/>
      <c r="J626" s="1"/>
      <c r="K626" s="12"/>
      <c r="L626" s="3"/>
      <c r="M626" s="10"/>
    </row>
    <row r="627" spans="1:13" x14ac:dyDescent="0.35">
      <c r="A627" s="17"/>
      <c r="B627" s="16"/>
      <c r="C627"/>
      <c r="D627" s="16"/>
      <c r="E627"/>
      <c r="F627" s="16"/>
      <c r="I627" s="15"/>
      <c r="J627" s="1"/>
      <c r="K627" s="12"/>
      <c r="L627" s="3"/>
      <c r="M627" s="10"/>
    </row>
    <row r="628" spans="1:13" x14ac:dyDescent="0.35">
      <c r="A628" s="17"/>
      <c r="B628" s="16"/>
      <c r="C628"/>
      <c r="D628" s="16"/>
      <c r="E628"/>
      <c r="F628" s="16"/>
      <c r="I628" s="15"/>
      <c r="J628" s="1"/>
      <c r="K628" s="12"/>
      <c r="L628" s="3"/>
      <c r="M628" s="10"/>
    </row>
    <row r="629" spans="1:13" x14ac:dyDescent="0.35">
      <c r="A629" s="17"/>
      <c r="B629" s="16"/>
      <c r="C629"/>
      <c r="D629" s="16"/>
      <c r="E629"/>
      <c r="F629" s="16"/>
      <c r="I629" s="15"/>
      <c r="J629" s="1"/>
      <c r="K629" s="12"/>
      <c r="L629" s="3"/>
      <c r="M629" s="10"/>
    </row>
    <row r="630" spans="1:13" x14ac:dyDescent="0.35">
      <c r="A630" s="17"/>
      <c r="B630" s="16"/>
      <c r="C630"/>
      <c r="D630" s="16"/>
      <c r="E630"/>
      <c r="F630" s="16"/>
      <c r="I630" s="15"/>
      <c r="J630" s="1"/>
      <c r="K630" s="12"/>
      <c r="L630" s="3"/>
      <c r="M630" s="10"/>
    </row>
    <row r="631" spans="1:13" x14ac:dyDescent="0.35">
      <c r="A631" s="17"/>
      <c r="B631" s="16"/>
      <c r="C631"/>
      <c r="D631" s="16"/>
      <c r="E631"/>
      <c r="F631" s="16"/>
      <c r="I631" s="15"/>
      <c r="J631" s="1"/>
      <c r="K631" s="12"/>
      <c r="L631" s="3"/>
      <c r="M631" s="10"/>
    </row>
    <row r="632" spans="1:13" x14ac:dyDescent="0.35">
      <c r="A632" s="17"/>
      <c r="B632" s="16"/>
      <c r="C632"/>
      <c r="D632" s="16"/>
      <c r="E632"/>
      <c r="F632" s="16"/>
      <c r="I632" s="15"/>
      <c r="J632" s="1"/>
      <c r="K632" s="12"/>
      <c r="L632" s="3"/>
      <c r="M632" s="10"/>
    </row>
    <row r="633" spans="1:13" x14ac:dyDescent="0.35">
      <c r="A633" s="17"/>
      <c r="B633" s="16"/>
      <c r="C633"/>
      <c r="D633" s="16"/>
      <c r="E633"/>
      <c r="F633" s="16"/>
      <c r="I633" s="15"/>
      <c r="J633" s="1"/>
      <c r="K633" s="12"/>
      <c r="L633" s="3"/>
      <c r="M633" s="10"/>
    </row>
    <row r="634" spans="1:13" x14ac:dyDescent="0.35">
      <c r="A634" s="17"/>
      <c r="B634" s="16"/>
      <c r="C634"/>
      <c r="D634" s="16"/>
      <c r="E634"/>
      <c r="F634" s="16"/>
      <c r="I634" s="15"/>
      <c r="J634" s="1"/>
      <c r="K634" s="12"/>
      <c r="L634" s="3"/>
      <c r="M634" s="10"/>
    </row>
    <row r="635" spans="1:13" x14ac:dyDescent="0.35">
      <c r="A635" s="17"/>
      <c r="B635" s="16"/>
      <c r="C635"/>
      <c r="D635" s="16"/>
      <c r="E635"/>
      <c r="F635" s="16"/>
      <c r="I635" s="15"/>
      <c r="J635" s="1"/>
      <c r="K635" s="12"/>
      <c r="L635" s="3"/>
      <c r="M635" s="10"/>
    </row>
    <row r="636" spans="1:13" x14ac:dyDescent="0.35">
      <c r="A636" s="17"/>
      <c r="B636" s="16"/>
      <c r="C636"/>
      <c r="D636" s="16"/>
      <c r="E636"/>
      <c r="F636" s="16"/>
      <c r="I636" s="15"/>
      <c r="J636" s="1"/>
      <c r="K636" s="12"/>
      <c r="L636" s="3"/>
      <c r="M636" s="10"/>
    </row>
    <row r="637" spans="1:13" x14ac:dyDescent="0.35">
      <c r="A637" s="17"/>
      <c r="B637" s="16"/>
      <c r="C637"/>
      <c r="D637" s="16"/>
      <c r="E637"/>
      <c r="F637" s="16"/>
      <c r="I637" s="15"/>
      <c r="J637" s="1"/>
      <c r="K637" s="12"/>
      <c r="L637" s="3"/>
      <c r="M637" s="10"/>
    </row>
    <row r="638" spans="1:13" x14ac:dyDescent="0.35">
      <c r="A638" s="17"/>
      <c r="B638" s="16"/>
      <c r="C638"/>
      <c r="D638" s="16"/>
      <c r="E638"/>
      <c r="F638" s="16"/>
      <c r="I638" s="15"/>
      <c r="J638" s="1"/>
      <c r="K638" s="12"/>
      <c r="L638" s="3"/>
      <c r="M638" s="10"/>
    </row>
    <row r="639" spans="1:13" x14ac:dyDescent="0.35">
      <c r="A639" s="17"/>
      <c r="B639" s="16"/>
      <c r="C639"/>
      <c r="D639" s="16"/>
      <c r="E639"/>
      <c r="F639" s="16"/>
      <c r="I639" s="15"/>
      <c r="J639" s="1"/>
      <c r="K639" s="12"/>
      <c r="L639" s="3"/>
      <c r="M639" s="10"/>
    </row>
    <row r="640" spans="1:13" x14ac:dyDescent="0.35">
      <c r="A640" s="17"/>
      <c r="B640" s="16"/>
      <c r="C640"/>
      <c r="D640" s="16"/>
      <c r="E640"/>
      <c r="F640" s="16"/>
      <c r="I640" s="15"/>
      <c r="J640" s="1"/>
      <c r="K640" s="12"/>
      <c r="L640" s="3"/>
      <c r="M640" s="10"/>
    </row>
    <row r="641" spans="1:13" x14ac:dyDescent="0.35">
      <c r="A641" s="17"/>
      <c r="B641" s="16"/>
      <c r="C641"/>
      <c r="D641" s="16"/>
      <c r="E641"/>
      <c r="F641" s="16"/>
      <c r="I641" s="15"/>
      <c r="J641" s="1"/>
      <c r="K641" s="12"/>
      <c r="L641" s="3"/>
      <c r="M641" s="10"/>
    </row>
    <row r="642" spans="1:13" x14ac:dyDescent="0.35">
      <c r="A642" s="17"/>
      <c r="B642" s="16"/>
      <c r="C642"/>
      <c r="D642" s="16"/>
      <c r="E642"/>
      <c r="F642" s="16"/>
      <c r="I642" s="15"/>
      <c r="J642" s="1"/>
      <c r="K642" s="12"/>
      <c r="L642" s="3"/>
      <c r="M642" s="10"/>
    </row>
    <row r="643" spans="1:13" x14ac:dyDescent="0.35">
      <c r="A643" s="17"/>
      <c r="B643" s="16"/>
      <c r="C643"/>
      <c r="D643" s="16"/>
      <c r="E643"/>
      <c r="F643" s="16"/>
      <c r="I643" s="15"/>
      <c r="J643" s="1"/>
      <c r="K643" s="12"/>
      <c r="L643" s="3"/>
      <c r="M643" s="10"/>
    </row>
    <row r="644" spans="1:13" x14ac:dyDescent="0.35">
      <c r="A644" s="17"/>
      <c r="B644" s="16"/>
      <c r="C644"/>
      <c r="D644" s="16"/>
      <c r="E644"/>
      <c r="F644" s="16"/>
      <c r="I644" s="15"/>
      <c r="J644" s="1"/>
      <c r="K644" s="12"/>
      <c r="L644" s="3"/>
      <c r="M644" s="10"/>
    </row>
    <row r="645" spans="1:13" x14ac:dyDescent="0.35">
      <c r="A645" s="17"/>
      <c r="B645" s="16"/>
      <c r="C645"/>
      <c r="D645" s="16"/>
      <c r="E645"/>
      <c r="F645" s="16"/>
      <c r="I645" s="15"/>
      <c r="J645" s="1"/>
      <c r="K645" s="12"/>
      <c r="L645" s="3"/>
      <c r="M645" s="10"/>
    </row>
    <row r="646" spans="1:13" x14ac:dyDescent="0.35">
      <c r="A646" s="17"/>
      <c r="B646" s="16"/>
      <c r="C646"/>
      <c r="D646" s="16"/>
      <c r="E646"/>
      <c r="F646" s="16"/>
      <c r="I646" s="15"/>
      <c r="J646" s="1"/>
      <c r="K646" s="12"/>
      <c r="L646" s="3"/>
      <c r="M646" s="10"/>
    </row>
    <row r="647" spans="1:13" x14ac:dyDescent="0.35">
      <c r="A647" s="17"/>
      <c r="B647" s="16"/>
      <c r="C647"/>
      <c r="D647" s="16"/>
      <c r="E647"/>
      <c r="F647" s="16"/>
      <c r="I647" s="15"/>
      <c r="J647" s="1"/>
      <c r="K647" s="12"/>
      <c r="L647" s="3"/>
      <c r="M647" s="10"/>
    </row>
    <row r="648" spans="1:13" x14ac:dyDescent="0.35">
      <c r="A648" s="17"/>
      <c r="B648" s="16"/>
      <c r="C648"/>
      <c r="D648" s="16"/>
      <c r="E648"/>
      <c r="F648" s="16"/>
      <c r="I648" s="15"/>
      <c r="J648" s="1"/>
      <c r="K648" s="12"/>
      <c r="L648" s="3"/>
      <c r="M648" s="10"/>
    </row>
    <row r="649" spans="1:13" x14ac:dyDescent="0.35">
      <c r="A649" s="17"/>
      <c r="B649" s="16"/>
      <c r="C649"/>
      <c r="D649" s="16"/>
      <c r="E649"/>
      <c r="F649" s="16"/>
      <c r="I649" s="15"/>
      <c r="J649" s="1"/>
      <c r="K649" s="12"/>
      <c r="L649" s="3"/>
      <c r="M649" s="10"/>
    </row>
    <row r="650" spans="1:13" x14ac:dyDescent="0.35">
      <c r="A650" s="17"/>
      <c r="B650" s="16"/>
      <c r="C650"/>
      <c r="D650" s="16"/>
      <c r="E650"/>
      <c r="F650" s="16"/>
      <c r="I650" s="15"/>
      <c r="J650" s="1"/>
      <c r="K650" s="12"/>
      <c r="L650" s="3"/>
      <c r="M650" s="10"/>
    </row>
    <row r="651" spans="1:13" x14ac:dyDescent="0.35">
      <c r="A651" s="17"/>
      <c r="B651" s="16"/>
      <c r="C651"/>
      <c r="D651" s="16"/>
      <c r="E651"/>
      <c r="F651" s="16"/>
      <c r="I651" s="15"/>
      <c r="J651" s="1"/>
      <c r="K651" s="12"/>
      <c r="L651" s="3"/>
      <c r="M651" s="10"/>
    </row>
    <row r="652" spans="1:13" x14ac:dyDescent="0.35">
      <c r="A652" s="17"/>
      <c r="B652" s="16"/>
      <c r="C652"/>
      <c r="D652" s="16"/>
      <c r="E652"/>
      <c r="F652" s="16"/>
      <c r="I652" s="15"/>
      <c r="J652" s="1"/>
      <c r="K652" s="12"/>
      <c r="L652" s="3"/>
      <c r="M652" s="10"/>
    </row>
    <row r="653" spans="1:13" x14ac:dyDescent="0.35">
      <c r="A653" s="17"/>
      <c r="B653" s="16"/>
      <c r="C653"/>
      <c r="D653" s="16"/>
      <c r="E653"/>
      <c r="F653" s="16"/>
      <c r="I653" s="15"/>
      <c r="J653" s="1"/>
      <c r="K653" s="12"/>
      <c r="L653" s="3"/>
      <c r="M653" s="10"/>
    </row>
    <row r="654" spans="1:13" x14ac:dyDescent="0.35">
      <c r="A654" s="17"/>
      <c r="B654" s="16"/>
      <c r="C654"/>
      <c r="D654" s="16"/>
      <c r="E654"/>
      <c r="F654" s="16"/>
      <c r="I654" s="15"/>
      <c r="J654" s="1"/>
      <c r="K654" s="12"/>
      <c r="L654" s="3"/>
      <c r="M654" s="10"/>
    </row>
    <row r="655" spans="1:13" x14ac:dyDescent="0.35">
      <c r="A655" s="17"/>
      <c r="B655" s="16"/>
      <c r="C655"/>
      <c r="D655" s="16"/>
      <c r="E655"/>
      <c r="F655" s="16"/>
      <c r="I655" s="15"/>
      <c r="J655" s="1"/>
      <c r="K655" s="12"/>
      <c r="L655" s="3"/>
      <c r="M655" s="10"/>
    </row>
    <row r="656" spans="1:13" x14ac:dyDescent="0.35">
      <c r="A656" s="17"/>
      <c r="B656" s="16"/>
      <c r="C656"/>
      <c r="D656" s="16"/>
      <c r="E656"/>
      <c r="F656" s="16"/>
      <c r="I656" s="15"/>
      <c r="J656" s="1"/>
      <c r="K656" s="12"/>
      <c r="L656" s="3"/>
      <c r="M656" s="10"/>
    </row>
    <row r="657" spans="1:13" x14ac:dyDescent="0.35">
      <c r="A657" s="17"/>
      <c r="B657" s="16"/>
      <c r="C657"/>
      <c r="D657" s="16"/>
      <c r="E657"/>
      <c r="F657" s="16"/>
      <c r="I657" s="15"/>
      <c r="J657" s="1"/>
      <c r="K657" s="12"/>
      <c r="L657" s="3"/>
      <c r="M657" s="10"/>
    </row>
    <row r="658" spans="1:13" x14ac:dyDescent="0.35">
      <c r="A658" s="17"/>
      <c r="B658" s="16"/>
      <c r="C658"/>
      <c r="D658" s="16"/>
      <c r="E658"/>
      <c r="F658" s="16"/>
      <c r="I658" s="15"/>
      <c r="J658" s="1"/>
      <c r="K658" s="12"/>
      <c r="L658" s="3"/>
      <c r="M658" s="10"/>
    </row>
    <row r="659" spans="1:13" x14ac:dyDescent="0.35">
      <c r="A659" s="17"/>
      <c r="B659" s="16"/>
      <c r="C659"/>
      <c r="D659" s="16"/>
      <c r="E659"/>
      <c r="F659" s="16"/>
      <c r="I659" s="15"/>
      <c r="J659" s="1"/>
      <c r="K659" s="12"/>
      <c r="L659" s="3"/>
      <c r="M659" s="10"/>
    </row>
    <row r="660" spans="1:13" x14ac:dyDescent="0.35">
      <c r="A660" s="17"/>
      <c r="B660" s="16"/>
      <c r="C660"/>
      <c r="D660" s="16"/>
      <c r="E660"/>
      <c r="F660" s="16"/>
      <c r="I660" s="15"/>
      <c r="J660" s="1"/>
      <c r="K660" s="12"/>
      <c r="L660" s="3"/>
      <c r="M660" s="10"/>
    </row>
    <row r="661" spans="1:13" x14ac:dyDescent="0.35">
      <c r="A661" s="17"/>
      <c r="B661" s="16"/>
      <c r="C661"/>
      <c r="D661" s="16"/>
      <c r="E661"/>
      <c r="F661" s="16"/>
      <c r="I661" s="15"/>
      <c r="J661" s="1"/>
      <c r="K661" s="12"/>
      <c r="L661" s="3"/>
      <c r="M661" s="10"/>
    </row>
    <row r="662" spans="1:13" x14ac:dyDescent="0.35">
      <c r="A662" s="17"/>
      <c r="B662" s="16"/>
      <c r="C662"/>
      <c r="D662" s="16"/>
      <c r="E662"/>
      <c r="F662" s="16"/>
      <c r="I662" s="15"/>
      <c r="J662" s="1"/>
      <c r="K662" s="12"/>
      <c r="L662" s="3"/>
      <c r="M662" s="10"/>
    </row>
    <row r="663" spans="1:13" x14ac:dyDescent="0.35">
      <c r="A663" s="17"/>
      <c r="B663" s="16"/>
      <c r="C663"/>
      <c r="D663" s="16"/>
      <c r="E663"/>
      <c r="F663" s="16"/>
      <c r="I663" s="15"/>
      <c r="J663" s="1"/>
      <c r="K663" s="12"/>
      <c r="L663" s="3"/>
      <c r="M663" s="10"/>
    </row>
    <row r="664" spans="1:13" x14ac:dyDescent="0.35">
      <c r="A664" s="17"/>
      <c r="B664" s="16"/>
      <c r="C664"/>
      <c r="D664" s="16"/>
      <c r="E664"/>
      <c r="F664" s="16"/>
      <c r="I664" s="15"/>
      <c r="J664" s="1"/>
      <c r="K664" s="12"/>
      <c r="L664" s="3"/>
      <c r="M664" s="10"/>
    </row>
    <row r="665" spans="1:13" x14ac:dyDescent="0.35">
      <c r="A665" s="17"/>
      <c r="B665" s="16"/>
      <c r="C665"/>
      <c r="D665" s="16"/>
      <c r="E665"/>
      <c r="F665" s="16"/>
      <c r="I665" s="15"/>
      <c r="J665" s="1"/>
      <c r="K665" s="12"/>
      <c r="L665" s="3"/>
      <c r="M665" s="10"/>
    </row>
    <row r="666" spans="1:13" x14ac:dyDescent="0.35">
      <c r="A666" s="17"/>
      <c r="B666" s="16"/>
      <c r="C666"/>
      <c r="D666" s="16"/>
      <c r="E666"/>
      <c r="F666" s="16"/>
      <c r="I666" s="15"/>
      <c r="J666" s="1"/>
      <c r="K666" s="12"/>
      <c r="L666" s="3"/>
      <c r="M666" s="10"/>
    </row>
    <row r="667" spans="1:13" x14ac:dyDescent="0.35">
      <c r="A667" s="17"/>
      <c r="B667" s="16"/>
      <c r="C667"/>
      <c r="D667" s="16"/>
      <c r="E667"/>
      <c r="F667" s="16"/>
      <c r="I667" s="15"/>
      <c r="J667" s="1"/>
      <c r="K667" s="12"/>
      <c r="L667" s="3"/>
      <c r="M667" s="10"/>
    </row>
    <row r="668" spans="1:13" x14ac:dyDescent="0.35">
      <c r="A668" s="17"/>
      <c r="B668" s="16"/>
      <c r="C668"/>
      <c r="D668" s="16"/>
      <c r="E668"/>
      <c r="F668" s="16"/>
      <c r="I668" s="15"/>
      <c r="J668" s="1"/>
      <c r="K668" s="12"/>
      <c r="L668" s="3"/>
      <c r="M668" s="10"/>
    </row>
    <row r="669" spans="1:13" x14ac:dyDescent="0.35">
      <c r="A669" s="17"/>
      <c r="B669" s="16"/>
      <c r="C669"/>
      <c r="D669" s="16"/>
      <c r="E669"/>
      <c r="F669" s="16"/>
      <c r="I669" s="15"/>
      <c r="J669" s="1"/>
      <c r="K669" s="12"/>
      <c r="L669" s="3"/>
      <c r="M669" s="10"/>
    </row>
    <row r="670" spans="1:13" x14ac:dyDescent="0.35">
      <c r="A670" s="17"/>
      <c r="B670" s="16"/>
      <c r="C670"/>
      <c r="D670" s="16"/>
      <c r="E670"/>
      <c r="F670" s="16"/>
      <c r="I670" s="15"/>
      <c r="J670" s="1"/>
      <c r="K670" s="12"/>
      <c r="L670" s="3"/>
      <c r="M670" s="10"/>
    </row>
    <row r="671" spans="1:13" x14ac:dyDescent="0.35">
      <c r="A671" s="17"/>
      <c r="B671" s="16"/>
      <c r="C671"/>
      <c r="D671" s="16"/>
      <c r="E671"/>
      <c r="F671" s="16"/>
      <c r="I671" s="15"/>
      <c r="J671" s="1"/>
      <c r="K671" s="12"/>
      <c r="L671" s="3"/>
      <c r="M671" s="10"/>
    </row>
    <row r="672" spans="1:13" x14ac:dyDescent="0.35">
      <c r="A672" s="17"/>
      <c r="B672" s="16"/>
      <c r="C672"/>
      <c r="D672" s="16"/>
      <c r="E672"/>
      <c r="F672" s="16"/>
      <c r="I672" s="15"/>
      <c r="J672" s="1"/>
      <c r="K672" s="12"/>
      <c r="L672" s="3"/>
      <c r="M672" s="10"/>
    </row>
    <row r="673" spans="1:13" x14ac:dyDescent="0.35">
      <c r="A673" s="17"/>
      <c r="B673" s="16"/>
      <c r="C673"/>
      <c r="D673" s="16"/>
      <c r="E673"/>
      <c r="F673" s="16"/>
      <c r="I673" s="15"/>
      <c r="J673" s="1"/>
      <c r="K673" s="12"/>
      <c r="L673" s="3"/>
      <c r="M673" s="10"/>
    </row>
    <row r="674" spans="1:13" x14ac:dyDescent="0.35">
      <c r="A674" s="17"/>
      <c r="B674" s="16"/>
      <c r="C674"/>
      <c r="D674" s="16"/>
      <c r="E674"/>
      <c r="F674" s="16"/>
      <c r="I674" s="15"/>
      <c r="J674" s="1"/>
      <c r="K674" s="12"/>
      <c r="L674" s="3"/>
      <c r="M674" s="10"/>
    </row>
    <row r="675" spans="1:13" x14ac:dyDescent="0.35">
      <c r="A675" s="17"/>
      <c r="B675" s="16"/>
      <c r="C675"/>
      <c r="D675" s="16"/>
      <c r="E675"/>
      <c r="F675" s="16"/>
      <c r="I675" s="15"/>
      <c r="J675" s="1"/>
      <c r="K675" s="12"/>
      <c r="L675" s="3"/>
      <c r="M675" s="10"/>
    </row>
    <row r="676" spans="1:13" x14ac:dyDescent="0.35">
      <c r="A676" s="17"/>
      <c r="B676" s="16"/>
      <c r="C676"/>
      <c r="D676" s="16"/>
      <c r="E676"/>
      <c r="F676" s="16"/>
      <c r="I676" s="15"/>
      <c r="J676" s="1"/>
      <c r="K676" s="12"/>
      <c r="L676" s="3"/>
      <c r="M676" s="10"/>
    </row>
    <row r="677" spans="1:13" x14ac:dyDescent="0.35">
      <c r="A677" s="17"/>
      <c r="B677" s="16"/>
      <c r="C677"/>
      <c r="D677" s="16"/>
      <c r="E677"/>
      <c r="F677" s="16"/>
      <c r="I677" s="15"/>
      <c r="J677" s="1"/>
      <c r="K677" s="12"/>
      <c r="L677" s="3"/>
      <c r="M677" s="10"/>
    </row>
    <row r="678" spans="1:13" x14ac:dyDescent="0.35">
      <c r="A678" s="17"/>
      <c r="B678" s="16"/>
      <c r="C678"/>
      <c r="D678" s="16"/>
      <c r="E678"/>
      <c r="F678" s="16"/>
      <c r="I678" s="15"/>
      <c r="J678" s="1"/>
      <c r="K678" s="12"/>
      <c r="L678" s="3"/>
      <c r="M678" s="10"/>
    </row>
    <row r="679" spans="1:13" x14ac:dyDescent="0.35">
      <c r="A679" s="17"/>
      <c r="B679" s="16"/>
      <c r="C679"/>
      <c r="D679" s="16"/>
      <c r="E679"/>
      <c r="F679" s="16"/>
      <c r="I679" s="15"/>
      <c r="J679" s="1"/>
      <c r="K679" s="12"/>
      <c r="L679" s="3"/>
      <c r="M679" s="10"/>
    </row>
    <row r="680" spans="1:13" x14ac:dyDescent="0.35">
      <c r="A680" s="17"/>
      <c r="B680" s="16"/>
      <c r="C680"/>
      <c r="D680" s="16"/>
      <c r="E680"/>
      <c r="F680" s="16"/>
      <c r="I680" s="15"/>
      <c r="J680" s="1"/>
      <c r="K680" s="12"/>
      <c r="L680" s="3"/>
      <c r="M680" s="10"/>
    </row>
    <row r="681" spans="1:13" x14ac:dyDescent="0.35">
      <c r="A681" s="17"/>
      <c r="B681" s="16"/>
      <c r="C681"/>
      <c r="D681" s="16"/>
      <c r="E681"/>
      <c r="F681" s="16"/>
      <c r="I681" s="15"/>
      <c r="J681" s="1"/>
      <c r="K681" s="12"/>
      <c r="L681" s="3"/>
      <c r="M681" s="10"/>
    </row>
    <row r="682" spans="1:13" x14ac:dyDescent="0.35">
      <c r="A682" s="17"/>
      <c r="B682" s="16"/>
      <c r="C682"/>
      <c r="D682" s="16"/>
      <c r="E682"/>
      <c r="F682" s="16"/>
      <c r="I682" s="15"/>
      <c r="J682" s="1"/>
      <c r="K682" s="12"/>
      <c r="L682" s="3"/>
      <c r="M682" s="10"/>
    </row>
    <row r="683" spans="1:13" x14ac:dyDescent="0.35">
      <c r="A683" s="17"/>
      <c r="B683" s="16"/>
      <c r="C683"/>
      <c r="D683" s="16"/>
      <c r="E683"/>
      <c r="F683" s="16"/>
      <c r="I683" s="15"/>
      <c r="J683" s="1"/>
      <c r="K683" s="12"/>
      <c r="L683" s="3"/>
      <c r="M683" s="10"/>
    </row>
    <row r="684" spans="1:13" x14ac:dyDescent="0.35">
      <c r="A684" s="17"/>
      <c r="B684" s="16"/>
      <c r="C684"/>
      <c r="D684" s="16"/>
      <c r="E684"/>
      <c r="F684" s="16"/>
      <c r="I684" s="15"/>
      <c r="J684" s="1"/>
      <c r="K684" s="12"/>
      <c r="L684" s="3"/>
      <c r="M684" s="10"/>
    </row>
    <row r="685" spans="1:13" x14ac:dyDescent="0.35">
      <c r="A685" s="17"/>
      <c r="B685" s="16"/>
      <c r="C685"/>
      <c r="D685" s="16"/>
      <c r="E685"/>
      <c r="F685" s="16"/>
      <c r="I685" s="15"/>
      <c r="J685" s="1"/>
      <c r="K685" s="12"/>
      <c r="L685" s="3"/>
      <c r="M685" s="10"/>
    </row>
    <row r="686" spans="1:13" x14ac:dyDescent="0.35">
      <c r="A686" s="17"/>
      <c r="B686" s="16"/>
      <c r="C686"/>
      <c r="D686" s="16"/>
      <c r="E686"/>
      <c r="F686" s="16"/>
      <c r="I686" s="15"/>
      <c r="J686" s="1"/>
      <c r="K686" s="12"/>
      <c r="L686" s="3"/>
      <c r="M686" s="10"/>
    </row>
    <row r="687" spans="1:13" x14ac:dyDescent="0.35">
      <c r="A687" s="17"/>
      <c r="B687" s="16"/>
      <c r="C687"/>
      <c r="D687" s="16"/>
      <c r="E687"/>
      <c r="F687" s="16"/>
      <c r="I687" s="15"/>
      <c r="J687" s="1"/>
      <c r="K687" s="12"/>
      <c r="L687" s="3"/>
      <c r="M687" s="10"/>
    </row>
    <row r="688" spans="1:13" x14ac:dyDescent="0.35">
      <c r="A688" s="17"/>
      <c r="B688" s="16"/>
      <c r="C688"/>
      <c r="D688" s="16"/>
      <c r="E688"/>
      <c r="F688" s="16"/>
      <c r="I688" s="15"/>
      <c r="J688" s="1"/>
      <c r="K688" s="12"/>
      <c r="L688" s="3"/>
      <c r="M688" s="10"/>
    </row>
    <row r="689" spans="1:13" x14ac:dyDescent="0.35">
      <c r="A689" s="17"/>
      <c r="B689" s="16"/>
      <c r="C689"/>
      <c r="D689" s="16"/>
      <c r="E689"/>
      <c r="F689" s="16"/>
      <c r="I689" s="15"/>
      <c r="J689" s="1"/>
      <c r="K689" s="12"/>
      <c r="L689" s="3"/>
      <c r="M689" s="10"/>
    </row>
    <row r="690" spans="1:13" x14ac:dyDescent="0.35">
      <c r="A690" s="17"/>
      <c r="B690" s="16"/>
      <c r="C690"/>
      <c r="D690" s="16"/>
      <c r="E690"/>
      <c r="F690" s="16"/>
      <c r="I690" s="15"/>
      <c r="J690" s="1"/>
      <c r="K690" s="12"/>
      <c r="L690" s="3"/>
      <c r="M690" s="10"/>
    </row>
    <row r="691" spans="1:13" x14ac:dyDescent="0.35">
      <c r="A691" s="17"/>
      <c r="B691" s="16"/>
      <c r="C691"/>
      <c r="D691" s="16"/>
      <c r="E691"/>
      <c r="F691" s="16"/>
      <c r="I691" s="15"/>
      <c r="J691" s="1"/>
      <c r="K691" s="12"/>
      <c r="L691" s="3"/>
      <c r="M691" s="10"/>
    </row>
    <row r="692" spans="1:13" x14ac:dyDescent="0.35">
      <c r="A692" s="17"/>
      <c r="B692" s="16"/>
      <c r="C692"/>
      <c r="D692" s="16"/>
      <c r="E692"/>
      <c r="F692" s="16"/>
      <c r="I692" s="15"/>
      <c r="J692" s="1"/>
      <c r="K692" s="12"/>
      <c r="L692" s="3"/>
      <c r="M692" s="10"/>
    </row>
    <row r="693" spans="1:13" x14ac:dyDescent="0.35">
      <c r="A693" s="17"/>
      <c r="B693" s="16"/>
      <c r="C693"/>
      <c r="D693" s="16"/>
      <c r="E693"/>
      <c r="F693" s="16"/>
      <c r="I693" s="15"/>
      <c r="J693" s="1"/>
      <c r="K693" s="12"/>
      <c r="L693" s="3"/>
      <c r="M693" s="10"/>
    </row>
    <row r="694" spans="1:13" x14ac:dyDescent="0.35">
      <c r="A694" s="17"/>
      <c r="B694" s="16"/>
      <c r="C694"/>
      <c r="D694" s="16"/>
      <c r="E694"/>
      <c r="F694" s="16"/>
      <c r="I694" s="15"/>
      <c r="J694" s="1"/>
      <c r="K694" s="12"/>
      <c r="L694" s="3"/>
      <c r="M694" s="10"/>
    </row>
    <row r="695" spans="1:13" x14ac:dyDescent="0.35">
      <c r="A695" s="17"/>
      <c r="B695" s="16"/>
      <c r="C695"/>
      <c r="D695" s="16"/>
      <c r="E695"/>
      <c r="F695" s="16"/>
      <c r="I695" s="15"/>
      <c r="J695" s="1"/>
      <c r="K695" s="12"/>
      <c r="L695" s="3"/>
      <c r="M695" s="10"/>
    </row>
    <row r="696" spans="1:13" x14ac:dyDescent="0.35">
      <c r="A696" s="17"/>
      <c r="B696" s="16"/>
      <c r="C696"/>
      <c r="D696" s="16"/>
      <c r="E696"/>
      <c r="F696" s="16"/>
      <c r="I696" s="15"/>
      <c r="J696" s="1"/>
      <c r="K696" s="12"/>
      <c r="L696" s="3"/>
      <c r="M696" s="10"/>
    </row>
    <row r="697" spans="1:13" x14ac:dyDescent="0.35">
      <c r="A697" s="17"/>
      <c r="B697" s="16"/>
      <c r="C697"/>
      <c r="D697" s="16"/>
      <c r="E697"/>
      <c r="F697" s="16"/>
      <c r="I697" s="15"/>
      <c r="J697" s="1"/>
      <c r="K697" s="12"/>
      <c r="L697" s="3"/>
      <c r="M697" s="10"/>
    </row>
    <row r="698" spans="1:13" x14ac:dyDescent="0.35">
      <c r="A698" s="17"/>
      <c r="B698" s="16"/>
      <c r="C698"/>
      <c r="D698" s="16"/>
      <c r="E698"/>
      <c r="F698" s="16"/>
      <c r="I698" s="15"/>
      <c r="J698" s="1"/>
      <c r="K698" s="12"/>
      <c r="L698" s="3"/>
      <c r="M698" s="10"/>
    </row>
    <row r="699" spans="1:13" x14ac:dyDescent="0.35">
      <c r="A699" s="17"/>
      <c r="B699" s="16"/>
      <c r="C699"/>
      <c r="D699" s="16"/>
      <c r="E699"/>
      <c r="F699" s="16"/>
      <c r="I699" s="15"/>
      <c r="J699" s="1"/>
      <c r="K699" s="12"/>
      <c r="L699" s="3"/>
      <c r="M699" s="10"/>
    </row>
    <row r="700" spans="1:13" x14ac:dyDescent="0.35">
      <c r="A700" s="17"/>
      <c r="B700" s="16"/>
      <c r="C700"/>
      <c r="D700" s="16"/>
      <c r="E700"/>
      <c r="F700" s="16"/>
      <c r="I700" s="15"/>
      <c r="J700" s="1"/>
      <c r="K700" s="12"/>
      <c r="L700" s="3"/>
      <c r="M700" s="10"/>
    </row>
    <row r="701" spans="1:13" x14ac:dyDescent="0.35">
      <c r="A701" s="17"/>
      <c r="B701" s="16"/>
      <c r="C701"/>
      <c r="D701" s="16"/>
      <c r="E701"/>
      <c r="F701" s="16"/>
      <c r="I701" s="15"/>
      <c r="J701" s="1"/>
      <c r="K701" s="12"/>
      <c r="L701" s="3"/>
      <c r="M701" s="10"/>
    </row>
    <row r="702" spans="1:13" x14ac:dyDescent="0.35">
      <c r="A702" s="17"/>
      <c r="B702" s="16"/>
      <c r="C702"/>
      <c r="D702" s="16"/>
      <c r="E702"/>
      <c r="F702" s="16"/>
      <c r="I702" s="15"/>
      <c r="J702" s="1"/>
      <c r="K702" s="12"/>
      <c r="L702" s="3"/>
      <c r="M702" s="10"/>
    </row>
    <row r="703" spans="1:13" x14ac:dyDescent="0.35">
      <c r="A703" s="17"/>
      <c r="B703" s="16"/>
      <c r="C703"/>
      <c r="D703" s="16"/>
      <c r="E703"/>
      <c r="F703" s="16"/>
      <c r="I703" s="15"/>
      <c r="J703" s="1"/>
      <c r="K703" s="12"/>
      <c r="L703" s="3"/>
      <c r="M703" s="10"/>
    </row>
    <row r="704" spans="1:13" x14ac:dyDescent="0.35">
      <c r="A704" s="17"/>
      <c r="B704" s="16"/>
      <c r="C704"/>
      <c r="D704" s="16"/>
      <c r="E704"/>
      <c r="F704" s="16"/>
      <c r="I704" s="15"/>
      <c r="J704" s="1"/>
      <c r="K704" s="12"/>
      <c r="L704" s="3"/>
      <c r="M704" s="10"/>
    </row>
    <row r="705" spans="1:13" x14ac:dyDescent="0.35">
      <c r="A705" s="17"/>
      <c r="B705" s="16"/>
      <c r="C705"/>
      <c r="D705" s="16"/>
      <c r="E705"/>
      <c r="F705" s="16"/>
      <c r="I705" s="15"/>
      <c r="J705" s="1"/>
      <c r="K705" s="12"/>
      <c r="L705" s="3"/>
      <c r="M705" s="10"/>
    </row>
    <row r="706" spans="1:13" x14ac:dyDescent="0.35">
      <c r="A706" s="17"/>
      <c r="B706" s="16"/>
      <c r="C706"/>
      <c r="D706" s="16"/>
      <c r="E706"/>
      <c r="F706" s="16"/>
      <c r="I706" s="15"/>
      <c r="J706" s="1"/>
      <c r="K706" s="12"/>
      <c r="L706" s="3"/>
      <c r="M706" s="10"/>
    </row>
    <row r="707" spans="1:13" x14ac:dyDescent="0.35">
      <c r="A707" s="17"/>
      <c r="B707" s="16"/>
      <c r="C707"/>
      <c r="D707" s="16"/>
      <c r="E707"/>
      <c r="F707" s="16"/>
      <c r="I707" s="15"/>
      <c r="J707" s="1"/>
      <c r="K707" s="12"/>
      <c r="L707" s="3"/>
      <c r="M707" s="10"/>
    </row>
    <row r="708" spans="1:13" x14ac:dyDescent="0.35">
      <c r="A708" s="17"/>
      <c r="B708" s="16"/>
      <c r="C708"/>
      <c r="D708" s="16"/>
      <c r="E708"/>
      <c r="F708" s="16"/>
      <c r="I708" s="15"/>
      <c r="J708" s="1"/>
      <c r="K708" s="12"/>
      <c r="L708" s="3"/>
      <c r="M708" s="10"/>
    </row>
    <row r="709" spans="1:13" x14ac:dyDescent="0.35">
      <c r="A709" s="17"/>
      <c r="B709" s="16"/>
      <c r="C709"/>
      <c r="D709" s="16"/>
      <c r="E709"/>
      <c r="F709" s="16"/>
      <c r="I709" s="15"/>
      <c r="J709" s="1"/>
      <c r="K709" s="12"/>
      <c r="L709" s="3"/>
      <c r="M709" s="10"/>
    </row>
    <row r="710" spans="1:13" x14ac:dyDescent="0.35">
      <c r="A710" s="17"/>
      <c r="B710" s="16"/>
      <c r="C710"/>
      <c r="D710" s="16"/>
      <c r="E710"/>
      <c r="F710" s="16"/>
      <c r="I710" s="15"/>
      <c r="J710" s="1"/>
      <c r="K710" s="12"/>
      <c r="L710" s="3"/>
      <c r="M710" s="10"/>
    </row>
    <row r="711" spans="1:13" x14ac:dyDescent="0.35">
      <c r="A711" s="17"/>
      <c r="B711" s="16"/>
      <c r="C711"/>
      <c r="D711" s="16"/>
      <c r="E711"/>
      <c r="F711" s="16"/>
      <c r="I711" s="15"/>
      <c r="J711" s="1"/>
      <c r="K711" s="12"/>
      <c r="L711" s="3"/>
      <c r="M711" s="10"/>
    </row>
    <row r="712" spans="1:13" x14ac:dyDescent="0.35">
      <c r="A712" s="17"/>
      <c r="B712" s="16"/>
      <c r="C712"/>
      <c r="D712" s="16"/>
      <c r="E712"/>
      <c r="F712" s="16"/>
      <c r="I712" s="15"/>
      <c r="J712" s="1"/>
      <c r="K712" s="12"/>
      <c r="L712" s="3"/>
      <c r="M712" s="10"/>
    </row>
    <row r="713" spans="1:13" x14ac:dyDescent="0.35">
      <c r="A713" s="17"/>
      <c r="B713" s="16"/>
      <c r="C713"/>
      <c r="D713" s="16"/>
      <c r="E713"/>
      <c r="F713" s="16"/>
      <c r="I713" s="15"/>
      <c r="J713" s="1"/>
      <c r="K713" s="12"/>
      <c r="L713" s="3"/>
      <c r="M713" s="10"/>
    </row>
    <row r="714" spans="1:13" x14ac:dyDescent="0.35">
      <c r="A714" s="17"/>
      <c r="B714" s="16"/>
      <c r="C714"/>
      <c r="D714" s="16"/>
      <c r="E714"/>
      <c r="F714" s="16"/>
      <c r="I714" s="15"/>
      <c r="J714" s="1"/>
      <c r="K714" s="12"/>
      <c r="L714" s="3"/>
      <c r="M714" s="10"/>
    </row>
    <row r="715" spans="1:13" x14ac:dyDescent="0.35">
      <c r="A715" s="17"/>
      <c r="B715" s="16"/>
      <c r="C715"/>
      <c r="D715" s="16"/>
      <c r="E715"/>
      <c r="F715" s="16"/>
      <c r="I715" s="15"/>
      <c r="J715" s="1"/>
      <c r="K715" s="12"/>
      <c r="L715" s="3"/>
      <c r="M715" s="10"/>
    </row>
    <row r="716" spans="1:13" x14ac:dyDescent="0.35">
      <c r="A716" s="17"/>
      <c r="B716" s="16"/>
      <c r="C716"/>
      <c r="D716" s="16"/>
      <c r="E716"/>
      <c r="F716" s="16"/>
      <c r="I716" s="15"/>
      <c r="J716" s="1"/>
      <c r="K716" s="12"/>
      <c r="L716" s="3"/>
      <c r="M716" s="10"/>
    </row>
    <row r="717" spans="1:13" x14ac:dyDescent="0.35">
      <c r="A717" s="17"/>
      <c r="B717" s="16"/>
      <c r="C717"/>
      <c r="D717" s="16"/>
      <c r="E717"/>
      <c r="F717" s="16"/>
      <c r="I717" s="15"/>
      <c r="J717" s="1"/>
      <c r="K717" s="12"/>
      <c r="L717" s="3"/>
      <c r="M717" s="10"/>
    </row>
    <row r="718" spans="1:13" x14ac:dyDescent="0.35">
      <c r="A718" s="17"/>
      <c r="B718" s="16"/>
      <c r="C718"/>
      <c r="D718" s="16"/>
      <c r="E718"/>
      <c r="F718" s="16"/>
      <c r="I718" s="15"/>
      <c r="J718" s="1"/>
      <c r="K718" s="12"/>
      <c r="L718" s="3"/>
      <c r="M718" s="10"/>
    </row>
    <row r="719" spans="1:13" x14ac:dyDescent="0.35">
      <c r="A719" s="17"/>
      <c r="B719" s="16"/>
      <c r="C719"/>
      <c r="D719" s="16"/>
      <c r="E719"/>
      <c r="F719" s="16"/>
      <c r="I719" s="15"/>
      <c r="J719" s="1"/>
      <c r="K719" s="12"/>
      <c r="L719" s="3"/>
      <c r="M719" s="10"/>
    </row>
    <row r="720" spans="1:13" x14ac:dyDescent="0.35">
      <c r="A720" s="17"/>
      <c r="B720" s="16"/>
      <c r="C720"/>
      <c r="D720" s="16"/>
      <c r="E720"/>
      <c r="F720" s="16"/>
      <c r="I720" s="15"/>
      <c r="J720" s="1"/>
      <c r="K720" s="12"/>
      <c r="L720" s="3"/>
      <c r="M720" s="10"/>
    </row>
    <row r="721" spans="1:13" x14ac:dyDescent="0.35">
      <c r="A721" s="17"/>
      <c r="B721" s="16"/>
      <c r="C721"/>
      <c r="D721" s="16"/>
      <c r="E721"/>
      <c r="F721" s="16"/>
      <c r="I721" s="15"/>
      <c r="J721" s="1"/>
      <c r="K721" s="12"/>
      <c r="L721" s="3"/>
      <c r="M721" s="10"/>
    </row>
    <row r="722" spans="1:13" x14ac:dyDescent="0.35">
      <c r="A722" s="17"/>
      <c r="B722" s="16"/>
      <c r="C722"/>
      <c r="D722" s="16"/>
      <c r="E722"/>
      <c r="F722" s="16"/>
      <c r="I722" s="15"/>
      <c r="J722" s="1"/>
      <c r="K722" s="12"/>
      <c r="L722" s="3"/>
      <c r="M722" s="10"/>
    </row>
    <row r="723" spans="1:13" x14ac:dyDescent="0.35">
      <c r="A723" s="17"/>
      <c r="B723" s="16"/>
      <c r="C723"/>
      <c r="D723" s="16"/>
      <c r="E723"/>
      <c r="F723" s="16"/>
      <c r="I723" s="15"/>
      <c r="J723" s="1"/>
      <c r="K723" s="12"/>
      <c r="L723" s="3"/>
      <c r="M723" s="10"/>
    </row>
    <row r="724" spans="1:13" x14ac:dyDescent="0.35">
      <c r="A724" s="17"/>
      <c r="B724" s="16"/>
      <c r="C724"/>
      <c r="D724" s="16"/>
      <c r="E724"/>
      <c r="F724" s="16"/>
      <c r="I724" s="15"/>
      <c r="J724" s="1"/>
      <c r="K724" s="12"/>
      <c r="L724" s="3"/>
      <c r="M724" s="10"/>
    </row>
    <row r="725" spans="1:13" x14ac:dyDescent="0.35">
      <c r="A725" s="17"/>
      <c r="B725" s="16"/>
      <c r="C725"/>
      <c r="D725" s="16"/>
      <c r="E725"/>
      <c r="F725" s="16"/>
      <c r="I725" s="15"/>
      <c r="J725" s="1"/>
      <c r="K725" s="12"/>
      <c r="L725" s="3"/>
      <c r="M725" s="10"/>
    </row>
    <row r="726" spans="1:13" x14ac:dyDescent="0.35">
      <c r="A726" s="17"/>
      <c r="B726" s="16"/>
      <c r="C726"/>
      <c r="D726" s="16"/>
      <c r="E726"/>
      <c r="F726" s="16"/>
      <c r="I726" s="15"/>
      <c r="J726" s="1"/>
      <c r="K726" s="12"/>
      <c r="L726" s="3"/>
      <c r="M726" s="10"/>
    </row>
    <row r="727" spans="1:13" x14ac:dyDescent="0.35">
      <c r="A727" s="17"/>
      <c r="B727" s="16"/>
      <c r="C727"/>
      <c r="D727" s="16"/>
      <c r="E727"/>
      <c r="F727" s="16"/>
      <c r="I727" s="15"/>
      <c r="J727" s="1"/>
      <c r="K727" s="12"/>
      <c r="L727" s="3"/>
      <c r="M727" s="10"/>
    </row>
    <row r="728" spans="1:13" x14ac:dyDescent="0.35">
      <c r="A728" s="17"/>
      <c r="B728" s="16"/>
      <c r="C728"/>
      <c r="D728" s="16"/>
      <c r="E728"/>
      <c r="F728" s="16"/>
      <c r="I728" s="15"/>
      <c r="J728" s="1"/>
      <c r="K728" s="12"/>
      <c r="L728" s="3"/>
      <c r="M728" s="10"/>
    </row>
    <row r="729" spans="1:13" x14ac:dyDescent="0.35">
      <c r="A729" s="17"/>
      <c r="B729" s="16"/>
      <c r="C729"/>
      <c r="D729" s="16"/>
      <c r="E729"/>
      <c r="F729" s="16"/>
      <c r="I729" s="15"/>
      <c r="J729" s="1"/>
      <c r="K729" s="12"/>
      <c r="L729" s="3"/>
      <c r="M729" s="10"/>
    </row>
    <row r="730" spans="1:13" x14ac:dyDescent="0.35">
      <c r="A730" s="17"/>
      <c r="B730" s="16"/>
      <c r="C730"/>
      <c r="D730" s="16"/>
      <c r="E730"/>
      <c r="F730" s="16"/>
      <c r="I730" s="15"/>
      <c r="J730" s="1"/>
      <c r="K730" s="12"/>
      <c r="L730" s="3"/>
      <c r="M730" s="10"/>
    </row>
    <row r="731" spans="1:13" x14ac:dyDescent="0.35">
      <c r="A731" s="17"/>
      <c r="B731" s="16"/>
      <c r="C731"/>
      <c r="D731" s="16"/>
      <c r="E731"/>
      <c r="F731" s="16"/>
      <c r="I731" s="15"/>
      <c r="J731" s="1"/>
      <c r="K731" s="12"/>
      <c r="L731" s="3"/>
      <c r="M731" s="10"/>
    </row>
    <row r="732" spans="1:13" x14ac:dyDescent="0.35">
      <c r="A732" s="17"/>
      <c r="B732" s="16"/>
      <c r="C732"/>
      <c r="D732" s="16"/>
      <c r="E732"/>
      <c r="F732" s="16"/>
      <c r="I732" s="15"/>
      <c r="J732" s="1"/>
      <c r="K732" s="12"/>
      <c r="L732" s="3"/>
      <c r="M732" s="10"/>
    </row>
    <row r="733" spans="1:13" x14ac:dyDescent="0.35">
      <c r="A733" s="17"/>
      <c r="B733" s="16"/>
      <c r="C733"/>
      <c r="D733" s="16"/>
      <c r="E733"/>
      <c r="F733" s="16"/>
      <c r="I733" s="15"/>
      <c r="J733" s="1"/>
      <c r="K733" s="12"/>
      <c r="L733" s="3"/>
      <c r="M733" s="10"/>
    </row>
    <row r="734" spans="1:13" x14ac:dyDescent="0.35">
      <c r="A734" s="17"/>
      <c r="B734" s="16"/>
      <c r="C734"/>
      <c r="D734" s="16"/>
      <c r="E734"/>
      <c r="F734" s="16"/>
      <c r="I734" s="15"/>
      <c r="J734" s="1"/>
      <c r="K734" s="12"/>
      <c r="L734" s="3"/>
      <c r="M734" s="10"/>
    </row>
    <row r="735" spans="1:13" x14ac:dyDescent="0.35">
      <c r="A735" s="17"/>
      <c r="B735" s="16"/>
      <c r="C735"/>
      <c r="D735" s="16"/>
      <c r="E735"/>
      <c r="F735" s="16"/>
      <c r="I735" s="15"/>
      <c r="J735" s="1"/>
      <c r="K735" s="12"/>
      <c r="L735" s="3"/>
      <c r="M735" s="10"/>
    </row>
    <row r="736" spans="1:13" x14ac:dyDescent="0.35">
      <c r="A736" s="17"/>
      <c r="B736" s="16"/>
      <c r="C736"/>
      <c r="D736" s="16"/>
      <c r="E736"/>
      <c r="F736" s="16"/>
      <c r="I736" s="15"/>
      <c r="J736" s="1"/>
      <c r="K736" s="12"/>
      <c r="L736" s="3"/>
      <c r="M736" s="10"/>
    </row>
    <row r="737" spans="1:13" x14ac:dyDescent="0.35">
      <c r="A737" s="17"/>
      <c r="B737" s="16"/>
      <c r="C737"/>
      <c r="D737" s="16"/>
      <c r="E737"/>
      <c r="F737" s="16"/>
      <c r="I737" s="15"/>
      <c r="J737" s="1"/>
      <c r="K737" s="12"/>
      <c r="L737" s="3"/>
      <c r="M737" s="10"/>
    </row>
    <row r="738" spans="1:13" x14ac:dyDescent="0.35">
      <c r="A738" s="17"/>
      <c r="B738" s="16"/>
      <c r="C738"/>
      <c r="D738" s="16"/>
      <c r="E738"/>
      <c r="F738" s="16"/>
      <c r="I738" s="15"/>
      <c r="J738" s="1"/>
      <c r="K738" s="12"/>
      <c r="L738" s="3"/>
      <c r="M738" s="10"/>
    </row>
    <row r="739" spans="1:13" x14ac:dyDescent="0.35">
      <c r="A739" s="17"/>
      <c r="B739" s="16"/>
      <c r="C739"/>
      <c r="D739" s="16"/>
      <c r="E739"/>
      <c r="F739" s="16"/>
      <c r="I739" s="15"/>
      <c r="J739" s="1"/>
      <c r="K739" s="12"/>
      <c r="L739" s="3"/>
      <c r="M739" s="10"/>
    </row>
    <row r="740" spans="1:13" x14ac:dyDescent="0.35">
      <c r="A740" s="17"/>
      <c r="B740" s="16"/>
      <c r="C740"/>
      <c r="D740" s="16"/>
      <c r="E740"/>
      <c r="F740" s="16"/>
      <c r="I740" s="15"/>
      <c r="J740" s="1"/>
      <c r="K740" s="12"/>
      <c r="L740" s="3"/>
      <c r="M740" s="10"/>
    </row>
    <row r="741" spans="1:13" x14ac:dyDescent="0.35">
      <c r="A741" s="17"/>
      <c r="B741" s="16"/>
      <c r="C741"/>
      <c r="D741" s="16"/>
      <c r="E741"/>
      <c r="F741" s="16"/>
      <c r="I741" s="15"/>
      <c r="J741" s="1"/>
      <c r="K741" s="12"/>
      <c r="L741" s="3"/>
      <c r="M741" s="10"/>
    </row>
    <row r="742" spans="1:13" x14ac:dyDescent="0.35">
      <c r="A742" s="17"/>
      <c r="B742" s="16"/>
      <c r="C742"/>
      <c r="D742" s="16"/>
      <c r="E742"/>
      <c r="F742" s="16"/>
      <c r="I742" s="15"/>
      <c r="J742" s="1"/>
      <c r="K742" s="12"/>
      <c r="L742" s="3"/>
      <c r="M742" s="10"/>
    </row>
    <row r="743" spans="1:13" x14ac:dyDescent="0.35">
      <c r="A743" s="17"/>
      <c r="B743" s="16"/>
      <c r="C743"/>
      <c r="D743" s="16"/>
      <c r="E743"/>
      <c r="F743" s="16"/>
      <c r="I743" s="15"/>
      <c r="J743" s="1"/>
      <c r="K743" s="12"/>
      <c r="L743" s="3"/>
      <c r="M743" s="10"/>
    </row>
    <row r="744" spans="1:13" x14ac:dyDescent="0.35">
      <c r="A744" s="17"/>
      <c r="B744" s="16"/>
      <c r="C744"/>
      <c r="D744" s="16"/>
      <c r="E744"/>
      <c r="F744" s="16"/>
      <c r="I744" s="15"/>
      <c r="J744" s="1"/>
      <c r="K744" s="12"/>
      <c r="L744" s="3"/>
      <c r="M744" s="10"/>
    </row>
    <row r="745" spans="1:13" x14ac:dyDescent="0.35">
      <c r="A745" s="17"/>
      <c r="B745" s="16"/>
      <c r="C745"/>
      <c r="D745" s="16"/>
      <c r="E745"/>
      <c r="F745" s="16"/>
      <c r="I745" s="15"/>
      <c r="J745" s="1"/>
      <c r="K745" s="12"/>
      <c r="L745" s="3"/>
      <c r="M745" s="10"/>
    </row>
    <row r="746" spans="1:13" x14ac:dyDescent="0.35">
      <c r="A746" s="17"/>
      <c r="B746" s="16"/>
      <c r="C746"/>
      <c r="D746" s="16"/>
      <c r="E746"/>
      <c r="F746" s="16"/>
      <c r="I746" s="15"/>
      <c r="J746" s="1"/>
      <c r="K746" s="12"/>
      <c r="L746" s="3"/>
      <c r="M746" s="10"/>
    </row>
    <row r="747" spans="1:13" x14ac:dyDescent="0.35">
      <c r="A747" s="17"/>
      <c r="B747" s="16"/>
      <c r="C747"/>
      <c r="D747" s="16"/>
      <c r="E747"/>
      <c r="F747" s="16"/>
      <c r="I747" s="15"/>
      <c r="J747" s="1"/>
      <c r="K747" s="12"/>
      <c r="L747" s="3"/>
      <c r="M747" s="10"/>
    </row>
    <row r="748" spans="1:13" x14ac:dyDescent="0.35">
      <c r="A748" s="17"/>
      <c r="B748" s="16"/>
      <c r="C748"/>
      <c r="D748" s="16"/>
      <c r="E748"/>
      <c r="F748" s="16"/>
      <c r="I748" s="15"/>
      <c r="J748" s="1"/>
      <c r="K748" s="12"/>
      <c r="L748" s="3"/>
      <c r="M748" s="10"/>
    </row>
    <row r="749" spans="1:13" x14ac:dyDescent="0.35">
      <c r="A749" s="17"/>
      <c r="B749" s="16"/>
      <c r="C749"/>
      <c r="D749" s="16"/>
      <c r="E749"/>
      <c r="F749" s="16"/>
      <c r="I749" s="15"/>
      <c r="J749" s="1"/>
      <c r="K749" s="12"/>
      <c r="L749" s="3"/>
      <c r="M749" s="10"/>
    </row>
    <row r="750" spans="1:13" x14ac:dyDescent="0.35">
      <c r="A750" s="17"/>
      <c r="B750" s="16"/>
      <c r="C750"/>
      <c r="D750" s="16"/>
      <c r="E750"/>
      <c r="F750" s="16"/>
      <c r="I750" s="15"/>
      <c r="J750" s="1"/>
      <c r="K750" s="12"/>
      <c r="L750" s="3"/>
      <c r="M750" s="10"/>
    </row>
    <row r="751" spans="1:13" x14ac:dyDescent="0.35">
      <c r="A751" s="17"/>
      <c r="B751" s="16"/>
      <c r="C751"/>
      <c r="D751" s="16"/>
      <c r="E751"/>
      <c r="F751" s="16"/>
      <c r="I751" s="15"/>
      <c r="J751" s="1"/>
      <c r="K751" s="12"/>
      <c r="L751" s="3"/>
      <c r="M751" s="10"/>
    </row>
    <row r="752" spans="1:13" x14ac:dyDescent="0.35">
      <c r="A752" s="17"/>
      <c r="B752" s="16"/>
      <c r="C752"/>
      <c r="D752" s="16"/>
      <c r="E752"/>
      <c r="F752" s="16"/>
      <c r="I752" s="15"/>
      <c r="J752" s="1"/>
      <c r="K752" s="12"/>
      <c r="L752" s="3"/>
      <c r="M752" s="10"/>
    </row>
    <row r="753" spans="1:13" x14ac:dyDescent="0.35">
      <c r="A753" s="17"/>
      <c r="B753" s="16"/>
      <c r="C753"/>
      <c r="D753" s="16"/>
      <c r="E753"/>
      <c r="F753" s="16"/>
      <c r="I753" s="15"/>
      <c r="J753" s="1"/>
      <c r="K753" s="12"/>
      <c r="L753" s="3"/>
      <c r="M753" s="10"/>
    </row>
    <row r="754" spans="1:13" x14ac:dyDescent="0.35">
      <c r="A754" s="17"/>
      <c r="B754" s="16"/>
      <c r="C754"/>
      <c r="D754" s="16"/>
      <c r="E754"/>
      <c r="F754" s="16"/>
      <c r="I754" s="15"/>
      <c r="J754" s="1"/>
      <c r="K754" s="12"/>
      <c r="L754" s="3"/>
      <c r="M754" s="10"/>
    </row>
    <row r="755" spans="1:13" x14ac:dyDescent="0.35">
      <c r="A755" s="17"/>
      <c r="B755" s="16"/>
      <c r="C755"/>
      <c r="D755" s="16"/>
      <c r="E755"/>
      <c r="F755" s="16"/>
      <c r="I755" s="15"/>
      <c r="J755" s="1"/>
      <c r="K755" s="12"/>
      <c r="L755" s="3"/>
      <c r="M755" s="10"/>
    </row>
    <row r="756" spans="1:13" x14ac:dyDescent="0.35">
      <c r="A756" s="17"/>
      <c r="B756" s="16"/>
      <c r="C756"/>
      <c r="D756" s="16"/>
      <c r="E756"/>
      <c r="F756" s="16"/>
      <c r="I756" s="15"/>
      <c r="J756" s="1"/>
      <c r="K756" s="12"/>
      <c r="L756" s="3"/>
      <c r="M756" s="10"/>
    </row>
    <row r="757" spans="1:13" x14ac:dyDescent="0.35">
      <c r="A757" s="17"/>
      <c r="B757" s="16"/>
      <c r="C757"/>
      <c r="D757" s="16"/>
      <c r="E757"/>
      <c r="F757" s="16"/>
      <c r="I757" s="15"/>
      <c r="J757" s="1"/>
      <c r="K757" s="12"/>
      <c r="L757" s="3"/>
      <c r="M757" s="10"/>
    </row>
    <row r="758" spans="1:13" x14ac:dyDescent="0.35">
      <c r="A758" s="17"/>
      <c r="B758" s="16"/>
      <c r="C758"/>
      <c r="D758" s="16"/>
      <c r="E758"/>
      <c r="F758" s="16"/>
      <c r="I758" s="15"/>
      <c r="J758" s="1"/>
      <c r="K758" s="12"/>
      <c r="L758" s="3"/>
      <c r="M758" s="10"/>
    </row>
    <row r="759" spans="1:13" x14ac:dyDescent="0.35">
      <c r="A759" s="17"/>
      <c r="B759" s="16"/>
      <c r="C759"/>
      <c r="D759" s="16"/>
      <c r="E759"/>
      <c r="F759" s="16"/>
      <c r="I759" s="15"/>
      <c r="J759" s="1"/>
      <c r="K759" s="12"/>
      <c r="L759" s="3"/>
      <c r="M759" s="10"/>
    </row>
    <row r="760" spans="1:13" x14ac:dyDescent="0.35">
      <c r="A760" s="17"/>
      <c r="B760" s="16"/>
      <c r="C760"/>
      <c r="D760" s="16"/>
      <c r="E760"/>
      <c r="F760" s="16"/>
      <c r="I760" s="15"/>
      <c r="J760" s="1"/>
      <c r="K760" s="12"/>
      <c r="L760" s="3"/>
      <c r="M760" s="10"/>
    </row>
    <row r="761" spans="1:13" x14ac:dyDescent="0.35">
      <c r="A761" s="17"/>
      <c r="B761" s="16"/>
      <c r="C761"/>
      <c r="D761" s="16"/>
      <c r="E761"/>
      <c r="F761" s="16"/>
      <c r="I761" s="15"/>
      <c r="J761" s="1"/>
      <c r="K761" s="12"/>
      <c r="L761" s="3"/>
      <c r="M761" s="10"/>
    </row>
    <row r="762" spans="1:13" x14ac:dyDescent="0.35">
      <c r="A762" s="17"/>
      <c r="B762" s="16"/>
      <c r="C762"/>
      <c r="D762" s="16"/>
      <c r="E762"/>
      <c r="F762" s="16"/>
      <c r="I762" s="15"/>
      <c r="J762" s="1"/>
      <c r="K762" s="12"/>
      <c r="L762" s="3"/>
      <c r="M762" s="10"/>
    </row>
    <row r="763" spans="1:13" x14ac:dyDescent="0.35">
      <c r="A763" s="17"/>
      <c r="B763" s="16"/>
      <c r="C763"/>
      <c r="D763" s="16"/>
      <c r="E763"/>
      <c r="F763" s="16"/>
      <c r="I763" s="15"/>
      <c r="J763" s="1"/>
      <c r="K763" s="12"/>
      <c r="L763" s="3"/>
      <c r="M763" s="10"/>
    </row>
    <row r="764" spans="1:13" x14ac:dyDescent="0.35">
      <c r="A764" s="17"/>
      <c r="B764" s="16"/>
      <c r="C764"/>
      <c r="D764" s="16"/>
      <c r="E764"/>
      <c r="F764" s="16"/>
      <c r="I764" s="15"/>
      <c r="J764" s="1"/>
      <c r="K764" s="12"/>
      <c r="L764" s="3"/>
      <c r="M764" s="10"/>
    </row>
    <row r="765" spans="1:13" x14ac:dyDescent="0.35">
      <c r="A765" s="17"/>
      <c r="B765" s="16"/>
      <c r="C765"/>
      <c r="D765" s="16"/>
      <c r="E765"/>
      <c r="F765" s="16"/>
      <c r="I765" s="15"/>
      <c r="J765" s="1"/>
      <c r="K765" s="12"/>
      <c r="L765" s="3"/>
      <c r="M765" s="10"/>
    </row>
    <row r="766" spans="1:13" x14ac:dyDescent="0.35">
      <c r="A766" s="17"/>
      <c r="B766" s="16"/>
      <c r="C766"/>
      <c r="D766" s="16"/>
      <c r="E766"/>
      <c r="F766" s="16"/>
      <c r="I766" s="15"/>
      <c r="J766" s="1"/>
      <c r="K766" s="12"/>
      <c r="L766" s="3"/>
      <c r="M766" s="10"/>
    </row>
    <row r="767" spans="1:13" x14ac:dyDescent="0.35">
      <c r="A767" s="17"/>
      <c r="B767" s="16"/>
      <c r="C767"/>
      <c r="D767" s="16"/>
      <c r="E767"/>
      <c r="F767" s="16"/>
      <c r="I767" s="15"/>
      <c r="J767" s="1"/>
      <c r="K767" s="12"/>
      <c r="L767" s="3"/>
      <c r="M767" s="10"/>
    </row>
    <row r="768" spans="1:13" x14ac:dyDescent="0.35">
      <c r="A768" s="17"/>
      <c r="B768" s="16"/>
      <c r="C768"/>
      <c r="D768" s="16"/>
      <c r="E768"/>
      <c r="F768" s="16"/>
      <c r="I768" s="15"/>
      <c r="J768" s="1"/>
      <c r="K768" s="12"/>
      <c r="L768" s="3"/>
      <c r="M768" s="10"/>
    </row>
    <row r="769" spans="1:13" x14ac:dyDescent="0.35">
      <c r="A769" s="17"/>
      <c r="B769" s="16"/>
      <c r="C769"/>
      <c r="D769" s="16"/>
      <c r="E769"/>
      <c r="F769" s="16"/>
      <c r="I769" s="15"/>
      <c r="J769" s="1"/>
      <c r="K769" s="12"/>
      <c r="L769" s="3"/>
      <c r="M769" s="10"/>
    </row>
    <row r="770" spans="1:13" x14ac:dyDescent="0.35">
      <c r="A770" s="17"/>
      <c r="B770" s="16"/>
      <c r="C770"/>
      <c r="D770" s="16"/>
      <c r="E770"/>
      <c r="F770" s="16"/>
      <c r="I770" s="15"/>
      <c r="J770" s="1"/>
      <c r="K770" s="12"/>
      <c r="L770" s="3"/>
      <c r="M770" s="10"/>
    </row>
    <row r="771" spans="1:13" x14ac:dyDescent="0.35">
      <c r="A771" s="17"/>
      <c r="B771" s="16"/>
      <c r="C771"/>
      <c r="D771" s="16"/>
      <c r="E771"/>
      <c r="F771" s="16"/>
      <c r="I771" s="15"/>
      <c r="J771" s="1"/>
      <c r="K771" s="12"/>
      <c r="L771" s="3"/>
      <c r="M771" s="10"/>
    </row>
    <row r="772" spans="1:13" x14ac:dyDescent="0.35">
      <c r="A772" s="17"/>
      <c r="B772" s="16"/>
      <c r="C772"/>
      <c r="D772" s="16"/>
      <c r="E772"/>
      <c r="F772" s="16"/>
      <c r="I772" s="15"/>
      <c r="J772" s="1"/>
      <c r="K772" s="12"/>
      <c r="L772" s="3"/>
      <c r="M772" s="10"/>
    </row>
    <row r="773" spans="1:13" x14ac:dyDescent="0.35">
      <c r="A773" s="17"/>
      <c r="B773" s="16"/>
      <c r="C773"/>
      <c r="D773" s="16"/>
      <c r="E773"/>
      <c r="F773" s="16"/>
      <c r="I773" s="15"/>
      <c r="J773" s="1"/>
      <c r="K773" s="12"/>
      <c r="L773" s="3"/>
      <c r="M773" s="10"/>
    </row>
    <row r="774" spans="1:13" x14ac:dyDescent="0.35">
      <c r="A774" s="17"/>
      <c r="B774" s="16"/>
      <c r="C774"/>
      <c r="D774" s="16"/>
      <c r="E774"/>
      <c r="F774" s="16"/>
      <c r="I774" s="15"/>
      <c r="J774" s="1"/>
      <c r="K774" s="12"/>
      <c r="L774" s="3"/>
      <c r="M774" s="10"/>
    </row>
    <row r="775" spans="1:13" x14ac:dyDescent="0.35">
      <c r="A775" s="17"/>
      <c r="B775" s="16"/>
      <c r="C775"/>
      <c r="D775" s="16"/>
      <c r="E775"/>
      <c r="F775" s="16"/>
      <c r="I775" s="15"/>
      <c r="J775" s="1"/>
      <c r="K775" s="12"/>
      <c r="L775" s="3"/>
      <c r="M775" s="10"/>
    </row>
    <row r="776" spans="1:13" x14ac:dyDescent="0.35">
      <c r="A776" s="17"/>
      <c r="B776" s="16"/>
      <c r="C776"/>
      <c r="D776" s="16"/>
      <c r="E776"/>
      <c r="F776" s="16"/>
      <c r="I776" s="15"/>
      <c r="J776" s="1"/>
      <c r="K776" s="12"/>
      <c r="L776" s="3"/>
      <c r="M776" s="10"/>
    </row>
    <row r="777" spans="1:13" x14ac:dyDescent="0.35">
      <c r="A777" s="17"/>
      <c r="B777" s="16"/>
      <c r="C777"/>
      <c r="D777" s="16"/>
      <c r="E777"/>
      <c r="F777" s="16"/>
      <c r="I777" s="15"/>
      <c r="J777" s="1"/>
      <c r="K777" s="12"/>
      <c r="L777" s="3"/>
      <c r="M777" s="10"/>
    </row>
    <row r="778" spans="1:13" x14ac:dyDescent="0.35">
      <c r="A778" s="17"/>
      <c r="B778" s="16"/>
      <c r="C778"/>
      <c r="D778" s="16"/>
      <c r="E778"/>
      <c r="F778" s="16"/>
      <c r="I778" s="15"/>
      <c r="J778" s="1"/>
      <c r="K778" s="12"/>
      <c r="L778" s="3"/>
      <c r="M778" s="10"/>
    </row>
    <row r="779" spans="1:13" x14ac:dyDescent="0.35">
      <c r="A779" s="17"/>
      <c r="B779" s="16"/>
      <c r="C779"/>
      <c r="D779" s="16"/>
      <c r="E779"/>
      <c r="F779" s="16"/>
      <c r="I779" s="15"/>
      <c r="J779" s="1"/>
      <c r="K779" s="12"/>
      <c r="L779" s="3"/>
      <c r="M779" s="10"/>
    </row>
    <row r="780" spans="1:13" x14ac:dyDescent="0.35">
      <c r="A780" s="17"/>
      <c r="B780" s="16"/>
      <c r="C780"/>
      <c r="D780" s="16"/>
      <c r="E780"/>
      <c r="F780" s="16"/>
      <c r="I780" s="15"/>
      <c r="J780" s="1"/>
      <c r="K780" s="12"/>
      <c r="L780" s="3"/>
      <c r="M780" s="10"/>
    </row>
    <row r="781" spans="1:13" x14ac:dyDescent="0.35">
      <c r="A781" s="17"/>
      <c r="B781" s="16"/>
      <c r="C781"/>
      <c r="D781" s="16"/>
      <c r="E781"/>
      <c r="F781" s="16"/>
      <c r="I781" s="15"/>
      <c r="J781" s="1"/>
      <c r="K781" s="12"/>
      <c r="L781" s="3"/>
      <c r="M781" s="10"/>
    </row>
    <row r="782" spans="1:13" x14ac:dyDescent="0.35">
      <c r="A782" s="17"/>
      <c r="B782" s="16"/>
      <c r="C782"/>
      <c r="D782" s="16"/>
      <c r="E782"/>
      <c r="F782" s="16"/>
      <c r="I782" s="15"/>
      <c r="J782" s="1"/>
      <c r="K782" s="12"/>
      <c r="L782" s="3"/>
      <c r="M782" s="10"/>
    </row>
    <row r="783" spans="1:13" x14ac:dyDescent="0.35">
      <c r="A783" s="17"/>
      <c r="B783" s="16"/>
      <c r="C783"/>
      <c r="D783" s="16"/>
      <c r="E783"/>
      <c r="F783" s="16"/>
      <c r="I783" s="15"/>
      <c r="J783" s="1"/>
      <c r="K783" s="12"/>
      <c r="L783" s="3"/>
      <c r="M783" s="10"/>
    </row>
    <row r="784" spans="1:13" x14ac:dyDescent="0.35">
      <c r="A784" s="17"/>
      <c r="B784" s="16"/>
      <c r="C784"/>
      <c r="D784" s="16"/>
      <c r="E784"/>
      <c r="F784" s="16"/>
      <c r="I784" s="15"/>
      <c r="J784" s="1"/>
      <c r="K784" s="12"/>
      <c r="L784" s="3"/>
      <c r="M784" s="10"/>
    </row>
    <row r="785" spans="1:13" x14ac:dyDescent="0.35">
      <c r="A785" s="17"/>
      <c r="B785" s="16"/>
      <c r="C785"/>
      <c r="D785" s="16"/>
      <c r="E785"/>
      <c r="F785" s="16"/>
      <c r="I785" s="15"/>
      <c r="J785" s="1"/>
      <c r="K785" s="12"/>
      <c r="L785" s="3"/>
      <c r="M785" s="10"/>
    </row>
    <row r="786" spans="1:13" x14ac:dyDescent="0.35">
      <c r="A786" s="17"/>
      <c r="B786" s="16"/>
      <c r="C786"/>
      <c r="D786" s="16"/>
      <c r="E786"/>
      <c r="F786" s="16"/>
      <c r="I786" s="15"/>
      <c r="J786" s="1"/>
      <c r="K786" s="12"/>
      <c r="L786" s="3"/>
      <c r="M786" s="10"/>
    </row>
    <row r="787" spans="1:13" x14ac:dyDescent="0.35">
      <c r="A787" s="17"/>
      <c r="B787" s="16"/>
      <c r="C787"/>
      <c r="D787" s="16"/>
      <c r="E787"/>
      <c r="F787" s="16"/>
      <c r="I787" s="15"/>
      <c r="J787" s="1"/>
      <c r="K787" s="12"/>
      <c r="L787" s="3"/>
      <c r="M787" s="10"/>
    </row>
    <row r="788" spans="1:13" x14ac:dyDescent="0.35">
      <c r="A788" s="17"/>
      <c r="B788" s="16"/>
      <c r="C788"/>
      <c r="D788" s="16"/>
      <c r="E788"/>
      <c r="F788" s="16"/>
      <c r="I788" s="15"/>
      <c r="J788" s="1"/>
      <c r="K788" s="12"/>
      <c r="L788" s="3"/>
      <c r="M788" s="10"/>
    </row>
    <row r="789" spans="1:13" x14ac:dyDescent="0.35">
      <c r="A789" s="17"/>
      <c r="B789" s="16"/>
      <c r="C789"/>
      <c r="D789" s="16"/>
      <c r="E789"/>
      <c r="F789" s="16"/>
      <c r="I789" s="15"/>
      <c r="J789" s="1"/>
      <c r="K789" s="12"/>
      <c r="L789" s="3"/>
      <c r="M789" s="10"/>
    </row>
    <row r="790" spans="1:13" x14ac:dyDescent="0.35">
      <c r="A790" s="17"/>
      <c r="B790" s="16"/>
      <c r="C790"/>
      <c r="D790" s="16"/>
      <c r="E790"/>
      <c r="F790" s="16"/>
      <c r="I790" s="15"/>
      <c r="J790" s="1"/>
      <c r="K790" s="12"/>
      <c r="L790" s="3"/>
      <c r="M790" s="10"/>
    </row>
    <row r="791" spans="1:13" x14ac:dyDescent="0.35">
      <c r="A791" s="17"/>
      <c r="B791" s="16"/>
      <c r="C791"/>
      <c r="D791" s="16"/>
      <c r="E791"/>
      <c r="F791" s="16"/>
      <c r="I791" s="15"/>
      <c r="J791" s="1"/>
      <c r="K791" s="12"/>
      <c r="L791" s="3"/>
      <c r="M791" s="10"/>
    </row>
    <row r="792" spans="1:13" x14ac:dyDescent="0.35">
      <c r="A792" s="17"/>
      <c r="B792" s="16"/>
      <c r="C792"/>
      <c r="D792" s="16"/>
      <c r="E792"/>
      <c r="F792" s="16"/>
      <c r="I792" s="15"/>
      <c r="J792" s="1"/>
      <c r="K792" s="12"/>
      <c r="L792" s="3"/>
      <c r="M792" s="10"/>
    </row>
    <row r="793" spans="1:13" x14ac:dyDescent="0.35">
      <c r="A793" s="17"/>
      <c r="B793" s="16"/>
      <c r="C793"/>
      <c r="D793" s="16"/>
      <c r="E793"/>
      <c r="F793" s="16"/>
      <c r="I793" s="15"/>
      <c r="J793" s="1"/>
      <c r="K793" s="12"/>
      <c r="L793" s="3"/>
      <c r="M793" s="10"/>
    </row>
    <row r="794" spans="1:13" x14ac:dyDescent="0.35">
      <c r="A794" s="17"/>
      <c r="B794" s="16"/>
      <c r="C794"/>
      <c r="D794" s="16"/>
      <c r="E794"/>
      <c r="F794" s="16"/>
      <c r="I794" s="15"/>
      <c r="J794" s="1"/>
      <c r="K794" s="12"/>
      <c r="L794" s="3"/>
      <c r="M794" s="10"/>
    </row>
    <row r="795" spans="1:13" x14ac:dyDescent="0.35">
      <c r="A795" s="17"/>
      <c r="B795" s="16"/>
      <c r="C795"/>
      <c r="D795" s="16"/>
      <c r="E795"/>
      <c r="F795" s="16"/>
      <c r="I795" s="15"/>
      <c r="J795" s="1"/>
      <c r="K795" s="12"/>
      <c r="L795" s="3"/>
      <c r="M795" s="10"/>
    </row>
    <row r="796" spans="1:13" x14ac:dyDescent="0.35">
      <c r="A796" s="17"/>
      <c r="B796" s="16"/>
      <c r="C796"/>
      <c r="D796" s="16"/>
      <c r="E796"/>
      <c r="F796" s="16"/>
      <c r="I796" s="15"/>
      <c r="J796" s="1"/>
      <c r="K796" s="12"/>
      <c r="L796" s="3"/>
      <c r="M796" s="10"/>
    </row>
    <row r="797" spans="1:13" x14ac:dyDescent="0.35">
      <c r="A797" s="17"/>
      <c r="B797" s="16"/>
      <c r="C797"/>
      <c r="D797" s="16"/>
      <c r="E797"/>
      <c r="F797" s="16"/>
      <c r="I797" s="15"/>
      <c r="J797" s="1"/>
      <c r="K797" s="12"/>
      <c r="L797" s="3"/>
      <c r="M797" s="10"/>
    </row>
    <row r="798" spans="1:13" x14ac:dyDescent="0.35">
      <c r="A798" s="17"/>
      <c r="B798" s="16"/>
      <c r="C798"/>
      <c r="D798" s="16"/>
      <c r="E798"/>
      <c r="F798" s="16"/>
      <c r="I798" s="15"/>
      <c r="J798" s="1"/>
      <c r="K798" s="12"/>
      <c r="L798" s="3"/>
      <c r="M798" s="10"/>
    </row>
    <row r="799" spans="1:13" x14ac:dyDescent="0.35">
      <c r="A799" s="17"/>
      <c r="B799" s="16"/>
      <c r="C799"/>
      <c r="D799" s="16"/>
      <c r="E799"/>
      <c r="F799" s="16"/>
      <c r="I799" s="15"/>
      <c r="J799" s="1"/>
      <c r="K799" s="12"/>
      <c r="L799" s="3"/>
      <c r="M799" s="10"/>
    </row>
    <row r="800" spans="1:13" x14ac:dyDescent="0.35">
      <c r="A800" s="17"/>
      <c r="B800" s="16"/>
      <c r="C800"/>
      <c r="D800" s="16"/>
      <c r="E800"/>
      <c r="F800" s="16"/>
      <c r="I800" s="15"/>
      <c r="J800" s="1"/>
      <c r="K800" s="12"/>
      <c r="L800" s="3"/>
      <c r="M800" s="10"/>
    </row>
    <row r="801" spans="1:13" x14ac:dyDescent="0.35">
      <c r="A801" s="17"/>
      <c r="B801" s="16"/>
      <c r="C801"/>
      <c r="D801" s="16"/>
      <c r="E801"/>
      <c r="F801" s="16"/>
      <c r="I801" s="15"/>
      <c r="J801" s="1"/>
      <c r="K801" s="12"/>
      <c r="L801" s="3"/>
      <c r="M801" s="10"/>
    </row>
    <row r="802" spans="1:13" x14ac:dyDescent="0.35">
      <c r="A802" s="17"/>
      <c r="B802" s="16"/>
      <c r="C802"/>
      <c r="D802" s="16"/>
      <c r="E802"/>
      <c r="F802" s="16"/>
      <c r="I802" s="15"/>
      <c r="J802" s="1"/>
      <c r="K802" s="12"/>
      <c r="L802" s="3"/>
      <c r="M802" s="10"/>
    </row>
    <row r="803" spans="1:13" x14ac:dyDescent="0.35">
      <c r="A803" s="17"/>
      <c r="B803" s="16"/>
      <c r="C803"/>
      <c r="D803" s="16"/>
      <c r="E803"/>
      <c r="F803" s="16"/>
      <c r="I803" s="15"/>
      <c r="J803" s="1"/>
      <c r="K803" s="12"/>
      <c r="L803" s="3"/>
      <c r="M803" s="10"/>
    </row>
    <row r="804" spans="1:13" x14ac:dyDescent="0.35">
      <c r="A804" s="17"/>
      <c r="B804" s="16"/>
      <c r="C804"/>
      <c r="D804" s="16"/>
      <c r="E804"/>
      <c r="F804" s="16"/>
      <c r="I804" s="15"/>
      <c r="J804" s="1"/>
      <c r="K804" s="12"/>
      <c r="L804" s="3"/>
      <c r="M804" s="10"/>
    </row>
    <row r="805" spans="1:13" x14ac:dyDescent="0.35">
      <c r="A805" s="17"/>
      <c r="B805" s="16"/>
      <c r="C805"/>
      <c r="D805" s="16"/>
      <c r="E805"/>
      <c r="F805" s="16"/>
      <c r="I805" s="15"/>
      <c r="J805" s="1"/>
      <c r="K805" s="12"/>
      <c r="L805" s="3"/>
      <c r="M805" s="10"/>
    </row>
    <row r="806" spans="1:13" x14ac:dyDescent="0.35">
      <c r="A806" s="17"/>
      <c r="B806" s="16"/>
      <c r="C806"/>
      <c r="D806" s="16"/>
      <c r="E806"/>
      <c r="F806" s="16"/>
      <c r="I806" s="15"/>
      <c r="J806" s="1"/>
      <c r="K806" s="12"/>
      <c r="L806" s="3"/>
      <c r="M806" s="10"/>
    </row>
    <row r="807" spans="1:13" x14ac:dyDescent="0.35">
      <c r="A807" s="17"/>
      <c r="B807" s="16"/>
      <c r="C807"/>
      <c r="D807" s="16"/>
      <c r="E807"/>
      <c r="F807" s="16"/>
      <c r="I807" s="15"/>
      <c r="J807" s="1"/>
      <c r="K807" s="12"/>
      <c r="L807" s="3"/>
      <c r="M807" s="10"/>
    </row>
    <row r="808" spans="1:13" x14ac:dyDescent="0.35">
      <c r="A808" s="17"/>
      <c r="B808" s="16"/>
      <c r="C808"/>
      <c r="D808" s="16"/>
      <c r="E808"/>
      <c r="F808" s="16"/>
      <c r="I808" s="15"/>
      <c r="J808" s="1"/>
      <c r="K808" s="12"/>
      <c r="L808" s="3"/>
      <c r="M808" s="10"/>
    </row>
    <row r="809" spans="1:13" x14ac:dyDescent="0.35">
      <c r="A809" s="17"/>
      <c r="B809" s="16"/>
      <c r="C809"/>
      <c r="D809" s="16"/>
      <c r="E809"/>
      <c r="F809" s="16"/>
      <c r="I809" s="15"/>
      <c r="J809" s="1"/>
      <c r="K809" s="12"/>
      <c r="L809" s="3"/>
      <c r="M809" s="10"/>
    </row>
    <row r="810" spans="1:13" x14ac:dyDescent="0.35">
      <c r="A810" s="17"/>
      <c r="B810" s="16"/>
      <c r="C810"/>
      <c r="D810" s="16"/>
      <c r="E810"/>
      <c r="F810" s="16"/>
      <c r="I810" s="15"/>
      <c r="J810" s="1"/>
      <c r="K810" s="12"/>
      <c r="L810" s="3"/>
      <c r="M810" s="10"/>
    </row>
    <row r="811" spans="1:13" x14ac:dyDescent="0.35">
      <c r="A811" s="17"/>
      <c r="B811" s="16"/>
      <c r="C811"/>
      <c r="D811" s="16"/>
      <c r="E811"/>
      <c r="F811" s="16"/>
      <c r="I811" s="15"/>
      <c r="J811" s="1"/>
      <c r="K811" s="12"/>
      <c r="L811" s="3"/>
      <c r="M811" s="10"/>
    </row>
    <row r="812" spans="1:13" x14ac:dyDescent="0.35">
      <c r="A812" s="17"/>
      <c r="B812" s="16"/>
      <c r="C812"/>
      <c r="D812" s="16"/>
      <c r="E812"/>
      <c r="F812" s="16"/>
      <c r="I812" s="15"/>
      <c r="J812" s="1"/>
      <c r="K812" s="12"/>
      <c r="L812" s="3"/>
      <c r="M812" s="10"/>
    </row>
    <row r="813" spans="1:13" x14ac:dyDescent="0.35">
      <c r="A813" s="17"/>
      <c r="B813" s="16"/>
      <c r="C813"/>
      <c r="D813" s="16"/>
      <c r="E813"/>
      <c r="F813" s="16"/>
      <c r="I813" s="15"/>
      <c r="J813" s="1"/>
      <c r="K813" s="12"/>
      <c r="L813" s="3"/>
      <c r="M813" s="10"/>
    </row>
    <row r="814" spans="1:13" x14ac:dyDescent="0.35">
      <c r="A814" s="17"/>
      <c r="B814" s="16"/>
      <c r="C814"/>
      <c r="D814" s="16"/>
      <c r="E814"/>
      <c r="F814" s="16"/>
      <c r="I814" s="15"/>
      <c r="J814" s="1"/>
      <c r="K814" s="12"/>
      <c r="L814" s="3"/>
      <c r="M814" s="10"/>
    </row>
    <row r="815" spans="1:13" x14ac:dyDescent="0.35">
      <c r="A815" s="17"/>
      <c r="B815" s="16"/>
      <c r="C815"/>
      <c r="D815" s="16"/>
      <c r="E815"/>
      <c r="F815" s="16"/>
      <c r="I815" s="15"/>
      <c r="J815" s="1"/>
      <c r="K815" s="12"/>
      <c r="L815" s="3"/>
      <c r="M815" s="10"/>
    </row>
    <row r="816" spans="1:13" x14ac:dyDescent="0.35">
      <c r="A816" s="17"/>
      <c r="B816" s="16"/>
      <c r="C816"/>
      <c r="D816" s="16"/>
      <c r="E816"/>
      <c r="F816" s="16"/>
      <c r="I816" s="15"/>
      <c r="J816" s="1"/>
      <c r="K816" s="12"/>
      <c r="L816" s="3"/>
      <c r="M816" s="10"/>
    </row>
    <row r="817" spans="1:13" x14ac:dyDescent="0.35">
      <c r="A817" s="17"/>
      <c r="B817" s="16"/>
      <c r="C817"/>
      <c r="D817" s="16"/>
      <c r="E817"/>
      <c r="F817" s="16"/>
      <c r="I817" s="15"/>
      <c r="J817" s="1"/>
      <c r="K817" s="12"/>
      <c r="L817" s="3"/>
      <c r="M817" s="10"/>
    </row>
    <row r="818" spans="1:13" x14ac:dyDescent="0.35">
      <c r="A818" s="17"/>
      <c r="B818" s="16"/>
      <c r="C818"/>
      <c r="D818" s="16"/>
      <c r="E818"/>
      <c r="F818" s="16"/>
      <c r="I818" s="15"/>
      <c r="J818" s="1"/>
      <c r="K818" s="12"/>
      <c r="L818" s="3"/>
      <c r="M818" s="10"/>
    </row>
    <row r="819" spans="1:13" x14ac:dyDescent="0.35">
      <c r="A819" s="17"/>
      <c r="B819" s="16"/>
      <c r="C819"/>
      <c r="D819" s="16"/>
      <c r="E819"/>
      <c r="F819" s="16"/>
      <c r="I819" s="15"/>
      <c r="J819" s="1"/>
      <c r="K819" s="12"/>
      <c r="L819" s="3"/>
      <c r="M819" s="10"/>
    </row>
    <row r="820" spans="1:13" x14ac:dyDescent="0.35">
      <c r="A820" s="17"/>
      <c r="B820" s="16"/>
      <c r="C820"/>
      <c r="D820" s="16"/>
      <c r="E820"/>
      <c r="F820" s="16"/>
      <c r="I820" s="15"/>
      <c r="J820" s="1"/>
      <c r="K820" s="12"/>
      <c r="L820" s="3"/>
      <c r="M820" s="10"/>
    </row>
    <row r="821" spans="1:13" x14ac:dyDescent="0.35">
      <c r="A821" s="17"/>
      <c r="B821" s="16"/>
      <c r="C821"/>
      <c r="D821" s="16"/>
      <c r="E821"/>
      <c r="F821" s="16"/>
      <c r="I821" s="15"/>
      <c r="J821" s="1"/>
      <c r="K821" s="12"/>
      <c r="L821" s="3"/>
      <c r="M821" s="10"/>
    </row>
    <row r="822" spans="1:13" x14ac:dyDescent="0.35">
      <c r="A822" s="17"/>
      <c r="B822" s="16"/>
      <c r="C822"/>
      <c r="D822" s="16"/>
      <c r="E822"/>
      <c r="F822" s="16"/>
      <c r="I822" s="15"/>
      <c r="J822" s="1"/>
      <c r="K822" s="12"/>
      <c r="L822" s="3"/>
      <c r="M822" s="10"/>
    </row>
    <row r="823" spans="1:13" x14ac:dyDescent="0.35">
      <c r="A823" s="17"/>
      <c r="B823" s="16"/>
      <c r="C823"/>
      <c r="D823" s="16"/>
      <c r="E823"/>
      <c r="F823" s="16"/>
      <c r="I823" s="15"/>
      <c r="J823" s="1"/>
      <c r="K823" s="12"/>
      <c r="L823" s="3"/>
      <c r="M823" s="10"/>
    </row>
    <row r="824" spans="1:13" x14ac:dyDescent="0.35">
      <c r="A824" s="17"/>
      <c r="B824" s="16"/>
      <c r="C824"/>
      <c r="D824" s="16"/>
      <c r="E824"/>
      <c r="F824" s="16"/>
      <c r="I824" s="15"/>
      <c r="J824" s="1"/>
      <c r="K824" s="12"/>
      <c r="L824" s="3"/>
      <c r="M824" s="10"/>
    </row>
    <row r="825" spans="1:13" x14ac:dyDescent="0.35">
      <c r="A825" s="17"/>
      <c r="B825" s="16"/>
      <c r="C825"/>
      <c r="D825" s="16"/>
      <c r="E825"/>
      <c r="F825" s="16"/>
      <c r="I825" s="15"/>
      <c r="J825" s="1"/>
      <c r="K825" s="12"/>
      <c r="L825" s="3"/>
      <c r="M825" s="10"/>
    </row>
    <row r="826" spans="1:13" x14ac:dyDescent="0.35">
      <c r="A826" s="17"/>
      <c r="B826" s="16"/>
      <c r="C826"/>
      <c r="D826" s="16"/>
      <c r="E826"/>
      <c r="F826" s="16"/>
      <c r="I826" s="15"/>
      <c r="J826" s="1"/>
      <c r="K826" s="12"/>
      <c r="L826" s="3"/>
      <c r="M826" s="10"/>
    </row>
    <row r="827" spans="1:13" x14ac:dyDescent="0.35">
      <c r="A827" s="17"/>
      <c r="B827" s="16"/>
      <c r="C827"/>
      <c r="D827" s="16"/>
      <c r="E827"/>
      <c r="F827" s="16"/>
      <c r="I827" s="15"/>
      <c r="J827" s="1"/>
      <c r="K827" s="12"/>
      <c r="L827" s="3"/>
      <c r="M827" s="10"/>
    </row>
    <row r="828" spans="1:13" x14ac:dyDescent="0.35">
      <c r="A828" s="17"/>
      <c r="B828" s="16"/>
      <c r="C828"/>
      <c r="D828" s="16"/>
      <c r="E828"/>
      <c r="F828" s="16"/>
      <c r="I828" s="15"/>
      <c r="J828" s="1"/>
      <c r="K828" s="12"/>
      <c r="L828" s="3"/>
      <c r="M828" s="10"/>
    </row>
    <row r="829" spans="1:13" x14ac:dyDescent="0.35">
      <c r="A829" s="17"/>
      <c r="B829" s="16"/>
      <c r="C829"/>
      <c r="D829" s="16"/>
      <c r="E829"/>
      <c r="F829" s="16"/>
      <c r="I829" s="15"/>
      <c r="J829" s="1"/>
      <c r="K829" s="12"/>
      <c r="L829" s="3"/>
      <c r="M829" s="10"/>
    </row>
    <row r="830" spans="1:13" x14ac:dyDescent="0.35">
      <c r="A830" s="17"/>
      <c r="B830" s="16"/>
      <c r="C830"/>
      <c r="D830" s="16"/>
      <c r="E830"/>
      <c r="F830" s="16"/>
      <c r="I830" s="15"/>
      <c r="J830" s="1"/>
      <c r="K830" s="12"/>
      <c r="L830" s="3"/>
      <c r="M830" s="10"/>
    </row>
    <row r="831" spans="1:13" x14ac:dyDescent="0.35">
      <c r="A831" s="17"/>
      <c r="B831" s="16"/>
      <c r="C831"/>
      <c r="D831" s="16"/>
      <c r="E831"/>
      <c r="F831" s="16"/>
      <c r="I831" s="15"/>
      <c r="J831" s="1"/>
      <c r="K831" s="12"/>
      <c r="L831" s="3"/>
      <c r="M831" s="10"/>
    </row>
    <row r="832" spans="1:13" x14ac:dyDescent="0.35">
      <c r="A832" s="17"/>
      <c r="B832" s="16"/>
      <c r="C832"/>
      <c r="D832" s="16"/>
      <c r="E832"/>
      <c r="F832" s="16"/>
      <c r="I832" s="15"/>
      <c r="J832" s="1"/>
      <c r="K832" s="12"/>
      <c r="L832" s="3"/>
      <c r="M832" s="10"/>
    </row>
    <row r="833" spans="1:13" x14ac:dyDescent="0.35">
      <c r="A833" s="17"/>
      <c r="B833" s="16"/>
      <c r="C833"/>
      <c r="D833" s="16"/>
      <c r="E833"/>
      <c r="F833" s="16"/>
      <c r="I833" s="15"/>
      <c r="J833" s="1"/>
      <c r="K833" s="12"/>
      <c r="L833" s="3"/>
      <c r="M833" s="10"/>
    </row>
    <row r="834" spans="1:13" x14ac:dyDescent="0.35">
      <c r="A834" s="17"/>
      <c r="B834" s="16"/>
      <c r="C834"/>
      <c r="D834" s="16"/>
      <c r="E834"/>
      <c r="F834" s="16"/>
      <c r="I834" s="15"/>
      <c r="J834" s="1"/>
      <c r="K834" s="12"/>
      <c r="L834" s="3"/>
      <c r="M834" s="10"/>
    </row>
    <row r="835" spans="1:13" x14ac:dyDescent="0.35">
      <c r="A835" s="17"/>
      <c r="B835" s="16"/>
      <c r="C835"/>
      <c r="D835" s="16"/>
      <c r="E835"/>
      <c r="F835" s="16"/>
      <c r="I835" s="15"/>
      <c r="J835" s="1"/>
      <c r="K835" s="12"/>
      <c r="L835" s="3"/>
      <c r="M835" s="10"/>
    </row>
    <row r="836" spans="1:13" x14ac:dyDescent="0.35">
      <c r="A836" s="17"/>
      <c r="B836" s="16"/>
      <c r="C836"/>
      <c r="D836" s="16"/>
      <c r="E836"/>
      <c r="F836" s="16"/>
      <c r="I836" s="15"/>
      <c r="J836" s="1"/>
      <c r="K836" s="12"/>
      <c r="L836" s="3"/>
      <c r="M836" s="10"/>
    </row>
    <row r="837" spans="1:13" x14ac:dyDescent="0.35">
      <c r="A837" s="17"/>
      <c r="B837" s="16"/>
      <c r="C837"/>
      <c r="D837" s="16"/>
      <c r="E837"/>
      <c r="F837" s="16"/>
      <c r="I837" s="15"/>
      <c r="J837" s="1"/>
      <c r="K837" s="12"/>
      <c r="L837" s="3"/>
      <c r="M837" s="10"/>
    </row>
    <row r="838" spans="1:13" x14ac:dyDescent="0.35">
      <c r="A838" s="17"/>
      <c r="B838" s="16"/>
      <c r="C838"/>
      <c r="D838" s="16"/>
      <c r="E838"/>
      <c r="F838" s="16"/>
      <c r="I838" s="15"/>
      <c r="J838" s="1"/>
      <c r="K838" s="12"/>
      <c r="L838" s="3"/>
      <c r="M838" s="10"/>
    </row>
    <row r="839" spans="1:13" x14ac:dyDescent="0.35">
      <c r="A839" s="18"/>
      <c r="B839" s="16"/>
      <c r="C839"/>
      <c r="D839" s="16"/>
      <c r="E839"/>
      <c r="F839" s="16"/>
      <c r="I839" s="15"/>
      <c r="J839" s="1"/>
      <c r="K839" s="12"/>
      <c r="L839" s="3"/>
      <c r="M839" s="10"/>
    </row>
  </sheetData>
  <autoFilter ref="A1:M839" xr:uid="{7314B8E4-7729-4B64-B4CE-AFAB5F217797}">
    <sortState xmlns:xlrd2="http://schemas.microsoft.com/office/spreadsheetml/2017/richdata2" ref="A2:M1">
      <sortCondition ref="A1"/>
    </sortState>
  </autoFilter>
  <conditionalFormatting sqref="E1:E1048576">
    <cfRule type="duplicateValues" dxfId="1" priority="2"/>
  </conditionalFormatting>
  <conditionalFormatting sqref="E2:E20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2026-02-10T13:27:37Z</dcterms:modified>
</cp:coreProperties>
</file>