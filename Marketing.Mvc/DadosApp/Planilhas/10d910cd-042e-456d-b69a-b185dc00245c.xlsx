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20306\Downloads\"/>
    </mc:Choice>
  </mc:AlternateContent>
  <xr:revisionPtr revIDLastSave="0" documentId="13_ncr:1_{F4E85F76-785E-4845-BF23-A2A0E1E80C61}" xr6:coauthVersionLast="47" xr6:coauthVersionMax="47" xr10:uidLastSave="{00000000-0000-0000-0000-000000000000}"/>
  <bookViews>
    <workbookView xWindow="28680" yWindow="-120" windowWidth="29040" windowHeight="15720" tabRatio="291" xr2:uid="{DA1F6154-AC53-4911-A9C5-3093DE530DC8}"/>
  </bookViews>
  <sheets>
    <sheet name="Calculo_Cokenet_Bobs_2025" sheetId="1" r:id="rId1"/>
  </sheets>
  <definedNames>
    <definedName name="_xlnm._FilterDatabase" localSheetId="0" hidden="1">Calculo_Cokenet_Bobs_2025!$A$1:$K$1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9" i="1"/>
  <c r="K20" i="1"/>
  <c r="K21" i="1"/>
  <c r="K22" i="1"/>
  <c r="K23" i="1"/>
  <c r="K24" i="1"/>
  <c r="K25" i="1"/>
  <c r="K33" i="1"/>
  <c r="K34" i="1"/>
  <c r="K35" i="1"/>
  <c r="K36" i="1"/>
  <c r="K37" i="1"/>
  <c r="K38" i="1"/>
  <c r="K39" i="1"/>
  <c r="K47" i="1"/>
  <c r="K48" i="1"/>
  <c r="K49" i="1"/>
  <c r="K50" i="1"/>
  <c r="K51" i="1"/>
  <c r="K52" i="1"/>
  <c r="K53" i="1"/>
  <c r="K61" i="1"/>
  <c r="K62" i="1"/>
  <c r="K63" i="1"/>
  <c r="K64" i="1"/>
  <c r="K65" i="1"/>
  <c r="K66" i="1"/>
  <c r="K67" i="1"/>
  <c r="K75" i="1"/>
  <c r="K76" i="1"/>
  <c r="K77" i="1"/>
  <c r="K78" i="1"/>
  <c r="K79" i="1"/>
  <c r="K80" i="1"/>
  <c r="K81" i="1"/>
  <c r="K89" i="1"/>
  <c r="K90" i="1"/>
  <c r="K91" i="1"/>
  <c r="K92" i="1"/>
  <c r="K93" i="1"/>
  <c r="K94" i="1"/>
  <c r="K95" i="1"/>
  <c r="K103" i="1"/>
  <c r="K104" i="1"/>
  <c r="K105" i="1"/>
  <c r="K106" i="1"/>
  <c r="K107" i="1"/>
  <c r="K108" i="1"/>
  <c r="K109" i="1"/>
  <c r="K117" i="1"/>
  <c r="K118" i="1"/>
  <c r="K119" i="1"/>
  <c r="K120" i="1"/>
  <c r="K121" i="1"/>
  <c r="K122" i="1"/>
  <c r="K123" i="1"/>
  <c r="K131" i="1"/>
  <c r="K132" i="1"/>
  <c r="K133" i="1"/>
  <c r="K134" i="1"/>
  <c r="K135" i="1"/>
  <c r="K136" i="1"/>
  <c r="K137" i="1"/>
  <c r="K145" i="1"/>
  <c r="K146" i="1"/>
  <c r="K147" i="1"/>
  <c r="K148" i="1"/>
  <c r="K149" i="1"/>
  <c r="K150" i="1"/>
  <c r="K151" i="1"/>
  <c r="K159" i="1"/>
  <c r="K160" i="1"/>
  <c r="K161" i="1"/>
  <c r="K162" i="1"/>
  <c r="K163" i="1"/>
  <c r="K164" i="1"/>
  <c r="K165" i="1"/>
  <c r="K173" i="1"/>
  <c r="K174" i="1"/>
  <c r="K175" i="1"/>
  <c r="K176" i="1"/>
  <c r="K177" i="1"/>
  <c r="K178" i="1"/>
  <c r="K179" i="1"/>
  <c r="K187" i="1"/>
  <c r="K188" i="1"/>
  <c r="K189" i="1"/>
  <c r="K190" i="1"/>
  <c r="K191" i="1"/>
  <c r="K192" i="1"/>
  <c r="K193" i="1"/>
  <c r="K201" i="1"/>
  <c r="K202" i="1"/>
  <c r="K203" i="1"/>
  <c r="K204" i="1"/>
  <c r="K205" i="1"/>
  <c r="K206" i="1"/>
  <c r="K207" i="1"/>
  <c r="K215" i="1"/>
  <c r="K216" i="1"/>
  <c r="K217" i="1"/>
  <c r="K218" i="1"/>
  <c r="K219" i="1"/>
  <c r="K220" i="1"/>
  <c r="K221" i="1"/>
  <c r="K229" i="1"/>
  <c r="K230" i="1"/>
  <c r="K231" i="1"/>
  <c r="K232" i="1"/>
  <c r="K233" i="1"/>
  <c r="K234" i="1"/>
  <c r="K235" i="1"/>
  <c r="K243" i="1"/>
  <c r="K244" i="1"/>
  <c r="K245" i="1"/>
  <c r="K246" i="1"/>
  <c r="K247" i="1"/>
  <c r="K248" i="1"/>
  <c r="K249" i="1"/>
  <c r="K257" i="1"/>
  <c r="K258" i="1"/>
  <c r="K259" i="1"/>
  <c r="K260" i="1"/>
  <c r="K261" i="1"/>
  <c r="K262" i="1"/>
  <c r="K263" i="1"/>
  <c r="K271" i="1"/>
  <c r="K272" i="1"/>
  <c r="K273" i="1"/>
  <c r="K274" i="1"/>
  <c r="K275" i="1"/>
  <c r="K276" i="1"/>
  <c r="K277" i="1"/>
  <c r="K285" i="1"/>
  <c r="K286" i="1"/>
  <c r="K287" i="1"/>
  <c r="K288" i="1"/>
  <c r="K289" i="1"/>
  <c r="K290" i="1"/>
  <c r="K291" i="1"/>
  <c r="K299" i="1"/>
  <c r="K300" i="1"/>
  <c r="K301" i="1"/>
  <c r="K302" i="1"/>
  <c r="K303" i="1"/>
  <c r="K304" i="1"/>
  <c r="K305" i="1"/>
  <c r="K313" i="1"/>
  <c r="K314" i="1"/>
  <c r="K315" i="1"/>
  <c r="K316" i="1"/>
  <c r="K317" i="1"/>
  <c r="K318" i="1"/>
  <c r="K319" i="1"/>
  <c r="K327" i="1"/>
  <c r="K328" i="1"/>
  <c r="K329" i="1"/>
  <c r="K330" i="1"/>
  <c r="K331" i="1"/>
  <c r="K332" i="1"/>
  <c r="K333" i="1"/>
  <c r="K341" i="1"/>
  <c r="K342" i="1"/>
  <c r="K343" i="1"/>
  <c r="K344" i="1"/>
  <c r="K345" i="1"/>
  <c r="K346" i="1"/>
  <c r="K347" i="1"/>
  <c r="K355" i="1"/>
  <c r="K356" i="1"/>
  <c r="K357" i="1"/>
  <c r="K358" i="1"/>
  <c r="K359" i="1"/>
  <c r="K360" i="1"/>
  <c r="K361" i="1"/>
  <c r="K369" i="1"/>
  <c r="K370" i="1"/>
  <c r="K371" i="1"/>
  <c r="K372" i="1"/>
  <c r="K373" i="1"/>
  <c r="K374" i="1"/>
  <c r="K375" i="1"/>
  <c r="K383" i="1"/>
  <c r="K384" i="1"/>
  <c r="K385" i="1"/>
  <c r="K386" i="1"/>
  <c r="K387" i="1"/>
  <c r="K388" i="1"/>
  <c r="K389" i="1"/>
  <c r="K397" i="1"/>
  <c r="K398" i="1"/>
  <c r="K399" i="1"/>
  <c r="K400" i="1"/>
  <c r="K401" i="1"/>
  <c r="K402" i="1"/>
  <c r="K403" i="1"/>
  <c r="K411" i="1"/>
  <c r="K412" i="1"/>
  <c r="K413" i="1"/>
  <c r="K414" i="1"/>
  <c r="K415" i="1"/>
  <c r="K416" i="1"/>
  <c r="K417" i="1"/>
  <c r="K425" i="1"/>
  <c r="K426" i="1"/>
  <c r="K427" i="1"/>
  <c r="K428" i="1"/>
  <c r="K429" i="1"/>
  <c r="K430" i="1"/>
  <c r="K431" i="1"/>
  <c r="K439" i="1"/>
  <c r="K440" i="1"/>
  <c r="K441" i="1"/>
  <c r="K442" i="1"/>
  <c r="K443" i="1"/>
  <c r="K444" i="1"/>
  <c r="K445" i="1"/>
  <c r="K453" i="1"/>
  <c r="K454" i="1"/>
  <c r="K455" i="1"/>
  <c r="K456" i="1"/>
  <c r="K457" i="1"/>
  <c r="J3" i="1"/>
  <c r="K3" i="1" s="1"/>
  <c r="J4" i="1"/>
  <c r="K4" i="1" s="1"/>
  <c r="J5" i="1"/>
  <c r="J6" i="1"/>
  <c r="J7" i="1"/>
  <c r="J8" i="1"/>
  <c r="J9" i="1"/>
  <c r="J10" i="1"/>
  <c r="J11" i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J20" i="1"/>
  <c r="J21" i="1"/>
  <c r="J22" i="1"/>
  <c r="J23" i="1"/>
  <c r="J24" i="1"/>
  <c r="J25" i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J34" i="1"/>
  <c r="J35" i="1"/>
  <c r="J36" i="1"/>
  <c r="J37" i="1"/>
  <c r="J38" i="1"/>
  <c r="J39" i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J48" i="1"/>
  <c r="J49" i="1"/>
  <c r="J50" i="1"/>
  <c r="J51" i="1"/>
  <c r="J52" i="1"/>
  <c r="J53" i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J62" i="1"/>
  <c r="J63" i="1"/>
  <c r="J64" i="1"/>
  <c r="J65" i="1"/>
  <c r="J66" i="1"/>
  <c r="J67" i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J76" i="1"/>
  <c r="J77" i="1"/>
  <c r="J78" i="1"/>
  <c r="J79" i="1"/>
  <c r="J80" i="1"/>
  <c r="J81" i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J90" i="1"/>
  <c r="J91" i="1"/>
  <c r="J92" i="1"/>
  <c r="J93" i="1"/>
  <c r="J94" i="1"/>
  <c r="J95" i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J104" i="1"/>
  <c r="J105" i="1"/>
  <c r="J106" i="1"/>
  <c r="J107" i="1"/>
  <c r="J108" i="1"/>
  <c r="J109" i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J118" i="1"/>
  <c r="J119" i="1"/>
  <c r="J120" i="1"/>
  <c r="J121" i="1"/>
  <c r="J122" i="1"/>
  <c r="J123" i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J132" i="1"/>
  <c r="J133" i="1"/>
  <c r="J134" i="1"/>
  <c r="J135" i="1"/>
  <c r="J136" i="1"/>
  <c r="J137" i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J146" i="1"/>
  <c r="J147" i="1"/>
  <c r="J148" i="1"/>
  <c r="J149" i="1"/>
  <c r="J150" i="1"/>
  <c r="J151" i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J160" i="1"/>
  <c r="J161" i="1"/>
  <c r="J162" i="1"/>
  <c r="J163" i="1"/>
  <c r="J164" i="1"/>
  <c r="J165" i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J174" i="1"/>
  <c r="J175" i="1"/>
  <c r="J176" i="1"/>
  <c r="J177" i="1"/>
  <c r="J178" i="1"/>
  <c r="J179" i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J188" i="1"/>
  <c r="J189" i="1"/>
  <c r="J190" i="1"/>
  <c r="J191" i="1"/>
  <c r="J192" i="1"/>
  <c r="J193" i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J202" i="1"/>
  <c r="J203" i="1"/>
  <c r="J204" i="1"/>
  <c r="J205" i="1"/>
  <c r="J206" i="1"/>
  <c r="J207" i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J216" i="1"/>
  <c r="J217" i="1"/>
  <c r="J218" i="1"/>
  <c r="J219" i="1"/>
  <c r="J220" i="1"/>
  <c r="J221" i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J230" i="1"/>
  <c r="J231" i="1"/>
  <c r="J232" i="1"/>
  <c r="J233" i="1"/>
  <c r="J234" i="1"/>
  <c r="J235" i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J244" i="1"/>
  <c r="J245" i="1"/>
  <c r="J246" i="1"/>
  <c r="J247" i="1"/>
  <c r="J248" i="1"/>
  <c r="J249" i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J258" i="1"/>
  <c r="J259" i="1"/>
  <c r="J260" i="1"/>
  <c r="J261" i="1"/>
  <c r="J262" i="1"/>
  <c r="J263" i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J272" i="1"/>
  <c r="J273" i="1"/>
  <c r="J274" i="1"/>
  <c r="J275" i="1"/>
  <c r="J276" i="1"/>
  <c r="J277" i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J286" i="1"/>
  <c r="J287" i="1"/>
  <c r="J288" i="1"/>
  <c r="J289" i="1"/>
  <c r="J290" i="1"/>
  <c r="J291" i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J300" i="1"/>
  <c r="J301" i="1"/>
  <c r="J302" i="1"/>
  <c r="J303" i="1"/>
  <c r="J304" i="1"/>
  <c r="J305" i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J314" i="1"/>
  <c r="J315" i="1"/>
  <c r="J316" i="1"/>
  <c r="J317" i="1"/>
  <c r="J318" i="1"/>
  <c r="J319" i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J328" i="1"/>
  <c r="J329" i="1"/>
  <c r="J330" i="1"/>
  <c r="J331" i="1"/>
  <c r="J332" i="1"/>
  <c r="J333" i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J342" i="1"/>
  <c r="J343" i="1"/>
  <c r="J344" i="1"/>
  <c r="J345" i="1"/>
  <c r="J346" i="1"/>
  <c r="J347" i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J356" i="1"/>
  <c r="J357" i="1"/>
  <c r="J358" i="1"/>
  <c r="J359" i="1"/>
  <c r="J360" i="1"/>
  <c r="J361" i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J370" i="1"/>
  <c r="J371" i="1"/>
  <c r="J372" i="1"/>
  <c r="J373" i="1"/>
  <c r="J374" i="1"/>
  <c r="J375" i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J384" i="1"/>
  <c r="J385" i="1"/>
  <c r="J386" i="1"/>
  <c r="J387" i="1"/>
  <c r="J388" i="1"/>
  <c r="J389" i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J398" i="1"/>
  <c r="J399" i="1"/>
  <c r="J400" i="1"/>
  <c r="J401" i="1"/>
  <c r="J402" i="1"/>
  <c r="J403" i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J412" i="1"/>
  <c r="J413" i="1"/>
  <c r="J414" i="1"/>
  <c r="J415" i="1"/>
  <c r="J416" i="1"/>
  <c r="J417" i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J426" i="1"/>
  <c r="J427" i="1"/>
  <c r="J428" i="1"/>
  <c r="J429" i="1"/>
  <c r="J430" i="1"/>
  <c r="J431" i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J440" i="1"/>
  <c r="J441" i="1"/>
  <c r="J442" i="1"/>
  <c r="J443" i="1"/>
  <c r="J444" i="1"/>
  <c r="J445" i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J454" i="1"/>
  <c r="J455" i="1"/>
  <c r="J456" i="1"/>
  <c r="J457" i="1"/>
  <c r="J2" i="1"/>
  <c r="K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I1" authorId="0" shapeId="0" xr:uid="{BEC8733D-57A5-49F1-A0EB-251D12614B80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<sst xmlns="http://schemas.openxmlformats.org/spreadsheetml/2006/main" count="1379" uniqueCount="924">
  <si>
    <t>CNPJ</t>
  </si>
  <si>
    <t>SHOPPING METROPOLE ANANINDEUA</t>
  </si>
  <si>
    <t>BARRA MANSA</t>
  </si>
  <si>
    <t>PAULO AFONSO</t>
  </si>
  <si>
    <t>08516131000138</t>
  </si>
  <si>
    <t>09418493000159</t>
  </si>
  <si>
    <t>04623065000144</t>
  </si>
  <si>
    <t>04811199000199</t>
  </si>
  <si>
    <t>01625333000179</t>
  </si>
  <si>
    <t>02999371000154</t>
  </si>
  <si>
    <t>02307888000135</t>
  </si>
  <si>
    <t>85407526000143</t>
  </si>
  <si>
    <t>03964769000118</t>
  </si>
  <si>
    <t>00111032000164</t>
  </si>
  <si>
    <t>04145770000183</t>
  </si>
  <si>
    <t>12958296000137</t>
  </si>
  <si>
    <t>03888580000274</t>
  </si>
  <si>
    <t>11623659001192</t>
  </si>
  <si>
    <t>11623659000625</t>
  </si>
  <si>
    <t>11623659000897</t>
  </si>
  <si>
    <t>11623659000110</t>
  </si>
  <si>
    <t>11623659000544</t>
  </si>
  <si>
    <t>11623659001354</t>
  </si>
  <si>
    <t>06880886000191</t>
  </si>
  <si>
    <t>08996982000125</t>
  </si>
  <si>
    <t>05510471000163</t>
  </si>
  <si>
    <t>15844408000117</t>
  </si>
  <si>
    <t>10676472000112</t>
  </si>
  <si>
    <t>05747437000107</t>
  </si>
  <si>
    <t>17167304000140</t>
  </si>
  <si>
    <t>22693793000104</t>
  </si>
  <si>
    <t>23669633000273</t>
  </si>
  <si>
    <t>08342951000150</t>
  </si>
  <si>
    <t>11597336000108</t>
  </si>
  <si>
    <t>07020734000181</t>
  </si>
  <si>
    <t>05901946000495</t>
  </si>
  <si>
    <t>03463925000167</t>
  </si>
  <si>
    <t>02098924000106</t>
  </si>
  <si>
    <t>06317735000120</t>
  </si>
  <si>
    <t>12099803000124</t>
  </si>
  <si>
    <t>10275591000163</t>
  </si>
  <si>
    <t>11341185000203</t>
  </si>
  <si>
    <t>09168586000172</t>
  </si>
  <si>
    <t>11440164000156</t>
  </si>
  <si>
    <t>05865927000108</t>
  </si>
  <si>
    <t>12570071000109</t>
  </si>
  <si>
    <t>11711834000121</t>
  </si>
  <si>
    <t>10260221000152</t>
  </si>
  <si>
    <t>02249408000127</t>
  </si>
  <si>
    <t>12150440000104</t>
  </si>
  <si>
    <t>02970642000149</t>
  </si>
  <si>
    <t>10923184000115</t>
  </si>
  <si>
    <t>11943753000157</t>
  </si>
  <si>
    <t>07355166000250</t>
  </si>
  <si>
    <t>04336815000105</t>
  </si>
  <si>
    <t>07150842000179</t>
  </si>
  <si>
    <t>09646596000176</t>
  </si>
  <si>
    <t>07944455000376</t>
  </si>
  <si>
    <t>05886186000141</t>
  </si>
  <si>
    <t>06173693000109</t>
  </si>
  <si>
    <t>10676472000384</t>
  </si>
  <si>
    <t>05348267000198</t>
  </si>
  <si>
    <t>04135820000141</t>
  </si>
  <si>
    <t>07052234000121</t>
  </si>
  <si>
    <t>88725122000196</t>
  </si>
  <si>
    <t>08257635000180</t>
  </si>
  <si>
    <t>86894953001219</t>
  </si>
  <si>
    <t>02112477000194</t>
  </si>
  <si>
    <t>34002337000150</t>
  </si>
  <si>
    <t>34147157000166</t>
  </si>
  <si>
    <t>07592732000167</t>
  </si>
  <si>
    <t>02274630000180</t>
  </si>
  <si>
    <t>72408842000198</t>
  </si>
  <si>
    <t>28410090000450</t>
  </si>
  <si>
    <t>28410090001007</t>
  </si>
  <si>
    <t>28410090000299</t>
  </si>
  <si>
    <t>28410090000701</t>
  </si>
  <si>
    <t>28410090001694</t>
  </si>
  <si>
    <t>08227203000127</t>
  </si>
  <si>
    <t>14065663000107</t>
  </si>
  <si>
    <t>13990914000199</t>
  </si>
  <si>
    <t>28410090002585</t>
  </si>
  <si>
    <t>10653980000347</t>
  </si>
  <si>
    <t>19275150000136</t>
  </si>
  <si>
    <t>11673384000120</t>
  </si>
  <si>
    <t>13258642000137</t>
  </si>
  <si>
    <t>05148042000350</t>
  </si>
  <si>
    <t>14593656000170</t>
  </si>
  <si>
    <t>07163252000180</t>
  </si>
  <si>
    <t>13734062000179</t>
  </si>
  <si>
    <t>10676472001194</t>
  </si>
  <si>
    <t>11046789000219</t>
  </si>
  <si>
    <t>21487206000168</t>
  </si>
  <si>
    <t>16625169000177</t>
  </si>
  <si>
    <t>15378735000120</t>
  </si>
  <si>
    <t>15338370000100</t>
  </si>
  <si>
    <t>11623659001605</t>
  </si>
  <si>
    <t>16912039000115</t>
  </si>
  <si>
    <t>16941986000134</t>
  </si>
  <si>
    <t>17153150000138</t>
  </si>
  <si>
    <t>17425892000175</t>
  </si>
  <si>
    <t>17337995000183</t>
  </si>
  <si>
    <t>16982932000117</t>
  </si>
  <si>
    <t>02970642000572</t>
  </si>
  <si>
    <t>86894953001561</t>
  </si>
  <si>
    <t>10222676000779</t>
  </si>
  <si>
    <t>18836016000102</t>
  </si>
  <si>
    <t>17074316000120</t>
  </si>
  <si>
    <t>19050958000115</t>
  </si>
  <si>
    <t>17765953000143</t>
  </si>
  <si>
    <t>18145881000102</t>
  </si>
  <si>
    <t>16941986000568</t>
  </si>
  <si>
    <t>10222676000850</t>
  </si>
  <si>
    <t>28410090002909</t>
  </si>
  <si>
    <t>18700235000151</t>
  </si>
  <si>
    <t>19092026000135</t>
  </si>
  <si>
    <t>18627204000112</t>
  </si>
  <si>
    <t>10872589000171</t>
  </si>
  <si>
    <t>19051696000103</t>
  </si>
  <si>
    <t>17389659000184</t>
  </si>
  <si>
    <t>19351783000186</t>
  </si>
  <si>
    <t>28410090003123</t>
  </si>
  <si>
    <t>20585817000186</t>
  </si>
  <si>
    <t>19343720000188</t>
  </si>
  <si>
    <t>19737456000167</t>
  </si>
  <si>
    <t>01527095000169</t>
  </si>
  <si>
    <t>01527095000320</t>
  </si>
  <si>
    <t>07875492000108</t>
  </si>
  <si>
    <t>02970642000653</t>
  </si>
  <si>
    <t>10676472002085</t>
  </si>
  <si>
    <t>21229530000186</t>
  </si>
  <si>
    <t>20948617000140</t>
  </si>
  <si>
    <t>13363636000301</t>
  </si>
  <si>
    <t>08608577000192</t>
  </si>
  <si>
    <t>20712843000128</t>
  </si>
  <si>
    <t>07803359000146</t>
  </si>
  <si>
    <t>19850180000129</t>
  </si>
  <si>
    <t>08412044000300</t>
  </si>
  <si>
    <t>22353960000178</t>
  </si>
  <si>
    <t>20866404000170</t>
  </si>
  <si>
    <t>21455614000138</t>
  </si>
  <si>
    <t>10676472002328</t>
  </si>
  <si>
    <t>09416665000155</t>
  </si>
  <si>
    <t>22938322000119</t>
  </si>
  <si>
    <t>14254829000478</t>
  </si>
  <si>
    <t>02905110034537</t>
  </si>
  <si>
    <t>23145989000127</t>
  </si>
  <si>
    <t>02827158000165</t>
  </si>
  <si>
    <t>19092026000216</t>
  </si>
  <si>
    <t>23794288000119</t>
  </si>
  <si>
    <t>24183128000104</t>
  </si>
  <si>
    <t>24348212000122</t>
  </si>
  <si>
    <t>22377638000189</t>
  </si>
  <si>
    <t>24303795000175</t>
  </si>
  <si>
    <t>23024642000126</t>
  </si>
  <si>
    <t>20766726000147</t>
  </si>
  <si>
    <t>02905110011324</t>
  </si>
  <si>
    <t>19322733000251</t>
  </si>
  <si>
    <t>19425224000173</t>
  </si>
  <si>
    <t>00154642000226</t>
  </si>
  <si>
    <t>24767408000151</t>
  </si>
  <si>
    <t>26528287000110</t>
  </si>
  <si>
    <t>21020192000178</t>
  </si>
  <si>
    <t>20529881000140</t>
  </si>
  <si>
    <t>27102365000183</t>
  </si>
  <si>
    <t>23228362000130</t>
  </si>
  <si>
    <t>24525645000106</t>
  </si>
  <si>
    <t>07476524000100</t>
  </si>
  <si>
    <t>07895819000103</t>
  </si>
  <si>
    <t>24501034000128</t>
  </si>
  <si>
    <t>27765252000168</t>
  </si>
  <si>
    <t>23669633000192</t>
  </si>
  <si>
    <t>20137922000152</t>
  </si>
  <si>
    <t>04618387000529</t>
  </si>
  <si>
    <t>01527095000754</t>
  </si>
  <si>
    <t>28783123000165</t>
  </si>
  <si>
    <t>27795281000172</t>
  </si>
  <si>
    <t>04380939000341</t>
  </si>
  <si>
    <t>10676472000201</t>
  </si>
  <si>
    <t>25914235000209</t>
  </si>
  <si>
    <t>09065192000199</t>
  </si>
  <si>
    <t>29989356000181</t>
  </si>
  <si>
    <t>30156379000194</t>
  </si>
  <si>
    <t>30017380000138</t>
  </si>
  <si>
    <t>29057811000100</t>
  </si>
  <si>
    <t>18164393000215</t>
  </si>
  <si>
    <t>28834097000157</t>
  </si>
  <si>
    <t>30116637000109</t>
  </si>
  <si>
    <t>31435871000161</t>
  </si>
  <si>
    <t>31331392000103</t>
  </si>
  <si>
    <t>30382593000169</t>
  </si>
  <si>
    <t>28763591000178</t>
  </si>
  <si>
    <t>31366434000133</t>
  </si>
  <si>
    <t>08732647000110</t>
  </si>
  <si>
    <t>06090894000134</t>
  </si>
  <si>
    <t>06090894000800</t>
  </si>
  <si>
    <t>32535915000198</t>
  </si>
  <si>
    <t>13258642000722</t>
  </si>
  <si>
    <t>06090894001378</t>
  </si>
  <si>
    <t>13258642001109</t>
  </si>
  <si>
    <t>33553578000124</t>
  </si>
  <si>
    <t>06090894001530</t>
  </si>
  <si>
    <t>32502659000132</t>
  </si>
  <si>
    <t>33821655000180</t>
  </si>
  <si>
    <t>32830855000136</t>
  </si>
  <si>
    <t>31049376000114</t>
  </si>
  <si>
    <t>33825394000176</t>
  </si>
  <si>
    <t>10222676001317</t>
  </si>
  <si>
    <t>34686210000105</t>
  </si>
  <si>
    <t>32678753000147</t>
  </si>
  <si>
    <t>34335974000148</t>
  </si>
  <si>
    <t>10222676001821</t>
  </si>
  <si>
    <t>12701013000177</t>
  </si>
  <si>
    <t>35519019000123</t>
  </si>
  <si>
    <t>35265860000131</t>
  </si>
  <si>
    <t>35061097000127</t>
  </si>
  <si>
    <t>28190071000113</t>
  </si>
  <si>
    <t>12424905000178</t>
  </si>
  <si>
    <t>10222676002208</t>
  </si>
  <si>
    <t>10222676003441</t>
  </si>
  <si>
    <t>35933974000102</t>
  </si>
  <si>
    <t>35581684000147</t>
  </si>
  <si>
    <t>10222676002550</t>
  </si>
  <si>
    <t>10222676001902</t>
  </si>
  <si>
    <t>36232832000180</t>
  </si>
  <si>
    <t>28048253000669</t>
  </si>
  <si>
    <t>28048253000820</t>
  </si>
  <si>
    <t>30557247000174</t>
  </si>
  <si>
    <t>10222676003956</t>
  </si>
  <si>
    <t>25070219000198</t>
  </si>
  <si>
    <t>37820854000124</t>
  </si>
  <si>
    <t>36064094000100</t>
  </si>
  <si>
    <t>10222676002984</t>
  </si>
  <si>
    <t>10222676005061</t>
  </si>
  <si>
    <t>04497084000171</t>
  </si>
  <si>
    <t>10259212000141</t>
  </si>
  <si>
    <t>29750323000184</t>
  </si>
  <si>
    <t>13258642001702</t>
  </si>
  <si>
    <t>39565822000155</t>
  </si>
  <si>
    <t>37965862000169</t>
  </si>
  <si>
    <t>36125668000102</t>
  </si>
  <si>
    <t>13258642002008</t>
  </si>
  <si>
    <t>31353514000154</t>
  </si>
  <si>
    <t>10222676006033</t>
  </si>
  <si>
    <t>10222676006114</t>
  </si>
  <si>
    <t>38464341000190</t>
  </si>
  <si>
    <t>37604336000173</t>
  </si>
  <si>
    <t>42122589000140</t>
  </si>
  <si>
    <t>10222676006386</t>
  </si>
  <si>
    <t>10222676006629</t>
  </si>
  <si>
    <t>41955484000100</t>
  </si>
  <si>
    <t>10222676004413</t>
  </si>
  <si>
    <t>86894953002967</t>
  </si>
  <si>
    <t>86894953002533</t>
  </si>
  <si>
    <t>33734557000881</t>
  </si>
  <si>
    <t>86894953001804</t>
  </si>
  <si>
    <t>86894953001723</t>
  </si>
  <si>
    <t>86894953002452</t>
  </si>
  <si>
    <t>18581949000198</t>
  </si>
  <si>
    <t>86894953002371</t>
  </si>
  <si>
    <t>86894953002886</t>
  </si>
  <si>
    <t>42253387000138</t>
  </si>
  <si>
    <t>42996382000103</t>
  </si>
  <si>
    <t>43173172000170</t>
  </si>
  <si>
    <t>42187573000116</t>
  </si>
  <si>
    <t>13108363000278</t>
  </si>
  <si>
    <t>41814387000105</t>
  </si>
  <si>
    <t>42228126000168</t>
  </si>
  <si>
    <t>20612306000106</t>
  </si>
  <si>
    <t>10222676006890</t>
  </si>
  <si>
    <t>43682454000100</t>
  </si>
  <si>
    <t>43730320000100</t>
  </si>
  <si>
    <t>39269773000103</t>
  </si>
  <si>
    <t>11623659002407</t>
  </si>
  <si>
    <t>11623659001940</t>
  </si>
  <si>
    <t>11623659002245</t>
  </si>
  <si>
    <t>11623659001869</t>
  </si>
  <si>
    <t>44464125000148</t>
  </si>
  <si>
    <t>16941986000487</t>
  </si>
  <si>
    <t>37709986000264</t>
  </si>
  <si>
    <t>39966964000124</t>
  </si>
  <si>
    <t>43908394000193</t>
  </si>
  <si>
    <t>86894953003262</t>
  </si>
  <si>
    <t>45176990000151</t>
  </si>
  <si>
    <t>02905110011405</t>
  </si>
  <si>
    <t>02905110024574</t>
  </si>
  <si>
    <t>86894953002290</t>
  </si>
  <si>
    <t>43537135000101</t>
  </si>
  <si>
    <t>44935266000100</t>
  </si>
  <si>
    <t>45357130000114</t>
  </si>
  <si>
    <t>46564955000172</t>
  </si>
  <si>
    <t>42726001000168</t>
  </si>
  <si>
    <t>46906316000148</t>
  </si>
  <si>
    <t>29664997000166</t>
  </si>
  <si>
    <t>44634649000130</t>
  </si>
  <si>
    <t>10676472002670</t>
  </si>
  <si>
    <t>13258642002180</t>
  </si>
  <si>
    <t>13258642002342</t>
  </si>
  <si>
    <t>47993646000180</t>
  </si>
  <si>
    <t>10222676006971</t>
  </si>
  <si>
    <t>39833933000103</t>
  </si>
  <si>
    <t>47994864000130</t>
  </si>
  <si>
    <t>35227717000155</t>
  </si>
  <si>
    <t>18164393000304</t>
  </si>
  <si>
    <t>07330133000256</t>
  </si>
  <si>
    <t>47237200000126</t>
  </si>
  <si>
    <t>42726001000249</t>
  </si>
  <si>
    <t>07862984000169</t>
  </si>
  <si>
    <t>48630401000151</t>
  </si>
  <si>
    <t>48460996000144</t>
  </si>
  <si>
    <t>10222676004502</t>
  </si>
  <si>
    <t>37820854000477</t>
  </si>
  <si>
    <t>13258642002423</t>
  </si>
  <si>
    <t>37820854000205</t>
  </si>
  <si>
    <t>48592313000102</t>
  </si>
  <si>
    <t>48397059000191</t>
  </si>
  <si>
    <t>71833552017366</t>
  </si>
  <si>
    <t>48766590000194</t>
  </si>
  <si>
    <t>15815603000542</t>
  </si>
  <si>
    <t>14152707000551</t>
  </si>
  <si>
    <t>44389878000136</t>
  </si>
  <si>
    <t>45876300000177</t>
  </si>
  <si>
    <t>42670126000113</t>
  </si>
  <si>
    <t>86894953004315</t>
  </si>
  <si>
    <t>48963314000116</t>
  </si>
  <si>
    <t>42667718000186</t>
  </si>
  <si>
    <t>04366036000144</t>
  </si>
  <si>
    <t>49722469000123</t>
  </si>
  <si>
    <t>46005863000152</t>
  </si>
  <si>
    <t>49963701000115</t>
  </si>
  <si>
    <t>42726001000672</t>
  </si>
  <si>
    <t>35933974000293</t>
  </si>
  <si>
    <t>50675203000156</t>
  </si>
  <si>
    <t>50473186000174</t>
  </si>
  <si>
    <t>49198705000154</t>
  </si>
  <si>
    <t>50216957000148</t>
  </si>
  <si>
    <t>48439153000166</t>
  </si>
  <si>
    <t>50217685000109</t>
  </si>
  <si>
    <t>49864854000105</t>
  </si>
  <si>
    <t>51154542000150</t>
  </si>
  <si>
    <t>16941986001106</t>
  </si>
  <si>
    <t>16625169000258</t>
  </si>
  <si>
    <t>30794908000266</t>
  </si>
  <si>
    <t>42726001000753</t>
  </si>
  <si>
    <t>47514712000192</t>
  </si>
  <si>
    <t>51059275000131</t>
  </si>
  <si>
    <t>46438300000581</t>
  </si>
  <si>
    <t>45202973000141</t>
  </si>
  <si>
    <t>51850398000196</t>
  </si>
  <si>
    <t>SHOPPING TERESÓPOLIS</t>
  </si>
  <si>
    <t>RUA HALFELD</t>
  </si>
  <si>
    <t>HIPER ANGELONI CAPOEIRAS</t>
  </si>
  <si>
    <t>SHOPPING CRICIUMA SHOPPING</t>
  </si>
  <si>
    <t>SHOPPING ITAGUACU SHOPPING</t>
  </si>
  <si>
    <t>HIPER ANGELONI BEIRA MAR</t>
  </si>
  <si>
    <t>SHOPPING BEIRA MAR SHOPPING</t>
  </si>
  <si>
    <t>RUA TRAJANO</t>
  </si>
  <si>
    <t>SHOPPING ITAJAI SHOPPING</t>
  </si>
  <si>
    <t>POSTO SHELL ANGELONI</t>
  </si>
  <si>
    <t>SHOPPING BALNEARIO CAMBORIU SHOPPING</t>
  </si>
  <si>
    <t>SHOPPING CASA FORTE SHOPPING</t>
  </si>
  <si>
    <t>SHOPPING GUARARAPES SHOPPING</t>
  </si>
  <si>
    <t>SHOPPING RECIFE SHOPPING IV ETAPA</t>
  </si>
  <si>
    <t>SHOPPING RECIFE SHOPPING I ETAPA</t>
  </si>
  <si>
    <t>SHOPPING TACARUNA SHOPPING</t>
  </si>
  <si>
    <t>TERMINAL RODOVIARIO TIP</t>
  </si>
  <si>
    <t>SHOPPING JL CASCAVEL SHOPPING</t>
  </si>
  <si>
    <t>SHOPPING CATARATAS JL SHOPPING</t>
  </si>
  <si>
    <t>ITAPERUNA CENTRO</t>
  </si>
  <si>
    <t>SHOPPING PALLADIUM PONTA GROSSA SHOPPING</t>
  </si>
  <si>
    <t>SHOPPING PANTANAL SHOPPING</t>
  </si>
  <si>
    <t>MANAUARA SHOPPING</t>
  </si>
  <si>
    <t>RUA COMPLEXO AIRTON SENNA</t>
  </si>
  <si>
    <t>DRIVE CACOAL</t>
  </si>
  <si>
    <t>DRIVE AVENIDA GETULIO VARGAS</t>
  </si>
  <si>
    <t>BOBS BURGER SHOPPING SAO LUIS - MA</t>
  </si>
  <si>
    <t>DRIVE PARQUE MATERNIDADE</t>
  </si>
  <si>
    <t>SHOPPING VIA CATARINA SHOPPING</t>
  </si>
  <si>
    <t>SHOPPING VALE SUL SHOPPING</t>
  </si>
  <si>
    <t>ÁGUAS CLARAS DF SHOPPING</t>
  </si>
  <si>
    <t>PARK SHOPPING</t>
  </si>
  <si>
    <t>SHOPPING CONJUNTO NACIONAL BRASÍLIA</t>
  </si>
  <si>
    <t>SHOPPING ALAMEDA</t>
  </si>
  <si>
    <t>SHOPPING ARICANDUVA SP</t>
  </si>
  <si>
    <t>SHOPPING PÁTIO DIVINÓPOLIS</t>
  </si>
  <si>
    <t>JARAGUA DO SUL PARK SHOPPING</t>
  </si>
  <si>
    <t>SHOPPING METRO ITAQUERA SHOPPING</t>
  </si>
  <si>
    <t>SHOPPING MACAPA SHOPPING</t>
  </si>
  <si>
    <t>DRIVE JOQUEI TERESINA</t>
  </si>
  <si>
    <t>AV PRESIDENTE VARGAS - CASTANHAL</t>
  </si>
  <si>
    <t>SHOPPING BRASIL PARK SHOPPING</t>
  </si>
  <si>
    <t>SHOPPING NOVA AMERICA</t>
  </si>
  <si>
    <t>CENTRO DE APOIO AOS ROMEIROS - APARECIDA DO NORTE</t>
  </si>
  <si>
    <t>SHOPPING MANAÍRA SHOPPING</t>
  </si>
  <si>
    <t>RODOVIARIA NOVO RIO</t>
  </si>
  <si>
    <t>RUA REAL GRANDEZA</t>
  </si>
  <si>
    <t>SHOPPING FAMILIA</t>
  </si>
  <si>
    <t>SHOPPING TAMBIA SHOPPING</t>
  </si>
  <si>
    <t>MARICA CENTRO</t>
  </si>
  <si>
    <t>BARRA DO PIRAI CENTRO</t>
  </si>
  <si>
    <t>AV. JOAQUIM NABUCO</t>
  </si>
  <si>
    <t>POSTO ESSO RESENDE</t>
  </si>
  <si>
    <t>AV MINISTRO EDGAR ROMERO</t>
  </si>
  <si>
    <t>SHOPPING TRES RIOS</t>
  </si>
  <si>
    <t>SHOPPING IGUATEMI PORTO ALEGRE SHOPPING</t>
  </si>
  <si>
    <t>SHOPPING LEBLON</t>
  </si>
  <si>
    <t>AEROPORTO INTERNACIONAL MACEIÓ</t>
  </si>
  <si>
    <t>SHOPPING VIA PARQUE</t>
  </si>
  <si>
    <t>POSTO SHELL IATE</t>
  </si>
  <si>
    <t>POSTO SHELL FONTE DA SAUDADE</t>
  </si>
  <si>
    <t>RUA PORTO VELHO</t>
  </si>
  <si>
    <t>SHOPPING PIRATAS MALL</t>
  </si>
  <si>
    <t>POSTO SHELL DEMOCRÁTICOS</t>
  </si>
  <si>
    <t>SHOPPING VITÓRIA</t>
  </si>
  <si>
    <t>SHOPPING PRAIA DA COSTA</t>
  </si>
  <si>
    <t>RUA ENSEADA</t>
  </si>
  <si>
    <t>DRIVE VILA VELHA ITAPARICA</t>
  </si>
  <si>
    <t>AV. LARANJEIRAS VITÓRIA</t>
  </si>
  <si>
    <t>SHOPPING POLO INDAIATUBA</t>
  </si>
  <si>
    <t>SHOPPING CONQUISTA SUL</t>
  </si>
  <si>
    <t>SHOPPING MESTRE ÁLVARO</t>
  </si>
  <si>
    <t>SHOPPING DA ILHA</t>
  </si>
  <si>
    <t>SHOPPING VIA VERDE</t>
  </si>
  <si>
    <t>DRIVE CAMPO GRANDE (DRIVE AFONSO PENA)</t>
  </si>
  <si>
    <t>SHOPPING CENTER NORTE</t>
  </si>
  <si>
    <t>DRIVE SINOP</t>
  </si>
  <si>
    <t>SHOPPING WEST SHOPPING CAMPO GRANDE I</t>
  </si>
  <si>
    <t>SHOPPING PONTA NEGRA</t>
  </si>
  <si>
    <t>SHOPPING ÁGUAS LINDAS</t>
  </si>
  <si>
    <t>SHOPPING IMPERIAL SHOPPING</t>
  </si>
  <si>
    <t>SHOPPING RIOMAR RECIFE</t>
  </si>
  <si>
    <t>DRIVE PARNAÍBA</t>
  </si>
  <si>
    <t>BOBS CALÇADÃO CRICIUMA</t>
  </si>
  <si>
    <t>BOBS BURGERS SHOPPING VALPARAISO</t>
  </si>
  <si>
    <t>BOBS BURGERS PRACA GETÚLIO VARGAS - PATOS</t>
  </si>
  <si>
    <t>DRIVE BANCARIOS</t>
  </si>
  <si>
    <t>PARQUE SHOPPING MACEIÓ</t>
  </si>
  <si>
    <t>SHOPPING PASSEIO DAS ÁGUAS</t>
  </si>
  <si>
    <t>LARGO DA CARIOCA</t>
  </si>
  <si>
    <t>SHOPPING PORTO VELHO II - EXPANSÃO - RO</t>
  </si>
  <si>
    <t>RESENDE SHOPPING</t>
  </si>
  <si>
    <t>ARAPIRACA GARDEN SHOPPING</t>
  </si>
  <si>
    <t>QUEIMADOS CENTRO</t>
  </si>
  <si>
    <t>SHOPPING PÁTIO MACEIÓ</t>
  </si>
  <si>
    <t>NOVA IGUAÇU AMARAL PEIXOTO</t>
  </si>
  <si>
    <t>SHOPPING MONTSERRAT</t>
  </si>
  <si>
    <t>SHOPPING PARK LAGOS</t>
  </si>
  <si>
    <t>SHOPPING JK CEILÂNDIA</t>
  </si>
  <si>
    <t>UNIVERSIDADE MACKENZIE</t>
  </si>
  <si>
    <t>CARATINGA CENTRO</t>
  </si>
  <si>
    <t>RUA DELFIN CARLOS</t>
  </si>
  <si>
    <t>SHOPPING MOXUARA</t>
  </si>
  <si>
    <t>PARTAGE SHOPPING PARAUAPEBAS</t>
  </si>
  <si>
    <t>SHOPPING SIDER SHOPPING</t>
  </si>
  <si>
    <t>DRIVE FEIRA DE SANTANA</t>
  </si>
  <si>
    <t>SHOPPING IGUATEMI BELEM SHOPPING</t>
  </si>
  <si>
    <t>SHOPPING CASTANHEIRA SHOPPING</t>
  </si>
  <si>
    <t>MERCADO PÚBLICO FLORIANÓPOLIS</t>
  </si>
  <si>
    <t>SHOPPING MANGABEIRA</t>
  </si>
  <si>
    <t>SHOPPING SUMAUMA</t>
  </si>
  <si>
    <t>SHOPPING ORIUNDI</t>
  </si>
  <si>
    <t>BOBS BURGER – GUARAJUBA SHOPPING – BA</t>
  </si>
  <si>
    <t>AV. 22 DE ABRIL - PORTO SEGURO</t>
  </si>
  <si>
    <t>POSTO SHELL SÃO GONÇALO</t>
  </si>
  <si>
    <t>SHOPPING ITABORAÍ PLAZA</t>
  </si>
  <si>
    <t>DRIVE UMUARAMA</t>
  </si>
  <si>
    <t>DRIVE TORQUATO</t>
  </si>
  <si>
    <t>LAGES GARDEN SHOPPING</t>
  </si>
  <si>
    <t>BURITI SHOPPING RIO VERDE</t>
  </si>
  <si>
    <t>SANTO ANTONIO DE JESUS</t>
  </si>
  <si>
    <t>SHOPPING VIA NORTE</t>
  </si>
  <si>
    <t>SHOPPING RIO POTY</t>
  </si>
  <si>
    <t>SHOPPING PENHA</t>
  </si>
  <si>
    <t>AMAZONAS SHOPPING II</t>
  </si>
  <si>
    <t>TERMINAL RODOVIÁRIO BRASÍLIA</t>
  </si>
  <si>
    <t>POSTO BR FERNÃO DIAS – LAVRAS - MG</t>
  </si>
  <si>
    <t>DRIVE GUARÁ</t>
  </si>
  <si>
    <t>SÃO BERNARDO PLAZA SHOPPING</t>
  </si>
  <si>
    <t>BOBS VIA BRASIL</t>
  </si>
  <si>
    <t>BOB´S BURGES NAÇÕES SHOPPING CRICIÚMA</t>
  </si>
  <si>
    <t>BOULEVARD SHOPPING CAMAÇARI</t>
  </si>
  <si>
    <t>SHOPPING NOVA IGUAÇU</t>
  </si>
  <si>
    <t>SÃO JOÃO DEL REI - MG</t>
  </si>
  <si>
    <t>BOBS TERMINAL RODOVIÁRIO BARRA FUNDA</t>
  </si>
  <si>
    <t>DRIVE POSTO IPIRANGA BINGEN</t>
  </si>
  <si>
    <t>BOB´S AEROPORTO INTERNACIONAL TOM JOBIM – GALEÃO 2</t>
  </si>
  <si>
    <t>BOBS BURGUER SHOPPING JARDIM NORTE - JUIZ DE FORA</t>
  </si>
  <si>
    <t>DRIVE SANTA INÊS</t>
  </si>
  <si>
    <t>BOB’S BURGERS – RUA MARQUÊS DE HERVAL</t>
  </si>
  <si>
    <t>DRIVE PETROLINA</t>
  </si>
  <si>
    <t>RUA FIGUEIREDO MAGALHAES</t>
  </si>
  <si>
    <t>DRIVE BESSA</t>
  </si>
  <si>
    <t>SHOPPING BOULEVARD GARDEN ARAXÁ</t>
  </si>
  <si>
    <t>DRIVE JARDIM GRAMACHO</t>
  </si>
  <si>
    <t>AUTO POSTO MALL SEGÓVIA UBERABA</t>
  </si>
  <si>
    <t>BOBS BURGER FLORIPA SHOPPING – SC</t>
  </si>
  <si>
    <t>BOBS BURGUER BARREIRAS - BA</t>
  </si>
  <si>
    <t>BOBS BURGER – OUTLET PREMIUM PORTO BELO - SC</t>
  </si>
  <si>
    <t>BOBS BURGER SHOPPING GRANDE CIRCULAR</t>
  </si>
  <si>
    <t>BOBS RODOVIÁRIA DE BELO HORIZONTE</t>
  </si>
  <si>
    <t>BOBS BOULEVARD SHOPPING VITÓRIA DA CONQUISTA</t>
  </si>
  <si>
    <t>SHOPPING BARRA SHOPPING SUL</t>
  </si>
  <si>
    <t>BOB´S BURGUER GARANHUNS - PE</t>
  </si>
  <si>
    <t>BOBS BURGER SHOPPING RIO MAR ARACAJU - SE</t>
  </si>
  <si>
    <t>BOBS RETIRO</t>
  </si>
  <si>
    <t>BOBS BURGER – SHOPPING PÁTIO NORTE - MA</t>
  </si>
  <si>
    <t>BOBS COLATINA</t>
  </si>
  <si>
    <t>BOBS PIAUI SHOPPING</t>
  </si>
  <si>
    <t>SHOPPING CANOAS SHOPPING</t>
  </si>
  <si>
    <t>BOBS BURGER – CABO FRIO PRAIA DO FORTE</t>
  </si>
  <si>
    <t>DRIVE SANTA CRUZ DO CAPIBARIBE</t>
  </si>
  <si>
    <t>SHOPPING CIDADE DAS FLORES SHOPPING</t>
  </si>
  <si>
    <t>SHOPPING PARQUE SHOPPING BARUERI</t>
  </si>
  <si>
    <t>BOBS SHOPPING ELDORADO</t>
  </si>
  <si>
    <t>BOBS SHOPPING SANTANA PARQUE SHOPPING</t>
  </si>
  <si>
    <t>BOBS BURGER - JOCKEY PLAZA - CURITIBA - PR</t>
  </si>
  <si>
    <t>SHOPPING UNIÃO OSASCO SHOPPING</t>
  </si>
  <si>
    <t>BOBS BURGER SHOPPING MILLENIUM</t>
  </si>
  <si>
    <t>BOBS TIETÊ PLAZA SHOPPING</t>
  </si>
  <si>
    <t>AV. CONSTANTINO - MURIAÉ</t>
  </si>
  <si>
    <t>BOBS BURGER – DRIVE PARAÍBA – AM</t>
  </si>
  <si>
    <t>BOBS DRIVE PORTO UNIÃO</t>
  </si>
  <si>
    <t>BOBS SHOPPING CARUARU</t>
  </si>
  <si>
    <t>BOBS GALERIA RECREIO</t>
  </si>
  <si>
    <t>BOBS ARACAJU PARQUE SHOPPING</t>
  </si>
  <si>
    <t>BOBS PRAIA DE BOTAFOGO</t>
  </si>
  <si>
    <t>BOBS SHOPPING RIVERSIDE</t>
  </si>
  <si>
    <t>BOBS BURGER CABULA SALVADOR - BA</t>
  </si>
  <si>
    <t>BOBS SHOPPING CARPINA</t>
  </si>
  <si>
    <t>RUA GARCIA DAVILA</t>
  </si>
  <si>
    <t>BOBS AEROPORTO DE PORTO VELHO</t>
  </si>
  <si>
    <t>BOBS BURGER SHOPPING AMAZONAS I</t>
  </si>
  <si>
    <t>BOBS BURGER - SHOPPING LUZIANIA</t>
  </si>
  <si>
    <t>DRIVE CAMORIM</t>
  </si>
  <si>
    <t>BANGU SHOPPING II</t>
  </si>
  <si>
    <t>BOBS MIGUEL PEREIRA</t>
  </si>
  <si>
    <t>SHOPPING AVENIDA CENTER DOURADOS SHOPPING</t>
  </si>
  <si>
    <t>SHOPPING SÃO GONÇALO</t>
  </si>
  <si>
    <t>SHOPPING CAXIAS SHOPPING</t>
  </si>
  <si>
    <t>SHOPPING SUL</t>
  </si>
  <si>
    <t>DRIVE PRIMAVERA DO LESTE</t>
  </si>
  <si>
    <t>ILHA PLAZA SHOPPING</t>
  </si>
  <si>
    <t>PRATAGY ACQUA PARK - MACEIO/AL</t>
  </si>
  <si>
    <t>AV. ATLANTICA COPACABANA - RIO DE JANEIRO/RJ</t>
  </si>
  <si>
    <t>PARK SHOPPING CAMPO GRANDE</t>
  </si>
  <si>
    <t>SHOPPING CARIRI</t>
  </si>
  <si>
    <t>IN LINE AVENIDA BRASIL - CASCAVEL/PR</t>
  </si>
  <si>
    <t>IN LINE IRECÊ</t>
  </si>
  <si>
    <t>SHOPPING WEST PLAZA</t>
  </si>
  <si>
    <t>SHOPPING VIA CAFÉ GARDEN</t>
  </si>
  <si>
    <t>SHOPPING FLAMBOYANT</t>
  </si>
  <si>
    <t>CATALÃO SHOPPING</t>
  </si>
  <si>
    <t>AV. NILO PEÇANHA</t>
  </si>
  <si>
    <t>PARK SHOPPING SÃO CAETANO</t>
  </si>
  <si>
    <t>SHOPPING PLAZA MACAE SHOPPING</t>
  </si>
  <si>
    <t>DRIVE POSTO FORZA AYRTON SENNA</t>
  </si>
  <si>
    <t>BOBS BURGER  - POSTO FORZA BELFORD ROXO</t>
  </si>
  <si>
    <t>POSTO FORZA LOTE XV</t>
  </si>
  <si>
    <t>DRIVE MACAÉ</t>
  </si>
  <si>
    <t>SHOPPING TOP IGUACU</t>
  </si>
  <si>
    <t>SHOPPING TOP IGUACU II</t>
  </si>
  <si>
    <t>SHOPPING METROPOLITANO</t>
  </si>
  <si>
    <t>SHOPPING BOA VISTA RECIFE</t>
  </si>
  <si>
    <t>SHOPPING AMÉRICAS</t>
  </si>
  <si>
    <t>SHOPPING TIJUCA</t>
  </si>
  <si>
    <t>SHOPPING SALVADOR SHOPPING</t>
  </si>
  <si>
    <t>DRIVE JACYRA REIS</t>
  </si>
  <si>
    <t>SHOPPING CENTER LAPA SHOPPING</t>
  </si>
  <si>
    <t>SHOPPING PIEDADE</t>
  </si>
  <si>
    <t>PARALELA SHOPPING</t>
  </si>
  <si>
    <t>PARQUE SHOPPING BAHIA</t>
  </si>
  <si>
    <t>DRIVE SÍTIO CERCADO</t>
  </si>
  <si>
    <t>SHOPPING BELA VISTA</t>
  </si>
  <si>
    <t>SHOPPING BOULEVARD FEIRA DE SANTANA</t>
  </si>
  <si>
    <t>IGUATEMI SALVADOR NEWTON RIQUE SHOPPING</t>
  </si>
  <si>
    <t>BOBS BURGUER NITEROI</t>
  </si>
  <si>
    <t>DRIVE AV. JOAQUIM TEOTONIO - PALMAS</t>
  </si>
  <si>
    <t>SHOPPING PARQUE DOM PEDRO CAMPINAS</t>
  </si>
  <si>
    <t>BOB´S SHOPPING PARANGABA</t>
  </si>
  <si>
    <t>DRIVE POSTO RAMOS</t>
  </si>
  <si>
    <t>DRIVE CHAMPAGNAT - VILA VELHA ES</t>
  </si>
  <si>
    <t>CAMPINAS PRAÇA GENERAL OSÓRIO</t>
  </si>
  <si>
    <t>BOBS PARK SHOPPING JACAREPAGUA</t>
  </si>
  <si>
    <t>SHOPPING NORTE SHOPPING EXPANSAO</t>
  </si>
  <si>
    <t>POSTO IPIRANGA SÃO DOMINGOS</t>
  </si>
  <si>
    <t>BOBS BURGER PARK SHOPPING CANOAS</t>
  </si>
  <si>
    <t>BOBS CAJAZEIRAS</t>
  </si>
  <si>
    <t>BOBS CAMARÁ SHOPPING</t>
  </si>
  <si>
    <t>BOBS BURGER – SHOPPING PATTEO OLINDA – PE</t>
  </si>
  <si>
    <t>BOB´S BURGUER SHOPPING CAMPO GRANDE - MS N</t>
  </si>
  <si>
    <t>BOBS MACEIÓ SHOPPING</t>
  </si>
  <si>
    <t>SHOPPING PARTAGE CAMPINA GRANDE</t>
  </si>
  <si>
    <t>DRIVE SANTAREM-PA</t>
  </si>
  <si>
    <t>BOBS BURGUER DRIVE RIO SANTOS MANGARATIBA RJ</t>
  </si>
  <si>
    <t>TERMINAL RODOVIARIO TIETE</t>
  </si>
  <si>
    <t>DRIVE TARUMÃ</t>
  </si>
  <si>
    <t>BOBS SMART SHOPPING CAMPO GRANDE</t>
  </si>
  <si>
    <t>RUA BARATA RIBEIRO</t>
  </si>
  <si>
    <t>BURGUER MESQUITA</t>
  </si>
  <si>
    <t>SHOPPING PÁTIO RORAIMA</t>
  </si>
  <si>
    <t>SHOPPING BOSQUE DOS IPÊS</t>
  </si>
  <si>
    <t>BOBS DRIVE CASCAVEL</t>
  </si>
  <si>
    <t>BOB’S – BURGUER IN LINE UBÁ - MG</t>
  </si>
  <si>
    <t>BOBS SHOPPING DB NOVA CIDADE</t>
  </si>
  <si>
    <t>AEROPORTO INTERNACIONAL DE CUMBICA</t>
  </si>
  <si>
    <t>AEROPORTO GUARULHOS T3 - MEZANINO</t>
  </si>
  <si>
    <t>SHOPPING GUARAPARI</t>
  </si>
  <si>
    <t>SHOPPING NORTE SHOPPING PRACA</t>
  </si>
  <si>
    <t>SHOPPING JARDINS SHOPPING</t>
  </si>
  <si>
    <t>BOBS BURGUER PRAIA DO RECREIO</t>
  </si>
  <si>
    <t>BOBS BURGUER GOLDEN CALHAU SHOPPING</t>
  </si>
  <si>
    <t>DRIVE SANTA ISABEL DO PARÁ</t>
  </si>
  <si>
    <t>DRIVE POSTO QUATRO IRMÃOS</t>
  </si>
  <si>
    <t>SHOPPING PÁTIO PETRÓPOLIS</t>
  </si>
  <si>
    <t>MADUREIRA SHOPPING</t>
  </si>
  <si>
    <t>BOBS SHOPPING PARK SUL</t>
  </si>
  <si>
    <t>TAQUARA PLAZA SHOPPING</t>
  </si>
  <si>
    <t>BOBS BURGER - DRIVE RIO BONITO - RJ</t>
  </si>
  <si>
    <t>BOBS BURGER - SHOPPING SANTA CRUZ - RJ</t>
  </si>
  <si>
    <t>AEROPORTO DE GUARULHOS T2</t>
  </si>
  <si>
    <t>DRIVE POSTO BR KM 204 SEROPÉDICA</t>
  </si>
  <si>
    <t>BOB´S PRAÇA SAIQUÍ</t>
  </si>
  <si>
    <t>SHOPPING INTERLAGOS</t>
  </si>
  <si>
    <t>BOBS DRIVE RECREIO</t>
  </si>
  <si>
    <t>AEROPORTO AFONSO PENA -PR</t>
  </si>
  <si>
    <t>BOBS BURGER APARECIDA SHOPPING</t>
  </si>
  <si>
    <t>RUA CALDAS NOVAS</t>
  </si>
  <si>
    <t>SHOPPING NOVO SHOPPING RIBEIRAO PRETO N</t>
  </si>
  <si>
    <t>DRIVE SEABRA</t>
  </si>
  <si>
    <t>FAROL SHOPPING TUBARÃO SHOPPING</t>
  </si>
  <si>
    <t>AEROPORTO DE SALVADOR</t>
  </si>
  <si>
    <t>BOBS BURGUER VIA SHOPPING BARREIRO</t>
  </si>
  <si>
    <t>ARARUAMA CENTRO</t>
  </si>
  <si>
    <t>BOBS BURGERS SAQUAREMA</t>
  </si>
  <si>
    <t>POSTO SHELL VILLAS LAURO DE FREITAS BA</t>
  </si>
  <si>
    <t>BOBS BURGUER CAÇADOR</t>
  </si>
  <si>
    <t>BURGER RORAIMA GARDEN SHOPPING</t>
  </si>
  <si>
    <t>BOBS POSTO SHELL VASSOURA</t>
  </si>
  <si>
    <t>POSTO FORZA PARADA ANGÉLICA</t>
  </si>
  <si>
    <t>LOJA PIABETÁ</t>
  </si>
  <si>
    <t>IN LINE RIBEIRÃO PRETO</t>
  </si>
  <si>
    <t>SHOPPING GRÃO PARÁ - BELÉM - PA</t>
  </si>
  <si>
    <t>RUA DAS PEDRAS - BUZIOS/RJ</t>
  </si>
  <si>
    <t>BOBS BURGER - PARTAGE SHOPPING SÃO GONÇALO – RJ</t>
  </si>
  <si>
    <t>IN LINE SANTANA DE PARNAÍBA</t>
  </si>
  <si>
    <t>TAGUATINGA SHOPPING</t>
  </si>
  <si>
    <t>POSTO BR TREVO</t>
  </si>
  <si>
    <t>SHOPPING CAMPINAS SHOPPING</t>
  </si>
  <si>
    <t>BOBS BURGER SHOPPING SINOP - MT</t>
  </si>
  <si>
    <t>IN LINE CENTRO - JACOBINA/BA</t>
  </si>
  <si>
    <t>DRIVE RODOVIA BR-316 - ANANINDEUA-PA (DRIVE BELÉM)</t>
  </si>
  <si>
    <t>SHOPPING MIDWAY MALL SHOPPING</t>
  </si>
  <si>
    <t>52003834000154</t>
  </si>
  <si>
    <t>51543427000177</t>
  </si>
  <si>
    <t>SHOPPING CENTER UBERABA SHOPPING</t>
  </si>
  <si>
    <t>RUA SÃO JOSÉ - GUAÍBA / RS</t>
  </si>
  <si>
    <t>50221477000175</t>
  </si>
  <si>
    <t>46065034000165</t>
  </si>
  <si>
    <t>53007303000100</t>
  </si>
  <si>
    <t>SHOPPING PLAZA RIO DAS OSTRAS - RJ</t>
  </si>
  <si>
    <t>PRAÇA BARÃO DO GUAICUÍ - DIAMANTINA-MG</t>
  </si>
  <si>
    <t>58048768000115</t>
  </si>
  <si>
    <t>51900113000184</t>
  </si>
  <si>
    <t>49392471000181</t>
  </si>
  <si>
    <t>51899405000144</t>
  </si>
  <si>
    <t>51215592000108</t>
  </si>
  <si>
    <t>15815603001271</t>
  </si>
  <si>
    <t>52159203000129</t>
  </si>
  <si>
    <t>52441420000107</t>
  </si>
  <si>
    <t>53336263000132</t>
  </si>
  <si>
    <t>54593642000170</t>
  </si>
  <si>
    <t>52370993000197</t>
  </si>
  <si>
    <t>53093768000113</t>
  </si>
  <si>
    <t>28048253000740</t>
  </si>
  <si>
    <t>10676472002590</t>
  </si>
  <si>
    <t>54709749000131</t>
  </si>
  <si>
    <t>15815603001352</t>
  </si>
  <si>
    <t>49571449000107</t>
  </si>
  <si>
    <t>55475395000170</t>
  </si>
  <si>
    <t>57915011000119</t>
  </si>
  <si>
    <t>56875564000122</t>
  </si>
  <si>
    <t>SHOPPING BONSUCESSO</t>
  </si>
  <si>
    <t>SHOPPING CENTRAL PLAZA</t>
  </si>
  <si>
    <t>BANGU SHOPPING</t>
  </si>
  <si>
    <t>POSTO BR ITAIPAVA</t>
  </si>
  <si>
    <t>SHOPPING DEL REY SHOPPING</t>
  </si>
  <si>
    <t>DRIVE RENASCENCA</t>
  </si>
  <si>
    <t>AEROPORTO DE BOA VISTA / RR</t>
  </si>
  <si>
    <t>AnoMes</t>
  </si>
  <si>
    <t>PEDIDOS_TOTAL</t>
  </si>
  <si>
    <t>Pedidos_Coca</t>
  </si>
  <si>
    <t>INCIDENCIA REAL</t>
  </si>
  <si>
    <t>META</t>
  </si>
  <si>
    <t>Preco_Unitario_Medio</t>
  </si>
  <si>
    <t>RESTAURANTE</t>
  </si>
  <si>
    <t>ID Loja</t>
  </si>
  <si>
    <t>42726001000915</t>
  </si>
  <si>
    <t>21812817000134</t>
  </si>
  <si>
    <t>57915011000461</t>
  </si>
  <si>
    <t>54898519000168</t>
  </si>
  <si>
    <t>04063146000307</t>
  </si>
  <si>
    <t>23669633000435</t>
  </si>
  <si>
    <t>04063146000480</t>
  </si>
  <si>
    <t>04063146000137</t>
  </si>
  <si>
    <t>04063146000560</t>
  </si>
  <si>
    <t>05941043000195</t>
  </si>
  <si>
    <t>34474208000164</t>
  </si>
  <si>
    <t>36199398000184</t>
  </si>
  <si>
    <t>86894953003777</t>
  </si>
  <si>
    <t>53657851000178</t>
  </si>
  <si>
    <t>23669633000869</t>
  </si>
  <si>
    <t>12689151000188</t>
  </si>
  <si>
    <t>86894953003343</t>
  </si>
  <si>
    <t>10222676003018</t>
  </si>
  <si>
    <t>42407752000111</t>
  </si>
  <si>
    <t>10222676001236</t>
  </si>
  <si>
    <t>57387932000156</t>
  </si>
  <si>
    <t>57185856000104</t>
  </si>
  <si>
    <t>51415649000104</t>
  </si>
  <si>
    <t>36491180000107</t>
  </si>
  <si>
    <t>10222676005142</t>
  </si>
  <si>
    <t>28048253001479</t>
  </si>
  <si>
    <t>54704329000162</t>
  </si>
  <si>
    <t>DRIVE AV. FRANCISCO FRAGA MAIA – FEIRA DE SANTANA – BA</t>
  </si>
  <si>
    <t>SHOPPING PAULISTA NORTH WAY - PAULISTA - PE</t>
  </si>
  <si>
    <t>46438300000409</t>
  </si>
  <si>
    <t>DRIVE RECIFE OUTLET / PE</t>
  </si>
  <si>
    <t>HIPERMERCADO PAHY GUARAPUAVA</t>
  </si>
  <si>
    <t>HIPERMERCADO PERIM</t>
  </si>
  <si>
    <t>SHOPPING NITEROI PLAZA</t>
  </si>
  <si>
    <t>AEROPORTO DE MANAUS / AM</t>
  </si>
  <si>
    <t>BOB’S BURGUER – POSTO AP ANGRA DOS REIS - RJ</t>
  </si>
  <si>
    <t>60125594000199</t>
  </si>
  <si>
    <t>54108258000135</t>
  </si>
  <si>
    <t>BOBS FRIBURGO CENTRO</t>
  </si>
  <si>
    <t>57350579000130</t>
  </si>
  <si>
    <t>DRIVE TUBARÃO</t>
  </si>
  <si>
    <t>FOOD COURT SHOPPING ARAGUAIA GOIÂNIA- GO</t>
  </si>
  <si>
    <t>10222676001740</t>
  </si>
  <si>
    <t>IN LINE POSTO FORZA SAO JOÃO DE MERITI</t>
  </si>
  <si>
    <t>POSTO FORZA CAMPOS ELÍSEOS</t>
  </si>
  <si>
    <t>26288631000141</t>
  </si>
  <si>
    <t>POSTO IPIRANGA SÃO LUIS EXECUTIVO</t>
  </si>
  <si>
    <t>30357628000100</t>
  </si>
  <si>
    <t>49551129000187</t>
  </si>
  <si>
    <t>53828327000112</t>
  </si>
  <si>
    <t>57446912000109</t>
  </si>
  <si>
    <t>57087915000101</t>
  </si>
  <si>
    <t>DRIVE AV. BENTO GONÇALVES - PELOTAS/RS</t>
  </si>
  <si>
    <t>QUANTIDADE DE PEDIDOS NÃO CAPTURADOS</t>
  </si>
  <si>
    <t>RECEITA BRUTA NÃO CAPTURADA</t>
  </si>
  <si>
    <t>05952830000132</t>
  </si>
  <si>
    <t>57370585000159</t>
  </si>
  <si>
    <t>52600116000165</t>
  </si>
  <si>
    <t>55939689000106</t>
  </si>
  <si>
    <t>58291497000124</t>
  </si>
  <si>
    <t>58479777000160</t>
  </si>
  <si>
    <t>BLUMENAU NORTE SHOPPING</t>
  </si>
  <si>
    <t>BOBS CONTINENTE PARK SHOPPING</t>
  </si>
  <si>
    <t>DRIVE POSTO FIGUEIRA DUQUE DE CAXIAS - RJ</t>
  </si>
  <si>
    <t>FOOD COURT SHOPPING TERESINA SHOPPING - TERESINA - PI</t>
  </si>
  <si>
    <t>IN LINE MACAE CENTRO</t>
  </si>
  <si>
    <t>59143601000104</t>
  </si>
  <si>
    <t>52449325000150</t>
  </si>
  <si>
    <t>59211174000146</t>
  </si>
  <si>
    <t>54974140000190</t>
  </si>
  <si>
    <t>61876361000190</t>
  </si>
  <si>
    <t>59956187000144</t>
  </si>
  <si>
    <t>54713132000190</t>
  </si>
  <si>
    <t>52825077000102</t>
  </si>
  <si>
    <t>56213378000128</t>
  </si>
  <si>
    <t>39565822000236</t>
  </si>
  <si>
    <t>49798073000160</t>
  </si>
  <si>
    <t>60485320000100</t>
  </si>
  <si>
    <t>52529215000106</t>
  </si>
  <si>
    <t>60237766000116</t>
  </si>
  <si>
    <t>58663905000121</t>
  </si>
  <si>
    <t>60999409000195</t>
  </si>
  <si>
    <t>58956043000125</t>
  </si>
  <si>
    <t>16625169000339</t>
  </si>
  <si>
    <t>10676472003057</t>
  </si>
  <si>
    <t>59240738000179</t>
  </si>
  <si>
    <t>AEROPORTO SALGADO FILHO - POA -  RS</t>
  </si>
  <si>
    <t>AVENIDA BRASIL -  PONTA PORÃ- MS</t>
  </si>
  <si>
    <t>BOB’S BURGER – SIS REDE OLÁ - RESENDE - RJ</t>
  </si>
  <si>
    <t>BOB’S BURGUER –IN LINE PARAOPEBA - MG</t>
  </si>
  <si>
    <t>BOB’S BURGUER SÃO JOÃO DA BOA VISTA - SP</t>
  </si>
  <si>
    <t>BOBS AEROPORTO RECIFE</t>
  </si>
  <si>
    <t>BOBS BURGER - DIAS DA CRUZ - MEIER - RJ</t>
  </si>
  <si>
    <t>BOBS BURGER JOAÇABA</t>
  </si>
  <si>
    <t>BOBS BURGERS - AV. LÉDIO MARTINS - KOBRASOL - SC</t>
  </si>
  <si>
    <t>BOBS BURGERS - RUA DO COMERCIO - CONCÓRDIA</t>
  </si>
  <si>
    <t>BOBS BURGERS ALAGOINHAS</t>
  </si>
  <si>
    <t>BOBS BURGERS ITABAIANA</t>
  </si>
  <si>
    <t>BOBS BURGERS MAGÉ</t>
  </si>
  <si>
    <t>BOBS BURGERS MASTER SONDA SHOPPING</t>
  </si>
  <si>
    <t>BOBS BURGERS RIO 2</t>
  </si>
  <si>
    <t>BOBS BURGERS SHOPPING PANAMBI - TOLEDO - PR</t>
  </si>
  <si>
    <t>BOB'S BURGUER AEROPORTO TANCREDO NEVES - CONFIS - MG</t>
  </si>
  <si>
    <t>BOBS BURGUER CASA VIEIRA PRAIA</t>
  </si>
  <si>
    <t>BOBS BURGUER IN LINE -  MORRO DE SÃO PAULO - BA</t>
  </si>
  <si>
    <t>BOBS BURGUER SHOPPING BURITI</t>
  </si>
  <si>
    <t>BOBS BURGUER SHOPPING VALE DO AÇO - IPATINGA</t>
  </si>
  <si>
    <t>BOBS BURGUER UBERLÂNDIA / MG</t>
  </si>
  <si>
    <t>BOBS BURGUERS CENTER UBERLANDIA - MG</t>
  </si>
  <si>
    <t>BOBS BURGUERS UBERLANDIA SHOPPING - MG</t>
  </si>
  <si>
    <t>BOBS CAXIAS SHOPPING CENTER - CAXIAS - MA</t>
  </si>
  <si>
    <t>BOBS CECI CUNHA</t>
  </si>
  <si>
    <t>BOBS COSTA DOURADA</t>
  </si>
  <si>
    <t>BOBS DRIVE ESTREITO</t>
  </si>
  <si>
    <t>BOBS DRIVE POSTO SHELL CORONEL TEIXEIRA - AM</t>
  </si>
  <si>
    <t>BOBS DRIVE SARANDI</t>
  </si>
  <si>
    <t>BOBS FABRIKA MALL</t>
  </si>
  <si>
    <t>BOBS FERRY BOAT ITAPARICA</t>
  </si>
  <si>
    <t>BOBS GUANAMBI</t>
  </si>
  <si>
    <t>BOBS IGUATEMI SALVADOR GAL COSTA SHOPPING</t>
  </si>
  <si>
    <t>BOBS JEQUIÉ</t>
  </si>
  <si>
    <t>BOBS JUNDIAI</t>
  </si>
  <si>
    <t>BOBS LOJA RIO GRANDE</t>
  </si>
  <si>
    <t>BOBS POSTO ALE RAMOS</t>
  </si>
  <si>
    <t>BOBS POSTO SHELL LAPA</t>
  </si>
  <si>
    <t>BOBS RONDON PLAZA SHOPPING</t>
  </si>
  <si>
    <t>BOBS SALVADOR NORTE SHOPPING</t>
  </si>
  <si>
    <t>BOBS SHOPPING NORTE SUL PLAZA</t>
  </si>
  <si>
    <t>BOBS SHOPPING PÁTIO CIDADE</t>
  </si>
  <si>
    <t>BOBS SHOPPING SETE LAGOAS-MG</t>
  </si>
  <si>
    <t>BOBS SHOPPING VÁRZEA GRANDE</t>
  </si>
  <si>
    <t>BOBS TERMINAL RODOVIARIO CAMPINAS</t>
  </si>
  <si>
    <t>BOBS TOCANTINS SHOPPING</t>
  </si>
  <si>
    <t>CORUMBA SHOPPING - LUZIÂNIA / GO</t>
  </si>
  <si>
    <t>DRIVE ASSIS CHATEAUBRIAND GOIÂNIA</t>
  </si>
  <si>
    <t>DRIVE ATIBAIA</t>
  </si>
  <si>
    <t>DRIVE AV CRUZEIRO DO SUL - SANTA ROSA - RS</t>
  </si>
  <si>
    <t>DRIVE AV. BADY BASSIT - RIO PRETO</t>
  </si>
  <si>
    <t>DRIVE AV. DOUTOR ANTÔNIO GOMES DE BARROS - MACEIÓ/AL</t>
  </si>
  <si>
    <t>DRIVE AV. EUZÉBIO TRINTA - BACABAL/MA</t>
  </si>
  <si>
    <t>DRIVE AV. GOV. JORGE TEIXEIRA - PORTO VELHO/RO</t>
  </si>
  <si>
    <t>DRIVE AVENIDA DAS TORRES - MANAUS / AM</t>
  </si>
  <si>
    <t>DRIVE AVENIDA JOVINO DINOÁ</t>
  </si>
  <si>
    <t>DRIVE BRAGANÇA PAULISTA / SP</t>
  </si>
  <si>
    <t>DRIVE DJALMA BATISTA - MANAUS</t>
  </si>
  <si>
    <t>DRIVE JIJOCA DE JERICOACOARA / CE</t>
  </si>
  <si>
    <t>DRIVE POSTO LUAR - SANTA CRUZ - RJ</t>
  </si>
  <si>
    <t>DRIVE RUA CORVINAS - UNAMAR - CABO FRIO - RJ</t>
  </si>
  <si>
    <t>DRIVE RUA GIRASSOL - SERRA/ES</t>
  </si>
  <si>
    <t>ECOPOSTO DA ILHA - BARRA DE SÃO MIGUEL / AL</t>
  </si>
  <si>
    <t>FOOD COURT AEROPORTO CUIABÁ / MT</t>
  </si>
  <si>
    <t>GENERAL ROCCA</t>
  </si>
  <si>
    <t>HANGAR BELÉM</t>
  </si>
  <si>
    <t>IN LINE URUGUAIANA</t>
  </si>
  <si>
    <t>JATAHY SHOPPING - JATAI/GO</t>
  </si>
  <si>
    <t>PARQUE SHOPPING BELÉM - BELÉM - PA</t>
  </si>
  <si>
    <t>POSTO BRASÃO – ITAIPAVA - RJ</t>
  </si>
  <si>
    <t>POSTO LIMOEIRO - PARAÍBA DO SUL - RJ</t>
  </si>
  <si>
    <t>POSTO MORAES CENTER - SÃO LUIS / MA</t>
  </si>
  <si>
    <t>PRAÇA ARLINDO GOUVEIA -SURUBIM/PE</t>
  </si>
  <si>
    <t>RUA DOUTOR CURVELO CAVALCANTI - ITAGUAÍ/RJ</t>
  </si>
  <si>
    <t>RUA TENENTE ARY RAUEN - MAFRA – SC</t>
  </si>
  <si>
    <t>SANTA MARIA SHOPPING - SANTA MARIA - DF</t>
  </si>
  <si>
    <t>SHOPPING ATRIUM</t>
  </si>
  <si>
    <t>SHOPPING CATUAÍ CASCAVEL / PR</t>
  </si>
  <si>
    <t>SHOPPING GRANDE RIO</t>
  </si>
  <si>
    <t>SHOPPING JARAGUÁ ARARAQUARA - SP</t>
  </si>
  <si>
    <t>SHOPPING LAGO CENTER - ARAGUAINA TO</t>
  </si>
  <si>
    <t>SHOPPING MAUA</t>
  </si>
  <si>
    <t>SHOPPING MOGI</t>
  </si>
  <si>
    <t>SHOPPING NOVO LEBLON</t>
  </si>
  <si>
    <t>SHOPPING PARTAGE CAMPOS - CAMPOS DOS GOYTACASES / RJ</t>
  </si>
  <si>
    <t>SHOPPING PÁTIO ALCANTÂRA - SÃO GONÇALO/RJ</t>
  </si>
  <si>
    <t>SHOPPING RIO ANIL</t>
  </si>
  <si>
    <t>SHOPPING STUDIO V</t>
  </si>
  <si>
    <t>SHOPPING UBATUBA MALL - UBATUBA/ SP</t>
  </si>
  <si>
    <t>SHOPPING VILA VELHA / ES</t>
  </si>
  <si>
    <t>SUPERMERCADO GUANABARA - RECREIO DOS BANDEIRANTES - RIO DE JANEIRO/RJ</t>
  </si>
  <si>
    <t>TERMINAL RODOVIARIO DE CUIABÁ / MT</t>
  </si>
  <si>
    <t>59041839000110</t>
  </si>
  <si>
    <t>11223562000110</t>
  </si>
  <si>
    <t>52923396000142</t>
  </si>
  <si>
    <t>62117120000120</t>
  </si>
  <si>
    <t>AVENIDA GOIAS - GOIANÉSIA -GO</t>
  </si>
  <si>
    <t>BOBS DRIVE SÃO BERNARDO</t>
  </si>
  <si>
    <t>BOBS GOVERNADOR VALADARES I</t>
  </si>
  <si>
    <t>DRIVE POSTO AP VOLTA REDONDA - RJ</t>
  </si>
  <si>
    <t>DRIVE RODOVIA BR 482 - CACHOEIRO / ES</t>
  </si>
  <si>
    <t>IN LINE FRANCISCO BELTRÃO</t>
  </si>
  <si>
    <t>IN LINE POSTO IPIRANGA ITAIPUAÇU - RJ</t>
  </si>
  <si>
    <t>SHOPPING PRAÇA DA MOÇA - DIADEMA - SP</t>
  </si>
  <si>
    <t>60119861000115</t>
  </si>
  <si>
    <t>16625169000762</t>
  </si>
  <si>
    <t>22279987000168</t>
  </si>
  <si>
    <t>31366434000800</t>
  </si>
  <si>
    <t>60573349000144</t>
  </si>
  <si>
    <t>60324633000187</t>
  </si>
  <si>
    <t>60147177000147</t>
  </si>
  <si>
    <t>61814510000197</t>
  </si>
  <si>
    <t>53093768000385</t>
  </si>
  <si>
    <t>DRIVE PRINCESA DOESTE CAMPINAS - SP</t>
  </si>
  <si>
    <t>DRIVE TERESÓPOLIS</t>
  </si>
  <si>
    <t>ITAQUÁ PARK SHOPPING - ITAQUAQUECETUBA/SP</t>
  </si>
  <si>
    <t>RUA GAL ZECA NETTO - CAMAQUÃ / RS</t>
  </si>
  <si>
    <t>SHOPPING BOULEVARD BELÉM / PA</t>
  </si>
  <si>
    <t>SHOPPING BUSCA VIDA - CAMAÇARI / BA</t>
  </si>
  <si>
    <t>62211213000110</t>
  </si>
  <si>
    <t>61816768000122</t>
  </si>
  <si>
    <t>54670037000156</t>
  </si>
  <si>
    <t>05510471000910</t>
  </si>
  <si>
    <t>AEROPORTO DE SÃO LUÍS – SÃO LUÍS – MA</t>
  </si>
  <si>
    <t>AV COMENDADOR TELES - SAO JOAO DE MERITI / RJ</t>
  </si>
  <si>
    <t>DRIVE AV SANTA LUZIA– AÇAILÂNDIA - MA</t>
  </si>
  <si>
    <t>EVENTO VERÃO  PIRANGI</t>
  </si>
  <si>
    <t>SHOPPING PLAZA CAMPOS GERAIS - PONTA GROSSA / PR</t>
  </si>
  <si>
    <t>2026-02</t>
  </si>
  <si>
    <t>62789810000126</t>
  </si>
  <si>
    <t>61595964000114</t>
  </si>
  <si>
    <t>DRIVE POSTO FLORENSE PONTA GROSSA/PR</t>
  </si>
  <si>
    <t>POSTO BANDEIRANTES - CÁCERES - MT</t>
  </si>
  <si>
    <t>BOBS SUPERMERCADO TAUSTE TAUBATÉ - SP</t>
  </si>
  <si>
    <t>RODOVIA MA-203 ARAÇAGY - SÃO JOSÉ DE RIBAMAR / MA</t>
  </si>
  <si>
    <t>61376045000150</t>
  </si>
  <si>
    <t>ROD DR. JOAO MIRANDA - ABAETETUBA - PA</t>
  </si>
  <si>
    <t>62444097000189</t>
  </si>
  <si>
    <t>SHOPPING OIAPOQUE - BELO HORIZONTE / MG</t>
  </si>
  <si>
    <t>86894953000166</t>
  </si>
  <si>
    <t>RODOVIÁRIA DE SALVADOR / BA (MTZ)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</si>
</sst>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yyyy\-mm\-dd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name val="Aptos Narrow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5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3" fontId="0" fillId="0" borderId="0" xfId="0" applyNumberFormat="1"/>
    <xf numFmtId="49" fontId="0" fillId="0" borderId="0" xfId="0" applyNumberFormat="1"/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43" fontId="0" fillId="0" borderId="1" xfId="4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4" fontId="0" fillId="0" borderId="0" xfId="0" applyNumberFormat="1"/>
    <xf numFmtId="0" fontId="7" fillId="0" borderId="0" xfId="0" applyFont="1"/>
    <xf numFmtId="0" fontId="7" fillId="0" borderId="2" xfId="0" applyFont="1" applyBorder="1"/>
    <xf numFmtId="9" fontId="0" fillId="0" borderId="0" xfId="1" applyFont="1"/>
  </cellXfs>
  <cellStyles count="6">
    <cellStyle name="Moeda 2" xfId="5" xr:uid="{6216969A-AB40-47C7-B027-FF70E15A3F89}"/>
    <cellStyle name="Normal" xfId="0" builtinId="0"/>
    <cellStyle name="Normal 2" xfId="2" xr:uid="{D9CB0797-C823-4FB8-AB27-45F6C3059128}"/>
    <cellStyle name="Normal 3" xfId="3" xr:uid="{EB892FE7-59CE-44E8-A15C-56855778B34F}"/>
    <cellStyle name="Porcentagem" xfId="1" builtinId="5"/>
    <cellStyle name="Vírgula 2" xfId="4" xr:uid="{CA0E403C-94A7-4D3C-AEE4-F7FA2A80AD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dimension ref="A1:K457"/>
  <sheetViews>
    <sheetView tabSelected="1" workbookViewId="0">
      <selection activeCell="F11" sqref="F11"/>
    </sheetView>
  </sheetViews>
  <sheetFormatPr defaultRowHeight="14.5" x14ac:dyDescent="0.35"/>
  <cols>
    <col min="1" max="1" width="10.08984375" style="1" bestFit="1" customWidth="1"/>
    <col min="2" max="2" width="5.90625" style="3" customWidth="1"/>
    <col min="3" max="3" width="11.7265625" style="3" customWidth="1"/>
    <col min="4" max="4" width="8" style="3" customWidth="1"/>
    <col min="5" max="5" width="15.08984375" style="3" bestFit="1" customWidth="1"/>
    <col min="6" max="6" width="53.1796875" style="3" customWidth="1"/>
    <col min="7" max="7" width="20" bestFit="1" customWidth="1"/>
    <col min="8" max="8" width="13.7265625" customWidth="1"/>
    <col min="9" max="9" width="16.08984375" customWidth="1"/>
    <col min="10" max="10" width="44.26953125" bestFit="1" customWidth="1"/>
    <col min="11" max="11" width="34.08984375" style="9" bestFit="1" customWidth="1"/>
  </cols>
  <sheetData>
    <row r="1" spans="1:11" x14ac:dyDescent="0.35">
      <c r="A1" s="5" t="s">
        <v>688</v>
      </c>
      <c r="B1" s="8" t="s">
        <v>695</v>
      </c>
      <c r="C1" s="8" t="s">
        <v>0</v>
      </c>
      <c r="D1" s="8" t="s">
        <v>694</v>
      </c>
      <c r="E1" s="5" t="s">
        <v>689</v>
      </c>
      <c r="F1" s="5" t="s">
        <v>690</v>
      </c>
      <c r="G1" s="4" t="s">
        <v>691</v>
      </c>
      <c r="H1" s="6" t="s">
        <v>692</v>
      </c>
      <c r="I1" s="7" t="s">
        <v>693</v>
      </c>
      <c r="J1" s="4" t="s">
        <v>749</v>
      </c>
      <c r="K1" s="4" t="s">
        <v>750</v>
      </c>
    </row>
    <row r="2" spans="1:11" x14ac:dyDescent="0.35">
      <c r="A2" s="10" t="s">
        <v>911</v>
      </c>
      <c r="B2" s="10">
        <v>2</v>
      </c>
      <c r="C2" t="s">
        <v>4</v>
      </c>
      <c r="D2" t="s">
        <v>349</v>
      </c>
      <c r="E2" s="2">
        <v>6847</v>
      </c>
      <c r="F2" s="2">
        <v>4010</v>
      </c>
      <c r="G2" s="12">
        <f>F2/E2</f>
        <v>0.58565795238790708</v>
      </c>
      <c r="H2">
        <v>85</v>
      </c>
      <c r="I2">
        <v>10.59</v>
      </c>
      <c r="J2" s="2">
        <f>E2-F2</f>
        <v>2837</v>
      </c>
      <c r="K2" s="9">
        <f>J2*I2</f>
        <v>30043.829999999998</v>
      </c>
    </row>
    <row r="3" spans="1:11" x14ac:dyDescent="0.35">
      <c r="A3" s="10" t="s">
        <v>911</v>
      </c>
      <c r="B3" s="10">
        <v>4</v>
      </c>
      <c r="C3" t="s">
        <v>5</v>
      </c>
      <c r="D3" t="s">
        <v>350</v>
      </c>
      <c r="E3" s="2">
        <v>4864</v>
      </c>
      <c r="F3" s="2">
        <v>818</v>
      </c>
      <c r="G3" s="12">
        <f t="shared" ref="G3:G66" si="0">F3/E3</f>
        <v>0.16817434210526316</v>
      </c>
      <c r="H3">
        <v>85</v>
      </c>
      <c r="I3">
        <v>10.59</v>
      </c>
      <c r="J3" s="2">
        <f t="shared" ref="J3:J66" si="1">E3-F3</f>
        <v>4046</v>
      </c>
      <c r="K3" s="9">
        <f t="shared" ref="K3:K66" si="2">J3*I3</f>
        <v>42847.14</v>
      </c>
    </row>
    <row r="4" spans="1:11" x14ac:dyDescent="0.35">
      <c r="A4" s="10" t="s">
        <v>911</v>
      </c>
      <c r="B4" s="10">
        <v>8</v>
      </c>
      <c r="C4" t="s">
        <v>6</v>
      </c>
      <c r="D4" t="s">
        <v>351</v>
      </c>
      <c r="E4" s="2">
        <v>5140</v>
      </c>
      <c r="F4" s="2">
        <v>1950</v>
      </c>
      <c r="G4" s="12">
        <f t="shared" si="0"/>
        <v>0.37937743190661477</v>
      </c>
      <c r="H4">
        <v>85</v>
      </c>
      <c r="I4">
        <v>10.59</v>
      </c>
      <c r="J4" s="2">
        <f t="shared" si="1"/>
        <v>3190</v>
      </c>
      <c r="K4" s="9">
        <f t="shared" si="2"/>
        <v>33782.1</v>
      </c>
    </row>
    <row r="5" spans="1:11" x14ac:dyDescent="0.35">
      <c r="A5" s="10" t="s">
        <v>911</v>
      </c>
      <c r="B5" s="10">
        <v>10</v>
      </c>
      <c r="C5" t="s">
        <v>7</v>
      </c>
      <c r="D5" t="s">
        <v>352</v>
      </c>
      <c r="E5" s="2">
        <v>2609</v>
      </c>
      <c r="F5" s="2">
        <v>1352</v>
      </c>
      <c r="G5" s="12">
        <f t="shared" si="0"/>
        <v>0.51820620927558447</v>
      </c>
      <c r="H5">
        <v>85</v>
      </c>
      <c r="I5">
        <v>10.59</v>
      </c>
      <c r="J5" s="2">
        <f t="shared" si="1"/>
        <v>1257</v>
      </c>
      <c r="K5" s="9">
        <f t="shared" si="2"/>
        <v>13311.63</v>
      </c>
    </row>
    <row r="6" spans="1:11" x14ac:dyDescent="0.35">
      <c r="A6" s="10" t="s">
        <v>911</v>
      </c>
      <c r="B6" s="10">
        <v>11</v>
      </c>
      <c r="C6" t="s">
        <v>8</v>
      </c>
      <c r="D6" t="s">
        <v>353</v>
      </c>
      <c r="E6" s="2">
        <v>8418</v>
      </c>
      <c r="F6" s="2">
        <v>2898</v>
      </c>
      <c r="G6" s="12">
        <f t="shared" si="0"/>
        <v>0.34426229508196721</v>
      </c>
      <c r="H6">
        <v>85</v>
      </c>
      <c r="I6">
        <v>10.59</v>
      </c>
      <c r="J6" s="2">
        <f t="shared" si="1"/>
        <v>5520</v>
      </c>
      <c r="K6" s="9">
        <f t="shared" si="2"/>
        <v>58456.799999999996</v>
      </c>
    </row>
    <row r="7" spans="1:11" x14ac:dyDescent="0.35">
      <c r="A7" s="10" t="s">
        <v>911</v>
      </c>
      <c r="B7" s="10">
        <v>12</v>
      </c>
      <c r="C7" t="s">
        <v>9</v>
      </c>
      <c r="D7" t="s">
        <v>354</v>
      </c>
      <c r="E7" s="2">
        <v>4310</v>
      </c>
      <c r="F7" s="2">
        <v>1622</v>
      </c>
      <c r="G7" s="12">
        <f t="shared" si="0"/>
        <v>0.37633410672853829</v>
      </c>
      <c r="H7">
        <v>85</v>
      </c>
      <c r="I7">
        <v>10.59</v>
      </c>
      <c r="J7" s="2">
        <f t="shared" si="1"/>
        <v>2688</v>
      </c>
      <c r="K7" s="9">
        <f t="shared" si="2"/>
        <v>28465.919999999998</v>
      </c>
    </row>
    <row r="8" spans="1:11" x14ac:dyDescent="0.35">
      <c r="A8" s="10" t="s">
        <v>911</v>
      </c>
      <c r="B8" s="10">
        <v>13</v>
      </c>
      <c r="C8" t="s">
        <v>10</v>
      </c>
      <c r="D8" t="s">
        <v>355</v>
      </c>
      <c r="E8" s="2">
        <v>8591</v>
      </c>
      <c r="F8" s="2">
        <v>2719</v>
      </c>
      <c r="G8" s="12">
        <f t="shared" si="0"/>
        <v>0.31649400535444067</v>
      </c>
      <c r="H8">
        <v>85</v>
      </c>
      <c r="I8">
        <v>10.59</v>
      </c>
      <c r="J8" s="2">
        <f t="shared" si="1"/>
        <v>5872</v>
      </c>
      <c r="K8" s="9">
        <f t="shared" si="2"/>
        <v>62184.479999999996</v>
      </c>
    </row>
    <row r="9" spans="1:11" x14ac:dyDescent="0.35">
      <c r="A9" s="10" t="s">
        <v>911</v>
      </c>
      <c r="B9" s="10">
        <v>14</v>
      </c>
      <c r="C9" t="s">
        <v>11</v>
      </c>
      <c r="D9" t="s">
        <v>356</v>
      </c>
      <c r="E9" s="2">
        <v>9168</v>
      </c>
      <c r="F9" s="2">
        <v>2912</v>
      </c>
      <c r="G9" s="12">
        <f t="shared" si="0"/>
        <v>0.31762652705061084</v>
      </c>
      <c r="H9">
        <v>85</v>
      </c>
      <c r="I9">
        <v>10.59</v>
      </c>
      <c r="J9" s="2">
        <f t="shared" si="1"/>
        <v>6256</v>
      </c>
      <c r="K9" s="9">
        <f t="shared" si="2"/>
        <v>66251.039999999994</v>
      </c>
    </row>
    <row r="10" spans="1:11" x14ac:dyDescent="0.35">
      <c r="A10" s="10" t="s">
        <v>911</v>
      </c>
      <c r="B10" s="10">
        <v>15</v>
      </c>
      <c r="C10" t="s">
        <v>12</v>
      </c>
      <c r="D10" t="s">
        <v>357</v>
      </c>
      <c r="E10" s="2">
        <v>5174</v>
      </c>
      <c r="F10" s="2">
        <v>2286</v>
      </c>
      <c r="G10" s="12">
        <f t="shared" si="0"/>
        <v>0.4418245071511403</v>
      </c>
      <c r="H10">
        <v>85</v>
      </c>
      <c r="I10">
        <v>10.59</v>
      </c>
      <c r="J10" s="2">
        <f t="shared" si="1"/>
        <v>2888</v>
      </c>
      <c r="K10" s="9">
        <f t="shared" si="2"/>
        <v>30583.919999999998</v>
      </c>
    </row>
    <row r="11" spans="1:11" x14ac:dyDescent="0.35">
      <c r="A11" s="10" t="s">
        <v>911</v>
      </c>
      <c r="B11" s="10">
        <v>25</v>
      </c>
      <c r="C11" t="s">
        <v>13</v>
      </c>
      <c r="D11" t="s">
        <v>816</v>
      </c>
      <c r="E11" s="2">
        <v>1783</v>
      </c>
      <c r="F11" s="2">
        <v>804</v>
      </c>
      <c r="G11" s="12">
        <f t="shared" si="0"/>
        <v>0.45092540661805947</v>
      </c>
      <c r="H11">
        <v>85</v>
      </c>
      <c r="I11">
        <v>10.59</v>
      </c>
      <c r="J11" s="2">
        <f t="shared" si="1"/>
        <v>979</v>
      </c>
      <c r="K11" s="9">
        <f t="shared" si="2"/>
        <v>10367.61</v>
      </c>
    </row>
    <row r="12" spans="1:11" x14ac:dyDescent="0.35">
      <c r="A12" s="10" t="s">
        <v>911</v>
      </c>
      <c r="B12" s="10">
        <v>31</v>
      </c>
      <c r="C12" t="s">
        <v>14</v>
      </c>
      <c r="D12" t="s">
        <v>358</v>
      </c>
      <c r="E12" s="2">
        <v>13069</v>
      </c>
      <c r="F12" s="2">
        <v>6624</v>
      </c>
      <c r="G12" s="12">
        <f t="shared" si="0"/>
        <v>0.50684826689111639</v>
      </c>
      <c r="H12">
        <v>85</v>
      </c>
      <c r="I12">
        <v>10.59</v>
      </c>
      <c r="J12" s="2">
        <f t="shared" si="1"/>
        <v>6445</v>
      </c>
      <c r="K12" s="9">
        <f t="shared" si="2"/>
        <v>68252.55</v>
      </c>
    </row>
    <row r="13" spans="1:11" x14ac:dyDescent="0.35">
      <c r="A13" s="10" t="s">
        <v>911</v>
      </c>
      <c r="B13" s="10">
        <v>41</v>
      </c>
      <c r="C13" t="s">
        <v>15</v>
      </c>
      <c r="D13" t="s">
        <v>819</v>
      </c>
      <c r="E13" s="2">
        <v>3570</v>
      </c>
      <c r="F13" s="2">
        <v>1443</v>
      </c>
      <c r="G13" s="12">
        <f t="shared" si="0"/>
        <v>0.40420168067226891</v>
      </c>
      <c r="H13">
        <v>85</v>
      </c>
      <c r="I13">
        <v>10.59</v>
      </c>
      <c r="J13" s="2">
        <f t="shared" si="1"/>
        <v>2127</v>
      </c>
      <c r="K13" s="9">
        <f t="shared" si="2"/>
        <v>22524.93</v>
      </c>
    </row>
    <row r="14" spans="1:11" x14ac:dyDescent="0.35">
      <c r="A14" s="10" t="s">
        <v>911</v>
      </c>
      <c r="B14" s="10">
        <v>42</v>
      </c>
      <c r="C14" t="s">
        <v>16</v>
      </c>
      <c r="D14" t="s">
        <v>359</v>
      </c>
      <c r="E14" s="2">
        <v>9368</v>
      </c>
      <c r="F14" s="2">
        <v>2807</v>
      </c>
      <c r="G14" s="12">
        <f t="shared" si="0"/>
        <v>0.29963706233988047</v>
      </c>
      <c r="H14">
        <v>85</v>
      </c>
      <c r="I14">
        <v>10.59</v>
      </c>
      <c r="J14" s="2">
        <f t="shared" si="1"/>
        <v>6561</v>
      </c>
      <c r="K14" s="9">
        <f t="shared" si="2"/>
        <v>69480.990000000005</v>
      </c>
    </row>
    <row r="15" spans="1:11" x14ac:dyDescent="0.35">
      <c r="A15" s="10" t="s">
        <v>911</v>
      </c>
      <c r="B15" s="10">
        <v>80</v>
      </c>
      <c r="C15" t="s">
        <v>17</v>
      </c>
      <c r="D15" t="s">
        <v>360</v>
      </c>
      <c r="E15" s="2">
        <v>5866</v>
      </c>
      <c r="F15" s="2">
        <v>2303</v>
      </c>
      <c r="G15" s="12">
        <f t="shared" si="0"/>
        <v>0.39260143198090691</v>
      </c>
      <c r="H15">
        <v>85</v>
      </c>
      <c r="I15">
        <v>10.59</v>
      </c>
      <c r="J15" s="2">
        <f t="shared" si="1"/>
        <v>3563</v>
      </c>
      <c r="K15" s="9">
        <f t="shared" si="2"/>
        <v>37732.17</v>
      </c>
    </row>
    <row r="16" spans="1:11" x14ac:dyDescent="0.35">
      <c r="A16" s="10" t="s">
        <v>911</v>
      </c>
      <c r="B16" s="10">
        <v>81</v>
      </c>
      <c r="C16" t="s">
        <v>18</v>
      </c>
      <c r="D16" t="s">
        <v>361</v>
      </c>
      <c r="E16" s="2">
        <v>4685</v>
      </c>
      <c r="F16" s="2">
        <v>1700</v>
      </c>
      <c r="G16" s="12">
        <f t="shared" si="0"/>
        <v>0.36286019210245463</v>
      </c>
      <c r="H16">
        <v>85</v>
      </c>
      <c r="I16">
        <v>10.59</v>
      </c>
      <c r="J16" s="2">
        <f t="shared" si="1"/>
        <v>2985</v>
      </c>
      <c r="K16" s="9">
        <f t="shared" si="2"/>
        <v>31611.149999999998</v>
      </c>
    </row>
    <row r="17" spans="1:11" x14ac:dyDescent="0.35">
      <c r="A17" s="10" t="s">
        <v>911</v>
      </c>
      <c r="B17" s="10">
        <v>82</v>
      </c>
      <c r="C17" t="s">
        <v>19</v>
      </c>
      <c r="D17" t="s">
        <v>362</v>
      </c>
      <c r="E17" s="2">
        <v>5114</v>
      </c>
      <c r="F17" s="2">
        <v>1736</v>
      </c>
      <c r="G17" s="12">
        <f t="shared" si="0"/>
        <v>0.3394603050449746</v>
      </c>
      <c r="H17">
        <v>85</v>
      </c>
      <c r="I17">
        <v>10.59</v>
      </c>
      <c r="J17" s="2">
        <f t="shared" si="1"/>
        <v>3378</v>
      </c>
      <c r="K17" s="9">
        <f t="shared" si="2"/>
        <v>35773.019999999997</v>
      </c>
    </row>
    <row r="18" spans="1:11" x14ac:dyDescent="0.35">
      <c r="A18" s="10" t="s">
        <v>911</v>
      </c>
      <c r="B18" s="10">
        <v>83</v>
      </c>
      <c r="C18" t="s">
        <v>20</v>
      </c>
      <c r="D18" t="s">
        <v>363</v>
      </c>
      <c r="E18" s="2">
        <v>4727</v>
      </c>
      <c r="F18" s="2">
        <v>2109</v>
      </c>
      <c r="G18" s="12">
        <f t="shared" si="0"/>
        <v>0.4461603554051195</v>
      </c>
      <c r="H18">
        <v>85</v>
      </c>
      <c r="I18">
        <v>10.59</v>
      </c>
      <c r="J18" s="2">
        <f t="shared" si="1"/>
        <v>2618</v>
      </c>
      <c r="K18" s="9">
        <f t="shared" si="2"/>
        <v>27724.62</v>
      </c>
    </row>
    <row r="19" spans="1:11" x14ac:dyDescent="0.35">
      <c r="A19" s="10" t="s">
        <v>911</v>
      </c>
      <c r="B19" s="10">
        <v>84</v>
      </c>
      <c r="C19" t="s">
        <v>21</v>
      </c>
      <c r="D19" t="s">
        <v>364</v>
      </c>
      <c r="E19" s="2">
        <v>5716</v>
      </c>
      <c r="F19" s="2">
        <v>2452</v>
      </c>
      <c r="G19" s="12">
        <f t="shared" si="0"/>
        <v>0.42897130860741778</v>
      </c>
      <c r="H19">
        <v>85</v>
      </c>
      <c r="I19">
        <v>10.59</v>
      </c>
      <c r="J19" s="2">
        <f t="shared" si="1"/>
        <v>3264</v>
      </c>
      <c r="K19" s="9">
        <f t="shared" si="2"/>
        <v>34565.760000000002</v>
      </c>
    </row>
    <row r="20" spans="1:11" x14ac:dyDescent="0.35">
      <c r="A20" s="10" t="s">
        <v>911</v>
      </c>
      <c r="B20" s="10">
        <v>85</v>
      </c>
      <c r="C20" t="s">
        <v>22</v>
      </c>
      <c r="D20" t="s">
        <v>365</v>
      </c>
      <c r="E20" s="2">
        <v>4182</v>
      </c>
      <c r="F20" s="2">
        <v>1533</v>
      </c>
      <c r="G20" s="12">
        <f t="shared" si="0"/>
        <v>0.36657101865136299</v>
      </c>
      <c r="H20">
        <v>85</v>
      </c>
      <c r="I20">
        <v>10.59</v>
      </c>
      <c r="J20" s="2">
        <f t="shared" si="1"/>
        <v>2649</v>
      </c>
      <c r="K20" s="9">
        <f t="shared" si="2"/>
        <v>28052.91</v>
      </c>
    </row>
    <row r="21" spans="1:11" x14ac:dyDescent="0.35">
      <c r="A21" s="10" t="s">
        <v>911</v>
      </c>
      <c r="B21" s="10">
        <v>92</v>
      </c>
      <c r="C21" t="s">
        <v>23</v>
      </c>
      <c r="D21" t="s">
        <v>366</v>
      </c>
      <c r="E21" s="2">
        <v>3669</v>
      </c>
      <c r="F21" s="2">
        <v>2029</v>
      </c>
      <c r="G21" s="12">
        <f t="shared" si="0"/>
        <v>0.55301171981466335</v>
      </c>
      <c r="H21">
        <v>85</v>
      </c>
      <c r="I21">
        <v>10.59</v>
      </c>
      <c r="J21" s="2">
        <f t="shared" si="1"/>
        <v>1640</v>
      </c>
      <c r="K21" s="9">
        <f t="shared" si="2"/>
        <v>17367.599999999999</v>
      </c>
    </row>
    <row r="22" spans="1:11" x14ac:dyDescent="0.35">
      <c r="A22" s="10" t="s">
        <v>911</v>
      </c>
      <c r="B22" s="10">
        <v>94</v>
      </c>
      <c r="C22" t="s">
        <v>24</v>
      </c>
      <c r="D22" t="s">
        <v>367</v>
      </c>
      <c r="E22" s="2">
        <v>5776</v>
      </c>
      <c r="F22" s="2">
        <v>2582</v>
      </c>
      <c r="G22" s="12">
        <f t="shared" si="0"/>
        <v>0.44702216066481992</v>
      </c>
      <c r="H22">
        <v>85</v>
      </c>
      <c r="I22">
        <v>10.59</v>
      </c>
      <c r="J22" s="2">
        <f t="shared" si="1"/>
        <v>3194</v>
      </c>
      <c r="K22" s="9">
        <f t="shared" si="2"/>
        <v>33824.46</v>
      </c>
    </row>
    <row r="23" spans="1:11" x14ac:dyDescent="0.35">
      <c r="A23" s="10" t="s">
        <v>911</v>
      </c>
      <c r="B23" s="10">
        <v>120</v>
      </c>
      <c r="C23" t="s">
        <v>912</v>
      </c>
      <c r="D23" t="s">
        <v>368</v>
      </c>
      <c r="E23" s="2">
        <v>4003</v>
      </c>
      <c r="F23" s="2">
        <v>1633</v>
      </c>
      <c r="G23" s="12">
        <f t="shared" si="0"/>
        <v>0.40794404196852363</v>
      </c>
      <c r="H23">
        <v>85</v>
      </c>
      <c r="I23">
        <v>10.59</v>
      </c>
      <c r="J23" s="2">
        <f t="shared" si="1"/>
        <v>2370</v>
      </c>
      <c r="K23" s="9">
        <f t="shared" si="2"/>
        <v>25098.3</v>
      </c>
    </row>
    <row r="24" spans="1:11" x14ac:dyDescent="0.35">
      <c r="A24" s="10" t="s">
        <v>911</v>
      </c>
      <c r="B24" s="10">
        <v>217</v>
      </c>
      <c r="C24" t="s">
        <v>25</v>
      </c>
      <c r="D24" t="s">
        <v>369</v>
      </c>
      <c r="E24" s="2">
        <v>4168</v>
      </c>
      <c r="F24" s="2">
        <v>1949</v>
      </c>
      <c r="G24" s="12">
        <f t="shared" si="0"/>
        <v>0.46761036468330136</v>
      </c>
      <c r="H24">
        <v>85</v>
      </c>
      <c r="I24">
        <v>10.59</v>
      </c>
      <c r="J24" s="2">
        <f t="shared" si="1"/>
        <v>2219</v>
      </c>
      <c r="K24" s="9">
        <f t="shared" si="2"/>
        <v>23499.21</v>
      </c>
    </row>
    <row r="25" spans="1:11" x14ac:dyDescent="0.35">
      <c r="A25" s="10" t="s">
        <v>911</v>
      </c>
      <c r="B25" s="10">
        <v>227</v>
      </c>
      <c r="C25" t="s">
        <v>26</v>
      </c>
      <c r="D25" t="s">
        <v>370</v>
      </c>
      <c r="E25" s="2">
        <v>4950</v>
      </c>
      <c r="F25" s="2">
        <v>1725</v>
      </c>
      <c r="G25" s="12">
        <f t="shared" si="0"/>
        <v>0.34848484848484851</v>
      </c>
      <c r="H25">
        <v>85</v>
      </c>
      <c r="I25">
        <v>10.59</v>
      </c>
      <c r="J25" s="2">
        <f t="shared" si="1"/>
        <v>3225</v>
      </c>
      <c r="K25" s="9">
        <f t="shared" si="2"/>
        <v>34152.75</v>
      </c>
    </row>
    <row r="26" spans="1:11" x14ac:dyDescent="0.35">
      <c r="A26" s="10" t="s">
        <v>911</v>
      </c>
      <c r="B26" s="10">
        <v>260</v>
      </c>
      <c r="C26" t="s">
        <v>27</v>
      </c>
      <c r="D26" t="s">
        <v>371</v>
      </c>
      <c r="E26" s="2">
        <v>8573</v>
      </c>
      <c r="F26" s="2">
        <v>5124</v>
      </c>
      <c r="G26" s="12">
        <f t="shared" si="0"/>
        <v>0.59769042342237255</v>
      </c>
      <c r="H26">
        <v>85</v>
      </c>
      <c r="I26">
        <v>10.59</v>
      </c>
      <c r="J26" s="2">
        <f t="shared" si="1"/>
        <v>3449</v>
      </c>
      <c r="K26" s="9">
        <f t="shared" si="2"/>
        <v>36524.909999999996</v>
      </c>
    </row>
    <row r="27" spans="1:11" x14ac:dyDescent="0.35">
      <c r="A27" s="10" t="s">
        <v>911</v>
      </c>
      <c r="B27" s="10">
        <v>268</v>
      </c>
      <c r="C27" t="s">
        <v>28</v>
      </c>
      <c r="D27" t="s">
        <v>372</v>
      </c>
      <c r="E27" s="2">
        <v>5556</v>
      </c>
      <c r="F27" s="2">
        <v>2034</v>
      </c>
      <c r="G27" s="12">
        <f t="shared" si="0"/>
        <v>0.36609071274298055</v>
      </c>
      <c r="H27">
        <v>85</v>
      </c>
      <c r="I27">
        <v>10.59</v>
      </c>
      <c r="J27" s="2">
        <f t="shared" si="1"/>
        <v>3522</v>
      </c>
      <c r="K27" s="9">
        <f t="shared" si="2"/>
        <v>37297.979999999996</v>
      </c>
    </row>
    <row r="28" spans="1:11" x14ac:dyDescent="0.35">
      <c r="A28" s="10" t="s">
        <v>911</v>
      </c>
      <c r="B28" s="10">
        <v>271</v>
      </c>
      <c r="C28" t="s">
        <v>29</v>
      </c>
      <c r="D28" t="s">
        <v>373</v>
      </c>
      <c r="E28" s="2">
        <v>2658</v>
      </c>
      <c r="F28" s="2">
        <v>796</v>
      </c>
      <c r="G28" s="12">
        <f t="shared" si="0"/>
        <v>0.29947328818660646</v>
      </c>
      <c r="H28">
        <v>85</v>
      </c>
      <c r="I28">
        <v>10.59</v>
      </c>
      <c r="J28" s="2">
        <f t="shared" si="1"/>
        <v>1862</v>
      </c>
      <c r="K28" s="9">
        <f t="shared" si="2"/>
        <v>19718.579999999998</v>
      </c>
    </row>
    <row r="29" spans="1:11" x14ac:dyDescent="0.35">
      <c r="A29" s="10" t="s">
        <v>911</v>
      </c>
      <c r="B29" s="10">
        <v>281</v>
      </c>
      <c r="C29" t="s">
        <v>30</v>
      </c>
      <c r="D29" t="s">
        <v>375</v>
      </c>
      <c r="E29" s="2">
        <v>7025</v>
      </c>
      <c r="F29" s="2">
        <v>2980</v>
      </c>
      <c r="G29" s="12">
        <f t="shared" si="0"/>
        <v>0.42419928825622777</v>
      </c>
      <c r="H29">
        <v>85</v>
      </c>
      <c r="I29">
        <v>10.59</v>
      </c>
      <c r="J29" s="2">
        <f t="shared" si="1"/>
        <v>4045</v>
      </c>
      <c r="K29" s="9">
        <f t="shared" si="2"/>
        <v>42836.55</v>
      </c>
    </row>
    <row r="30" spans="1:11" x14ac:dyDescent="0.35">
      <c r="A30" s="10" t="s">
        <v>911</v>
      </c>
      <c r="B30" s="10">
        <v>288</v>
      </c>
      <c r="C30" t="s">
        <v>32</v>
      </c>
      <c r="D30" t="s">
        <v>376</v>
      </c>
      <c r="E30" s="2">
        <v>5494</v>
      </c>
      <c r="F30" s="2">
        <v>2644</v>
      </c>
      <c r="G30" s="12">
        <f t="shared" si="0"/>
        <v>0.48125227520931924</v>
      </c>
      <c r="H30">
        <v>85</v>
      </c>
      <c r="I30">
        <v>10.59</v>
      </c>
      <c r="J30" s="2">
        <f t="shared" si="1"/>
        <v>2850</v>
      </c>
      <c r="K30" s="9">
        <f t="shared" si="2"/>
        <v>30181.5</v>
      </c>
    </row>
    <row r="31" spans="1:11" x14ac:dyDescent="0.35">
      <c r="A31" s="10" t="s">
        <v>911</v>
      </c>
      <c r="B31" s="10">
        <v>293</v>
      </c>
      <c r="C31" t="s">
        <v>33</v>
      </c>
      <c r="D31" t="s">
        <v>377</v>
      </c>
      <c r="E31" s="2">
        <v>4735</v>
      </c>
      <c r="F31" s="2">
        <v>1799</v>
      </c>
      <c r="G31" s="12">
        <f t="shared" si="0"/>
        <v>0.37993664202745514</v>
      </c>
      <c r="H31">
        <v>85</v>
      </c>
      <c r="I31">
        <v>10.59</v>
      </c>
      <c r="J31" s="2">
        <f t="shared" si="1"/>
        <v>2936</v>
      </c>
      <c r="K31" s="9">
        <f t="shared" si="2"/>
        <v>31092.239999999998</v>
      </c>
    </row>
    <row r="32" spans="1:11" x14ac:dyDescent="0.35">
      <c r="A32" s="10" t="s">
        <v>911</v>
      </c>
      <c r="B32" s="10">
        <v>347</v>
      </c>
      <c r="C32" t="s">
        <v>34</v>
      </c>
      <c r="D32" t="s">
        <v>378</v>
      </c>
      <c r="E32" s="2">
        <v>4022</v>
      </c>
      <c r="F32" s="2">
        <v>1649</v>
      </c>
      <c r="G32" s="12">
        <f t="shared" si="0"/>
        <v>0.40999502734957732</v>
      </c>
      <c r="H32">
        <v>85</v>
      </c>
      <c r="I32">
        <v>10.59</v>
      </c>
      <c r="J32" s="2">
        <f t="shared" si="1"/>
        <v>2373</v>
      </c>
      <c r="K32" s="9">
        <f t="shared" si="2"/>
        <v>25130.07</v>
      </c>
    </row>
    <row r="33" spans="1:11" x14ac:dyDescent="0.35">
      <c r="A33" s="10" t="s">
        <v>911</v>
      </c>
      <c r="B33" s="10">
        <v>358</v>
      </c>
      <c r="C33" t="s">
        <v>35</v>
      </c>
      <c r="D33" t="s">
        <v>379</v>
      </c>
      <c r="E33" s="2">
        <v>3672</v>
      </c>
      <c r="F33" s="2">
        <v>1170</v>
      </c>
      <c r="G33" s="12">
        <f t="shared" si="0"/>
        <v>0.31862745098039214</v>
      </c>
      <c r="H33">
        <v>85</v>
      </c>
      <c r="I33">
        <v>10.59</v>
      </c>
      <c r="J33" s="2">
        <f t="shared" si="1"/>
        <v>2502</v>
      </c>
      <c r="K33" s="9">
        <f t="shared" si="2"/>
        <v>26496.18</v>
      </c>
    </row>
    <row r="34" spans="1:11" x14ac:dyDescent="0.35">
      <c r="A34" s="10" t="s">
        <v>911</v>
      </c>
      <c r="B34" s="10">
        <v>361</v>
      </c>
      <c r="C34" t="s">
        <v>36</v>
      </c>
      <c r="D34" t="s">
        <v>380</v>
      </c>
      <c r="E34" s="2">
        <v>5341</v>
      </c>
      <c r="F34" s="2">
        <v>1443</v>
      </c>
      <c r="G34" s="12">
        <f t="shared" si="0"/>
        <v>0.27017412469574986</v>
      </c>
      <c r="H34">
        <v>85</v>
      </c>
      <c r="I34">
        <v>10.59</v>
      </c>
      <c r="J34" s="2">
        <f t="shared" si="1"/>
        <v>3898</v>
      </c>
      <c r="K34" s="9">
        <f t="shared" si="2"/>
        <v>41279.82</v>
      </c>
    </row>
    <row r="35" spans="1:11" x14ac:dyDescent="0.35">
      <c r="A35" s="10" t="s">
        <v>911</v>
      </c>
      <c r="B35" s="10">
        <v>363</v>
      </c>
      <c r="C35" t="s">
        <v>37</v>
      </c>
      <c r="D35" t="s">
        <v>381</v>
      </c>
      <c r="E35" s="2">
        <v>3636</v>
      </c>
      <c r="F35" s="2">
        <v>1465</v>
      </c>
      <c r="G35" s="12">
        <f t="shared" si="0"/>
        <v>0.4029152915291529</v>
      </c>
      <c r="H35">
        <v>85</v>
      </c>
      <c r="I35">
        <v>10.59</v>
      </c>
      <c r="J35" s="2">
        <f t="shared" si="1"/>
        <v>2171</v>
      </c>
      <c r="K35" s="9">
        <f t="shared" si="2"/>
        <v>22990.89</v>
      </c>
    </row>
    <row r="36" spans="1:11" x14ac:dyDescent="0.35">
      <c r="A36" s="10" t="s">
        <v>911</v>
      </c>
      <c r="B36" s="10">
        <v>378</v>
      </c>
      <c r="C36" t="s">
        <v>38</v>
      </c>
      <c r="D36" t="s">
        <v>383</v>
      </c>
      <c r="E36" s="2">
        <v>5322</v>
      </c>
      <c r="F36" s="2">
        <v>1646</v>
      </c>
      <c r="G36" s="12">
        <f t="shared" si="0"/>
        <v>0.30928222472754602</v>
      </c>
      <c r="H36">
        <v>85</v>
      </c>
      <c r="I36">
        <v>10.59</v>
      </c>
      <c r="J36" s="2">
        <f t="shared" si="1"/>
        <v>3676</v>
      </c>
      <c r="K36" s="9">
        <f t="shared" si="2"/>
        <v>38928.839999999997</v>
      </c>
    </row>
    <row r="37" spans="1:11" x14ac:dyDescent="0.35">
      <c r="A37" s="10" t="s">
        <v>911</v>
      </c>
      <c r="B37" s="10">
        <v>382</v>
      </c>
      <c r="C37" t="s">
        <v>39</v>
      </c>
      <c r="D37" t="s">
        <v>791</v>
      </c>
      <c r="E37" s="2">
        <v>4859</v>
      </c>
      <c r="F37" s="2">
        <v>2141</v>
      </c>
      <c r="G37" s="12">
        <f t="shared" si="0"/>
        <v>0.44062564313644781</v>
      </c>
      <c r="H37">
        <v>85</v>
      </c>
      <c r="I37">
        <v>10.59</v>
      </c>
      <c r="J37" s="2">
        <f t="shared" si="1"/>
        <v>2718</v>
      </c>
      <c r="K37" s="9">
        <f t="shared" si="2"/>
        <v>28783.62</v>
      </c>
    </row>
    <row r="38" spans="1:11" x14ac:dyDescent="0.35">
      <c r="A38" s="10" t="s">
        <v>911</v>
      </c>
      <c r="B38" s="10">
        <v>388</v>
      </c>
      <c r="C38" t="s">
        <v>40</v>
      </c>
      <c r="D38" t="s">
        <v>384</v>
      </c>
      <c r="E38" s="2">
        <v>5409</v>
      </c>
      <c r="F38" s="2">
        <v>2880</v>
      </c>
      <c r="G38" s="12">
        <f t="shared" si="0"/>
        <v>0.53244592346089847</v>
      </c>
      <c r="H38">
        <v>85</v>
      </c>
      <c r="I38">
        <v>10.59</v>
      </c>
      <c r="J38" s="2">
        <f t="shared" si="1"/>
        <v>2529</v>
      </c>
      <c r="K38" s="9">
        <f t="shared" si="2"/>
        <v>26782.11</v>
      </c>
    </row>
    <row r="39" spans="1:11" x14ac:dyDescent="0.35">
      <c r="A39" s="10" t="s">
        <v>911</v>
      </c>
      <c r="B39" s="10">
        <v>405</v>
      </c>
      <c r="C39" t="s">
        <v>41</v>
      </c>
      <c r="D39" t="s">
        <v>385</v>
      </c>
      <c r="E39" s="2">
        <v>1934</v>
      </c>
      <c r="F39" s="2">
        <v>854</v>
      </c>
      <c r="G39" s="12">
        <f t="shared" si="0"/>
        <v>0.44157187176835572</v>
      </c>
      <c r="H39">
        <v>85</v>
      </c>
      <c r="I39">
        <v>10.59</v>
      </c>
      <c r="J39" s="2">
        <f t="shared" si="1"/>
        <v>1080</v>
      </c>
      <c r="K39" s="9">
        <f t="shared" si="2"/>
        <v>11437.2</v>
      </c>
    </row>
    <row r="40" spans="1:11" x14ac:dyDescent="0.35">
      <c r="A40" s="10" t="s">
        <v>911</v>
      </c>
      <c r="B40" s="10">
        <v>414</v>
      </c>
      <c r="C40" t="s">
        <v>42</v>
      </c>
      <c r="D40" t="s">
        <v>386</v>
      </c>
      <c r="E40" s="2">
        <v>8826</v>
      </c>
      <c r="F40" s="2">
        <v>3765</v>
      </c>
      <c r="G40" s="12">
        <f t="shared" si="0"/>
        <v>0.42658055744391571</v>
      </c>
      <c r="H40">
        <v>85</v>
      </c>
      <c r="I40">
        <v>10.59</v>
      </c>
      <c r="J40" s="2">
        <f t="shared" si="1"/>
        <v>5061</v>
      </c>
      <c r="K40" s="9">
        <f t="shared" si="2"/>
        <v>53595.99</v>
      </c>
    </row>
    <row r="41" spans="1:11" x14ac:dyDescent="0.35">
      <c r="A41" s="10" t="s">
        <v>911</v>
      </c>
      <c r="B41" s="10">
        <v>437</v>
      </c>
      <c r="C41" t="s">
        <v>903</v>
      </c>
      <c r="D41" t="s">
        <v>907</v>
      </c>
      <c r="E41" s="2">
        <v>7003</v>
      </c>
      <c r="F41" s="2">
        <v>2936</v>
      </c>
      <c r="G41" s="12">
        <f t="shared" si="0"/>
        <v>0.4192488933314294</v>
      </c>
      <c r="H41">
        <v>85</v>
      </c>
      <c r="I41">
        <v>10.59</v>
      </c>
      <c r="J41" s="2">
        <f t="shared" si="1"/>
        <v>4067</v>
      </c>
      <c r="K41" s="9">
        <f t="shared" si="2"/>
        <v>43069.53</v>
      </c>
    </row>
    <row r="42" spans="1:11" x14ac:dyDescent="0.35">
      <c r="A42" s="10" t="s">
        <v>911</v>
      </c>
      <c r="B42" s="10">
        <v>440</v>
      </c>
      <c r="C42" t="s">
        <v>43</v>
      </c>
      <c r="D42" t="s">
        <v>807</v>
      </c>
      <c r="E42" s="2">
        <v>5686</v>
      </c>
      <c r="F42" s="2">
        <v>2683</v>
      </c>
      <c r="G42" s="12">
        <f t="shared" si="0"/>
        <v>0.47186071051705947</v>
      </c>
      <c r="H42">
        <v>85</v>
      </c>
      <c r="I42">
        <v>10.59</v>
      </c>
      <c r="J42" s="2">
        <f t="shared" si="1"/>
        <v>3003</v>
      </c>
      <c r="K42" s="9">
        <f t="shared" si="2"/>
        <v>31801.77</v>
      </c>
    </row>
    <row r="43" spans="1:11" x14ac:dyDescent="0.35">
      <c r="A43" s="10" t="s">
        <v>911</v>
      </c>
      <c r="B43" s="10">
        <v>443</v>
      </c>
      <c r="C43" t="s">
        <v>44</v>
      </c>
      <c r="D43" t="s">
        <v>387</v>
      </c>
      <c r="E43" s="2">
        <v>9412</v>
      </c>
      <c r="F43" s="2">
        <v>3727</v>
      </c>
      <c r="G43" s="12">
        <f t="shared" si="0"/>
        <v>0.3959838504037399</v>
      </c>
      <c r="H43">
        <v>85</v>
      </c>
      <c r="I43">
        <v>10.59</v>
      </c>
      <c r="J43" s="2">
        <f t="shared" si="1"/>
        <v>5685</v>
      </c>
      <c r="K43" s="9">
        <f t="shared" si="2"/>
        <v>60204.15</v>
      </c>
    </row>
    <row r="44" spans="1:11" x14ac:dyDescent="0.35">
      <c r="A44" s="10" t="s">
        <v>911</v>
      </c>
      <c r="B44" s="10">
        <v>446</v>
      </c>
      <c r="C44" t="s">
        <v>45</v>
      </c>
      <c r="D44" t="s">
        <v>388</v>
      </c>
      <c r="E44" s="2">
        <v>4849</v>
      </c>
      <c r="F44" s="2">
        <v>2018</v>
      </c>
      <c r="G44" s="12">
        <f t="shared" si="0"/>
        <v>0.41616828212002477</v>
      </c>
      <c r="H44">
        <v>85</v>
      </c>
      <c r="I44">
        <v>10.59</v>
      </c>
      <c r="J44" s="2">
        <f t="shared" si="1"/>
        <v>2831</v>
      </c>
      <c r="K44" s="9">
        <f t="shared" si="2"/>
        <v>29980.29</v>
      </c>
    </row>
    <row r="45" spans="1:11" x14ac:dyDescent="0.35">
      <c r="A45" s="10" t="s">
        <v>911</v>
      </c>
      <c r="B45" s="10">
        <v>458</v>
      </c>
      <c r="C45" t="s">
        <v>46</v>
      </c>
      <c r="D45" t="s">
        <v>389</v>
      </c>
      <c r="E45" s="2">
        <v>4137</v>
      </c>
      <c r="F45" s="2">
        <v>2325</v>
      </c>
      <c r="G45" s="12">
        <f t="shared" si="0"/>
        <v>0.56200145032632343</v>
      </c>
      <c r="H45">
        <v>85</v>
      </c>
      <c r="I45">
        <v>10.59</v>
      </c>
      <c r="J45" s="2">
        <f t="shared" si="1"/>
        <v>1812</v>
      </c>
      <c r="K45" s="9">
        <f t="shared" si="2"/>
        <v>19189.079999999998</v>
      </c>
    </row>
    <row r="46" spans="1:11" x14ac:dyDescent="0.35">
      <c r="A46" s="10" t="s">
        <v>911</v>
      </c>
      <c r="B46" s="10">
        <v>463</v>
      </c>
      <c r="C46" t="s">
        <v>47</v>
      </c>
      <c r="D46" t="s">
        <v>390</v>
      </c>
      <c r="E46" s="2">
        <v>4587</v>
      </c>
      <c r="F46" s="2">
        <v>2339</v>
      </c>
      <c r="G46" s="12">
        <f t="shared" si="0"/>
        <v>0.50991933725746674</v>
      </c>
      <c r="H46">
        <v>85</v>
      </c>
      <c r="I46">
        <v>10.59</v>
      </c>
      <c r="J46" s="2">
        <f t="shared" si="1"/>
        <v>2248</v>
      </c>
      <c r="K46" s="9">
        <f t="shared" si="2"/>
        <v>23806.32</v>
      </c>
    </row>
    <row r="47" spans="1:11" x14ac:dyDescent="0.35">
      <c r="A47" s="10" t="s">
        <v>911</v>
      </c>
      <c r="B47" s="10">
        <v>493</v>
      </c>
      <c r="C47" t="s">
        <v>48</v>
      </c>
      <c r="D47" t="s">
        <v>391</v>
      </c>
      <c r="E47" s="2">
        <v>7946</v>
      </c>
      <c r="F47" s="2">
        <v>2501</v>
      </c>
      <c r="G47" s="12">
        <f t="shared" si="0"/>
        <v>0.31474955952680594</v>
      </c>
      <c r="H47">
        <v>85</v>
      </c>
      <c r="I47">
        <v>10.59</v>
      </c>
      <c r="J47" s="2">
        <f t="shared" si="1"/>
        <v>5445</v>
      </c>
      <c r="K47" s="9">
        <f t="shared" si="2"/>
        <v>57662.549999999996</v>
      </c>
    </row>
    <row r="48" spans="1:11" x14ac:dyDescent="0.35">
      <c r="A48" s="10" t="s">
        <v>911</v>
      </c>
      <c r="B48" s="10">
        <v>494</v>
      </c>
      <c r="C48" t="s">
        <v>49</v>
      </c>
      <c r="D48" t="s">
        <v>392</v>
      </c>
      <c r="E48" s="2">
        <v>4576</v>
      </c>
      <c r="F48" s="2">
        <v>1912</v>
      </c>
      <c r="G48" s="12">
        <f t="shared" si="0"/>
        <v>0.41783216783216781</v>
      </c>
      <c r="H48">
        <v>85</v>
      </c>
      <c r="I48">
        <v>10.59</v>
      </c>
      <c r="J48" s="2">
        <f t="shared" si="1"/>
        <v>2664</v>
      </c>
      <c r="K48" s="9">
        <f t="shared" si="2"/>
        <v>28211.759999999998</v>
      </c>
    </row>
    <row r="49" spans="1:11" x14ac:dyDescent="0.35">
      <c r="A49" s="10" t="s">
        <v>911</v>
      </c>
      <c r="B49" s="10">
        <v>498</v>
      </c>
      <c r="C49" t="s">
        <v>50</v>
      </c>
      <c r="D49" t="s">
        <v>393</v>
      </c>
      <c r="E49" s="2">
        <v>4585</v>
      </c>
      <c r="F49" s="2">
        <v>2022</v>
      </c>
      <c r="G49" s="12">
        <f t="shared" si="0"/>
        <v>0.4410032715376227</v>
      </c>
      <c r="H49">
        <v>85</v>
      </c>
      <c r="I49">
        <v>10.59</v>
      </c>
      <c r="J49" s="2">
        <f t="shared" si="1"/>
        <v>2563</v>
      </c>
      <c r="K49" s="9">
        <f t="shared" si="2"/>
        <v>27142.17</v>
      </c>
    </row>
    <row r="50" spans="1:11" x14ac:dyDescent="0.35">
      <c r="A50" s="10" t="s">
        <v>911</v>
      </c>
      <c r="B50" s="10">
        <v>507</v>
      </c>
      <c r="C50" t="s">
        <v>51</v>
      </c>
      <c r="D50" t="s">
        <v>394</v>
      </c>
      <c r="E50" s="2">
        <v>27041</v>
      </c>
      <c r="F50" s="2">
        <v>16438</v>
      </c>
      <c r="G50" s="12">
        <f t="shared" si="0"/>
        <v>0.60789171998076996</v>
      </c>
      <c r="H50">
        <v>85</v>
      </c>
      <c r="I50">
        <v>10.59</v>
      </c>
      <c r="J50" s="2">
        <f t="shared" si="1"/>
        <v>10603</v>
      </c>
      <c r="K50" s="9">
        <f t="shared" si="2"/>
        <v>112285.77</v>
      </c>
    </row>
    <row r="51" spans="1:11" x14ac:dyDescent="0.35">
      <c r="A51" s="10" t="s">
        <v>911</v>
      </c>
      <c r="B51" s="10">
        <v>512</v>
      </c>
      <c r="C51" t="s">
        <v>52</v>
      </c>
      <c r="D51" t="s">
        <v>789</v>
      </c>
      <c r="E51" s="2">
        <v>3410</v>
      </c>
      <c r="F51" s="2">
        <v>1691</v>
      </c>
      <c r="G51" s="12">
        <f t="shared" si="0"/>
        <v>0.49589442815249268</v>
      </c>
      <c r="H51">
        <v>85</v>
      </c>
      <c r="I51">
        <v>10.59</v>
      </c>
      <c r="J51" s="2">
        <f t="shared" si="1"/>
        <v>1719</v>
      </c>
      <c r="K51" s="9">
        <f t="shared" si="2"/>
        <v>18204.21</v>
      </c>
    </row>
    <row r="52" spans="1:11" x14ac:dyDescent="0.35">
      <c r="A52" s="10" t="s">
        <v>911</v>
      </c>
      <c r="B52" s="10">
        <v>519</v>
      </c>
      <c r="C52" t="s">
        <v>53</v>
      </c>
      <c r="D52" t="s">
        <v>2</v>
      </c>
      <c r="E52" s="2">
        <v>6698</v>
      </c>
      <c r="F52" s="2">
        <v>1922</v>
      </c>
      <c r="G52" s="12">
        <f t="shared" si="0"/>
        <v>0.28695132875485219</v>
      </c>
      <c r="H52">
        <v>85</v>
      </c>
      <c r="I52">
        <v>10.59</v>
      </c>
      <c r="J52" s="2">
        <f t="shared" si="1"/>
        <v>4776</v>
      </c>
      <c r="K52" s="9">
        <f t="shared" si="2"/>
        <v>50577.84</v>
      </c>
    </row>
    <row r="53" spans="1:11" x14ac:dyDescent="0.35">
      <c r="A53" s="10" t="s">
        <v>911</v>
      </c>
      <c r="B53" s="10">
        <v>526</v>
      </c>
      <c r="C53" t="s">
        <v>54</v>
      </c>
      <c r="D53" t="s">
        <v>395</v>
      </c>
      <c r="E53" s="2">
        <v>4197</v>
      </c>
      <c r="F53" s="2">
        <v>1680</v>
      </c>
      <c r="G53" s="12">
        <f t="shared" si="0"/>
        <v>0.4002859185132237</v>
      </c>
      <c r="H53">
        <v>85</v>
      </c>
      <c r="I53">
        <v>10.59</v>
      </c>
      <c r="J53" s="2">
        <f t="shared" si="1"/>
        <v>2517</v>
      </c>
      <c r="K53" s="9">
        <f t="shared" si="2"/>
        <v>26655.03</v>
      </c>
    </row>
    <row r="54" spans="1:11" x14ac:dyDescent="0.35">
      <c r="A54" s="10" t="s">
        <v>911</v>
      </c>
      <c r="B54" s="10">
        <v>529</v>
      </c>
      <c r="C54" t="s">
        <v>55</v>
      </c>
      <c r="D54" t="s">
        <v>396</v>
      </c>
      <c r="E54" s="2">
        <v>3437</v>
      </c>
      <c r="F54" s="2">
        <v>1633</v>
      </c>
      <c r="G54" s="12">
        <f t="shared" si="0"/>
        <v>0.47512365434972359</v>
      </c>
      <c r="H54">
        <v>85</v>
      </c>
      <c r="I54">
        <v>10.59</v>
      </c>
      <c r="J54" s="2">
        <f t="shared" si="1"/>
        <v>1804</v>
      </c>
      <c r="K54" s="9">
        <f t="shared" si="2"/>
        <v>19104.36</v>
      </c>
    </row>
    <row r="55" spans="1:11" x14ac:dyDescent="0.35">
      <c r="A55" s="10" t="s">
        <v>911</v>
      </c>
      <c r="B55" s="10">
        <v>532</v>
      </c>
      <c r="C55" t="s">
        <v>56</v>
      </c>
      <c r="D55" t="s">
        <v>397</v>
      </c>
      <c r="E55" s="2">
        <v>3922</v>
      </c>
      <c r="F55" s="2">
        <v>2279</v>
      </c>
      <c r="G55" s="12">
        <f t="shared" si="0"/>
        <v>0.58108108108108103</v>
      </c>
      <c r="H55">
        <v>85</v>
      </c>
      <c r="I55">
        <v>10.59</v>
      </c>
      <c r="J55" s="2">
        <f t="shared" si="1"/>
        <v>1643</v>
      </c>
      <c r="K55" s="9">
        <f t="shared" si="2"/>
        <v>17399.37</v>
      </c>
    </row>
    <row r="56" spans="1:11" x14ac:dyDescent="0.35">
      <c r="A56" s="10" t="s">
        <v>911</v>
      </c>
      <c r="B56" s="10">
        <v>536</v>
      </c>
      <c r="C56" t="s">
        <v>57</v>
      </c>
      <c r="D56" t="s">
        <v>865</v>
      </c>
      <c r="E56" s="2">
        <v>3643</v>
      </c>
      <c r="F56" s="2">
        <v>1805</v>
      </c>
      <c r="G56" s="12">
        <f t="shared" si="0"/>
        <v>0.49547076585231953</v>
      </c>
      <c r="H56">
        <v>85</v>
      </c>
      <c r="I56">
        <v>10.59</v>
      </c>
      <c r="J56" s="2">
        <f t="shared" si="1"/>
        <v>1838</v>
      </c>
      <c r="K56" s="9">
        <f t="shared" si="2"/>
        <v>19464.419999999998</v>
      </c>
    </row>
    <row r="57" spans="1:11" x14ac:dyDescent="0.35">
      <c r="A57" s="10" t="s">
        <v>911</v>
      </c>
      <c r="B57" s="10">
        <v>549</v>
      </c>
      <c r="C57" t="s">
        <v>58</v>
      </c>
      <c r="D57" t="s">
        <v>398</v>
      </c>
      <c r="E57" s="2">
        <v>6500</v>
      </c>
      <c r="F57" s="2">
        <v>1287</v>
      </c>
      <c r="G57" s="12">
        <f t="shared" si="0"/>
        <v>0.19800000000000001</v>
      </c>
      <c r="H57">
        <v>85</v>
      </c>
      <c r="I57">
        <v>10.59</v>
      </c>
      <c r="J57" s="2">
        <f t="shared" si="1"/>
        <v>5213</v>
      </c>
      <c r="K57" s="9">
        <f t="shared" si="2"/>
        <v>55205.67</v>
      </c>
    </row>
    <row r="58" spans="1:11" x14ac:dyDescent="0.35">
      <c r="A58" s="10" t="s">
        <v>911</v>
      </c>
      <c r="B58" s="10">
        <v>561</v>
      </c>
      <c r="C58" t="s">
        <v>59</v>
      </c>
      <c r="D58" t="s">
        <v>399</v>
      </c>
      <c r="E58" s="2">
        <v>7139</v>
      </c>
      <c r="F58" s="2">
        <v>2277</v>
      </c>
      <c r="G58" s="12">
        <f t="shared" si="0"/>
        <v>0.31895223420647151</v>
      </c>
      <c r="H58">
        <v>85</v>
      </c>
      <c r="I58">
        <v>10.59</v>
      </c>
      <c r="J58" s="2">
        <f t="shared" si="1"/>
        <v>4862</v>
      </c>
      <c r="K58" s="9">
        <f t="shared" si="2"/>
        <v>51488.58</v>
      </c>
    </row>
    <row r="59" spans="1:11" x14ac:dyDescent="0.35">
      <c r="A59" s="10" t="s">
        <v>911</v>
      </c>
      <c r="B59" s="10">
        <v>571</v>
      </c>
      <c r="C59" t="s">
        <v>60</v>
      </c>
      <c r="D59" t="s">
        <v>400</v>
      </c>
      <c r="E59" s="2">
        <v>3749</v>
      </c>
      <c r="F59" s="2">
        <v>1907</v>
      </c>
      <c r="G59" s="12">
        <f t="shared" si="0"/>
        <v>0.50866897839423841</v>
      </c>
      <c r="H59">
        <v>85</v>
      </c>
      <c r="I59">
        <v>10.59</v>
      </c>
      <c r="J59" s="2">
        <f t="shared" si="1"/>
        <v>1842</v>
      </c>
      <c r="K59" s="9">
        <f t="shared" si="2"/>
        <v>19506.78</v>
      </c>
    </row>
    <row r="60" spans="1:11" x14ac:dyDescent="0.35">
      <c r="A60" s="10" t="s">
        <v>911</v>
      </c>
      <c r="B60" s="10">
        <v>572</v>
      </c>
      <c r="C60" t="s">
        <v>61</v>
      </c>
      <c r="D60" t="s">
        <v>401</v>
      </c>
      <c r="E60" s="2">
        <v>5326</v>
      </c>
      <c r="F60" s="2">
        <v>2386</v>
      </c>
      <c r="G60" s="12">
        <f t="shared" si="0"/>
        <v>0.44799098760796097</v>
      </c>
      <c r="H60">
        <v>85</v>
      </c>
      <c r="I60">
        <v>10.59</v>
      </c>
      <c r="J60" s="2">
        <f t="shared" si="1"/>
        <v>2940</v>
      </c>
      <c r="K60" s="9">
        <f t="shared" si="2"/>
        <v>31134.6</v>
      </c>
    </row>
    <row r="61" spans="1:11" x14ac:dyDescent="0.35">
      <c r="A61" s="10" t="s">
        <v>911</v>
      </c>
      <c r="B61" s="10">
        <v>578</v>
      </c>
      <c r="C61" t="s">
        <v>62</v>
      </c>
      <c r="D61" t="s">
        <v>402</v>
      </c>
      <c r="E61" s="2">
        <v>5597</v>
      </c>
      <c r="F61" s="2">
        <v>2136</v>
      </c>
      <c r="G61" s="12">
        <f t="shared" si="0"/>
        <v>0.38163301768804719</v>
      </c>
      <c r="H61">
        <v>85</v>
      </c>
      <c r="I61">
        <v>10.59</v>
      </c>
      <c r="J61" s="2">
        <f t="shared" si="1"/>
        <v>3461</v>
      </c>
      <c r="K61" s="9">
        <f t="shared" si="2"/>
        <v>36651.99</v>
      </c>
    </row>
    <row r="62" spans="1:11" x14ac:dyDescent="0.35">
      <c r="A62" s="10" t="s">
        <v>911</v>
      </c>
      <c r="B62" s="10">
        <v>589</v>
      </c>
      <c r="C62" t="s">
        <v>63</v>
      </c>
      <c r="D62" t="s">
        <v>403</v>
      </c>
      <c r="E62" s="2">
        <v>10631</v>
      </c>
      <c r="F62" s="2">
        <v>4373</v>
      </c>
      <c r="G62" s="12">
        <f t="shared" si="0"/>
        <v>0.4113441821089267</v>
      </c>
      <c r="H62">
        <v>85</v>
      </c>
      <c r="I62">
        <v>10.59</v>
      </c>
      <c r="J62" s="2">
        <f t="shared" si="1"/>
        <v>6258</v>
      </c>
      <c r="K62" s="9">
        <f t="shared" si="2"/>
        <v>66272.22</v>
      </c>
    </row>
    <row r="63" spans="1:11" x14ac:dyDescent="0.35">
      <c r="A63" s="10" t="s">
        <v>911</v>
      </c>
      <c r="B63" s="10">
        <v>596</v>
      </c>
      <c r="C63" t="s">
        <v>64</v>
      </c>
      <c r="D63" t="s">
        <v>404</v>
      </c>
      <c r="E63" s="2">
        <v>5325</v>
      </c>
      <c r="F63" s="2">
        <v>1043</v>
      </c>
      <c r="G63" s="12">
        <f t="shared" si="0"/>
        <v>0.19586854460093897</v>
      </c>
      <c r="H63">
        <v>85</v>
      </c>
      <c r="I63">
        <v>10.59</v>
      </c>
      <c r="J63" s="2">
        <f t="shared" si="1"/>
        <v>4282</v>
      </c>
      <c r="K63" s="9">
        <f t="shared" si="2"/>
        <v>45346.38</v>
      </c>
    </row>
    <row r="64" spans="1:11" x14ac:dyDescent="0.35">
      <c r="A64" s="10" t="s">
        <v>911</v>
      </c>
      <c r="B64" s="10">
        <v>607</v>
      </c>
      <c r="C64" t="s">
        <v>65</v>
      </c>
      <c r="D64" t="s">
        <v>405</v>
      </c>
      <c r="E64" s="2">
        <v>9779</v>
      </c>
      <c r="F64" s="2">
        <v>5355</v>
      </c>
      <c r="G64" s="12">
        <f t="shared" si="0"/>
        <v>0.54760200429491768</v>
      </c>
      <c r="H64">
        <v>85</v>
      </c>
      <c r="I64">
        <v>10.59</v>
      </c>
      <c r="J64" s="2">
        <f t="shared" si="1"/>
        <v>4424</v>
      </c>
      <c r="K64" s="9">
        <f t="shared" si="2"/>
        <v>46850.159999999996</v>
      </c>
    </row>
    <row r="65" spans="1:11" x14ac:dyDescent="0.35">
      <c r="A65" s="10" t="s">
        <v>911</v>
      </c>
      <c r="B65" s="10">
        <v>611</v>
      </c>
      <c r="C65" t="s">
        <v>66</v>
      </c>
      <c r="D65" t="s">
        <v>406</v>
      </c>
      <c r="E65" s="2">
        <v>7828</v>
      </c>
      <c r="F65" s="2">
        <v>4951</v>
      </c>
      <c r="G65" s="12">
        <f t="shared" si="0"/>
        <v>0.63247317322432295</v>
      </c>
      <c r="H65">
        <v>85</v>
      </c>
      <c r="I65">
        <v>10.59</v>
      </c>
      <c r="J65" s="2">
        <f t="shared" si="1"/>
        <v>2877</v>
      </c>
      <c r="K65" s="9">
        <f t="shared" si="2"/>
        <v>30467.43</v>
      </c>
    </row>
    <row r="66" spans="1:11" x14ac:dyDescent="0.35">
      <c r="A66" s="10" t="s">
        <v>911</v>
      </c>
      <c r="B66" s="10">
        <v>633</v>
      </c>
      <c r="C66" t="s">
        <v>67</v>
      </c>
      <c r="D66" t="s">
        <v>407</v>
      </c>
      <c r="E66" s="2">
        <v>5391</v>
      </c>
      <c r="F66" s="2">
        <v>2025</v>
      </c>
      <c r="G66" s="12">
        <f t="shared" si="0"/>
        <v>0.37562604340567612</v>
      </c>
      <c r="H66">
        <v>85</v>
      </c>
      <c r="I66">
        <v>10.59</v>
      </c>
      <c r="J66" s="2">
        <f t="shared" si="1"/>
        <v>3366</v>
      </c>
      <c r="K66" s="9">
        <f t="shared" si="2"/>
        <v>35645.94</v>
      </c>
    </row>
    <row r="67" spans="1:11" x14ac:dyDescent="0.35">
      <c r="A67" s="10" t="s">
        <v>911</v>
      </c>
      <c r="B67" s="10">
        <v>636</v>
      </c>
      <c r="C67" t="s">
        <v>68</v>
      </c>
      <c r="D67" t="s">
        <v>408</v>
      </c>
      <c r="E67" s="2">
        <v>4985</v>
      </c>
      <c r="F67" s="2">
        <v>2860</v>
      </c>
      <c r="G67" s="12">
        <f t="shared" ref="G67:G130" si="3">F67/E67</f>
        <v>0.57372116349047142</v>
      </c>
      <c r="H67">
        <v>85</v>
      </c>
      <c r="I67">
        <v>10.59</v>
      </c>
      <c r="J67" s="2">
        <f t="shared" ref="J67:J130" si="4">E67-F67</f>
        <v>2125</v>
      </c>
      <c r="K67" s="9">
        <f t="shared" ref="K67:K130" si="5">J67*I67</f>
        <v>22503.75</v>
      </c>
    </row>
    <row r="68" spans="1:11" x14ac:dyDescent="0.35">
      <c r="A68" s="10" t="s">
        <v>911</v>
      </c>
      <c r="B68" s="10">
        <v>637</v>
      </c>
      <c r="C68" t="s">
        <v>69</v>
      </c>
      <c r="D68" t="s">
        <v>409</v>
      </c>
      <c r="E68" s="2">
        <v>6639</v>
      </c>
      <c r="F68" s="2">
        <v>3395</v>
      </c>
      <c r="G68" s="12">
        <f t="shared" si="3"/>
        <v>0.51137219460762162</v>
      </c>
      <c r="H68">
        <v>85</v>
      </c>
      <c r="I68">
        <v>10.59</v>
      </c>
      <c r="J68" s="2">
        <f t="shared" si="4"/>
        <v>3244</v>
      </c>
      <c r="K68" s="9">
        <f t="shared" si="5"/>
        <v>34353.96</v>
      </c>
    </row>
    <row r="69" spans="1:11" x14ac:dyDescent="0.35">
      <c r="A69" s="10" t="s">
        <v>911</v>
      </c>
      <c r="B69" s="10">
        <v>640</v>
      </c>
      <c r="C69" t="s">
        <v>70</v>
      </c>
      <c r="D69" t="s">
        <v>410</v>
      </c>
      <c r="E69" s="2">
        <v>1813</v>
      </c>
      <c r="F69" s="2">
        <v>499</v>
      </c>
      <c r="G69" s="12">
        <f t="shared" si="3"/>
        <v>0.27523441809156096</v>
      </c>
      <c r="H69">
        <v>85</v>
      </c>
      <c r="I69">
        <v>10.59</v>
      </c>
      <c r="J69" s="2">
        <f t="shared" si="4"/>
        <v>1314</v>
      </c>
      <c r="K69" s="9">
        <f t="shared" si="5"/>
        <v>13915.26</v>
      </c>
    </row>
    <row r="70" spans="1:11" x14ac:dyDescent="0.35">
      <c r="A70" s="10" t="s">
        <v>911</v>
      </c>
      <c r="B70" s="10">
        <v>686</v>
      </c>
      <c r="C70" t="s">
        <v>71</v>
      </c>
      <c r="D70" t="s">
        <v>411</v>
      </c>
      <c r="E70" s="2">
        <v>8344</v>
      </c>
      <c r="F70" s="2">
        <v>4389</v>
      </c>
      <c r="G70" s="12">
        <f t="shared" si="3"/>
        <v>0.52600671140939592</v>
      </c>
      <c r="H70">
        <v>85</v>
      </c>
      <c r="I70">
        <v>10.59</v>
      </c>
      <c r="J70" s="2">
        <f t="shared" si="4"/>
        <v>3955</v>
      </c>
      <c r="K70" s="9">
        <f t="shared" si="5"/>
        <v>41883.449999999997</v>
      </c>
    </row>
    <row r="71" spans="1:11" x14ac:dyDescent="0.35">
      <c r="A71" s="10" t="s">
        <v>911</v>
      </c>
      <c r="B71" s="10">
        <v>704</v>
      </c>
      <c r="C71" t="s">
        <v>72</v>
      </c>
      <c r="D71" t="s">
        <v>412</v>
      </c>
      <c r="E71" s="2">
        <v>6504</v>
      </c>
      <c r="F71" s="2">
        <v>3107</v>
      </c>
      <c r="G71" s="12">
        <f t="shared" si="3"/>
        <v>0.4777060270602706</v>
      </c>
      <c r="H71">
        <v>85</v>
      </c>
      <c r="I71">
        <v>10.59</v>
      </c>
      <c r="J71" s="2">
        <f t="shared" si="4"/>
        <v>3397</v>
      </c>
      <c r="K71" s="9">
        <f t="shared" si="5"/>
        <v>35974.229999999996</v>
      </c>
    </row>
    <row r="72" spans="1:11" x14ac:dyDescent="0.35">
      <c r="A72" s="10" t="s">
        <v>911</v>
      </c>
      <c r="B72" s="10">
        <v>720</v>
      </c>
      <c r="C72" t="s">
        <v>73</v>
      </c>
      <c r="D72" t="s">
        <v>413</v>
      </c>
      <c r="E72" s="2">
        <v>6072</v>
      </c>
      <c r="F72" s="2">
        <v>2153</v>
      </c>
      <c r="G72" s="12">
        <f t="shared" si="3"/>
        <v>0.35457839262187091</v>
      </c>
      <c r="H72">
        <v>85</v>
      </c>
      <c r="I72">
        <v>10.59</v>
      </c>
      <c r="J72" s="2">
        <f t="shared" si="4"/>
        <v>3919</v>
      </c>
      <c r="K72" s="9">
        <f t="shared" si="5"/>
        <v>41502.21</v>
      </c>
    </row>
    <row r="73" spans="1:11" x14ac:dyDescent="0.35">
      <c r="A73" s="10" t="s">
        <v>911</v>
      </c>
      <c r="B73" s="10">
        <v>724</v>
      </c>
      <c r="C73" t="s">
        <v>74</v>
      </c>
      <c r="D73" t="s">
        <v>414</v>
      </c>
      <c r="E73" s="2">
        <v>3660</v>
      </c>
      <c r="F73" s="2">
        <v>1742</v>
      </c>
      <c r="G73" s="12">
        <f t="shared" si="3"/>
        <v>0.47595628415300545</v>
      </c>
      <c r="H73">
        <v>85</v>
      </c>
      <c r="I73">
        <v>10.59</v>
      </c>
      <c r="J73" s="2">
        <f t="shared" si="4"/>
        <v>1918</v>
      </c>
      <c r="K73" s="9">
        <f t="shared" si="5"/>
        <v>20311.62</v>
      </c>
    </row>
    <row r="74" spans="1:11" x14ac:dyDescent="0.35">
      <c r="A74" s="10" t="s">
        <v>911</v>
      </c>
      <c r="B74" s="10">
        <v>729</v>
      </c>
      <c r="C74" t="s">
        <v>75</v>
      </c>
      <c r="D74" t="s">
        <v>415</v>
      </c>
      <c r="E74" s="2">
        <v>6215</v>
      </c>
      <c r="F74" s="2">
        <v>2456</v>
      </c>
      <c r="G74" s="12">
        <f t="shared" si="3"/>
        <v>0.39517296862429607</v>
      </c>
      <c r="H74">
        <v>85</v>
      </c>
      <c r="I74">
        <v>10.59</v>
      </c>
      <c r="J74" s="2">
        <f t="shared" si="4"/>
        <v>3759</v>
      </c>
      <c r="K74" s="9">
        <f t="shared" si="5"/>
        <v>39807.81</v>
      </c>
    </row>
    <row r="75" spans="1:11" x14ac:dyDescent="0.35">
      <c r="A75" s="10" t="s">
        <v>911</v>
      </c>
      <c r="B75" s="10">
        <v>731</v>
      </c>
      <c r="C75" t="s">
        <v>76</v>
      </c>
      <c r="D75" t="s">
        <v>416</v>
      </c>
      <c r="E75" s="2">
        <v>8018</v>
      </c>
      <c r="F75" s="2">
        <v>3597</v>
      </c>
      <c r="G75" s="12">
        <f t="shared" si="3"/>
        <v>0.44861561486655027</v>
      </c>
      <c r="H75">
        <v>85</v>
      </c>
      <c r="I75">
        <v>10.59</v>
      </c>
      <c r="J75" s="2">
        <f t="shared" si="4"/>
        <v>4421</v>
      </c>
      <c r="K75" s="9">
        <f t="shared" si="5"/>
        <v>46818.39</v>
      </c>
    </row>
    <row r="76" spans="1:11" x14ac:dyDescent="0.35">
      <c r="A76" s="10" t="s">
        <v>911</v>
      </c>
      <c r="B76" s="10">
        <v>732</v>
      </c>
      <c r="C76" t="s">
        <v>77</v>
      </c>
      <c r="D76" t="s">
        <v>417</v>
      </c>
      <c r="E76" s="2">
        <v>3645</v>
      </c>
      <c r="F76" s="2">
        <v>1732</v>
      </c>
      <c r="G76" s="12">
        <f t="shared" si="3"/>
        <v>0.47517146776406033</v>
      </c>
      <c r="H76">
        <v>85</v>
      </c>
      <c r="I76">
        <v>10.59</v>
      </c>
      <c r="J76" s="2">
        <f t="shared" si="4"/>
        <v>1913</v>
      </c>
      <c r="K76" s="9">
        <f t="shared" si="5"/>
        <v>20258.669999999998</v>
      </c>
    </row>
    <row r="77" spans="1:11" x14ac:dyDescent="0.35">
      <c r="A77" s="10" t="s">
        <v>911</v>
      </c>
      <c r="B77" s="10">
        <v>734</v>
      </c>
      <c r="C77" t="s">
        <v>78</v>
      </c>
      <c r="D77" t="s">
        <v>419</v>
      </c>
      <c r="E77" s="2">
        <v>2907</v>
      </c>
      <c r="F77" s="2">
        <v>981</v>
      </c>
      <c r="G77" s="12">
        <f t="shared" si="3"/>
        <v>0.33746130030959753</v>
      </c>
      <c r="H77">
        <v>85</v>
      </c>
      <c r="I77">
        <v>10.59</v>
      </c>
      <c r="J77" s="2">
        <f t="shared" si="4"/>
        <v>1926</v>
      </c>
      <c r="K77" s="9">
        <f t="shared" si="5"/>
        <v>20396.34</v>
      </c>
    </row>
    <row r="78" spans="1:11" x14ac:dyDescent="0.35">
      <c r="A78" s="10" t="s">
        <v>911</v>
      </c>
      <c r="B78" s="10">
        <v>754</v>
      </c>
      <c r="C78" t="s">
        <v>79</v>
      </c>
      <c r="D78" t="s">
        <v>850</v>
      </c>
      <c r="E78" s="2">
        <v>4612</v>
      </c>
      <c r="F78" s="2">
        <v>1825</v>
      </c>
      <c r="G78" s="12">
        <f t="shared" si="3"/>
        <v>0.39570685169124026</v>
      </c>
      <c r="H78">
        <v>85</v>
      </c>
      <c r="I78">
        <v>10.59</v>
      </c>
      <c r="J78" s="2">
        <f t="shared" si="4"/>
        <v>2787</v>
      </c>
      <c r="K78" s="9">
        <f t="shared" si="5"/>
        <v>29514.329999999998</v>
      </c>
    </row>
    <row r="79" spans="1:11" x14ac:dyDescent="0.35">
      <c r="A79" s="10" t="s">
        <v>911</v>
      </c>
      <c r="B79" s="10">
        <v>777</v>
      </c>
      <c r="C79" t="s">
        <v>80</v>
      </c>
      <c r="D79" t="s">
        <v>881</v>
      </c>
      <c r="E79" s="2">
        <v>4993</v>
      </c>
      <c r="F79" s="2">
        <v>2056</v>
      </c>
      <c r="G79" s="12">
        <f t="shared" si="3"/>
        <v>0.41177648708191467</v>
      </c>
      <c r="H79">
        <v>85</v>
      </c>
      <c r="I79">
        <v>10.59</v>
      </c>
      <c r="J79" s="2">
        <f t="shared" si="4"/>
        <v>2937</v>
      </c>
      <c r="K79" s="9">
        <f t="shared" si="5"/>
        <v>31102.829999999998</v>
      </c>
    </row>
    <row r="80" spans="1:11" x14ac:dyDescent="0.35">
      <c r="A80" s="10" t="s">
        <v>911</v>
      </c>
      <c r="B80" s="10">
        <v>782</v>
      </c>
      <c r="C80" t="s">
        <v>81</v>
      </c>
      <c r="D80" t="s">
        <v>420</v>
      </c>
      <c r="E80" s="2">
        <v>5253</v>
      </c>
      <c r="F80" s="2">
        <v>2165</v>
      </c>
      <c r="G80" s="12">
        <f t="shared" si="3"/>
        <v>0.41214544070055209</v>
      </c>
      <c r="H80">
        <v>85</v>
      </c>
      <c r="I80">
        <v>10.59</v>
      </c>
      <c r="J80" s="2">
        <f t="shared" si="4"/>
        <v>3088</v>
      </c>
      <c r="K80" s="9">
        <f t="shared" si="5"/>
        <v>32701.919999999998</v>
      </c>
    </row>
    <row r="81" spans="1:11" x14ac:dyDescent="0.35">
      <c r="A81" s="10" t="s">
        <v>911</v>
      </c>
      <c r="B81" s="10">
        <v>788</v>
      </c>
      <c r="C81" t="s">
        <v>82</v>
      </c>
      <c r="D81" t="s">
        <v>421</v>
      </c>
      <c r="E81" s="2">
        <v>9164</v>
      </c>
      <c r="F81" s="2">
        <v>3614</v>
      </c>
      <c r="G81" s="12">
        <f t="shared" si="3"/>
        <v>0.39436927106067221</v>
      </c>
      <c r="H81">
        <v>85</v>
      </c>
      <c r="I81">
        <v>10.59</v>
      </c>
      <c r="J81" s="2">
        <f t="shared" si="4"/>
        <v>5550</v>
      </c>
      <c r="K81" s="9">
        <f t="shared" si="5"/>
        <v>58774.5</v>
      </c>
    </row>
    <row r="82" spans="1:11" x14ac:dyDescent="0.35">
      <c r="A82" s="10" t="s">
        <v>911</v>
      </c>
      <c r="B82" s="10">
        <v>795</v>
      </c>
      <c r="C82" t="s">
        <v>83</v>
      </c>
      <c r="D82" t="s">
        <v>422</v>
      </c>
      <c r="E82" s="2">
        <v>5760</v>
      </c>
      <c r="F82" s="2">
        <v>3375</v>
      </c>
      <c r="G82" s="12">
        <f t="shared" si="3"/>
        <v>0.5859375</v>
      </c>
      <c r="H82">
        <v>85</v>
      </c>
      <c r="I82">
        <v>10.59</v>
      </c>
      <c r="J82" s="2">
        <f t="shared" si="4"/>
        <v>2385</v>
      </c>
      <c r="K82" s="9">
        <f t="shared" si="5"/>
        <v>25257.15</v>
      </c>
    </row>
    <row r="83" spans="1:11" x14ac:dyDescent="0.35">
      <c r="A83" s="10" t="s">
        <v>911</v>
      </c>
      <c r="B83" s="10">
        <v>818</v>
      </c>
      <c r="C83" t="s">
        <v>84</v>
      </c>
      <c r="D83" t="s">
        <v>423</v>
      </c>
      <c r="E83" s="2">
        <v>6611</v>
      </c>
      <c r="F83" s="2">
        <v>1764</v>
      </c>
      <c r="G83" s="12">
        <f t="shared" si="3"/>
        <v>0.26682801391620026</v>
      </c>
      <c r="H83">
        <v>85</v>
      </c>
      <c r="I83">
        <v>10.59</v>
      </c>
      <c r="J83" s="2">
        <f t="shared" si="4"/>
        <v>4847</v>
      </c>
      <c r="K83" s="9">
        <f t="shared" si="5"/>
        <v>51329.729999999996</v>
      </c>
    </row>
    <row r="84" spans="1:11" x14ac:dyDescent="0.35">
      <c r="A84" s="10" t="s">
        <v>911</v>
      </c>
      <c r="B84" s="10">
        <v>823</v>
      </c>
      <c r="C84" t="s">
        <v>85</v>
      </c>
      <c r="D84" t="s">
        <v>424</v>
      </c>
      <c r="E84" s="2">
        <v>5685</v>
      </c>
      <c r="F84" s="2">
        <v>1623</v>
      </c>
      <c r="G84" s="12">
        <f t="shared" si="3"/>
        <v>0.28548812664907652</v>
      </c>
      <c r="H84">
        <v>85</v>
      </c>
      <c r="I84">
        <v>10.59</v>
      </c>
      <c r="J84" s="2">
        <f t="shared" si="4"/>
        <v>4062</v>
      </c>
      <c r="K84" s="9">
        <f t="shared" si="5"/>
        <v>43016.58</v>
      </c>
    </row>
    <row r="85" spans="1:11" x14ac:dyDescent="0.35">
      <c r="A85" s="10" t="s">
        <v>911</v>
      </c>
      <c r="B85" s="10">
        <v>833</v>
      </c>
      <c r="C85" t="s">
        <v>86</v>
      </c>
      <c r="D85" t="s">
        <v>828</v>
      </c>
      <c r="E85" s="2">
        <v>3166</v>
      </c>
      <c r="F85" s="2">
        <v>1315</v>
      </c>
      <c r="G85" s="12">
        <f t="shared" si="3"/>
        <v>0.4153506001263424</v>
      </c>
      <c r="H85">
        <v>85</v>
      </c>
      <c r="I85">
        <v>10.59</v>
      </c>
      <c r="J85" s="2">
        <f t="shared" si="4"/>
        <v>1851</v>
      </c>
      <c r="K85" s="9">
        <f t="shared" si="5"/>
        <v>19602.09</v>
      </c>
    </row>
    <row r="86" spans="1:11" x14ac:dyDescent="0.35">
      <c r="A86" s="10" t="s">
        <v>911</v>
      </c>
      <c r="B86" s="10">
        <v>860</v>
      </c>
      <c r="C86" t="s">
        <v>87</v>
      </c>
      <c r="D86" t="s">
        <v>792</v>
      </c>
      <c r="E86" s="2">
        <v>3388</v>
      </c>
      <c r="F86" s="2">
        <v>1797</v>
      </c>
      <c r="G86" s="12">
        <f t="shared" si="3"/>
        <v>0.53040141676505315</v>
      </c>
      <c r="H86">
        <v>85</v>
      </c>
      <c r="I86">
        <v>10.59</v>
      </c>
      <c r="J86" s="2">
        <f t="shared" si="4"/>
        <v>1591</v>
      </c>
      <c r="K86" s="9">
        <f t="shared" si="5"/>
        <v>16848.689999999999</v>
      </c>
    </row>
    <row r="87" spans="1:11" x14ac:dyDescent="0.35">
      <c r="A87" s="10" t="s">
        <v>911</v>
      </c>
      <c r="B87" s="10">
        <v>871</v>
      </c>
      <c r="C87" t="s">
        <v>88</v>
      </c>
      <c r="D87" t="s">
        <v>425</v>
      </c>
      <c r="E87" s="2">
        <v>5703</v>
      </c>
      <c r="F87" s="2">
        <v>1875</v>
      </c>
      <c r="G87" s="12">
        <f t="shared" si="3"/>
        <v>0.32877432930036821</v>
      </c>
      <c r="H87">
        <v>85</v>
      </c>
      <c r="I87">
        <v>10.59</v>
      </c>
      <c r="J87" s="2">
        <f t="shared" si="4"/>
        <v>3828</v>
      </c>
      <c r="K87" s="9">
        <f t="shared" si="5"/>
        <v>40538.519999999997</v>
      </c>
    </row>
    <row r="88" spans="1:11" x14ac:dyDescent="0.35">
      <c r="A88" s="10" t="s">
        <v>911</v>
      </c>
      <c r="B88" s="10">
        <v>873</v>
      </c>
      <c r="C88" t="s">
        <v>89</v>
      </c>
      <c r="D88" t="s">
        <v>426</v>
      </c>
      <c r="E88" s="2">
        <v>11207</v>
      </c>
      <c r="F88" s="2">
        <v>3236</v>
      </c>
      <c r="G88" s="12">
        <f t="shared" si="3"/>
        <v>0.28874810386365662</v>
      </c>
      <c r="H88">
        <v>85</v>
      </c>
      <c r="I88">
        <v>10.59</v>
      </c>
      <c r="J88" s="2">
        <f t="shared" si="4"/>
        <v>7971</v>
      </c>
      <c r="K88" s="9">
        <f t="shared" si="5"/>
        <v>84412.89</v>
      </c>
    </row>
    <row r="89" spans="1:11" x14ac:dyDescent="0.35">
      <c r="A89" s="10" t="s">
        <v>911</v>
      </c>
      <c r="B89" s="10">
        <v>897</v>
      </c>
      <c r="C89" t="s">
        <v>90</v>
      </c>
      <c r="D89" t="s">
        <v>427</v>
      </c>
      <c r="E89" s="2">
        <v>5756</v>
      </c>
      <c r="F89" s="2">
        <v>3217</v>
      </c>
      <c r="G89" s="12">
        <f t="shared" si="3"/>
        <v>0.55889506601806815</v>
      </c>
      <c r="H89">
        <v>85</v>
      </c>
      <c r="I89">
        <v>10.59</v>
      </c>
      <c r="J89" s="2">
        <f t="shared" si="4"/>
        <v>2539</v>
      </c>
      <c r="K89" s="9">
        <f t="shared" si="5"/>
        <v>26888.01</v>
      </c>
    </row>
    <row r="90" spans="1:11" x14ac:dyDescent="0.35">
      <c r="A90" s="10" t="s">
        <v>911</v>
      </c>
      <c r="B90" s="10">
        <v>901</v>
      </c>
      <c r="C90" t="s">
        <v>91</v>
      </c>
      <c r="D90" t="s">
        <v>428</v>
      </c>
      <c r="E90" s="2">
        <v>3610</v>
      </c>
      <c r="F90" s="2">
        <v>1637</v>
      </c>
      <c r="G90" s="12">
        <f t="shared" si="3"/>
        <v>0.45346260387811632</v>
      </c>
      <c r="H90">
        <v>85</v>
      </c>
      <c r="I90">
        <v>10.59</v>
      </c>
      <c r="J90" s="2">
        <f t="shared" si="4"/>
        <v>1973</v>
      </c>
      <c r="K90" s="9">
        <f t="shared" si="5"/>
        <v>20894.07</v>
      </c>
    </row>
    <row r="91" spans="1:11" x14ac:dyDescent="0.35">
      <c r="A91" s="10" t="s">
        <v>911</v>
      </c>
      <c r="B91" s="10">
        <v>955</v>
      </c>
      <c r="C91" t="s">
        <v>92</v>
      </c>
      <c r="D91" t="s">
        <v>429</v>
      </c>
      <c r="E91" s="2">
        <v>4428</v>
      </c>
      <c r="F91" s="2">
        <v>2358</v>
      </c>
      <c r="G91" s="12">
        <f t="shared" si="3"/>
        <v>0.53252032520325199</v>
      </c>
      <c r="H91">
        <v>85</v>
      </c>
      <c r="I91">
        <v>10.59</v>
      </c>
      <c r="J91" s="2">
        <f t="shared" si="4"/>
        <v>2070</v>
      </c>
      <c r="K91" s="9">
        <f t="shared" si="5"/>
        <v>21921.3</v>
      </c>
    </row>
    <row r="92" spans="1:11" x14ac:dyDescent="0.35">
      <c r="A92" s="10" t="s">
        <v>911</v>
      </c>
      <c r="B92" s="10">
        <v>963</v>
      </c>
      <c r="C92" t="s">
        <v>93</v>
      </c>
      <c r="D92" t="s">
        <v>817</v>
      </c>
      <c r="E92" s="2">
        <v>5598</v>
      </c>
      <c r="F92" s="2">
        <v>1781</v>
      </c>
      <c r="G92" s="12">
        <f t="shared" si="3"/>
        <v>0.31814933904966058</v>
      </c>
      <c r="H92">
        <v>85</v>
      </c>
      <c r="I92">
        <v>10.59</v>
      </c>
      <c r="J92" s="2">
        <f t="shared" si="4"/>
        <v>3817</v>
      </c>
      <c r="K92" s="9">
        <f t="shared" si="5"/>
        <v>40422.03</v>
      </c>
    </row>
    <row r="93" spans="1:11" x14ac:dyDescent="0.35">
      <c r="A93" s="10" t="s">
        <v>911</v>
      </c>
      <c r="B93" s="10">
        <v>965</v>
      </c>
      <c r="C93" t="s">
        <v>94</v>
      </c>
      <c r="D93" t="s">
        <v>758</v>
      </c>
      <c r="E93" s="2">
        <v>5661</v>
      </c>
      <c r="F93" s="2">
        <v>2392</v>
      </c>
      <c r="G93" s="12">
        <f t="shared" si="3"/>
        <v>0.42254018724606962</v>
      </c>
      <c r="H93">
        <v>85</v>
      </c>
      <c r="I93">
        <v>10.59</v>
      </c>
      <c r="J93" s="2">
        <f t="shared" si="4"/>
        <v>3269</v>
      </c>
      <c r="K93" s="9">
        <f t="shared" si="5"/>
        <v>34618.71</v>
      </c>
    </row>
    <row r="94" spans="1:11" x14ac:dyDescent="0.35">
      <c r="A94" s="10" t="s">
        <v>911</v>
      </c>
      <c r="B94" s="10">
        <v>967</v>
      </c>
      <c r="C94" t="s">
        <v>95</v>
      </c>
      <c r="D94" t="s">
        <v>818</v>
      </c>
      <c r="E94" s="2">
        <v>7894</v>
      </c>
      <c r="F94" s="2">
        <v>3250</v>
      </c>
      <c r="G94" s="12">
        <f t="shared" si="3"/>
        <v>0.41170509247529768</v>
      </c>
      <c r="H94">
        <v>85</v>
      </c>
      <c r="I94">
        <v>10.59</v>
      </c>
      <c r="J94" s="2">
        <f t="shared" si="4"/>
        <v>4644</v>
      </c>
      <c r="K94" s="9">
        <f t="shared" si="5"/>
        <v>49179.96</v>
      </c>
    </row>
    <row r="95" spans="1:11" x14ac:dyDescent="0.35">
      <c r="A95" s="10" t="s">
        <v>911</v>
      </c>
      <c r="B95" s="10">
        <v>968</v>
      </c>
      <c r="C95" t="s">
        <v>96</v>
      </c>
      <c r="D95" t="s">
        <v>430</v>
      </c>
      <c r="E95" s="2">
        <v>7036</v>
      </c>
      <c r="F95" s="2">
        <v>2581</v>
      </c>
      <c r="G95" s="12">
        <f t="shared" si="3"/>
        <v>0.36682774303581578</v>
      </c>
      <c r="H95">
        <v>85</v>
      </c>
      <c r="I95">
        <v>10.59</v>
      </c>
      <c r="J95" s="2">
        <f t="shared" si="4"/>
        <v>4455</v>
      </c>
      <c r="K95" s="9">
        <f t="shared" si="5"/>
        <v>47178.45</v>
      </c>
    </row>
    <row r="96" spans="1:11" x14ac:dyDescent="0.35">
      <c r="A96" s="10" t="s">
        <v>911</v>
      </c>
      <c r="B96" s="10">
        <v>996</v>
      </c>
      <c r="C96" t="s">
        <v>97</v>
      </c>
      <c r="D96" t="s">
        <v>431</v>
      </c>
      <c r="E96" s="2">
        <v>3049</v>
      </c>
      <c r="F96" s="2">
        <v>1039</v>
      </c>
      <c r="G96" s="12">
        <f t="shared" si="3"/>
        <v>0.34076746474253855</v>
      </c>
      <c r="H96">
        <v>85</v>
      </c>
      <c r="I96">
        <v>10.59</v>
      </c>
      <c r="J96" s="2">
        <f t="shared" si="4"/>
        <v>2010</v>
      </c>
      <c r="K96" s="9">
        <f t="shared" si="5"/>
        <v>21285.9</v>
      </c>
    </row>
    <row r="97" spans="1:11" x14ac:dyDescent="0.35">
      <c r="A97" s="10" t="s">
        <v>911</v>
      </c>
      <c r="B97" s="10">
        <v>997</v>
      </c>
      <c r="C97" t="s">
        <v>98</v>
      </c>
      <c r="D97" t="s">
        <v>799</v>
      </c>
      <c r="E97" s="2">
        <v>3968</v>
      </c>
      <c r="F97" s="2">
        <v>1618</v>
      </c>
      <c r="G97" s="12">
        <f t="shared" si="3"/>
        <v>0.40776209677419356</v>
      </c>
      <c r="H97">
        <v>85</v>
      </c>
      <c r="I97">
        <v>10.59</v>
      </c>
      <c r="J97" s="2">
        <f t="shared" si="4"/>
        <v>2350</v>
      </c>
      <c r="K97" s="9">
        <f t="shared" si="5"/>
        <v>24886.5</v>
      </c>
    </row>
    <row r="98" spans="1:11" x14ac:dyDescent="0.35">
      <c r="A98" s="10" t="s">
        <v>911</v>
      </c>
      <c r="B98" s="10">
        <v>1005</v>
      </c>
      <c r="C98" t="s">
        <v>99</v>
      </c>
      <c r="D98" t="s">
        <v>432</v>
      </c>
      <c r="E98" s="2">
        <v>4816</v>
      </c>
      <c r="F98" s="2">
        <v>968</v>
      </c>
      <c r="G98" s="12">
        <f t="shared" si="3"/>
        <v>0.2009966777408638</v>
      </c>
      <c r="H98">
        <v>85</v>
      </c>
      <c r="I98">
        <v>10.59</v>
      </c>
      <c r="J98" s="2">
        <f t="shared" si="4"/>
        <v>3848</v>
      </c>
      <c r="K98" s="9">
        <f t="shared" si="5"/>
        <v>40750.32</v>
      </c>
    </row>
    <row r="99" spans="1:11" x14ac:dyDescent="0.35">
      <c r="A99" s="10" t="s">
        <v>911</v>
      </c>
      <c r="B99" s="10">
        <v>1034</v>
      </c>
      <c r="C99" t="s">
        <v>100</v>
      </c>
      <c r="D99" t="s">
        <v>820</v>
      </c>
      <c r="E99" s="2">
        <v>6454</v>
      </c>
      <c r="F99" s="2">
        <v>3894</v>
      </c>
      <c r="G99" s="12">
        <f t="shared" si="3"/>
        <v>0.6033467616981717</v>
      </c>
      <c r="H99">
        <v>85</v>
      </c>
      <c r="I99">
        <v>10.59</v>
      </c>
      <c r="J99" s="2">
        <f t="shared" si="4"/>
        <v>2560</v>
      </c>
      <c r="K99" s="9">
        <f t="shared" si="5"/>
        <v>27110.400000000001</v>
      </c>
    </row>
    <row r="100" spans="1:11" x14ac:dyDescent="0.35">
      <c r="A100" s="10" t="s">
        <v>911</v>
      </c>
      <c r="B100" s="10">
        <v>1042</v>
      </c>
      <c r="C100" t="s">
        <v>101</v>
      </c>
      <c r="D100" t="s">
        <v>434</v>
      </c>
      <c r="E100" s="2">
        <v>3632</v>
      </c>
      <c r="F100" s="2">
        <v>1330</v>
      </c>
      <c r="G100" s="12">
        <f t="shared" si="3"/>
        <v>0.36618942731277532</v>
      </c>
      <c r="H100">
        <v>85</v>
      </c>
      <c r="I100">
        <v>10.59</v>
      </c>
      <c r="J100" s="2">
        <f t="shared" si="4"/>
        <v>2302</v>
      </c>
      <c r="K100" s="9">
        <f t="shared" si="5"/>
        <v>24378.18</v>
      </c>
    </row>
    <row r="101" spans="1:11" x14ac:dyDescent="0.35">
      <c r="A101" s="10" t="s">
        <v>911</v>
      </c>
      <c r="B101" s="10">
        <v>1049</v>
      </c>
      <c r="C101" t="s">
        <v>102</v>
      </c>
      <c r="D101" t="s">
        <v>809</v>
      </c>
      <c r="E101" s="2">
        <v>6092</v>
      </c>
      <c r="F101" s="2">
        <v>2639</v>
      </c>
      <c r="G101" s="12">
        <f t="shared" si="3"/>
        <v>0.43319107025607356</v>
      </c>
      <c r="H101">
        <v>85</v>
      </c>
      <c r="I101">
        <v>10.59</v>
      </c>
      <c r="J101" s="2">
        <f t="shared" si="4"/>
        <v>3453</v>
      </c>
      <c r="K101" s="9">
        <f t="shared" si="5"/>
        <v>36567.269999999997</v>
      </c>
    </row>
    <row r="102" spans="1:11" x14ac:dyDescent="0.35">
      <c r="A102" s="10" t="s">
        <v>911</v>
      </c>
      <c r="B102" s="10">
        <v>1053</v>
      </c>
      <c r="C102" t="s">
        <v>103</v>
      </c>
      <c r="D102" t="s">
        <v>435</v>
      </c>
      <c r="E102" s="2">
        <v>3723</v>
      </c>
      <c r="F102" s="2">
        <v>1338</v>
      </c>
      <c r="G102" s="12">
        <f t="shared" si="3"/>
        <v>0.35938759065269943</v>
      </c>
      <c r="H102">
        <v>85</v>
      </c>
      <c r="I102">
        <v>10.59</v>
      </c>
      <c r="J102" s="2">
        <f t="shared" si="4"/>
        <v>2385</v>
      </c>
      <c r="K102" s="9">
        <f t="shared" si="5"/>
        <v>25257.15</v>
      </c>
    </row>
    <row r="103" spans="1:11" x14ac:dyDescent="0.35">
      <c r="A103" s="10" t="s">
        <v>911</v>
      </c>
      <c r="B103" s="10">
        <v>1081</v>
      </c>
      <c r="C103" t="s">
        <v>104</v>
      </c>
      <c r="D103" t="s">
        <v>436</v>
      </c>
      <c r="E103" s="2">
        <v>5313</v>
      </c>
      <c r="F103" s="2">
        <v>2270</v>
      </c>
      <c r="G103" s="12">
        <f t="shared" si="3"/>
        <v>0.4272539055147751</v>
      </c>
      <c r="H103">
        <v>85</v>
      </c>
      <c r="I103">
        <v>10.59</v>
      </c>
      <c r="J103" s="2">
        <f t="shared" si="4"/>
        <v>3043</v>
      </c>
      <c r="K103" s="9">
        <f t="shared" si="5"/>
        <v>32225.37</v>
      </c>
    </row>
    <row r="104" spans="1:11" x14ac:dyDescent="0.35">
      <c r="A104" s="10" t="s">
        <v>911</v>
      </c>
      <c r="B104" s="10">
        <v>1101</v>
      </c>
      <c r="C104" t="s">
        <v>105</v>
      </c>
      <c r="D104" t="s">
        <v>438</v>
      </c>
      <c r="E104" s="2">
        <v>10125</v>
      </c>
      <c r="F104" s="2">
        <v>3433</v>
      </c>
      <c r="G104" s="12">
        <f t="shared" si="3"/>
        <v>0.33906172839506171</v>
      </c>
      <c r="H104">
        <v>85</v>
      </c>
      <c r="I104">
        <v>10.59</v>
      </c>
      <c r="J104" s="2">
        <f t="shared" si="4"/>
        <v>6692</v>
      </c>
      <c r="K104" s="9">
        <f t="shared" si="5"/>
        <v>70868.28</v>
      </c>
    </row>
    <row r="105" spans="1:11" x14ac:dyDescent="0.35">
      <c r="A105" s="10" t="s">
        <v>911</v>
      </c>
      <c r="B105" s="10">
        <v>1112</v>
      </c>
      <c r="C105" t="s">
        <v>106</v>
      </c>
      <c r="D105" t="s">
        <v>439</v>
      </c>
      <c r="E105" s="2">
        <v>4439</v>
      </c>
      <c r="F105" s="2">
        <v>2009</v>
      </c>
      <c r="G105" s="12">
        <f t="shared" si="3"/>
        <v>0.4525794097769768</v>
      </c>
      <c r="H105">
        <v>85</v>
      </c>
      <c r="I105">
        <v>10.59</v>
      </c>
      <c r="J105" s="2">
        <f t="shared" si="4"/>
        <v>2430</v>
      </c>
      <c r="K105" s="9">
        <f t="shared" si="5"/>
        <v>25733.7</v>
      </c>
    </row>
    <row r="106" spans="1:11" x14ac:dyDescent="0.35">
      <c r="A106" s="10" t="s">
        <v>911</v>
      </c>
      <c r="B106" s="10">
        <v>1118</v>
      </c>
      <c r="C106" t="s">
        <v>107</v>
      </c>
      <c r="D106" t="s">
        <v>793</v>
      </c>
      <c r="E106" s="2">
        <v>1455</v>
      </c>
      <c r="F106" s="2">
        <v>559</v>
      </c>
      <c r="G106" s="12">
        <f t="shared" si="3"/>
        <v>0.38419243986254298</v>
      </c>
      <c r="H106">
        <v>85</v>
      </c>
      <c r="I106">
        <v>10.59</v>
      </c>
      <c r="J106" s="2">
        <f t="shared" si="4"/>
        <v>896</v>
      </c>
      <c r="K106" s="9">
        <f t="shared" si="5"/>
        <v>9488.64</v>
      </c>
    </row>
    <row r="107" spans="1:11" x14ac:dyDescent="0.35">
      <c r="A107" s="10" t="s">
        <v>911</v>
      </c>
      <c r="B107" s="10">
        <v>1119</v>
      </c>
      <c r="C107" t="s">
        <v>108</v>
      </c>
      <c r="D107" t="s">
        <v>440</v>
      </c>
      <c r="E107" s="2">
        <v>5537</v>
      </c>
      <c r="F107" s="2">
        <v>2571</v>
      </c>
      <c r="G107" s="12">
        <f t="shared" si="3"/>
        <v>0.46433086508939858</v>
      </c>
      <c r="H107">
        <v>85</v>
      </c>
      <c r="I107">
        <v>10.59</v>
      </c>
      <c r="J107" s="2">
        <f t="shared" si="4"/>
        <v>2966</v>
      </c>
      <c r="K107" s="9">
        <f t="shared" si="5"/>
        <v>31409.94</v>
      </c>
    </row>
    <row r="108" spans="1:11" x14ac:dyDescent="0.35">
      <c r="A108" s="10" t="s">
        <v>911</v>
      </c>
      <c r="B108" s="10">
        <v>1124</v>
      </c>
      <c r="C108" t="s">
        <v>109</v>
      </c>
      <c r="D108" t="s">
        <v>441</v>
      </c>
      <c r="E108" s="2">
        <v>3757</v>
      </c>
      <c r="F108" s="2">
        <v>2394</v>
      </c>
      <c r="G108" s="12">
        <f t="shared" si="3"/>
        <v>0.63721054032472713</v>
      </c>
      <c r="H108">
        <v>85</v>
      </c>
      <c r="I108">
        <v>10.59</v>
      </c>
      <c r="J108" s="2">
        <f t="shared" si="4"/>
        <v>1363</v>
      </c>
      <c r="K108" s="9">
        <f t="shared" si="5"/>
        <v>14434.17</v>
      </c>
    </row>
    <row r="109" spans="1:11" x14ac:dyDescent="0.35">
      <c r="A109" s="10" t="s">
        <v>911</v>
      </c>
      <c r="B109" s="10">
        <v>1129</v>
      </c>
      <c r="C109" t="s">
        <v>110</v>
      </c>
      <c r="D109" t="s">
        <v>442</v>
      </c>
      <c r="E109" s="2">
        <v>3728</v>
      </c>
      <c r="F109" s="2">
        <v>1107</v>
      </c>
      <c r="G109" s="12">
        <f t="shared" si="3"/>
        <v>0.2969420600858369</v>
      </c>
      <c r="H109">
        <v>85</v>
      </c>
      <c r="I109">
        <v>10.59</v>
      </c>
      <c r="J109" s="2">
        <f t="shared" si="4"/>
        <v>2621</v>
      </c>
      <c r="K109" s="9">
        <f t="shared" si="5"/>
        <v>27756.39</v>
      </c>
    </row>
    <row r="110" spans="1:11" x14ac:dyDescent="0.35">
      <c r="A110" s="10" t="s">
        <v>911</v>
      </c>
      <c r="B110" s="10">
        <v>1132</v>
      </c>
      <c r="C110" t="s">
        <v>111</v>
      </c>
      <c r="D110" t="s">
        <v>443</v>
      </c>
      <c r="E110" s="2">
        <v>5259</v>
      </c>
      <c r="F110" s="2">
        <v>2934</v>
      </c>
      <c r="G110" s="12">
        <f t="shared" si="3"/>
        <v>0.55790074158585279</v>
      </c>
      <c r="H110">
        <v>85</v>
      </c>
      <c r="I110">
        <v>10.59</v>
      </c>
      <c r="J110" s="2">
        <f t="shared" si="4"/>
        <v>2325</v>
      </c>
      <c r="K110" s="9">
        <f t="shared" si="5"/>
        <v>24621.75</v>
      </c>
    </row>
    <row r="111" spans="1:11" x14ac:dyDescent="0.35">
      <c r="A111" s="10" t="s">
        <v>911</v>
      </c>
      <c r="B111" s="10">
        <v>1136</v>
      </c>
      <c r="C111" t="s">
        <v>112</v>
      </c>
      <c r="D111" t="s">
        <v>444</v>
      </c>
      <c r="E111" s="2">
        <v>6513</v>
      </c>
      <c r="F111" s="2">
        <v>2072</v>
      </c>
      <c r="G111" s="12">
        <f t="shared" si="3"/>
        <v>0.31813296483955167</v>
      </c>
      <c r="H111">
        <v>85</v>
      </c>
      <c r="I111">
        <v>10.59</v>
      </c>
      <c r="J111" s="2">
        <f t="shared" si="4"/>
        <v>4441</v>
      </c>
      <c r="K111" s="9">
        <f t="shared" si="5"/>
        <v>47030.19</v>
      </c>
    </row>
    <row r="112" spans="1:11" x14ac:dyDescent="0.35">
      <c r="A112" s="10" t="s">
        <v>911</v>
      </c>
      <c r="B112" s="10">
        <v>1139</v>
      </c>
      <c r="C112" t="s">
        <v>113</v>
      </c>
      <c r="D112" t="s">
        <v>445</v>
      </c>
      <c r="E112" s="2">
        <v>4337</v>
      </c>
      <c r="F112" s="2">
        <v>2128</v>
      </c>
      <c r="G112" s="12">
        <f t="shared" si="3"/>
        <v>0.49066174775190224</v>
      </c>
      <c r="H112">
        <v>85</v>
      </c>
      <c r="I112">
        <v>10.59</v>
      </c>
      <c r="J112" s="2">
        <f t="shared" si="4"/>
        <v>2209</v>
      </c>
      <c r="K112" s="9">
        <f t="shared" si="5"/>
        <v>23393.31</v>
      </c>
    </row>
    <row r="113" spans="1:11" x14ac:dyDescent="0.35">
      <c r="A113" s="10" t="s">
        <v>911</v>
      </c>
      <c r="B113" s="10">
        <v>1157</v>
      </c>
      <c r="C113" t="s">
        <v>114</v>
      </c>
      <c r="D113" t="s">
        <v>446</v>
      </c>
      <c r="E113" s="2">
        <v>7144</v>
      </c>
      <c r="F113" s="2">
        <v>3348</v>
      </c>
      <c r="G113" s="12">
        <f t="shared" si="3"/>
        <v>0.46864501679731241</v>
      </c>
      <c r="H113">
        <v>85</v>
      </c>
      <c r="I113">
        <v>10.59</v>
      </c>
      <c r="J113" s="2">
        <f t="shared" si="4"/>
        <v>3796</v>
      </c>
      <c r="K113" s="9">
        <f t="shared" si="5"/>
        <v>40199.64</v>
      </c>
    </row>
    <row r="114" spans="1:11" x14ac:dyDescent="0.35">
      <c r="A114" s="10" t="s">
        <v>911</v>
      </c>
      <c r="B114" s="10">
        <v>1165</v>
      </c>
      <c r="C114" t="s">
        <v>115</v>
      </c>
      <c r="D114" t="s">
        <v>447</v>
      </c>
      <c r="E114" s="2">
        <v>5300</v>
      </c>
      <c r="F114" s="2">
        <v>1874</v>
      </c>
      <c r="G114" s="12">
        <f t="shared" si="3"/>
        <v>0.35358490566037737</v>
      </c>
      <c r="H114">
        <v>85</v>
      </c>
      <c r="I114">
        <v>10.59</v>
      </c>
      <c r="J114" s="2">
        <f t="shared" si="4"/>
        <v>3426</v>
      </c>
      <c r="K114" s="9">
        <f t="shared" si="5"/>
        <v>36281.339999999997</v>
      </c>
    </row>
    <row r="115" spans="1:11" x14ac:dyDescent="0.35">
      <c r="A115" s="10" t="s">
        <v>911</v>
      </c>
      <c r="B115" s="10">
        <v>1183</v>
      </c>
      <c r="C115" t="s">
        <v>116</v>
      </c>
      <c r="D115" t="s">
        <v>884</v>
      </c>
      <c r="E115" s="2">
        <v>4979</v>
      </c>
      <c r="F115" s="2">
        <v>2321</v>
      </c>
      <c r="G115" s="12">
        <f t="shared" si="3"/>
        <v>0.46615786302470374</v>
      </c>
      <c r="H115">
        <v>85</v>
      </c>
      <c r="I115">
        <v>10.59</v>
      </c>
      <c r="J115" s="2">
        <f t="shared" si="4"/>
        <v>2658</v>
      </c>
      <c r="K115" s="9">
        <f t="shared" si="5"/>
        <v>28148.22</v>
      </c>
    </row>
    <row r="116" spans="1:11" x14ac:dyDescent="0.35">
      <c r="A116" s="10" t="s">
        <v>911</v>
      </c>
      <c r="B116" s="10">
        <v>1200</v>
      </c>
      <c r="C116" t="s">
        <v>117</v>
      </c>
      <c r="D116" t="s">
        <v>796</v>
      </c>
      <c r="E116" s="2">
        <v>5884</v>
      </c>
      <c r="F116" s="2">
        <v>2238</v>
      </c>
      <c r="G116" s="12">
        <f t="shared" si="3"/>
        <v>0.38035350101971449</v>
      </c>
      <c r="H116">
        <v>85</v>
      </c>
      <c r="I116">
        <v>10.59</v>
      </c>
      <c r="J116" s="2">
        <f t="shared" si="4"/>
        <v>3646</v>
      </c>
      <c r="K116" s="9">
        <f t="shared" si="5"/>
        <v>38611.14</v>
      </c>
    </row>
    <row r="117" spans="1:11" x14ac:dyDescent="0.35">
      <c r="A117" s="10" t="s">
        <v>911</v>
      </c>
      <c r="B117" s="10">
        <v>1201</v>
      </c>
      <c r="C117" t="s">
        <v>118</v>
      </c>
      <c r="D117" t="s">
        <v>448</v>
      </c>
      <c r="E117" s="2">
        <v>4245</v>
      </c>
      <c r="F117" s="2">
        <v>1183</v>
      </c>
      <c r="G117" s="12">
        <f t="shared" si="3"/>
        <v>0.27868080094228503</v>
      </c>
      <c r="H117">
        <v>85</v>
      </c>
      <c r="I117">
        <v>10.59</v>
      </c>
      <c r="J117" s="2">
        <f t="shared" si="4"/>
        <v>3062</v>
      </c>
      <c r="K117" s="9">
        <f t="shared" si="5"/>
        <v>32426.579999999998</v>
      </c>
    </row>
    <row r="118" spans="1:11" x14ac:dyDescent="0.35">
      <c r="A118" s="10" t="s">
        <v>911</v>
      </c>
      <c r="B118" s="10">
        <v>1221</v>
      </c>
      <c r="C118" t="s">
        <v>119</v>
      </c>
      <c r="D118" t="s">
        <v>449</v>
      </c>
      <c r="E118" s="2">
        <v>4445</v>
      </c>
      <c r="F118" s="2">
        <v>1754</v>
      </c>
      <c r="G118" s="12">
        <f t="shared" si="3"/>
        <v>0.39460067491563555</v>
      </c>
      <c r="H118">
        <v>85</v>
      </c>
      <c r="I118">
        <v>10.59</v>
      </c>
      <c r="J118" s="2">
        <f t="shared" si="4"/>
        <v>2691</v>
      </c>
      <c r="K118" s="9">
        <f t="shared" si="5"/>
        <v>28497.69</v>
      </c>
    </row>
    <row r="119" spans="1:11" x14ac:dyDescent="0.35">
      <c r="A119" s="10" t="s">
        <v>911</v>
      </c>
      <c r="B119" s="10">
        <v>1222</v>
      </c>
      <c r="C119" t="s">
        <v>120</v>
      </c>
      <c r="D119" t="s">
        <v>450</v>
      </c>
      <c r="E119" s="2">
        <v>5100</v>
      </c>
      <c r="F119" s="2">
        <v>1660</v>
      </c>
      <c r="G119" s="12">
        <f t="shared" si="3"/>
        <v>0.32549019607843138</v>
      </c>
      <c r="H119">
        <v>85</v>
      </c>
      <c r="I119">
        <v>10.59</v>
      </c>
      <c r="J119" s="2">
        <f t="shared" si="4"/>
        <v>3440</v>
      </c>
      <c r="K119" s="9">
        <f t="shared" si="5"/>
        <v>36429.599999999999</v>
      </c>
    </row>
    <row r="120" spans="1:11" x14ac:dyDescent="0.35">
      <c r="A120" s="10" t="s">
        <v>911</v>
      </c>
      <c r="B120" s="10">
        <v>1228</v>
      </c>
      <c r="C120" t="s">
        <v>121</v>
      </c>
      <c r="D120" t="s">
        <v>451</v>
      </c>
      <c r="E120" s="2">
        <v>5910</v>
      </c>
      <c r="F120" s="2">
        <v>2184</v>
      </c>
      <c r="G120" s="12">
        <f t="shared" si="3"/>
        <v>0.36954314720812181</v>
      </c>
      <c r="H120">
        <v>85</v>
      </c>
      <c r="I120">
        <v>10.59</v>
      </c>
      <c r="J120" s="2">
        <f t="shared" si="4"/>
        <v>3726</v>
      </c>
      <c r="K120" s="9">
        <f t="shared" si="5"/>
        <v>39458.339999999997</v>
      </c>
    </row>
    <row r="121" spans="1:11" x14ac:dyDescent="0.35">
      <c r="A121" s="10" t="s">
        <v>911</v>
      </c>
      <c r="B121" s="10">
        <v>1255</v>
      </c>
      <c r="C121" t="s">
        <v>122</v>
      </c>
      <c r="D121" t="s">
        <v>452</v>
      </c>
      <c r="E121" s="2">
        <v>4269</v>
      </c>
      <c r="F121" s="2">
        <v>2203</v>
      </c>
      <c r="G121" s="12">
        <f t="shared" si="3"/>
        <v>0.51604591239166087</v>
      </c>
      <c r="H121">
        <v>85</v>
      </c>
      <c r="I121">
        <v>10.59</v>
      </c>
      <c r="J121" s="2">
        <f t="shared" si="4"/>
        <v>2066</v>
      </c>
      <c r="K121" s="9">
        <f t="shared" si="5"/>
        <v>21878.94</v>
      </c>
    </row>
    <row r="122" spans="1:11" x14ac:dyDescent="0.35">
      <c r="A122" s="10" t="s">
        <v>911</v>
      </c>
      <c r="B122" s="10">
        <v>1267</v>
      </c>
      <c r="C122" t="s">
        <v>123</v>
      </c>
      <c r="D122" t="s">
        <v>453</v>
      </c>
      <c r="E122" s="2">
        <v>12240</v>
      </c>
      <c r="F122" s="2">
        <v>5321</v>
      </c>
      <c r="G122" s="12">
        <f t="shared" si="3"/>
        <v>0.43472222222222223</v>
      </c>
      <c r="H122">
        <v>85</v>
      </c>
      <c r="I122">
        <v>10.59</v>
      </c>
      <c r="J122" s="2">
        <f t="shared" si="4"/>
        <v>6919</v>
      </c>
      <c r="K122" s="9">
        <f t="shared" si="5"/>
        <v>73272.209999999992</v>
      </c>
    </row>
    <row r="123" spans="1:11" x14ac:dyDescent="0.35">
      <c r="A123" s="10" t="s">
        <v>911</v>
      </c>
      <c r="B123" s="10">
        <v>1282</v>
      </c>
      <c r="C123" t="s">
        <v>124</v>
      </c>
      <c r="D123" t="s">
        <v>454</v>
      </c>
      <c r="E123" s="2">
        <v>1870</v>
      </c>
      <c r="F123" s="2">
        <v>763</v>
      </c>
      <c r="G123" s="12">
        <f t="shared" si="3"/>
        <v>0.40802139037433155</v>
      </c>
      <c r="H123">
        <v>85</v>
      </c>
      <c r="I123">
        <v>10.59</v>
      </c>
      <c r="J123" s="2">
        <f t="shared" si="4"/>
        <v>1107</v>
      </c>
      <c r="K123" s="9">
        <f t="shared" si="5"/>
        <v>11723.13</v>
      </c>
    </row>
    <row r="124" spans="1:11" x14ac:dyDescent="0.35">
      <c r="A124" s="10" t="s">
        <v>911</v>
      </c>
      <c r="B124" s="10">
        <v>1303</v>
      </c>
      <c r="C124" t="s">
        <v>125</v>
      </c>
      <c r="D124" t="s">
        <v>455</v>
      </c>
      <c r="E124" s="2">
        <v>4538</v>
      </c>
      <c r="F124" s="2">
        <v>1932</v>
      </c>
      <c r="G124" s="12">
        <f t="shared" si="3"/>
        <v>0.42573821066549139</v>
      </c>
      <c r="H124">
        <v>85</v>
      </c>
      <c r="I124">
        <v>10.59</v>
      </c>
      <c r="J124" s="2">
        <f t="shared" si="4"/>
        <v>2606</v>
      </c>
      <c r="K124" s="9">
        <f t="shared" si="5"/>
        <v>27597.54</v>
      </c>
    </row>
    <row r="125" spans="1:11" x14ac:dyDescent="0.35">
      <c r="A125" s="10" t="s">
        <v>911</v>
      </c>
      <c r="B125" s="10">
        <v>1304</v>
      </c>
      <c r="C125" t="s">
        <v>126</v>
      </c>
      <c r="D125" t="s">
        <v>456</v>
      </c>
      <c r="E125" s="2">
        <v>5012</v>
      </c>
      <c r="F125" s="2">
        <v>2260</v>
      </c>
      <c r="G125" s="12">
        <f t="shared" si="3"/>
        <v>0.45091779728651238</v>
      </c>
      <c r="H125">
        <v>85</v>
      </c>
      <c r="I125">
        <v>10.59</v>
      </c>
      <c r="J125" s="2">
        <f t="shared" si="4"/>
        <v>2752</v>
      </c>
      <c r="K125" s="9">
        <f t="shared" si="5"/>
        <v>29143.68</v>
      </c>
    </row>
    <row r="126" spans="1:11" x14ac:dyDescent="0.35">
      <c r="A126" s="10" t="s">
        <v>911</v>
      </c>
      <c r="B126" s="10">
        <v>1307</v>
      </c>
      <c r="C126" t="s">
        <v>127</v>
      </c>
      <c r="D126" t="s">
        <v>457</v>
      </c>
      <c r="E126" s="2">
        <v>4888</v>
      </c>
      <c r="F126" s="2">
        <v>2072</v>
      </c>
      <c r="G126" s="12">
        <f t="shared" si="3"/>
        <v>0.4238952536824877</v>
      </c>
      <c r="H126">
        <v>85</v>
      </c>
      <c r="I126">
        <v>10.59</v>
      </c>
      <c r="J126" s="2">
        <f t="shared" si="4"/>
        <v>2816</v>
      </c>
      <c r="K126" s="9">
        <f t="shared" si="5"/>
        <v>29821.439999999999</v>
      </c>
    </row>
    <row r="127" spans="1:11" x14ac:dyDescent="0.35">
      <c r="A127" s="10" t="s">
        <v>911</v>
      </c>
      <c r="B127" s="10">
        <v>1309</v>
      </c>
      <c r="C127" t="s">
        <v>128</v>
      </c>
      <c r="D127" t="s">
        <v>458</v>
      </c>
      <c r="E127" s="2">
        <v>7335</v>
      </c>
      <c r="F127" s="2">
        <v>2709</v>
      </c>
      <c r="G127" s="12">
        <f t="shared" si="3"/>
        <v>0.36932515337423311</v>
      </c>
      <c r="H127">
        <v>85</v>
      </c>
      <c r="I127">
        <v>10.59</v>
      </c>
      <c r="J127" s="2">
        <f t="shared" si="4"/>
        <v>4626</v>
      </c>
      <c r="K127" s="9">
        <f t="shared" si="5"/>
        <v>48989.34</v>
      </c>
    </row>
    <row r="128" spans="1:11" x14ac:dyDescent="0.35">
      <c r="A128" s="10" t="s">
        <v>911</v>
      </c>
      <c r="B128" s="10">
        <v>1314</v>
      </c>
      <c r="C128" t="s">
        <v>129</v>
      </c>
      <c r="D128" t="s">
        <v>459</v>
      </c>
      <c r="E128" s="2">
        <v>12411</v>
      </c>
      <c r="F128" s="2">
        <v>6324</v>
      </c>
      <c r="G128" s="12">
        <f t="shared" si="3"/>
        <v>0.5095479816291999</v>
      </c>
      <c r="H128">
        <v>85</v>
      </c>
      <c r="I128">
        <v>10.59</v>
      </c>
      <c r="J128" s="2">
        <f t="shared" si="4"/>
        <v>6087</v>
      </c>
      <c r="K128" s="9">
        <f t="shared" si="5"/>
        <v>64461.33</v>
      </c>
    </row>
    <row r="129" spans="1:11" x14ac:dyDescent="0.35">
      <c r="A129" s="10" t="s">
        <v>911</v>
      </c>
      <c r="B129" s="10">
        <v>1317</v>
      </c>
      <c r="C129" t="s">
        <v>130</v>
      </c>
      <c r="D129" t="s">
        <v>460</v>
      </c>
      <c r="E129" s="2">
        <v>10342</v>
      </c>
      <c r="F129" s="2">
        <v>5119</v>
      </c>
      <c r="G129" s="12">
        <f t="shared" si="3"/>
        <v>0.49497195900212726</v>
      </c>
      <c r="H129">
        <v>85</v>
      </c>
      <c r="I129">
        <v>10.59</v>
      </c>
      <c r="J129" s="2">
        <f t="shared" si="4"/>
        <v>5223</v>
      </c>
      <c r="K129" s="9">
        <f t="shared" si="5"/>
        <v>55311.57</v>
      </c>
    </row>
    <row r="130" spans="1:11" x14ac:dyDescent="0.35">
      <c r="A130" s="10" t="s">
        <v>911</v>
      </c>
      <c r="B130" s="10">
        <v>1330</v>
      </c>
      <c r="C130" t="s">
        <v>131</v>
      </c>
      <c r="D130" t="s">
        <v>461</v>
      </c>
      <c r="E130" s="2">
        <v>4556</v>
      </c>
      <c r="F130" s="2">
        <v>2160</v>
      </c>
      <c r="G130" s="12">
        <f t="shared" si="3"/>
        <v>0.47410008779631257</v>
      </c>
      <c r="H130">
        <v>85</v>
      </c>
      <c r="I130">
        <v>10.59</v>
      </c>
      <c r="J130" s="2">
        <f t="shared" si="4"/>
        <v>2396</v>
      </c>
      <c r="K130" s="9">
        <f t="shared" si="5"/>
        <v>25373.64</v>
      </c>
    </row>
    <row r="131" spans="1:11" x14ac:dyDescent="0.35">
      <c r="A131" s="10" t="s">
        <v>911</v>
      </c>
      <c r="B131" s="10">
        <v>1337</v>
      </c>
      <c r="C131" t="s">
        <v>132</v>
      </c>
      <c r="D131" t="s">
        <v>462</v>
      </c>
      <c r="E131" s="2">
        <v>5050</v>
      </c>
      <c r="F131" s="2">
        <v>2610</v>
      </c>
      <c r="G131" s="12">
        <f t="shared" ref="G131:G194" si="6">F131/E131</f>
        <v>0.51683168316831685</v>
      </c>
      <c r="H131">
        <v>85</v>
      </c>
      <c r="I131">
        <v>10.59</v>
      </c>
      <c r="J131" s="2">
        <f t="shared" ref="J131:J194" si="7">E131-F131</f>
        <v>2440</v>
      </c>
      <c r="K131" s="9">
        <f t="shared" ref="K131:K194" si="8">J131*I131</f>
        <v>25839.599999999999</v>
      </c>
    </row>
    <row r="132" spans="1:11" x14ac:dyDescent="0.35">
      <c r="A132" s="10" t="s">
        <v>911</v>
      </c>
      <c r="B132" s="10">
        <v>1342</v>
      </c>
      <c r="C132" t="s">
        <v>133</v>
      </c>
      <c r="D132" t="s">
        <v>463</v>
      </c>
      <c r="E132" s="2">
        <v>2876</v>
      </c>
      <c r="F132" s="2">
        <v>1259</v>
      </c>
      <c r="G132" s="12">
        <f t="shared" si="6"/>
        <v>0.43776077885952713</v>
      </c>
      <c r="H132">
        <v>85</v>
      </c>
      <c r="I132">
        <v>10.59</v>
      </c>
      <c r="J132" s="2">
        <f t="shared" si="7"/>
        <v>1617</v>
      </c>
      <c r="K132" s="9">
        <f t="shared" si="8"/>
        <v>17124.03</v>
      </c>
    </row>
    <row r="133" spans="1:11" x14ac:dyDescent="0.35">
      <c r="A133" s="10" t="s">
        <v>911</v>
      </c>
      <c r="B133" s="10">
        <v>1346</v>
      </c>
      <c r="C133" t="s">
        <v>134</v>
      </c>
      <c r="D133" t="s">
        <v>464</v>
      </c>
      <c r="E133" s="2">
        <v>4148</v>
      </c>
      <c r="F133" s="2">
        <v>1708</v>
      </c>
      <c r="G133" s="12">
        <f t="shared" si="6"/>
        <v>0.41176470588235292</v>
      </c>
      <c r="H133">
        <v>85</v>
      </c>
      <c r="I133">
        <v>10.59</v>
      </c>
      <c r="J133" s="2">
        <f t="shared" si="7"/>
        <v>2440</v>
      </c>
      <c r="K133" s="9">
        <f t="shared" si="8"/>
        <v>25839.599999999999</v>
      </c>
    </row>
    <row r="134" spans="1:11" x14ac:dyDescent="0.35">
      <c r="A134" s="10" t="s">
        <v>911</v>
      </c>
      <c r="B134" s="10">
        <v>1349</v>
      </c>
      <c r="C134" t="s">
        <v>135</v>
      </c>
      <c r="D134" t="s">
        <v>824</v>
      </c>
      <c r="E134" s="2">
        <v>5082</v>
      </c>
      <c r="F134" s="2">
        <v>2713</v>
      </c>
      <c r="G134" s="12">
        <f t="shared" si="6"/>
        <v>0.53384494293585205</v>
      </c>
      <c r="H134">
        <v>85</v>
      </c>
      <c r="I134">
        <v>10.59</v>
      </c>
      <c r="J134" s="2">
        <f t="shared" si="7"/>
        <v>2369</v>
      </c>
      <c r="K134" s="9">
        <f t="shared" si="8"/>
        <v>25087.71</v>
      </c>
    </row>
    <row r="135" spans="1:11" x14ac:dyDescent="0.35">
      <c r="A135" s="10" t="s">
        <v>911</v>
      </c>
      <c r="B135" s="10">
        <v>1358</v>
      </c>
      <c r="C135" t="s">
        <v>136</v>
      </c>
      <c r="D135" t="s">
        <v>465</v>
      </c>
      <c r="E135" s="2">
        <v>6226</v>
      </c>
      <c r="F135" s="2">
        <v>2499</v>
      </c>
      <c r="G135" s="12">
        <f t="shared" si="6"/>
        <v>0.40138130420815932</v>
      </c>
      <c r="H135">
        <v>85</v>
      </c>
      <c r="I135">
        <v>10.59</v>
      </c>
      <c r="J135" s="2">
        <f t="shared" si="7"/>
        <v>3727</v>
      </c>
      <c r="K135" s="9">
        <f t="shared" si="8"/>
        <v>39468.93</v>
      </c>
    </row>
    <row r="136" spans="1:11" x14ac:dyDescent="0.35">
      <c r="A136" s="10" t="s">
        <v>911</v>
      </c>
      <c r="B136" s="10">
        <v>1381</v>
      </c>
      <c r="C136" t="s">
        <v>137</v>
      </c>
      <c r="D136" t="s">
        <v>467</v>
      </c>
      <c r="E136" s="2">
        <v>3835</v>
      </c>
      <c r="F136" s="2">
        <v>2054</v>
      </c>
      <c r="G136" s="12">
        <f t="shared" si="6"/>
        <v>0.53559322033898304</v>
      </c>
      <c r="H136">
        <v>85</v>
      </c>
      <c r="I136">
        <v>10.59</v>
      </c>
      <c r="J136" s="2">
        <f t="shared" si="7"/>
        <v>1781</v>
      </c>
      <c r="K136" s="9">
        <f t="shared" si="8"/>
        <v>18860.79</v>
      </c>
    </row>
    <row r="137" spans="1:11" x14ac:dyDescent="0.35">
      <c r="A137" s="10" t="s">
        <v>911</v>
      </c>
      <c r="B137" s="10">
        <v>1388</v>
      </c>
      <c r="C137" t="s">
        <v>138</v>
      </c>
      <c r="D137" t="s">
        <v>468</v>
      </c>
      <c r="E137" s="2">
        <v>5297</v>
      </c>
      <c r="F137" s="2">
        <v>1928</v>
      </c>
      <c r="G137" s="12">
        <f t="shared" si="6"/>
        <v>0.36397961110062299</v>
      </c>
      <c r="H137">
        <v>85</v>
      </c>
      <c r="I137">
        <v>10.59</v>
      </c>
      <c r="J137" s="2">
        <f t="shared" si="7"/>
        <v>3369</v>
      </c>
      <c r="K137" s="9">
        <f t="shared" si="8"/>
        <v>35677.71</v>
      </c>
    </row>
    <row r="138" spans="1:11" x14ac:dyDescent="0.35">
      <c r="A138" s="10" t="s">
        <v>911</v>
      </c>
      <c r="B138" s="10">
        <v>1394</v>
      </c>
      <c r="C138" t="s">
        <v>139</v>
      </c>
      <c r="D138" t="s">
        <v>469</v>
      </c>
      <c r="E138" s="2">
        <v>3100</v>
      </c>
      <c r="F138" s="2">
        <v>1982</v>
      </c>
      <c r="G138" s="12">
        <f t="shared" si="6"/>
        <v>0.63935483870967746</v>
      </c>
      <c r="H138">
        <v>85</v>
      </c>
      <c r="I138">
        <v>10.59</v>
      </c>
      <c r="J138" s="2">
        <f t="shared" si="7"/>
        <v>1118</v>
      </c>
      <c r="K138" s="9">
        <f t="shared" si="8"/>
        <v>11839.619999999999</v>
      </c>
    </row>
    <row r="139" spans="1:11" x14ac:dyDescent="0.35">
      <c r="A139" s="10" t="s">
        <v>911</v>
      </c>
      <c r="B139" s="10">
        <v>1403</v>
      </c>
      <c r="C139" t="s">
        <v>140</v>
      </c>
      <c r="D139" t="s">
        <v>3</v>
      </c>
      <c r="E139" s="2">
        <v>3558</v>
      </c>
      <c r="F139" s="2">
        <v>1897</v>
      </c>
      <c r="G139" s="12">
        <f t="shared" si="6"/>
        <v>0.53316469926925236</v>
      </c>
      <c r="H139">
        <v>85</v>
      </c>
      <c r="I139">
        <v>10.59</v>
      </c>
      <c r="J139" s="2">
        <f t="shared" si="7"/>
        <v>1661</v>
      </c>
      <c r="K139" s="9">
        <f t="shared" si="8"/>
        <v>17589.989999999998</v>
      </c>
    </row>
    <row r="140" spans="1:11" x14ac:dyDescent="0.35">
      <c r="A140" s="10" t="s">
        <v>911</v>
      </c>
      <c r="B140" s="10">
        <v>1427</v>
      </c>
      <c r="C140" t="s">
        <v>141</v>
      </c>
      <c r="D140" t="s">
        <v>470</v>
      </c>
      <c r="E140" s="2">
        <v>7940</v>
      </c>
      <c r="F140" s="2">
        <v>3977</v>
      </c>
      <c r="G140" s="12">
        <f t="shared" si="6"/>
        <v>0.50088161209068005</v>
      </c>
      <c r="H140">
        <v>85</v>
      </c>
      <c r="I140">
        <v>10.59</v>
      </c>
      <c r="J140" s="2">
        <f t="shared" si="7"/>
        <v>3963</v>
      </c>
      <c r="K140" s="9">
        <f t="shared" si="8"/>
        <v>41968.17</v>
      </c>
    </row>
    <row r="141" spans="1:11" x14ac:dyDescent="0.35">
      <c r="A141" s="10" t="s">
        <v>911</v>
      </c>
      <c r="B141" s="10">
        <v>1428</v>
      </c>
      <c r="C141" t="s">
        <v>142</v>
      </c>
      <c r="D141" t="s">
        <v>471</v>
      </c>
      <c r="E141" s="2">
        <v>5809</v>
      </c>
      <c r="F141" s="2">
        <v>2499</v>
      </c>
      <c r="G141" s="12">
        <f t="shared" si="6"/>
        <v>0.43019452573592704</v>
      </c>
      <c r="H141">
        <v>85</v>
      </c>
      <c r="I141">
        <v>10.59</v>
      </c>
      <c r="J141" s="2">
        <f t="shared" si="7"/>
        <v>3310</v>
      </c>
      <c r="K141" s="9">
        <f t="shared" si="8"/>
        <v>35052.9</v>
      </c>
    </row>
    <row r="142" spans="1:11" x14ac:dyDescent="0.35">
      <c r="A142" s="10" t="s">
        <v>911</v>
      </c>
      <c r="B142" s="10">
        <v>1437</v>
      </c>
      <c r="C142" t="s">
        <v>143</v>
      </c>
      <c r="D142" t="s">
        <v>472</v>
      </c>
      <c r="E142" s="2">
        <v>5138</v>
      </c>
      <c r="F142" s="2">
        <v>1898</v>
      </c>
      <c r="G142" s="12">
        <f t="shared" si="6"/>
        <v>0.36940443752432855</v>
      </c>
      <c r="H142">
        <v>85</v>
      </c>
      <c r="I142">
        <v>10.59</v>
      </c>
      <c r="J142" s="2">
        <f t="shared" si="7"/>
        <v>3240</v>
      </c>
      <c r="K142" s="9">
        <f t="shared" si="8"/>
        <v>34311.599999999999</v>
      </c>
    </row>
    <row r="143" spans="1:11" x14ac:dyDescent="0.35">
      <c r="A143" s="10" t="s">
        <v>911</v>
      </c>
      <c r="B143" s="10">
        <v>1449</v>
      </c>
      <c r="C143" t="s">
        <v>144</v>
      </c>
      <c r="D143" t="s">
        <v>473</v>
      </c>
      <c r="E143" s="2">
        <v>5287</v>
      </c>
      <c r="F143" s="2">
        <v>2478</v>
      </c>
      <c r="G143" s="12">
        <f t="shared" si="6"/>
        <v>0.46869680348023451</v>
      </c>
      <c r="H143">
        <v>85</v>
      </c>
      <c r="I143">
        <v>10.59</v>
      </c>
      <c r="J143" s="2">
        <f t="shared" si="7"/>
        <v>2809</v>
      </c>
      <c r="K143" s="9">
        <f t="shared" si="8"/>
        <v>29747.31</v>
      </c>
    </row>
    <row r="144" spans="1:11" x14ac:dyDescent="0.35">
      <c r="A144" s="10" t="s">
        <v>911</v>
      </c>
      <c r="B144" s="10">
        <v>1460</v>
      </c>
      <c r="C144" t="s">
        <v>145</v>
      </c>
      <c r="D144" t="s">
        <v>474</v>
      </c>
      <c r="E144" s="2">
        <v>7045</v>
      </c>
      <c r="F144" s="2">
        <v>5381</v>
      </c>
      <c r="G144" s="12">
        <f t="shared" si="6"/>
        <v>0.7638041163946061</v>
      </c>
      <c r="H144">
        <v>85</v>
      </c>
      <c r="I144">
        <v>10.59</v>
      </c>
      <c r="J144" s="2">
        <f t="shared" si="7"/>
        <v>1664</v>
      </c>
      <c r="K144" s="9">
        <f t="shared" si="8"/>
        <v>17621.759999999998</v>
      </c>
    </row>
    <row r="145" spans="1:11" x14ac:dyDescent="0.35">
      <c r="A145" s="10" t="s">
        <v>911</v>
      </c>
      <c r="B145" s="10">
        <v>1467</v>
      </c>
      <c r="C145" t="s">
        <v>146</v>
      </c>
      <c r="D145" t="s">
        <v>795</v>
      </c>
      <c r="E145" s="2">
        <v>5731</v>
      </c>
      <c r="F145" s="2">
        <v>3193</v>
      </c>
      <c r="G145" s="12">
        <f t="shared" si="6"/>
        <v>0.55714534985168385</v>
      </c>
      <c r="H145">
        <v>85</v>
      </c>
      <c r="I145">
        <v>10.59</v>
      </c>
      <c r="J145" s="2">
        <f t="shared" si="7"/>
        <v>2538</v>
      </c>
      <c r="K145" s="9">
        <f t="shared" si="8"/>
        <v>26877.42</v>
      </c>
    </row>
    <row r="146" spans="1:11" x14ac:dyDescent="0.35">
      <c r="A146" s="10" t="s">
        <v>911</v>
      </c>
      <c r="B146" s="10">
        <v>1471</v>
      </c>
      <c r="C146" t="s">
        <v>147</v>
      </c>
      <c r="D146" t="s">
        <v>475</v>
      </c>
      <c r="E146" s="2">
        <v>3506</v>
      </c>
      <c r="F146" s="2">
        <v>1941</v>
      </c>
      <c r="G146" s="12">
        <f t="shared" si="6"/>
        <v>0.55362236166571588</v>
      </c>
      <c r="H146">
        <v>85</v>
      </c>
      <c r="I146">
        <v>10.59</v>
      </c>
      <c r="J146" s="2">
        <f t="shared" si="7"/>
        <v>1565</v>
      </c>
      <c r="K146" s="9">
        <f t="shared" si="8"/>
        <v>16573.349999999999</v>
      </c>
    </row>
    <row r="147" spans="1:11" x14ac:dyDescent="0.35">
      <c r="A147" s="10" t="s">
        <v>911</v>
      </c>
      <c r="B147" s="10">
        <v>1476</v>
      </c>
      <c r="C147" t="s">
        <v>148</v>
      </c>
      <c r="D147" t="s">
        <v>476</v>
      </c>
      <c r="E147" s="2">
        <v>4556</v>
      </c>
      <c r="F147" s="2">
        <v>1593</v>
      </c>
      <c r="G147" s="12">
        <f t="shared" si="6"/>
        <v>0.34964881474978049</v>
      </c>
      <c r="H147">
        <v>85</v>
      </c>
      <c r="I147">
        <v>10.59</v>
      </c>
      <c r="J147" s="2">
        <f t="shared" si="7"/>
        <v>2963</v>
      </c>
      <c r="K147" s="9">
        <f t="shared" si="8"/>
        <v>31378.17</v>
      </c>
    </row>
    <row r="148" spans="1:11" x14ac:dyDescent="0.35">
      <c r="A148" s="10" t="s">
        <v>911</v>
      </c>
      <c r="B148" s="10">
        <v>1481</v>
      </c>
      <c r="C148" t="s">
        <v>149</v>
      </c>
      <c r="D148" t="s">
        <v>477</v>
      </c>
      <c r="E148" s="2">
        <v>3057</v>
      </c>
      <c r="F148" s="2">
        <v>959</v>
      </c>
      <c r="G148" s="12">
        <f t="shared" si="6"/>
        <v>0.31370624795551194</v>
      </c>
      <c r="H148">
        <v>85</v>
      </c>
      <c r="I148">
        <v>10.59</v>
      </c>
      <c r="J148" s="2">
        <f t="shared" si="7"/>
        <v>2098</v>
      </c>
      <c r="K148" s="9">
        <f t="shared" si="8"/>
        <v>22217.82</v>
      </c>
    </row>
    <row r="149" spans="1:11" x14ac:dyDescent="0.35">
      <c r="A149" s="10" t="s">
        <v>911</v>
      </c>
      <c r="B149" s="10">
        <v>1492</v>
      </c>
      <c r="C149" t="s">
        <v>150</v>
      </c>
      <c r="D149" t="s">
        <v>478</v>
      </c>
      <c r="E149" s="2">
        <v>4203</v>
      </c>
      <c r="F149" s="2">
        <v>1335</v>
      </c>
      <c r="G149" s="12">
        <f t="shared" si="6"/>
        <v>0.31763026409707351</v>
      </c>
      <c r="H149">
        <v>85</v>
      </c>
      <c r="I149">
        <v>10.59</v>
      </c>
      <c r="J149" s="2">
        <f t="shared" si="7"/>
        <v>2868</v>
      </c>
      <c r="K149" s="9">
        <f t="shared" si="8"/>
        <v>30372.12</v>
      </c>
    </row>
    <row r="150" spans="1:11" x14ac:dyDescent="0.35">
      <c r="A150" s="10" t="s">
        <v>911</v>
      </c>
      <c r="B150" s="10">
        <v>1497</v>
      </c>
      <c r="C150" t="s">
        <v>151</v>
      </c>
      <c r="D150" t="s">
        <v>479</v>
      </c>
      <c r="E150" s="2">
        <v>7089</v>
      </c>
      <c r="F150" s="2">
        <v>2654</v>
      </c>
      <c r="G150" s="12">
        <f t="shared" si="6"/>
        <v>0.37438284666384541</v>
      </c>
      <c r="H150">
        <v>85</v>
      </c>
      <c r="I150">
        <v>10.59</v>
      </c>
      <c r="J150" s="2">
        <f t="shared" si="7"/>
        <v>4435</v>
      </c>
      <c r="K150" s="9">
        <f t="shared" si="8"/>
        <v>46966.65</v>
      </c>
    </row>
    <row r="151" spans="1:11" x14ac:dyDescent="0.35">
      <c r="A151" s="10" t="s">
        <v>911</v>
      </c>
      <c r="B151" s="10">
        <v>1499</v>
      </c>
      <c r="C151" t="s">
        <v>152</v>
      </c>
      <c r="D151" t="s">
        <v>480</v>
      </c>
      <c r="E151" s="2">
        <v>2642</v>
      </c>
      <c r="F151" s="2">
        <v>1573</v>
      </c>
      <c r="G151" s="12">
        <f t="shared" si="6"/>
        <v>0.5953822861468584</v>
      </c>
      <c r="H151">
        <v>85</v>
      </c>
      <c r="I151">
        <v>10.59</v>
      </c>
      <c r="J151" s="2">
        <f t="shared" si="7"/>
        <v>1069</v>
      </c>
      <c r="K151" s="9">
        <f t="shared" si="8"/>
        <v>11320.71</v>
      </c>
    </row>
    <row r="152" spans="1:11" x14ac:dyDescent="0.35">
      <c r="A152" s="10" t="s">
        <v>911</v>
      </c>
      <c r="B152" s="10">
        <v>1500</v>
      </c>
      <c r="C152" t="s">
        <v>153</v>
      </c>
      <c r="D152" t="s">
        <v>481</v>
      </c>
      <c r="E152" s="2">
        <v>1270</v>
      </c>
      <c r="F152" s="2">
        <v>329</v>
      </c>
      <c r="G152" s="12">
        <f t="shared" si="6"/>
        <v>0.25905511811023624</v>
      </c>
      <c r="H152">
        <v>85</v>
      </c>
      <c r="I152">
        <v>10.59</v>
      </c>
      <c r="J152" s="2">
        <f t="shared" si="7"/>
        <v>941</v>
      </c>
      <c r="K152" s="9">
        <f t="shared" si="8"/>
        <v>9965.19</v>
      </c>
    </row>
    <row r="153" spans="1:11" x14ac:dyDescent="0.35">
      <c r="A153" s="10" t="s">
        <v>911</v>
      </c>
      <c r="B153" s="10">
        <v>1501</v>
      </c>
      <c r="C153" t="s">
        <v>154</v>
      </c>
      <c r="D153" t="s">
        <v>482</v>
      </c>
      <c r="E153" s="2">
        <v>2709</v>
      </c>
      <c r="F153" s="2">
        <v>937</v>
      </c>
      <c r="G153" s="12">
        <f t="shared" si="6"/>
        <v>0.3458840900701366</v>
      </c>
      <c r="H153">
        <v>85</v>
      </c>
      <c r="I153">
        <v>10.59</v>
      </c>
      <c r="J153" s="2">
        <f t="shared" si="7"/>
        <v>1772</v>
      </c>
      <c r="K153" s="9">
        <f t="shared" si="8"/>
        <v>18765.48</v>
      </c>
    </row>
    <row r="154" spans="1:11" x14ac:dyDescent="0.35">
      <c r="A154" s="10" t="s">
        <v>911</v>
      </c>
      <c r="B154" s="10">
        <v>1523</v>
      </c>
      <c r="C154" t="s">
        <v>155</v>
      </c>
      <c r="D154" t="s">
        <v>814</v>
      </c>
      <c r="E154" s="2">
        <v>2664</v>
      </c>
      <c r="F154" s="2">
        <v>1558</v>
      </c>
      <c r="G154" s="12">
        <f t="shared" si="6"/>
        <v>0.58483483483483478</v>
      </c>
      <c r="H154">
        <v>85</v>
      </c>
      <c r="I154">
        <v>10.59</v>
      </c>
      <c r="J154" s="2">
        <f t="shared" si="7"/>
        <v>1106</v>
      </c>
      <c r="K154" s="9">
        <f t="shared" si="8"/>
        <v>11712.539999999999</v>
      </c>
    </row>
    <row r="155" spans="1:11" x14ac:dyDescent="0.35">
      <c r="A155" s="10" t="s">
        <v>911</v>
      </c>
      <c r="B155" s="10">
        <v>1530</v>
      </c>
      <c r="C155" t="s">
        <v>156</v>
      </c>
      <c r="D155" t="s">
        <v>483</v>
      </c>
      <c r="E155" s="2">
        <v>8700</v>
      </c>
      <c r="F155" s="2">
        <v>7285</v>
      </c>
      <c r="G155" s="12">
        <f t="shared" si="6"/>
        <v>0.83735632183908049</v>
      </c>
      <c r="H155">
        <v>85</v>
      </c>
      <c r="I155">
        <v>10.59</v>
      </c>
      <c r="J155" s="2">
        <f t="shared" si="7"/>
        <v>1415</v>
      </c>
      <c r="K155" s="9">
        <f t="shared" si="8"/>
        <v>14984.85</v>
      </c>
    </row>
    <row r="156" spans="1:11" x14ac:dyDescent="0.35">
      <c r="A156" s="10" t="s">
        <v>911</v>
      </c>
      <c r="B156" s="10">
        <v>1545</v>
      </c>
      <c r="C156" t="s">
        <v>157</v>
      </c>
      <c r="D156" t="s">
        <v>484</v>
      </c>
      <c r="E156" s="2">
        <v>3518</v>
      </c>
      <c r="F156" s="2">
        <v>1306</v>
      </c>
      <c r="G156" s="12">
        <f t="shared" si="6"/>
        <v>0.37123365548607162</v>
      </c>
      <c r="H156">
        <v>85</v>
      </c>
      <c r="I156">
        <v>10.59</v>
      </c>
      <c r="J156" s="2">
        <f t="shared" si="7"/>
        <v>2212</v>
      </c>
      <c r="K156" s="9">
        <f t="shared" si="8"/>
        <v>23425.079999999998</v>
      </c>
    </row>
    <row r="157" spans="1:11" x14ac:dyDescent="0.35">
      <c r="A157" s="10" t="s">
        <v>911</v>
      </c>
      <c r="B157" s="10">
        <v>1556</v>
      </c>
      <c r="C157" t="s">
        <v>158</v>
      </c>
      <c r="D157" t="s">
        <v>734</v>
      </c>
      <c r="E157" s="2">
        <v>5467</v>
      </c>
      <c r="F157" s="2">
        <v>2468</v>
      </c>
      <c r="G157" s="12">
        <f t="shared" si="6"/>
        <v>0.45143588805560636</v>
      </c>
      <c r="H157">
        <v>85</v>
      </c>
      <c r="I157">
        <v>10.59</v>
      </c>
      <c r="J157" s="2">
        <f t="shared" si="7"/>
        <v>2999</v>
      </c>
      <c r="K157" s="9">
        <f t="shared" si="8"/>
        <v>31759.41</v>
      </c>
    </row>
    <row r="158" spans="1:11" x14ac:dyDescent="0.35">
      <c r="A158" s="10" t="s">
        <v>911</v>
      </c>
      <c r="B158" s="10">
        <v>1560</v>
      </c>
      <c r="C158" t="s">
        <v>159</v>
      </c>
      <c r="D158" t="s">
        <v>485</v>
      </c>
      <c r="E158" s="2">
        <v>14065</v>
      </c>
      <c r="F158" s="2">
        <v>7796</v>
      </c>
      <c r="G158" s="12">
        <f t="shared" si="6"/>
        <v>0.55428368290081764</v>
      </c>
      <c r="H158">
        <v>85</v>
      </c>
      <c r="I158">
        <v>10.59</v>
      </c>
      <c r="J158" s="2">
        <f t="shared" si="7"/>
        <v>6269</v>
      </c>
      <c r="K158" s="9">
        <f t="shared" si="8"/>
        <v>66388.709999999992</v>
      </c>
    </row>
    <row r="159" spans="1:11" x14ac:dyDescent="0.35">
      <c r="A159" s="10" t="s">
        <v>911</v>
      </c>
      <c r="B159" s="10">
        <v>1571</v>
      </c>
      <c r="C159" t="s">
        <v>160</v>
      </c>
      <c r="D159" t="s">
        <v>806</v>
      </c>
      <c r="E159" s="2">
        <v>4710</v>
      </c>
      <c r="F159" s="2">
        <v>1472</v>
      </c>
      <c r="G159" s="12">
        <f t="shared" si="6"/>
        <v>0.31252653927813162</v>
      </c>
      <c r="H159">
        <v>85</v>
      </c>
      <c r="I159">
        <v>10.59</v>
      </c>
      <c r="J159" s="2">
        <f t="shared" si="7"/>
        <v>3238</v>
      </c>
      <c r="K159" s="9">
        <f t="shared" si="8"/>
        <v>34290.42</v>
      </c>
    </row>
    <row r="160" spans="1:11" x14ac:dyDescent="0.35">
      <c r="A160" s="10" t="s">
        <v>911</v>
      </c>
      <c r="B160" s="10">
        <v>1576</v>
      </c>
      <c r="C160" t="s">
        <v>741</v>
      </c>
      <c r="D160" t="s">
        <v>740</v>
      </c>
      <c r="E160" s="2">
        <v>7115</v>
      </c>
      <c r="F160" s="2">
        <v>3418</v>
      </c>
      <c r="G160" s="12">
        <f t="shared" si="6"/>
        <v>0.4803935347856641</v>
      </c>
      <c r="H160">
        <v>85</v>
      </c>
      <c r="I160">
        <v>10.59</v>
      </c>
      <c r="J160" s="2">
        <f t="shared" si="7"/>
        <v>3697</v>
      </c>
      <c r="K160" s="9">
        <f t="shared" si="8"/>
        <v>39151.229999999996</v>
      </c>
    </row>
    <row r="161" spans="1:11" x14ac:dyDescent="0.35">
      <c r="A161" s="10" t="s">
        <v>911</v>
      </c>
      <c r="B161" s="10">
        <v>1588</v>
      </c>
      <c r="C161" t="s">
        <v>161</v>
      </c>
      <c r="D161" t="s">
        <v>790</v>
      </c>
      <c r="E161" s="2">
        <v>5626</v>
      </c>
      <c r="F161" s="2">
        <v>2276</v>
      </c>
      <c r="G161" s="12">
        <f t="shared" si="6"/>
        <v>0.40455030216850335</v>
      </c>
      <c r="H161">
        <v>85</v>
      </c>
      <c r="I161">
        <v>10.59</v>
      </c>
      <c r="J161" s="2">
        <f t="shared" si="7"/>
        <v>3350</v>
      </c>
      <c r="K161" s="9">
        <f t="shared" si="8"/>
        <v>35476.5</v>
      </c>
    </row>
    <row r="162" spans="1:11" x14ac:dyDescent="0.35">
      <c r="A162" s="10" t="s">
        <v>911</v>
      </c>
      <c r="B162" s="10">
        <v>1595</v>
      </c>
      <c r="C162" t="s">
        <v>162</v>
      </c>
      <c r="D162" t="s">
        <v>486</v>
      </c>
      <c r="E162" s="2">
        <v>3561</v>
      </c>
      <c r="F162" s="2">
        <v>1218</v>
      </c>
      <c r="G162" s="12">
        <f t="shared" si="6"/>
        <v>0.34203875315922494</v>
      </c>
      <c r="H162">
        <v>85</v>
      </c>
      <c r="I162">
        <v>10.59</v>
      </c>
      <c r="J162" s="2">
        <f t="shared" si="7"/>
        <v>2343</v>
      </c>
      <c r="K162" s="9">
        <f t="shared" si="8"/>
        <v>24812.37</v>
      </c>
    </row>
    <row r="163" spans="1:11" x14ac:dyDescent="0.35">
      <c r="A163" s="10" t="s">
        <v>911</v>
      </c>
      <c r="B163" s="10">
        <v>1605</v>
      </c>
      <c r="C163" t="s">
        <v>163</v>
      </c>
      <c r="D163" t="s">
        <v>487</v>
      </c>
      <c r="E163" s="2">
        <v>4001</v>
      </c>
      <c r="F163" s="2">
        <v>2175</v>
      </c>
      <c r="G163" s="12">
        <f t="shared" si="6"/>
        <v>0.54361409647588099</v>
      </c>
      <c r="H163">
        <v>85</v>
      </c>
      <c r="I163">
        <v>10.59</v>
      </c>
      <c r="J163" s="2">
        <f t="shared" si="7"/>
        <v>1826</v>
      </c>
      <c r="K163" s="9">
        <f t="shared" si="8"/>
        <v>19337.34</v>
      </c>
    </row>
    <row r="164" spans="1:11" x14ac:dyDescent="0.35">
      <c r="A164" s="10" t="s">
        <v>911</v>
      </c>
      <c r="B164" s="10">
        <v>1609</v>
      </c>
      <c r="C164" t="s">
        <v>164</v>
      </c>
      <c r="D164" t="s">
        <v>488</v>
      </c>
      <c r="E164" s="2">
        <v>5414</v>
      </c>
      <c r="F164" s="2">
        <v>2446</v>
      </c>
      <c r="G164" s="12">
        <f t="shared" si="6"/>
        <v>0.45179165127447357</v>
      </c>
      <c r="H164">
        <v>85</v>
      </c>
      <c r="I164">
        <v>10.59</v>
      </c>
      <c r="J164" s="2">
        <f t="shared" si="7"/>
        <v>2968</v>
      </c>
      <c r="K164" s="9">
        <f t="shared" si="8"/>
        <v>31431.119999999999</v>
      </c>
    </row>
    <row r="165" spans="1:11" x14ac:dyDescent="0.35">
      <c r="A165" s="10" t="s">
        <v>911</v>
      </c>
      <c r="B165" s="10">
        <v>1618</v>
      </c>
      <c r="C165" t="s">
        <v>165</v>
      </c>
      <c r="D165" t="s">
        <v>489</v>
      </c>
      <c r="E165" s="2">
        <v>4133</v>
      </c>
      <c r="F165" s="2">
        <v>2188</v>
      </c>
      <c r="G165" s="12">
        <f t="shared" si="6"/>
        <v>0.52939753205903706</v>
      </c>
      <c r="H165">
        <v>85</v>
      </c>
      <c r="I165">
        <v>10.59</v>
      </c>
      <c r="J165" s="2">
        <f t="shared" si="7"/>
        <v>1945</v>
      </c>
      <c r="K165" s="9">
        <f t="shared" si="8"/>
        <v>20597.55</v>
      </c>
    </row>
    <row r="166" spans="1:11" x14ac:dyDescent="0.35">
      <c r="A166" s="10" t="s">
        <v>911</v>
      </c>
      <c r="B166" s="10">
        <v>1626</v>
      </c>
      <c r="C166" t="s">
        <v>166</v>
      </c>
      <c r="D166" t="s">
        <v>797</v>
      </c>
      <c r="E166" s="2">
        <v>6400</v>
      </c>
      <c r="F166" s="2">
        <v>2404</v>
      </c>
      <c r="G166" s="12">
        <f t="shared" si="6"/>
        <v>0.37562499999999999</v>
      </c>
      <c r="H166">
        <v>85</v>
      </c>
      <c r="I166">
        <v>10.59</v>
      </c>
      <c r="J166" s="2">
        <f t="shared" si="7"/>
        <v>3996</v>
      </c>
      <c r="K166" s="9">
        <f t="shared" si="8"/>
        <v>42317.64</v>
      </c>
    </row>
    <row r="167" spans="1:11" x14ac:dyDescent="0.35">
      <c r="A167" s="10" t="s">
        <v>911</v>
      </c>
      <c r="B167" s="10">
        <v>1630</v>
      </c>
      <c r="C167" t="s">
        <v>167</v>
      </c>
      <c r="D167" t="s">
        <v>810</v>
      </c>
      <c r="E167" s="2">
        <v>3048</v>
      </c>
      <c r="F167" s="2">
        <v>1281</v>
      </c>
      <c r="G167" s="12">
        <f t="shared" si="6"/>
        <v>0.42027559055118108</v>
      </c>
      <c r="H167">
        <v>85</v>
      </c>
      <c r="I167">
        <v>10.59</v>
      </c>
      <c r="J167" s="2">
        <f t="shared" si="7"/>
        <v>1767</v>
      </c>
      <c r="K167" s="9">
        <f t="shared" si="8"/>
        <v>18712.53</v>
      </c>
    </row>
    <row r="168" spans="1:11" x14ac:dyDescent="0.35">
      <c r="A168" s="10" t="s">
        <v>911</v>
      </c>
      <c r="B168" s="10">
        <v>1634</v>
      </c>
      <c r="C168" t="s">
        <v>168</v>
      </c>
      <c r="D168" t="s">
        <v>490</v>
      </c>
      <c r="E168" s="2">
        <v>8137</v>
      </c>
      <c r="F168" s="2">
        <v>3504</v>
      </c>
      <c r="G168" s="12">
        <f t="shared" si="6"/>
        <v>0.43062553766744499</v>
      </c>
      <c r="H168">
        <v>85</v>
      </c>
      <c r="I168">
        <v>10.59</v>
      </c>
      <c r="J168" s="2">
        <f t="shared" si="7"/>
        <v>4633</v>
      </c>
      <c r="K168" s="9">
        <f t="shared" si="8"/>
        <v>49063.47</v>
      </c>
    </row>
    <row r="169" spans="1:11" x14ac:dyDescent="0.35">
      <c r="A169" s="10" t="s">
        <v>911</v>
      </c>
      <c r="B169" s="10">
        <v>1653</v>
      </c>
      <c r="C169" t="s">
        <v>169</v>
      </c>
      <c r="D169" t="s">
        <v>492</v>
      </c>
      <c r="E169" s="2">
        <v>4967</v>
      </c>
      <c r="F169" s="2">
        <v>2531</v>
      </c>
      <c r="G169" s="12">
        <f t="shared" si="6"/>
        <v>0.50956311656935771</v>
      </c>
      <c r="H169">
        <v>85</v>
      </c>
      <c r="I169">
        <v>10.59</v>
      </c>
      <c r="J169" s="2">
        <f t="shared" si="7"/>
        <v>2436</v>
      </c>
      <c r="K169" s="9">
        <f t="shared" si="8"/>
        <v>25797.239999999998</v>
      </c>
    </row>
    <row r="170" spans="1:11" x14ac:dyDescent="0.35">
      <c r="A170" s="10" t="s">
        <v>911</v>
      </c>
      <c r="B170" s="10">
        <v>1658</v>
      </c>
      <c r="C170" t="s">
        <v>170</v>
      </c>
      <c r="D170" t="s">
        <v>788</v>
      </c>
      <c r="E170" s="2">
        <v>5508</v>
      </c>
      <c r="F170" s="2">
        <v>2095</v>
      </c>
      <c r="G170" s="12">
        <f t="shared" si="6"/>
        <v>0.38035584604212053</v>
      </c>
      <c r="H170">
        <v>85</v>
      </c>
      <c r="I170">
        <v>10.59</v>
      </c>
      <c r="J170" s="2">
        <f t="shared" si="7"/>
        <v>3413</v>
      </c>
      <c r="K170" s="9">
        <f t="shared" si="8"/>
        <v>36143.67</v>
      </c>
    </row>
    <row r="171" spans="1:11" x14ac:dyDescent="0.35">
      <c r="A171" s="10" t="s">
        <v>911</v>
      </c>
      <c r="B171" s="10">
        <v>1664</v>
      </c>
      <c r="C171" t="s">
        <v>172</v>
      </c>
      <c r="D171" t="s">
        <v>493</v>
      </c>
      <c r="E171" s="2">
        <v>3286</v>
      </c>
      <c r="F171" s="2">
        <v>1465</v>
      </c>
      <c r="G171" s="12">
        <f t="shared" si="6"/>
        <v>0.44583079732197201</v>
      </c>
      <c r="H171">
        <v>85</v>
      </c>
      <c r="I171">
        <v>10.59</v>
      </c>
      <c r="J171" s="2">
        <f t="shared" si="7"/>
        <v>1821</v>
      </c>
      <c r="K171" s="9">
        <f t="shared" si="8"/>
        <v>19284.39</v>
      </c>
    </row>
    <row r="172" spans="1:11" x14ac:dyDescent="0.35">
      <c r="A172" s="10" t="s">
        <v>911</v>
      </c>
      <c r="B172" s="10">
        <v>1665</v>
      </c>
      <c r="C172" t="s">
        <v>173</v>
      </c>
      <c r="D172" t="s">
        <v>494</v>
      </c>
      <c r="E172" s="2">
        <v>3888</v>
      </c>
      <c r="F172" s="2">
        <v>1606</v>
      </c>
      <c r="G172" s="12">
        <f t="shared" si="6"/>
        <v>0.4130658436213992</v>
      </c>
      <c r="H172">
        <v>85</v>
      </c>
      <c r="I172">
        <v>10.59</v>
      </c>
      <c r="J172" s="2">
        <f t="shared" si="7"/>
        <v>2282</v>
      </c>
      <c r="K172" s="9">
        <f t="shared" si="8"/>
        <v>24166.38</v>
      </c>
    </row>
    <row r="173" spans="1:11" x14ac:dyDescent="0.35">
      <c r="A173" s="10" t="s">
        <v>911</v>
      </c>
      <c r="B173" s="10">
        <v>1672</v>
      </c>
      <c r="C173" t="s">
        <v>174</v>
      </c>
      <c r="D173" t="s">
        <v>1</v>
      </c>
      <c r="E173" s="2">
        <v>7676</v>
      </c>
      <c r="F173" s="2">
        <v>2717</v>
      </c>
      <c r="G173" s="12">
        <f t="shared" si="6"/>
        <v>0.35396039603960394</v>
      </c>
      <c r="H173">
        <v>85</v>
      </c>
      <c r="I173">
        <v>10.59</v>
      </c>
      <c r="J173" s="2">
        <f t="shared" si="7"/>
        <v>4959</v>
      </c>
      <c r="K173" s="9">
        <f t="shared" si="8"/>
        <v>52515.81</v>
      </c>
    </row>
    <row r="174" spans="1:11" x14ac:dyDescent="0.35">
      <c r="A174" s="10" t="s">
        <v>911</v>
      </c>
      <c r="B174" s="10">
        <v>1675</v>
      </c>
      <c r="C174" t="s">
        <v>175</v>
      </c>
      <c r="D174" t="s">
        <v>495</v>
      </c>
      <c r="E174" s="2">
        <v>6780</v>
      </c>
      <c r="F174" s="2">
        <v>2470</v>
      </c>
      <c r="G174" s="12">
        <f t="shared" si="6"/>
        <v>0.36430678466076694</v>
      </c>
      <c r="H174">
        <v>85</v>
      </c>
      <c r="I174">
        <v>10.59</v>
      </c>
      <c r="J174" s="2">
        <f t="shared" si="7"/>
        <v>4310</v>
      </c>
      <c r="K174" s="9">
        <f t="shared" si="8"/>
        <v>45642.9</v>
      </c>
    </row>
    <row r="175" spans="1:11" x14ac:dyDescent="0.35">
      <c r="A175" s="10" t="s">
        <v>911</v>
      </c>
      <c r="B175" s="10">
        <v>1681</v>
      </c>
      <c r="C175" t="s">
        <v>176</v>
      </c>
      <c r="D175" t="s">
        <v>496</v>
      </c>
      <c r="E175" s="2">
        <v>2322</v>
      </c>
      <c r="F175" s="2">
        <v>1067</v>
      </c>
      <c r="G175" s="12">
        <f t="shared" si="6"/>
        <v>0.45951765719207582</v>
      </c>
      <c r="H175">
        <v>85</v>
      </c>
      <c r="I175">
        <v>10.59</v>
      </c>
      <c r="J175" s="2">
        <f t="shared" si="7"/>
        <v>1255</v>
      </c>
      <c r="K175" s="9">
        <f t="shared" si="8"/>
        <v>13290.45</v>
      </c>
    </row>
    <row r="176" spans="1:11" x14ac:dyDescent="0.35">
      <c r="A176" s="10" t="s">
        <v>911</v>
      </c>
      <c r="B176" s="10">
        <v>1682</v>
      </c>
      <c r="C176" t="s">
        <v>177</v>
      </c>
      <c r="D176" t="s">
        <v>497</v>
      </c>
      <c r="E176" s="2">
        <v>4499</v>
      </c>
      <c r="F176" s="2">
        <v>2565</v>
      </c>
      <c r="G176" s="12">
        <f t="shared" si="6"/>
        <v>0.57012669482107137</v>
      </c>
      <c r="H176">
        <v>85</v>
      </c>
      <c r="I176">
        <v>10.59</v>
      </c>
      <c r="J176" s="2">
        <f t="shared" si="7"/>
        <v>1934</v>
      </c>
      <c r="K176" s="9">
        <f t="shared" si="8"/>
        <v>20481.060000000001</v>
      </c>
    </row>
    <row r="177" spans="1:11" x14ac:dyDescent="0.35">
      <c r="A177" s="10" t="s">
        <v>911</v>
      </c>
      <c r="B177" s="10">
        <v>1684</v>
      </c>
      <c r="C177" t="s">
        <v>178</v>
      </c>
      <c r="D177" t="s">
        <v>498</v>
      </c>
      <c r="E177" s="2">
        <v>11042</v>
      </c>
      <c r="F177" s="2">
        <v>5957</v>
      </c>
      <c r="G177" s="12">
        <f t="shared" si="6"/>
        <v>0.53948560043470384</v>
      </c>
      <c r="H177">
        <v>85</v>
      </c>
      <c r="I177">
        <v>10.59</v>
      </c>
      <c r="J177" s="2">
        <f t="shared" si="7"/>
        <v>5085</v>
      </c>
      <c r="K177" s="9">
        <f t="shared" si="8"/>
        <v>53850.15</v>
      </c>
    </row>
    <row r="178" spans="1:11" x14ac:dyDescent="0.35">
      <c r="A178" s="10" t="s">
        <v>911</v>
      </c>
      <c r="B178" s="10">
        <v>1693</v>
      </c>
      <c r="C178" t="s">
        <v>179</v>
      </c>
      <c r="D178" t="s">
        <v>499</v>
      </c>
      <c r="E178" s="2">
        <v>7332</v>
      </c>
      <c r="F178" s="2">
        <v>4433</v>
      </c>
      <c r="G178" s="12">
        <f t="shared" si="6"/>
        <v>0.60460992907801414</v>
      </c>
      <c r="H178">
        <v>85</v>
      </c>
      <c r="I178">
        <v>10.59</v>
      </c>
      <c r="J178" s="2">
        <f t="shared" si="7"/>
        <v>2899</v>
      </c>
      <c r="K178" s="9">
        <f t="shared" si="8"/>
        <v>30700.41</v>
      </c>
    </row>
    <row r="179" spans="1:11" x14ac:dyDescent="0.35">
      <c r="A179" s="10" t="s">
        <v>911</v>
      </c>
      <c r="B179" s="10">
        <v>1701</v>
      </c>
      <c r="C179" t="s">
        <v>180</v>
      </c>
      <c r="D179" t="s">
        <v>500</v>
      </c>
      <c r="E179" s="2">
        <v>2415</v>
      </c>
      <c r="F179" s="2">
        <v>1005</v>
      </c>
      <c r="G179" s="12">
        <f t="shared" si="6"/>
        <v>0.41614906832298137</v>
      </c>
      <c r="H179">
        <v>85</v>
      </c>
      <c r="I179">
        <v>10.59</v>
      </c>
      <c r="J179" s="2">
        <f t="shared" si="7"/>
        <v>1410</v>
      </c>
      <c r="K179" s="9">
        <f t="shared" si="8"/>
        <v>14931.9</v>
      </c>
    </row>
    <row r="180" spans="1:11" x14ac:dyDescent="0.35">
      <c r="A180" s="10" t="s">
        <v>911</v>
      </c>
      <c r="B180" s="10">
        <v>1703</v>
      </c>
      <c r="C180" t="s">
        <v>181</v>
      </c>
      <c r="D180" t="s">
        <v>501</v>
      </c>
      <c r="E180" s="2">
        <v>9354</v>
      </c>
      <c r="F180" s="2">
        <v>2072</v>
      </c>
      <c r="G180" s="12">
        <f t="shared" si="6"/>
        <v>0.22150951464614069</v>
      </c>
      <c r="H180">
        <v>85</v>
      </c>
      <c r="I180">
        <v>10.59</v>
      </c>
      <c r="J180" s="2">
        <f t="shared" si="7"/>
        <v>7282</v>
      </c>
      <c r="K180" s="9">
        <f t="shared" si="8"/>
        <v>77116.38</v>
      </c>
    </row>
    <row r="181" spans="1:11" x14ac:dyDescent="0.35">
      <c r="A181" s="10" t="s">
        <v>911</v>
      </c>
      <c r="B181" s="10">
        <v>1725</v>
      </c>
      <c r="C181" t="s">
        <v>182</v>
      </c>
      <c r="D181" t="s">
        <v>502</v>
      </c>
      <c r="E181" s="2">
        <v>2521</v>
      </c>
      <c r="F181" s="2">
        <v>998</v>
      </c>
      <c r="G181" s="12">
        <f t="shared" si="6"/>
        <v>0.39587465291550972</v>
      </c>
      <c r="H181">
        <v>85</v>
      </c>
      <c r="I181">
        <v>10.59</v>
      </c>
      <c r="J181" s="2">
        <f t="shared" si="7"/>
        <v>1523</v>
      </c>
      <c r="K181" s="9">
        <f t="shared" si="8"/>
        <v>16128.57</v>
      </c>
    </row>
    <row r="182" spans="1:11" x14ac:dyDescent="0.35">
      <c r="A182" s="10" t="s">
        <v>911</v>
      </c>
      <c r="B182" s="10">
        <v>1726</v>
      </c>
      <c r="C182" t="s">
        <v>183</v>
      </c>
      <c r="D182" t="s">
        <v>503</v>
      </c>
      <c r="E182" s="2">
        <v>6268</v>
      </c>
      <c r="F182" s="2">
        <v>2022</v>
      </c>
      <c r="G182" s="12">
        <f t="shared" si="6"/>
        <v>0.32259093809827694</v>
      </c>
      <c r="H182">
        <v>85</v>
      </c>
      <c r="I182">
        <v>10.59</v>
      </c>
      <c r="J182" s="2">
        <f t="shared" si="7"/>
        <v>4246</v>
      </c>
      <c r="K182" s="9">
        <f t="shared" si="8"/>
        <v>44965.14</v>
      </c>
    </row>
    <row r="183" spans="1:11" x14ac:dyDescent="0.35">
      <c r="A183" s="10" t="s">
        <v>911</v>
      </c>
      <c r="B183" s="10">
        <v>1727</v>
      </c>
      <c r="C183" t="s">
        <v>184</v>
      </c>
      <c r="D183" t="s">
        <v>504</v>
      </c>
      <c r="E183" s="2">
        <v>3468</v>
      </c>
      <c r="F183" s="2">
        <v>1070</v>
      </c>
      <c r="G183" s="12">
        <f t="shared" si="6"/>
        <v>0.30853517877739334</v>
      </c>
      <c r="H183">
        <v>85</v>
      </c>
      <c r="I183">
        <v>10.59</v>
      </c>
      <c r="J183" s="2">
        <f t="shared" si="7"/>
        <v>2398</v>
      </c>
      <c r="K183" s="9">
        <f t="shared" si="8"/>
        <v>25394.82</v>
      </c>
    </row>
    <row r="184" spans="1:11" x14ac:dyDescent="0.35">
      <c r="A184" s="10" t="s">
        <v>911</v>
      </c>
      <c r="B184" s="10">
        <v>1737</v>
      </c>
      <c r="C184" t="s">
        <v>185</v>
      </c>
      <c r="D184" t="s">
        <v>505</v>
      </c>
      <c r="E184" s="2">
        <v>4998</v>
      </c>
      <c r="F184" s="2">
        <v>2123</v>
      </c>
      <c r="G184" s="12">
        <f t="shared" si="6"/>
        <v>0.42476990796318526</v>
      </c>
      <c r="H184">
        <v>85</v>
      </c>
      <c r="I184">
        <v>10.59</v>
      </c>
      <c r="J184" s="2">
        <f t="shared" si="7"/>
        <v>2875</v>
      </c>
      <c r="K184" s="9">
        <f t="shared" si="8"/>
        <v>30446.25</v>
      </c>
    </row>
    <row r="185" spans="1:11" x14ac:dyDescent="0.35">
      <c r="A185" s="10" t="s">
        <v>911</v>
      </c>
      <c r="B185" s="10">
        <v>1741</v>
      </c>
      <c r="C185" t="s">
        <v>186</v>
      </c>
      <c r="D185" t="s">
        <v>506</v>
      </c>
      <c r="E185" s="2">
        <v>3649</v>
      </c>
      <c r="F185" s="2">
        <v>2128</v>
      </c>
      <c r="G185" s="12">
        <f t="shared" si="6"/>
        <v>0.58317347218416005</v>
      </c>
      <c r="H185">
        <v>85</v>
      </c>
      <c r="I185">
        <v>10.59</v>
      </c>
      <c r="J185" s="2">
        <f t="shared" si="7"/>
        <v>1521</v>
      </c>
      <c r="K185" s="9">
        <f t="shared" si="8"/>
        <v>16107.39</v>
      </c>
    </row>
    <row r="186" spans="1:11" x14ac:dyDescent="0.35">
      <c r="A186" s="10" t="s">
        <v>911</v>
      </c>
      <c r="B186" s="10">
        <v>1758</v>
      </c>
      <c r="C186" t="s">
        <v>187</v>
      </c>
      <c r="D186" t="s">
        <v>507</v>
      </c>
      <c r="E186" s="2">
        <v>4649</v>
      </c>
      <c r="F186" s="2">
        <v>1925</v>
      </c>
      <c r="G186" s="12">
        <f t="shared" si="6"/>
        <v>0.41406754140675411</v>
      </c>
      <c r="H186">
        <v>85</v>
      </c>
      <c r="I186">
        <v>10.59</v>
      </c>
      <c r="J186" s="2">
        <f t="shared" si="7"/>
        <v>2724</v>
      </c>
      <c r="K186" s="9">
        <f t="shared" si="8"/>
        <v>28847.16</v>
      </c>
    </row>
    <row r="187" spans="1:11" x14ac:dyDescent="0.35">
      <c r="A187" s="10" t="s">
        <v>911</v>
      </c>
      <c r="B187" s="10">
        <v>1769</v>
      </c>
      <c r="C187" t="s">
        <v>188</v>
      </c>
      <c r="D187" t="s">
        <v>508</v>
      </c>
      <c r="E187" s="2">
        <v>3029</v>
      </c>
      <c r="F187" s="2">
        <v>1080</v>
      </c>
      <c r="G187" s="12">
        <f t="shared" si="6"/>
        <v>0.35655331792670847</v>
      </c>
      <c r="H187">
        <v>85</v>
      </c>
      <c r="I187">
        <v>10.59</v>
      </c>
      <c r="J187" s="2">
        <f t="shared" si="7"/>
        <v>1949</v>
      </c>
      <c r="K187" s="9">
        <f t="shared" si="8"/>
        <v>20639.91</v>
      </c>
    </row>
    <row r="188" spans="1:11" x14ac:dyDescent="0.35">
      <c r="A188" s="10" t="s">
        <v>911</v>
      </c>
      <c r="B188" s="10">
        <v>1777</v>
      </c>
      <c r="C188" t="s">
        <v>189</v>
      </c>
      <c r="D188" t="s">
        <v>509</v>
      </c>
      <c r="E188" s="2">
        <v>12817</v>
      </c>
      <c r="F188" s="2">
        <v>4103</v>
      </c>
      <c r="G188" s="12">
        <f t="shared" si="6"/>
        <v>0.32012171334945777</v>
      </c>
      <c r="H188">
        <v>85</v>
      </c>
      <c r="I188">
        <v>10.59</v>
      </c>
      <c r="J188" s="2">
        <f t="shared" si="7"/>
        <v>8714</v>
      </c>
      <c r="K188" s="9">
        <f t="shared" si="8"/>
        <v>92281.26</v>
      </c>
    </row>
    <row r="189" spans="1:11" x14ac:dyDescent="0.35">
      <c r="A189" s="10" t="s">
        <v>911</v>
      </c>
      <c r="B189" s="10">
        <v>1789</v>
      </c>
      <c r="C189" t="s">
        <v>190</v>
      </c>
      <c r="D189" t="s">
        <v>510</v>
      </c>
      <c r="E189" s="2">
        <v>2485</v>
      </c>
      <c r="F189" s="2">
        <v>1295</v>
      </c>
      <c r="G189" s="12">
        <f t="shared" si="6"/>
        <v>0.52112676056338025</v>
      </c>
      <c r="H189">
        <v>85</v>
      </c>
      <c r="I189">
        <v>10.59</v>
      </c>
      <c r="J189" s="2">
        <f t="shared" si="7"/>
        <v>1190</v>
      </c>
      <c r="K189" s="9">
        <f t="shared" si="8"/>
        <v>12602.1</v>
      </c>
    </row>
    <row r="190" spans="1:11" x14ac:dyDescent="0.35">
      <c r="A190" s="10" t="s">
        <v>911</v>
      </c>
      <c r="B190" s="10">
        <v>1792</v>
      </c>
      <c r="C190" t="s">
        <v>191</v>
      </c>
      <c r="D190" t="s">
        <v>803</v>
      </c>
      <c r="E190" s="2">
        <v>5435</v>
      </c>
      <c r="F190" s="2">
        <v>2126</v>
      </c>
      <c r="G190" s="12">
        <f t="shared" si="6"/>
        <v>0.39116835326586935</v>
      </c>
      <c r="H190">
        <v>85</v>
      </c>
      <c r="I190">
        <v>10.59</v>
      </c>
      <c r="J190" s="2">
        <f t="shared" si="7"/>
        <v>3309</v>
      </c>
      <c r="K190" s="9">
        <f t="shared" si="8"/>
        <v>35042.31</v>
      </c>
    </row>
    <row r="191" spans="1:11" x14ac:dyDescent="0.35">
      <c r="A191" s="10" t="s">
        <v>911</v>
      </c>
      <c r="B191" s="10">
        <v>1798</v>
      </c>
      <c r="C191" t="s">
        <v>192</v>
      </c>
      <c r="D191" t="s">
        <v>681</v>
      </c>
      <c r="E191" s="2">
        <v>3335</v>
      </c>
      <c r="F191" s="2">
        <v>1490</v>
      </c>
      <c r="G191" s="12">
        <f t="shared" si="6"/>
        <v>0.44677661169415295</v>
      </c>
      <c r="H191">
        <v>85</v>
      </c>
      <c r="I191">
        <v>10.59</v>
      </c>
      <c r="J191" s="2">
        <f t="shared" si="7"/>
        <v>1845</v>
      </c>
      <c r="K191" s="9">
        <f t="shared" si="8"/>
        <v>19538.55</v>
      </c>
    </row>
    <row r="192" spans="1:11" x14ac:dyDescent="0.35">
      <c r="A192" s="10" t="s">
        <v>911</v>
      </c>
      <c r="B192" s="10">
        <v>1808</v>
      </c>
      <c r="C192" t="s">
        <v>193</v>
      </c>
      <c r="D192" t="s">
        <v>511</v>
      </c>
      <c r="E192" s="2">
        <v>8837</v>
      </c>
      <c r="F192" s="2">
        <v>2566</v>
      </c>
      <c r="G192" s="12">
        <f t="shared" si="6"/>
        <v>0.29037003507977821</v>
      </c>
      <c r="H192">
        <v>85</v>
      </c>
      <c r="I192">
        <v>10.59</v>
      </c>
      <c r="J192" s="2">
        <f t="shared" si="7"/>
        <v>6271</v>
      </c>
      <c r="K192" s="9">
        <f t="shared" si="8"/>
        <v>66409.89</v>
      </c>
    </row>
    <row r="193" spans="1:11" x14ac:dyDescent="0.35">
      <c r="A193" s="10" t="s">
        <v>911</v>
      </c>
      <c r="B193" s="10">
        <v>1813</v>
      </c>
      <c r="C193" t="s">
        <v>878</v>
      </c>
      <c r="D193" t="s">
        <v>886</v>
      </c>
      <c r="E193" s="2">
        <v>4709</v>
      </c>
      <c r="F193" s="2">
        <v>1887</v>
      </c>
      <c r="G193" s="12">
        <f t="shared" si="6"/>
        <v>0.4007220216606498</v>
      </c>
      <c r="H193">
        <v>85</v>
      </c>
      <c r="I193">
        <v>10.59</v>
      </c>
      <c r="J193" s="2">
        <f t="shared" si="7"/>
        <v>2822</v>
      </c>
      <c r="K193" s="9">
        <f t="shared" si="8"/>
        <v>29884.98</v>
      </c>
    </row>
    <row r="194" spans="1:11" x14ac:dyDescent="0.35">
      <c r="A194" s="10" t="s">
        <v>911</v>
      </c>
      <c r="B194" s="10">
        <v>1815</v>
      </c>
      <c r="C194" t="s">
        <v>194</v>
      </c>
      <c r="D194" t="s">
        <v>864</v>
      </c>
      <c r="E194" s="2">
        <v>2186</v>
      </c>
      <c r="F194" s="2">
        <v>1034</v>
      </c>
      <c r="G194" s="12">
        <f t="shared" si="6"/>
        <v>0.47301006404391582</v>
      </c>
      <c r="H194">
        <v>85</v>
      </c>
      <c r="I194">
        <v>10.59</v>
      </c>
      <c r="J194" s="2">
        <f t="shared" si="7"/>
        <v>1152</v>
      </c>
      <c r="K194" s="9">
        <f t="shared" si="8"/>
        <v>12199.68</v>
      </c>
    </row>
    <row r="195" spans="1:11" x14ac:dyDescent="0.35">
      <c r="A195" s="10" t="s">
        <v>911</v>
      </c>
      <c r="B195" s="10">
        <v>1817</v>
      </c>
      <c r="C195" t="s">
        <v>195</v>
      </c>
      <c r="D195" t="s">
        <v>859</v>
      </c>
      <c r="E195" s="2">
        <v>4018</v>
      </c>
      <c r="F195" s="2">
        <v>1216</v>
      </c>
      <c r="G195" s="12">
        <f t="shared" ref="G195:G258" si="9">F195/E195</f>
        <v>0.30263812842210053</v>
      </c>
      <c r="H195">
        <v>85</v>
      </c>
      <c r="I195">
        <v>10.59</v>
      </c>
      <c r="J195" s="2">
        <f t="shared" ref="J195:J258" si="10">E195-F195</f>
        <v>2802</v>
      </c>
      <c r="K195" s="9">
        <f t="shared" ref="K195:K258" si="11">J195*I195</f>
        <v>29673.18</v>
      </c>
    </row>
    <row r="196" spans="1:11" x14ac:dyDescent="0.35">
      <c r="A196" s="10" t="s">
        <v>911</v>
      </c>
      <c r="B196" s="10">
        <v>1819</v>
      </c>
      <c r="C196" t="s">
        <v>196</v>
      </c>
      <c r="D196" t="s">
        <v>512</v>
      </c>
      <c r="E196" s="2">
        <v>5012</v>
      </c>
      <c r="F196" s="2">
        <v>2281</v>
      </c>
      <c r="G196" s="12">
        <f t="shared" si="9"/>
        <v>0.45510774142059057</v>
      </c>
      <c r="H196">
        <v>85</v>
      </c>
      <c r="I196">
        <v>10.59</v>
      </c>
      <c r="J196" s="2">
        <f t="shared" si="10"/>
        <v>2731</v>
      </c>
      <c r="K196" s="9">
        <f t="shared" si="11"/>
        <v>28921.29</v>
      </c>
    </row>
    <row r="197" spans="1:11" x14ac:dyDescent="0.35">
      <c r="A197" s="10" t="s">
        <v>911</v>
      </c>
      <c r="B197" s="10">
        <v>1828</v>
      </c>
      <c r="C197" t="s">
        <v>197</v>
      </c>
      <c r="D197" t="s">
        <v>513</v>
      </c>
      <c r="E197" s="2">
        <v>5414</v>
      </c>
      <c r="F197" s="2">
        <v>1490</v>
      </c>
      <c r="G197" s="12">
        <f t="shared" si="9"/>
        <v>0.27521241226449944</v>
      </c>
      <c r="H197">
        <v>85</v>
      </c>
      <c r="I197">
        <v>10.59</v>
      </c>
      <c r="J197" s="2">
        <f t="shared" si="10"/>
        <v>3924</v>
      </c>
      <c r="K197" s="9">
        <f t="shared" si="11"/>
        <v>41555.159999999996</v>
      </c>
    </row>
    <row r="198" spans="1:11" x14ac:dyDescent="0.35">
      <c r="A198" s="10" t="s">
        <v>911</v>
      </c>
      <c r="B198" s="10">
        <v>1829</v>
      </c>
      <c r="C198" t="s">
        <v>198</v>
      </c>
      <c r="D198" t="s">
        <v>682</v>
      </c>
      <c r="E198" s="2">
        <v>4237</v>
      </c>
      <c r="F198" s="2">
        <v>1459</v>
      </c>
      <c r="G198" s="12">
        <f t="shared" si="9"/>
        <v>0.34434741562426247</v>
      </c>
      <c r="H198">
        <v>85</v>
      </c>
      <c r="I198">
        <v>10.59</v>
      </c>
      <c r="J198" s="2">
        <f t="shared" si="10"/>
        <v>2778</v>
      </c>
      <c r="K198" s="9">
        <f t="shared" si="11"/>
        <v>29419.02</v>
      </c>
    </row>
    <row r="199" spans="1:11" x14ac:dyDescent="0.35">
      <c r="A199" s="10" t="s">
        <v>911</v>
      </c>
      <c r="B199" s="10">
        <v>1834</v>
      </c>
      <c r="C199" t="s">
        <v>199</v>
      </c>
      <c r="D199" t="s">
        <v>514</v>
      </c>
      <c r="E199" s="2">
        <v>2913</v>
      </c>
      <c r="F199" s="2">
        <v>930</v>
      </c>
      <c r="G199" s="12">
        <f t="shared" si="9"/>
        <v>0.31925849639546861</v>
      </c>
      <c r="H199">
        <v>85</v>
      </c>
      <c r="I199">
        <v>10.59</v>
      </c>
      <c r="J199" s="2">
        <f t="shared" si="10"/>
        <v>1983</v>
      </c>
      <c r="K199" s="9">
        <f t="shared" si="11"/>
        <v>20999.97</v>
      </c>
    </row>
    <row r="200" spans="1:11" x14ac:dyDescent="0.35">
      <c r="A200" s="10" t="s">
        <v>911</v>
      </c>
      <c r="B200" s="10">
        <v>1839</v>
      </c>
      <c r="C200" t="s">
        <v>733</v>
      </c>
      <c r="D200" t="s">
        <v>515</v>
      </c>
      <c r="E200" s="2">
        <v>3532</v>
      </c>
      <c r="F200" s="2">
        <v>1427</v>
      </c>
      <c r="G200" s="12">
        <f t="shared" si="9"/>
        <v>0.4040203850509626</v>
      </c>
      <c r="H200">
        <v>85</v>
      </c>
      <c r="I200">
        <v>10.59</v>
      </c>
      <c r="J200" s="2">
        <f t="shared" si="10"/>
        <v>2105</v>
      </c>
      <c r="K200" s="9">
        <f t="shared" si="11"/>
        <v>22291.95</v>
      </c>
    </row>
    <row r="201" spans="1:11" x14ac:dyDescent="0.35">
      <c r="A201" s="10" t="s">
        <v>911</v>
      </c>
      <c r="B201" s="10">
        <v>1845</v>
      </c>
      <c r="C201" t="s">
        <v>200</v>
      </c>
      <c r="D201" t="s">
        <v>516</v>
      </c>
      <c r="E201" s="2">
        <v>7066</v>
      </c>
      <c r="F201" s="2">
        <v>2403</v>
      </c>
      <c r="G201" s="12">
        <f t="shared" si="9"/>
        <v>0.34007925275969431</v>
      </c>
      <c r="H201">
        <v>85</v>
      </c>
      <c r="I201">
        <v>10.59</v>
      </c>
      <c r="J201" s="2">
        <f t="shared" si="10"/>
        <v>4663</v>
      </c>
      <c r="K201" s="9">
        <f t="shared" si="11"/>
        <v>49381.17</v>
      </c>
    </row>
    <row r="202" spans="1:11" x14ac:dyDescent="0.35">
      <c r="A202" s="10" t="s">
        <v>911</v>
      </c>
      <c r="B202" s="10">
        <v>1863</v>
      </c>
      <c r="C202" t="s">
        <v>697</v>
      </c>
      <c r="D202" t="s">
        <v>517</v>
      </c>
      <c r="E202" s="2">
        <v>4884</v>
      </c>
      <c r="F202" s="2">
        <v>1854</v>
      </c>
      <c r="G202" s="12">
        <f t="shared" si="9"/>
        <v>0.37960687960687961</v>
      </c>
      <c r="H202">
        <v>85</v>
      </c>
      <c r="I202">
        <v>10.59</v>
      </c>
      <c r="J202" s="2">
        <f t="shared" si="10"/>
        <v>3030</v>
      </c>
      <c r="K202" s="9">
        <f t="shared" si="11"/>
        <v>32087.7</v>
      </c>
    </row>
    <row r="203" spans="1:11" x14ac:dyDescent="0.35">
      <c r="A203" s="10" t="s">
        <v>911</v>
      </c>
      <c r="B203" s="10">
        <v>1870</v>
      </c>
      <c r="C203" t="s">
        <v>201</v>
      </c>
      <c r="D203" t="s">
        <v>518</v>
      </c>
      <c r="E203" s="2">
        <v>3328</v>
      </c>
      <c r="F203" s="2">
        <v>1202</v>
      </c>
      <c r="G203" s="12">
        <f t="shared" si="9"/>
        <v>0.36117788461538464</v>
      </c>
      <c r="H203">
        <v>85</v>
      </c>
      <c r="I203">
        <v>10.59</v>
      </c>
      <c r="J203" s="2">
        <f t="shared" si="10"/>
        <v>2126</v>
      </c>
      <c r="K203" s="9">
        <f t="shared" si="11"/>
        <v>22514.34</v>
      </c>
    </row>
    <row r="204" spans="1:11" x14ac:dyDescent="0.35">
      <c r="A204" s="10" t="s">
        <v>911</v>
      </c>
      <c r="B204" s="10">
        <v>1879</v>
      </c>
      <c r="C204" t="s">
        <v>202</v>
      </c>
      <c r="D204" t="s">
        <v>519</v>
      </c>
      <c r="E204" s="2">
        <v>3566</v>
      </c>
      <c r="F204" s="2">
        <v>2040</v>
      </c>
      <c r="G204" s="12">
        <f t="shared" si="9"/>
        <v>0.57206954570947843</v>
      </c>
      <c r="H204">
        <v>85</v>
      </c>
      <c r="I204">
        <v>10.59</v>
      </c>
      <c r="J204" s="2">
        <f t="shared" si="10"/>
        <v>1526</v>
      </c>
      <c r="K204" s="9">
        <f t="shared" si="11"/>
        <v>16160.34</v>
      </c>
    </row>
    <row r="205" spans="1:11" x14ac:dyDescent="0.35">
      <c r="A205" s="10" t="s">
        <v>911</v>
      </c>
      <c r="B205" s="10">
        <v>1881</v>
      </c>
      <c r="C205" t="s">
        <v>203</v>
      </c>
      <c r="D205" t="s">
        <v>520</v>
      </c>
      <c r="E205" s="2">
        <v>3167</v>
      </c>
      <c r="F205" s="2">
        <v>1399</v>
      </c>
      <c r="G205" s="12">
        <f t="shared" si="9"/>
        <v>0.44174297442374488</v>
      </c>
      <c r="H205">
        <v>85</v>
      </c>
      <c r="I205">
        <v>10.59</v>
      </c>
      <c r="J205" s="2">
        <f t="shared" si="10"/>
        <v>1768</v>
      </c>
      <c r="K205" s="9">
        <f t="shared" si="11"/>
        <v>18723.12</v>
      </c>
    </row>
    <row r="206" spans="1:11" x14ac:dyDescent="0.35">
      <c r="A206" s="10" t="s">
        <v>911</v>
      </c>
      <c r="B206" s="10">
        <v>1886</v>
      </c>
      <c r="C206" t="s">
        <v>204</v>
      </c>
      <c r="D206" t="s">
        <v>831</v>
      </c>
      <c r="E206" s="2">
        <v>5348</v>
      </c>
      <c r="F206" s="2">
        <v>2558</v>
      </c>
      <c r="G206" s="12">
        <f t="shared" si="9"/>
        <v>0.47830964846671653</v>
      </c>
      <c r="H206">
        <v>85</v>
      </c>
      <c r="I206">
        <v>10.59</v>
      </c>
      <c r="J206" s="2">
        <f t="shared" si="10"/>
        <v>2790</v>
      </c>
      <c r="K206" s="9">
        <f t="shared" si="11"/>
        <v>29546.1</v>
      </c>
    </row>
    <row r="207" spans="1:11" x14ac:dyDescent="0.35">
      <c r="A207" s="10" t="s">
        <v>911</v>
      </c>
      <c r="B207" s="10">
        <v>1896</v>
      </c>
      <c r="C207" t="s">
        <v>715</v>
      </c>
      <c r="D207" t="s">
        <v>729</v>
      </c>
      <c r="E207" s="2">
        <v>6661</v>
      </c>
      <c r="F207" s="2">
        <v>2344</v>
      </c>
      <c r="G207" s="12">
        <f t="shared" si="9"/>
        <v>0.35189911424711007</v>
      </c>
      <c r="H207">
        <v>85</v>
      </c>
      <c r="I207">
        <v>10.59</v>
      </c>
      <c r="J207" s="2">
        <f t="shared" si="10"/>
        <v>4317</v>
      </c>
      <c r="K207" s="9">
        <f t="shared" si="11"/>
        <v>45717.03</v>
      </c>
    </row>
    <row r="208" spans="1:11" x14ac:dyDescent="0.35">
      <c r="A208" s="10" t="s">
        <v>911</v>
      </c>
      <c r="B208" s="10">
        <v>1900</v>
      </c>
      <c r="C208" t="s">
        <v>205</v>
      </c>
      <c r="D208" t="s">
        <v>521</v>
      </c>
      <c r="E208" s="2">
        <v>6870</v>
      </c>
      <c r="F208" s="2">
        <v>2580</v>
      </c>
      <c r="G208" s="12">
        <f t="shared" si="9"/>
        <v>0.37554585152838427</v>
      </c>
      <c r="H208">
        <v>85</v>
      </c>
      <c r="I208">
        <v>10.59</v>
      </c>
      <c r="J208" s="2">
        <f t="shared" si="10"/>
        <v>4290</v>
      </c>
      <c r="K208" s="9">
        <f t="shared" si="11"/>
        <v>45431.1</v>
      </c>
    </row>
    <row r="209" spans="1:11" x14ac:dyDescent="0.35">
      <c r="A209" s="10" t="s">
        <v>911</v>
      </c>
      <c r="B209" s="10">
        <v>1903</v>
      </c>
      <c r="C209" t="s">
        <v>913</v>
      </c>
      <c r="D209" t="s">
        <v>522</v>
      </c>
      <c r="E209" s="2">
        <v>2760</v>
      </c>
      <c r="F209" s="2">
        <v>1214</v>
      </c>
      <c r="G209" s="12">
        <f t="shared" si="9"/>
        <v>0.43985507246376809</v>
      </c>
      <c r="H209">
        <v>85</v>
      </c>
      <c r="I209">
        <v>10.59</v>
      </c>
      <c r="J209" s="2">
        <f t="shared" si="10"/>
        <v>1546</v>
      </c>
      <c r="K209" s="9">
        <f t="shared" si="11"/>
        <v>16372.14</v>
      </c>
    </row>
    <row r="210" spans="1:11" x14ac:dyDescent="0.35">
      <c r="A210" s="10" t="s">
        <v>911</v>
      </c>
      <c r="B210" s="10">
        <v>1905</v>
      </c>
      <c r="C210" t="s">
        <v>706</v>
      </c>
      <c r="D210" t="s">
        <v>727</v>
      </c>
      <c r="E210" s="2">
        <v>4690</v>
      </c>
      <c r="F210" s="2">
        <v>1212</v>
      </c>
      <c r="G210" s="12">
        <f t="shared" si="9"/>
        <v>0.25842217484008528</v>
      </c>
      <c r="H210">
        <v>85</v>
      </c>
      <c r="I210">
        <v>10.59</v>
      </c>
      <c r="J210" s="2">
        <f t="shared" si="10"/>
        <v>3478</v>
      </c>
      <c r="K210" s="9">
        <f t="shared" si="11"/>
        <v>36832.019999999997</v>
      </c>
    </row>
    <row r="211" spans="1:11" x14ac:dyDescent="0.35">
      <c r="A211" s="10" t="s">
        <v>911</v>
      </c>
      <c r="B211" s="10">
        <v>1908</v>
      </c>
      <c r="C211" t="s">
        <v>206</v>
      </c>
      <c r="D211" t="s">
        <v>523</v>
      </c>
      <c r="E211" s="2">
        <v>4155</v>
      </c>
      <c r="F211" s="2">
        <v>1890</v>
      </c>
      <c r="G211" s="12">
        <f t="shared" si="9"/>
        <v>0.45487364620938631</v>
      </c>
      <c r="H211">
        <v>85</v>
      </c>
      <c r="I211">
        <v>10.59</v>
      </c>
      <c r="J211" s="2">
        <f t="shared" si="10"/>
        <v>2265</v>
      </c>
      <c r="K211" s="9">
        <f t="shared" si="11"/>
        <v>23986.35</v>
      </c>
    </row>
    <row r="212" spans="1:11" x14ac:dyDescent="0.35">
      <c r="A212" s="10" t="s">
        <v>911</v>
      </c>
      <c r="B212" s="10">
        <v>1925</v>
      </c>
      <c r="C212" t="s">
        <v>207</v>
      </c>
      <c r="D212" t="s">
        <v>525</v>
      </c>
      <c r="E212" s="2">
        <v>6103</v>
      </c>
      <c r="F212" s="2">
        <v>2355</v>
      </c>
      <c r="G212" s="12">
        <f t="shared" si="9"/>
        <v>0.38587579878748157</v>
      </c>
      <c r="H212">
        <v>85</v>
      </c>
      <c r="I212">
        <v>10.59</v>
      </c>
      <c r="J212" s="2">
        <f t="shared" si="10"/>
        <v>3748</v>
      </c>
      <c r="K212" s="9">
        <f t="shared" si="11"/>
        <v>39691.32</v>
      </c>
    </row>
    <row r="213" spans="1:11" x14ac:dyDescent="0.35">
      <c r="A213" s="10" t="s">
        <v>911</v>
      </c>
      <c r="B213" s="10">
        <v>1927</v>
      </c>
      <c r="C213" t="s">
        <v>208</v>
      </c>
      <c r="D213" t="s">
        <v>526</v>
      </c>
      <c r="E213" s="2">
        <v>4028</v>
      </c>
      <c r="F213" s="2">
        <v>1823</v>
      </c>
      <c r="G213" s="12">
        <f t="shared" si="9"/>
        <v>0.45258192651439921</v>
      </c>
      <c r="H213">
        <v>85</v>
      </c>
      <c r="I213">
        <v>10.59</v>
      </c>
      <c r="J213" s="2">
        <f t="shared" si="10"/>
        <v>2205</v>
      </c>
      <c r="K213" s="9">
        <f t="shared" si="11"/>
        <v>23350.95</v>
      </c>
    </row>
    <row r="214" spans="1:11" x14ac:dyDescent="0.35">
      <c r="A214" s="10" t="s">
        <v>911</v>
      </c>
      <c r="B214" s="10">
        <v>1930</v>
      </c>
      <c r="C214" t="s">
        <v>209</v>
      </c>
      <c r="D214" t="s">
        <v>527</v>
      </c>
      <c r="E214" s="2">
        <v>6709</v>
      </c>
      <c r="F214" s="2">
        <v>2079</v>
      </c>
      <c r="G214" s="12">
        <f t="shared" si="9"/>
        <v>0.30988224772693396</v>
      </c>
      <c r="H214">
        <v>85</v>
      </c>
      <c r="I214">
        <v>10.59</v>
      </c>
      <c r="J214" s="2">
        <f t="shared" si="10"/>
        <v>4630</v>
      </c>
      <c r="K214" s="9">
        <f t="shared" si="11"/>
        <v>49031.7</v>
      </c>
    </row>
    <row r="215" spans="1:11" x14ac:dyDescent="0.35">
      <c r="A215" s="10" t="s">
        <v>911</v>
      </c>
      <c r="B215" s="10">
        <v>1931</v>
      </c>
      <c r="C215" t="s">
        <v>210</v>
      </c>
      <c r="D215" t="s">
        <v>528</v>
      </c>
      <c r="E215" s="2">
        <v>3588</v>
      </c>
      <c r="F215" s="2">
        <v>1386</v>
      </c>
      <c r="G215" s="12">
        <f t="shared" si="9"/>
        <v>0.38628762541806022</v>
      </c>
      <c r="H215">
        <v>85</v>
      </c>
      <c r="I215">
        <v>10.59</v>
      </c>
      <c r="J215" s="2">
        <f t="shared" si="10"/>
        <v>2202</v>
      </c>
      <c r="K215" s="9">
        <f t="shared" si="11"/>
        <v>23319.18</v>
      </c>
    </row>
    <row r="216" spans="1:11" x14ac:dyDescent="0.35">
      <c r="A216" s="10" t="s">
        <v>911</v>
      </c>
      <c r="B216" s="10">
        <v>1934</v>
      </c>
      <c r="C216" t="s">
        <v>211</v>
      </c>
      <c r="D216" t="s">
        <v>529</v>
      </c>
      <c r="E216" s="2">
        <v>4548</v>
      </c>
      <c r="F216" s="2">
        <v>2232</v>
      </c>
      <c r="G216" s="12">
        <f t="shared" si="9"/>
        <v>0.49076517150395776</v>
      </c>
      <c r="H216">
        <v>85</v>
      </c>
      <c r="I216">
        <v>10.59</v>
      </c>
      <c r="J216" s="2">
        <f t="shared" si="10"/>
        <v>2316</v>
      </c>
      <c r="K216" s="9">
        <f t="shared" si="11"/>
        <v>24526.44</v>
      </c>
    </row>
    <row r="217" spans="1:11" x14ac:dyDescent="0.35">
      <c r="A217" s="10" t="s">
        <v>911</v>
      </c>
      <c r="B217" s="10">
        <v>1935</v>
      </c>
      <c r="C217" t="s">
        <v>738</v>
      </c>
      <c r="D217" t="s">
        <v>847</v>
      </c>
      <c r="E217" s="2">
        <v>8868</v>
      </c>
      <c r="F217" s="2">
        <v>3320</v>
      </c>
      <c r="G217" s="12">
        <f t="shared" si="9"/>
        <v>0.37437979251240416</v>
      </c>
      <c r="H217">
        <v>85</v>
      </c>
      <c r="I217">
        <v>10.59</v>
      </c>
      <c r="J217" s="2">
        <f t="shared" si="10"/>
        <v>5548</v>
      </c>
      <c r="K217" s="9">
        <f t="shared" si="11"/>
        <v>58753.32</v>
      </c>
    </row>
    <row r="218" spans="1:11" x14ac:dyDescent="0.35">
      <c r="A218" s="10" t="s">
        <v>911</v>
      </c>
      <c r="B218" s="10">
        <v>1937</v>
      </c>
      <c r="C218" t="s">
        <v>212</v>
      </c>
      <c r="D218" t="s">
        <v>530</v>
      </c>
      <c r="E218" s="2">
        <v>3402</v>
      </c>
      <c r="F218" s="2">
        <v>1594</v>
      </c>
      <c r="G218" s="12">
        <f t="shared" si="9"/>
        <v>0.46854791299235743</v>
      </c>
      <c r="H218">
        <v>85</v>
      </c>
      <c r="I218">
        <v>10.59</v>
      </c>
      <c r="J218" s="2">
        <f t="shared" si="10"/>
        <v>1808</v>
      </c>
      <c r="K218" s="9">
        <f t="shared" si="11"/>
        <v>19146.72</v>
      </c>
    </row>
    <row r="219" spans="1:11" x14ac:dyDescent="0.35">
      <c r="A219" s="10" t="s">
        <v>911</v>
      </c>
      <c r="B219" s="10">
        <v>1948</v>
      </c>
      <c r="C219" t="s">
        <v>213</v>
      </c>
      <c r="D219" t="s">
        <v>531</v>
      </c>
      <c r="E219" s="2">
        <v>4279</v>
      </c>
      <c r="F219" s="2">
        <v>1721</v>
      </c>
      <c r="G219" s="12">
        <f t="shared" si="9"/>
        <v>0.40219677494741762</v>
      </c>
      <c r="H219">
        <v>85</v>
      </c>
      <c r="I219">
        <v>10.59</v>
      </c>
      <c r="J219" s="2">
        <f t="shared" si="10"/>
        <v>2558</v>
      </c>
      <c r="K219" s="9">
        <f t="shared" si="11"/>
        <v>27089.22</v>
      </c>
    </row>
    <row r="220" spans="1:11" x14ac:dyDescent="0.35">
      <c r="A220" s="10" t="s">
        <v>911</v>
      </c>
      <c r="B220" s="10">
        <v>1951</v>
      </c>
      <c r="C220" t="s">
        <v>214</v>
      </c>
      <c r="D220" t="s">
        <v>532</v>
      </c>
      <c r="E220" s="2">
        <v>3251</v>
      </c>
      <c r="F220" s="2">
        <v>1284</v>
      </c>
      <c r="G220" s="12">
        <f t="shared" si="9"/>
        <v>0.39495539833897264</v>
      </c>
      <c r="H220">
        <v>85</v>
      </c>
      <c r="I220">
        <v>10.59</v>
      </c>
      <c r="J220" s="2">
        <f t="shared" si="10"/>
        <v>1967</v>
      </c>
      <c r="K220" s="9">
        <f t="shared" si="11"/>
        <v>20830.53</v>
      </c>
    </row>
    <row r="221" spans="1:11" x14ac:dyDescent="0.35">
      <c r="A221" s="10" t="s">
        <v>911</v>
      </c>
      <c r="B221" s="10">
        <v>1982</v>
      </c>
      <c r="C221" t="s">
        <v>215</v>
      </c>
      <c r="D221" t="s">
        <v>794</v>
      </c>
      <c r="E221" s="2">
        <v>5087</v>
      </c>
      <c r="F221" s="2">
        <v>1423</v>
      </c>
      <c r="G221" s="12">
        <f t="shared" si="9"/>
        <v>0.27973265185767643</v>
      </c>
      <c r="H221">
        <v>85</v>
      </c>
      <c r="I221">
        <v>10.59</v>
      </c>
      <c r="J221" s="2">
        <f t="shared" si="10"/>
        <v>3664</v>
      </c>
      <c r="K221" s="9">
        <f t="shared" si="11"/>
        <v>38801.760000000002</v>
      </c>
    </row>
    <row r="222" spans="1:11" x14ac:dyDescent="0.35">
      <c r="A222" s="10" t="s">
        <v>911</v>
      </c>
      <c r="B222" s="10">
        <v>1989</v>
      </c>
      <c r="C222" t="s">
        <v>216</v>
      </c>
      <c r="D222" t="s">
        <v>821</v>
      </c>
      <c r="E222" s="2">
        <v>5213</v>
      </c>
      <c r="F222" s="2">
        <v>2329</v>
      </c>
      <c r="G222" s="12">
        <f t="shared" si="9"/>
        <v>0.44676769614425477</v>
      </c>
      <c r="H222">
        <v>85</v>
      </c>
      <c r="I222">
        <v>10.59</v>
      </c>
      <c r="J222" s="2">
        <f t="shared" si="10"/>
        <v>2884</v>
      </c>
      <c r="K222" s="9">
        <f t="shared" si="11"/>
        <v>30541.56</v>
      </c>
    </row>
    <row r="223" spans="1:11" x14ac:dyDescent="0.35">
      <c r="A223" s="10" t="s">
        <v>911</v>
      </c>
      <c r="B223" s="10">
        <v>2000</v>
      </c>
      <c r="C223" t="s">
        <v>217</v>
      </c>
      <c r="D223" t="s">
        <v>533</v>
      </c>
      <c r="E223" s="2">
        <v>3625</v>
      </c>
      <c r="F223" s="2">
        <v>1632</v>
      </c>
      <c r="G223" s="12">
        <f t="shared" si="9"/>
        <v>0.45020689655172413</v>
      </c>
      <c r="H223">
        <v>85</v>
      </c>
      <c r="I223">
        <v>10.59</v>
      </c>
      <c r="J223" s="2">
        <f t="shared" si="10"/>
        <v>1993</v>
      </c>
      <c r="K223" s="9">
        <f t="shared" si="11"/>
        <v>21105.87</v>
      </c>
    </row>
    <row r="224" spans="1:11" x14ac:dyDescent="0.35">
      <c r="A224" s="10" t="s">
        <v>911</v>
      </c>
      <c r="B224" s="10">
        <v>2004</v>
      </c>
      <c r="C224" t="s">
        <v>218</v>
      </c>
      <c r="D224" t="s">
        <v>534</v>
      </c>
      <c r="E224" s="2">
        <v>3017</v>
      </c>
      <c r="F224" s="2">
        <v>1231</v>
      </c>
      <c r="G224" s="12">
        <f t="shared" si="9"/>
        <v>0.40802121312562145</v>
      </c>
      <c r="H224">
        <v>85</v>
      </c>
      <c r="I224">
        <v>10.59</v>
      </c>
      <c r="J224" s="2">
        <f t="shared" si="10"/>
        <v>1786</v>
      </c>
      <c r="K224" s="9">
        <f t="shared" si="11"/>
        <v>18913.739999999998</v>
      </c>
    </row>
    <row r="225" spans="1:11" x14ac:dyDescent="0.35">
      <c r="A225" s="10" t="s">
        <v>911</v>
      </c>
      <c r="B225" s="10">
        <v>2007</v>
      </c>
      <c r="C225" t="s">
        <v>219</v>
      </c>
      <c r="D225" t="s">
        <v>683</v>
      </c>
      <c r="E225" s="2">
        <v>4112</v>
      </c>
      <c r="F225" s="2">
        <v>1227</v>
      </c>
      <c r="G225" s="12">
        <f t="shared" si="9"/>
        <v>0.29839494163424124</v>
      </c>
      <c r="H225">
        <v>85</v>
      </c>
      <c r="I225">
        <v>10.59</v>
      </c>
      <c r="J225" s="2">
        <f t="shared" si="10"/>
        <v>2885</v>
      </c>
      <c r="K225" s="9">
        <f t="shared" si="11"/>
        <v>30552.149999999998</v>
      </c>
    </row>
    <row r="226" spans="1:11" x14ac:dyDescent="0.35">
      <c r="A226" s="10" t="s">
        <v>911</v>
      </c>
      <c r="B226" s="10">
        <v>2010</v>
      </c>
      <c r="C226" t="s">
        <v>220</v>
      </c>
      <c r="D226" t="s">
        <v>535</v>
      </c>
      <c r="E226" s="2">
        <v>4301</v>
      </c>
      <c r="F226" s="2">
        <v>1838</v>
      </c>
      <c r="G226" s="12">
        <f t="shared" si="9"/>
        <v>0.42734247849337365</v>
      </c>
      <c r="H226">
        <v>85</v>
      </c>
      <c r="I226">
        <v>10.59</v>
      </c>
      <c r="J226" s="2">
        <f t="shared" si="10"/>
        <v>2463</v>
      </c>
      <c r="K226" s="9">
        <f t="shared" si="11"/>
        <v>26083.17</v>
      </c>
    </row>
    <row r="227" spans="1:11" x14ac:dyDescent="0.35">
      <c r="A227" s="10" t="s">
        <v>911</v>
      </c>
      <c r="B227" s="10">
        <v>2011</v>
      </c>
      <c r="C227" t="s">
        <v>713</v>
      </c>
      <c r="D227" t="s">
        <v>861</v>
      </c>
      <c r="E227" s="2">
        <v>5493</v>
      </c>
      <c r="F227" s="2">
        <v>2036</v>
      </c>
      <c r="G227" s="12">
        <f t="shared" si="9"/>
        <v>0.3706535590751866</v>
      </c>
      <c r="H227">
        <v>85</v>
      </c>
      <c r="I227">
        <v>10.59</v>
      </c>
      <c r="J227" s="2">
        <f t="shared" si="10"/>
        <v>3457</v>
      </c>
      <c r="K227" s="9">
        <f t="shared" si="11"/>
        <v>36609.629999999997</v>
      </c>
    </row>
    <row r="228" spans="1:11" x14ac:dyDescent="0.35">
      <c r="A228" s="10" t="s">
        <v>911</v>
      </c>
      <c r="B228" s="10">
        <v>2015</v>
      </c>
      <c r="C228" t="s">
        <v>707</v>
      </c>
      <c r="D228" t="s">
        <v>728</v>
      </c>
      <c r="E228" s="2">
        <v>8178</v>
      </c>
      <c r="F228" s="2">
        <v>2191</v>
      </c>
      <c r="G228" s="12">
        <f t="shared" si="9"/>
        <v>0.26791391538273418</v>
      </c>
      <c r="H228">
        <v>85</v>
      </c>
      <c r="I228">
        <v>10.59</v>
      </c>
      <c r="J228" s="2">
        <f t="shared" si="10"/>
        <v>5987</v>
      </c>
      <c r="K228" s="9">
        <f t="shared" si="11"/>
        <v>63402.33</v>
      </c>
    </row>
    <row r="229" spans="1:11" x14ac:dyDescent="0.35">
      <c r="A229" s="10" t="s">
        <v>911</v>
      </c>
      <c r="B229" s="10">
        <v>2017</v>
      </c>
      <c r="C229" t="s">
        <v>221</v>
      </c>
      <c r="D229" t="s">
        <v>536</v>
      </c>
      <c r="E229" s="2">
        <v>8044</v>
      </c>
      <c r="F229" s="2">
        <v>4901</v>
      </c>
      <c r="G229" s="12">
        <f t="shared" si="9"/>
        <v>0.60927399303828944</v>
      </c>
      <c r="H229">
        <v>85</v>
      </c>
      <c r="I229">
        <v>10.59</v>
      </c>
      <c r="J229" s="2">
        <f t="shared" si="10"/>
        <v>3143</v>
      </c>
      <c r="K229" s="9">
        <f t="shared" si="11"/>
        <v>33284.370000000003</v>
      </c>
    </row>
    <row r="230" spans="1:11" x14ac:dyDescent="0.35">
      <c r="A230" s="10" t="s">
        <v>911</v>
      </c>
      <c r="B230" s="10">
        <v>2019</v>
      </c>
      <c r="C230" t="s">
        <v>222</v>
      </c>
      <c r="D230" t="s">
        <v>537</v>
      </c>
      <c r="E230" s="2">
        <v>3462</v>
      </c>
      <c r="F230" s="2">
        <v>1044</v>
      </c>
      <c r="G230" s="12">
        <f t="shared" si="9"/>
        <v>0.30155979202772965</v>
      </c>
      <c r="H230">
        <v>85</v>
      </c>
      <c r="I230">
        <v>10.59</v>
      </c>
      <c r="J230" s="2">
        <f t="shared" si="10"/>
        <v>2418</v>
      </c>
      <c r="K230" s="9">
        <f t="shared" si="11"/>
        <v>25606.62</v>
      </c>
    </row>
    <row r="231" spans="1:11" x14ac:dyDescent="0.35">
      <c r="A231" s="10" t="s">
        <v>911</v>
      </c>
      <c r="B231" s="10">
        <v>2026</v>
      </c>
      <c r="C231" t="s">
        <v>223</v>
      </c>
      <c r="D231" t="s">
        <v>538</v>
      </c>
      <c r="E231" s="2">
        <v>5629</v>
      </c>
      <c r="F231" s="2">
        <v>1961</v>
      </c>
      <c r="G231" s="12">
        <f t="shared" si="9"/>
        <v>0.34837448925208742</v>
      </c>
      <c r="H231">
        <v>85</v>
      </c>
      <c r="I231">
        <v>10.59</v>
      </c>
      <c r="J231" s="2">
        <f t="shared" si="10"/>
        <v>3668</v>
      </c>
      <c r="K231" s="9">
        <f t="shared" si="11"/>
        <v>38844.120000000003</v>
      </c>
    </row>
    <row r="232" spans="1:11" x14ac:dyDescent="0.35">
      <c r="A232" s="10" t="s">
        <v>911</v>
      </c>
      <c r="B232" s="10">
        <v>2030</v>
      </c>
      <c r="C232" t="s">
        <v>719</v>
      </c>
      <c r="D232" t="s">
        <v>539</v>
      </c>
      <c r="E232" s="2">
        <v>5238</v>
      </c>
      <c r="F232" s="2">
        <v>2192</v>
      </c>
      <c r="G232" s="12">
        <f t="shared" si="9"/>
        <v>0.41848033600610918</v>
      </c>
      <c r="H232">
        <v>85</v>
      </c>
      <c r="I232">
        <v>10.59</v>
      </c>
      <c r="J232" s="2">
        <f t="shared" si="10"/>
        <v>3046</v>
      </c>
      <c r="K232" s="9">
        <f t="shared" si="11"/>
        <v>32257.14</v>
      </c>
    </row>
    <row r="233" spans="1:11" x14ac:dyDescent="0.35">
      <c r="A233" s="10" t="s">
        <v>911</v>
      </c>
      <c r="B233" s="10">
        <v>2033</v>
      </c>
      <c r="C233" t="s">
        <v>224</v>
      </c>
      <c r="D233" t="s">
        <v>684</v>
      </c>
      <c r="E233" s="2">
        <v>8711</v>
      </c>
      <c r="F233" s="2">
        <v>3680</v>
      </c>
      <c r="G233" s="12">
        <f t="shared" si="9"/>
        <v>0.4224543680404087</v>
      </c>
      <c r="H233">
        <v>85</v>
      </c>
      <c r="I233">
        <v>10.59</v>
      </c>
      <c r="J233" s="2">
        <f t="shared" si="10"/>
        <v>5031</v>
      </c>
      <c r="K233" s="9">
        <f t="shared" si="11"/>
        <v>53278.29</v>
      </c>
    </row>
    <row r="234" spans="1:11" x14ac:dyDescent="0.35">
      <c r="A234" s="10" t="s">
        <v>911</v>
      </c>
      <c r="B234" s="10">
        <v>2036</v>
      </c>
      <c r="C234" t="s">
        <v>225</v>
      </c>
      <c r="D234" t="s">
        <v>540</v>
      </c>
      <c r="E234" s="2">
        <v>2075</v>
      </c>
      <c r="F234" s="2">
        <v>987</v>
      </c>
      <c r="G234" s="12">
        <f t="shared" si="9"/>
        <v>0.47566265060240964</v>
      </c>
      <c r="H234">
        <v>85</v>
      </c>
      <c r="I234">
        <v>10.59</v>
      </c>
      <c r="J234" s="2">
        <f t="shared" si="10"/>
        <v>1088</v>
      </c>
      <c r="K234" s="9">
        <f t="shared" si="11"/>
        <v>11521.92</v>
      </c>
    </row>
    <row r="235" spans="1:11" x14ac:dyDescent="0.35">
      <c r="A235" s="10" t="s">
        <v>911</v>
      </c>
      <c r="B235" s="10">
        <v>2039</v>
      </c>
      <c r="C235" t="s">
        <v>226</v>
      </c>
      <c r="D235" t="s">
        <v>826</v>
      </c>
      <c r="E235" s="2">
        <v>2769</v>
      </c>
      <c r="F235" s="2">
        <v>1204</v>
      </c>
      <c r="G235" s="12">
        <f t="shared" si="9"/>
        <v>0.43481401227880101</v>
      </c>
      <c r="H235">
        <v>85</v>
      </c>
      <c r="I235">
        <v>10.59</v>
      </c>
      <c r="J235" s="2">
        <f t="shared" si="10"/>
        <v>1565</v>
      </c>
      <c r="K235" s="9">
        <f t="shared" si="11"/>
        <v>16573.349999999999</v>
      </c>
    </row>
    <row r="236" spans="1:11" x14ac:dyDescent="0.35">
      <c r="A236" s="10" t="s">
        <v>911</v>
      </c>
      <c r="B236" s="10">
        <v>2045</v>
      </c>
      <c r="C236" t="s">
        <v>227</v>
      </c>
      <c r="D236" t="s">
        <v>836</v>
      </c>
      <c r="E236" s="2">
        <v>5903</v>
      </c>
      <c r="F236" s="2">
        <v>2427</v>
      </c>
      <c r="G236" s="12">
        <f t="shared" si="9"/>
        <v>0.41114687447060816</v>
      </c>
      <c r="H236">
        <v>85</v>
      </c>
      <c r="I236">
        <v>10.59</v>
      </c>
      <c r="J236" s="2">
        <f t="shared" si="10"/>
        <v>3476</v>
      </c>
      <c r="K236" s="9">
        <f t="shared" si="11"/>
        <v>36810.839999999997</v>
      </c>
    </row>
    <row r="237" spans="1:11" x14ac:dyDescent="0.35">
      <c r="A237" s="10" t="s">
        <v>911</v>
      </c>
      <c r="B237" s="10">
        <v>2047</v>
      </c>
      <c r="C237" t="s">
        <v>228</v>
      </c>
      <c r="D237" t="s">
        <v>541</v>
      </c>
      <c r="E237" s="2">
        <v>6229</v>
      </c>
      <c r="F237" s="2">
        <v>1688</v>
      </c>
      <c r="G237" s="12">
        <f t="shared" si="9"/>
        <v>0.2709905281746669</v>
      </c>
      <c r="H237">
        <v>85</v>
      </c>
      <c r="I237">
        <v>10.59</v>
      </c>
      <c r="J237" s="2">
        <f t="shared" si="10"/>
        <v>4541</v>
      </c>
      <c r="K237" s="9">
        <f t="shared" si="11"/>
        <v>48089.19</v>
      </c>
    </row>
    <row r="238" spans="1:11" x14ac:dyDescent="0.35">
      <c r="A238" s="10" t="s">
        <v>911</v>
      </c>
      <c r="B238" s="10">
        <v>2054</v>
      </c>
      <c r="C238" t="s">
        <v>229</v>
      </c>
      <c r="D238" t="s">
        <v>835</v>
      </c>
      <c r="E238" s="2">
        <v>2797</v>
      </c>
      <c r="F238" s="2">
        <v>1431</v>
      </c>
      <c r="G238" s="12">
        <f t="shared" si="9"/>
        <v>0.51161959242045052</v>
      </c>
      <c r="H238">
        <v>85</v>
      </c>
      <c r="I238">
        <v>10.59</v>
      </c>
      <c r="J238" s="2">
        <f t="shared" si="10"/>
        <v>1366</v>
      </c>
      <c r="K238" s="9">
        <f t="shared" si="11"/>
        <v>14465.94</v>
      </c>
    </row>
    <row r="239" spans="1:11" x14ac:dyDescent="0.35">
      <c r="A239" s="10" t="s">
        <v>911</v>
      </c>
      <c r="B239" s="10">
        <v>2057</v>
      </c>
      <c r="C239" t="s">
        <v>230</v>
      </c>
      <c r="D239" t="s">
        <v>856</v>
      </c>
      <c r="E239" s="2">
        <v>4910</v>
      </c>
      <c r="F239" s="2">
        <v>1802</v>
      </c>
      <c r="G239" s="12">
        <f t="shared" si="9"/>
        <v>0.3670061099796334</v>
      </c>
      <c r="H239">
        <v>85</v>
      </c>
      <c r="I239">
        <v>10.59</v>
      </c>
      <c r="J239" s="2">
        <f t="shared" si="10"/>
        <v>3108</v>
      </c>
      <c r="K239" s="9">
        <f t="shared" si="11"/>
        <v>32913.72</v>
      </c>
    </row>
    <row r="240" spans="1:11" x14ac:dyDescent="0.35">
      <c r="A240" s="10" t="s">
        <v>911</v>
      </c>
      <c r="B240" s="10">
        <v>2058</v>
      </c>
      <c r="C240" t="s">
        <v>231</v>
      </c>
      <c r="D240" t="s">
        <v>542</v>
      </c>
      <c r="E240" s="2">
        <v>2417</v>
      </c>
      <c r="F240" s="2">
        <v>1296</v>
      </c>
      <c r="G240" s="12">
        <f t="shared" si="9"/>
        <v>0.53620190318576744</v>
      </c>
      <c r="H240">
        <v>85</v>
      </c>
      <c r="I240">
        <v>10.59</v>
      </c>
      <c r="J240" s="2">
        <f t="shared" si="10"/>
        <v>1121</v>
      </c>
      <c r="K240" s="9">
        <f t="shared" si="11"/>
        <v>11871.39</v>
      </c>
    </row>
    <row r="241" spans="1:11" x14ac:dyDescent="0.35">
      <c r="A241" s="10" t="s">
        <v>911</v>
      </c>
      <c r="B241" s="10">
        <v>2059</v>
      </c>
      <c r="C241" t="s">
        <v>232</v>
      </c>
      <c r="D241" t="s">
        <v>543</v>
      </c>
      <c r="E241" s="2">
        <v>4477</v>
      </c>
      <c r="F241" s="2">
        <v>1712</v>
      </c>
      <c r="G241" s="12">
        <f t="shared" si="9"/>
        <v>0.38239892785347329</v>
      </c>
      <c r="H241">
        <v>85</v>
      </c>
      <c r="I241">
        <v>10.59</v>
      </c>
      <c r="J241" s="2">
        <f t="shared" si="10"/>
        <v>2765</v>
      </c>
      <c r="K241" s="9">
        <f t="shared" si="11"/>
        <v>29281.35</v>
      </c>
    </row>
    <row r="242" spans="1:11" x14ac:dyDescent="0.35">
      <c r="A242" s="10" t="s">
        <v>911</v>
      </c>
      <c r="B242" s="10">
        <v>2062</v>
      </c>
      <c r="C242" t="s">
        <v>233</v>
      </c>
      <c r="D242" t="s">
        <v>544</v>
      </c>
      <c r="E242" s="2">
        <v>10021</v>
      </c>
      <c r="F242" s="2">
        <v>2612</v>
      </c>
      <c r="G242" s="12">
        <f t="shared" si="9"/>
        <v>0.26065262947809598</v>
      </c>
      <c r="H242">
        <v>85</v>
      </c>
      <c r="I242">
        <v>10.59</v>
      </c>
      <c r="J242" s="2">
        <f t="shared" si="10"/>
        <v>7409</v>
      </c>
      <c r="K242" s="9">
        <f t="shared" si="11"/>
        <v>78461.31</v>
      </c>
    </row>
    <row r="243" spans="1:11" x14ac:dyDescent="0.35">
      <c r="A243" s="10" t="s">
        <v>911</v>
      </c>
      <c r="B243" s="10">
        <v>2064</v>
      </c>
      <c r="C243" t="s">
        <v>234</v>
      </c>
      <c r="D243" t="s">
        <v>545</v>
      </c>
      <c r="E243" s="2">
        <v>3974</v>
      </c>
      <c r="F243" s="2">
        <v>1726</v>
      </c>
      <c r="G243" s="12">
        <f t="shared" si="9"/>
        <v>0.43432310015098136</v>
      </c>
      <c r="H243">
        <v>85</v>
      </c>
      <c r="I243">
        <v>10.59</v>
      </c>
      <c r="J243" s="2">
        <f t="shared" si="10"/>
        <v>2248</v>
      </c>
      <c r="K243" s="9">
        <f t="shared" si="11"/>
        <v>23806.32</v>
      </c>
    </row>
    <row r="244" spans="1:11" x14ac:dyDescent="0.35">
      <c r="A244" s="10" t="s">
        <v>911</v>
      </c>
      <c r="B244" s="10">
        <v>2069</v>
      </c>
      <c r="C244" t="s">
        <v>235</v>
      </c>
      <c r="D244" t="s">
        <v>546</v>
      </c>
      <c r="E244" s="2">
        <v>6077</v>
      </c>
      <c r="F244" s="2">
        <v>2827</v>
      </c>
      <c r="G244" s="12">
        <f t="shared" si="9"/>
        <v>0.46519664308046732</v>
      </c>
      <c r="H244">
        <v>85</v>
      </c>
      <c r="I244">
        <v>10.59</v>
      </c>
      <c r="J244" s="2">
        <f t="shared" si="10"/>
        <v>3250</v>
      </c>
      <c r="K244" s="9">
        <f t="shared" si="11"/>
        <v>34417.5</v>
      </c>
    </row>
    <row r="245" spans="1:11" x14ac:dyDescent="0.35">
      <c r="A245" s="10" t="s">
        <v>911</v>
      </c>
      <c r="B245" s="10">
        <v>2072</v>
      </c>
      <c r="C245" t="s">
        <v>236</v>
      </c>
      <c r="D245" t="s">
        <v>547</v>
      </c>
      <c r="E245" s="2">
        <v>4792</v>
      </c>
      <c r="F245" s="2">
        <v>2497</v>
      </c>
      <c r="G245" s="12">
        <f t="shared" si="9"/>
        <v>0.52107679465776291</v>
      </c>
      <c r="H245">
        <v>85</v>
      </c>
      <c r="I245">
        <v>10.59</v>
      </c>
      <c r="J245" s="2">
        <f t="shared" si="10"/>
        <v>2295</v>
      </c>
      <c r="K245" s="9">
        <f t="shared" si="11"/>
        <v>24304.05</v>
      </c>
    </row>
    <row r="246" spans="1:11" x14ac:dyDescent="0.35">
      <c r="A246" s="10" t="s">
        <v>911</v>
      </c>
      <c r="B246" s="10">
        <v>2073</v>
      </c>
      <c r="C246" t="s">
        <v>237</v>
      </c>
      <c r="D246" t="s">
        <v>548</v>
      </c>
      <c r="E246" s="2">
        <v>4418</v>
      </c>
      <c r="F246" s="2">
        <v>1299</v>
      </c>
      <c r="G246" s="12">
        <f t="shared" si="9"/>
        <v>0.29402444545043005</v>
      </c>
      <c r="H246">
        <v>85</v>
      </c>
      <c r="I246">
        <v>10.59</v>
      </c>
      <c r="J246" s="2">
        <f t="shared" si="10"/>
        <v>3119</v>
      </c>
      <c r="K246" s="9">
        <f t="shared" si="11"/>
        <v>33030.21</v>
      </c>
    </row>
    <row r="247" spans="1:11" x14ac:dyDescent="0.35">
      <c r="A247" s="10" t="s">
        <v>911</v>
      </c>
      <c r="B247" s="10">
        <v>2079</v>
      </c>
      <c r="C247" t="s">
        <v>894</v>
      </c>
      <c r="D247" t="s">
        <v>549</v>
      </c>
      <c r="E247" s="2">
        <v>4454</v>
      </c>
      <c r="F247" s="2">
        <v>2434</v>
      </c>
      <c r="G247" s="12">
        <f t="shared" si="9"/>
        <v>0.54647507858105071</v>
      </c>
      <c r="H247">
        <v>85</v>
      </c>
      <c r="I247">
        <v>10.59</v>
      </c>
      <c r="J247" s="2">
        <f t="shared" si="10"/>
        <v>2020</v>
      </c>
      <c r="K247" s="9">
        <f t="shared" si="11"/>
        <v>21391.8</v>
      </c>
    </row>
    <row r="248" spans="1:11" x14ac:dyDescent="0.35">
      <c r="A248" s="10" t="s">
        <v>911</v>
      </c>
      <c r="B248" s="10">
        <v>2082</v>
      </c>
      <c r="C248" t="s">
        <v>238</v>
      </c>
      <c r="D248" t="s">
        <v>550</v>
      </c>
      <c r="E248" s="2">
        <v>7702</v>
      </c>
      <c r="F248" s="2">
        <v>2375</v>
      </c>
      <c r="G248" s="12">
        <f t="shared" si="9"/>
        <v>0.30836146455466112</v>
      </c>
      <c r="H248">
        <v>85</v>
      </c>
      <c r="I248">
        <v>10.59</v>
      </c>
      <c r="J248" s="2">
        <f t="shared" si="10"/>
        <v>5327</v>
      </c>
      <c r="K248" s="9">
        <f t="shared" si="11"/>
        <v>56412.93</v>
      </c>
    </row>
    <row r="249" spans="1:11" x14ac:dyDescent="0.35">
      <c r="A249" s="10" t="s">
        <v>911</v>
      </c>
      <c r="B249" s="10">
        <v>2084</v>
      </c>
      <c r="C249" t="s">
        <v>239</v>
      </c>
      <c r="D249" t="s">
        <v>551</v>
      </c>
      <c r="E249" s="2">
        <v>4843</v>
      </c>
      <c r="F249" s="2">
        <v>3136</v>
      </c>
      <c r="G249" s="12">
        <f t="shared" si="9"/>
        <v>0.64753252116456739</v>
      </c>
      <c r="H249">
        <v>85</v>
      </c>
      <c r="I249">
        <v>10.59</v>
      </c>
      <c r="J249" s="2">
        <f t="shared" si="10"/>
        <v>1707</v>
      </c>
      <c r="K249" s="9">
        <f t="shared" si="11"/>
        <v>18077.13</v>
      </c>
    </row>
    <row r="250" spans="1:11" x14ac:dyDescent="0.35">
      <c r="A250" s="10" t="s">
        <v>911</v>
      </c>
      <c r="B250" s="10">
        <v>2086</v>
      </c>
      <c r="C250" t="s">
        <v>240</v>
      </c>
      <c r="D250" t="s">
        <v>552</v>
      </c>
      <c r="E250" s="2">
        <v>5283</v>
      </c>
      <c r="F250" s="2">
        <v>2377</v>
      </c>
      <c r="G250" s="12">
        <f t="shared" si="9"/>
        <v>0.44993374976339201</v>
      </c>
      <c r="H250">
        <v>85</v>
      </c>
      <c r="I250">
        <v>10.59</v>
      </c>
      <c r="J250" s="2">
        <f t="shared" si="10"/>
        <v>2906</v>
      </c>
      <c r="K250" s="9">
        <f t="shared" si="11"/>
        <v>30774.54</v>
      </c>
    </row>
    <row r="251" spans="1:11" x14ac:dyDescent="0.35">
      <c r="A251" s="10" t="s">
        <v>911</v>
      </c>
      <c r="B251" s="10">
        <v>2109</v>
      </c>
      <c r="C251" t="s">
        <v>241</v>
      </c>
      <c r="D251" t="s">
        <v>553</v>
      </c>
      <c r="E251" s="2">
        <v>10606</v>
      </c>
      <c r="F251" s="2">
        <v>2001</v>
      </c>
      <c r="G251" s="12">
        <f t="shared" si="9"/>
        <v>0.18866679238167075</v>
      </c>
      <c r="H251">
        <v>85</v>
      </c>
      <c r="I251">
        <v>10.59</v>
      </c>
      <c r="J251" s="2">
        <f t="shared" si="10"/>
        <v>8605</v>
      </c>
      <c r="K251" s="9">
        <f t="shared" si="11"/>
        <v>91126.95</v>
      </c>
    </row>
    <row r="252" spans="1:11" x14ac:dyDescent="0.35">
      <c r="A252" s="10" t="s">
        <v>911</v>
      </c>
      <c r="B252" s="10">
        <v>2126</v>
      </c>
      <c r="C252" t="s">
        <v>243</v>
      </c>
      <c r="D252" t="s">
        <v>556</v>
      </c>
      <c r="E252" s="2">
        <v>3108</v>
      </c>
      <c r="F252" s="2">
        <v>1184</v>
      </c>
      <c r="G252" s="12">
        <f t="shared" si="9"/>
        <v>0.38095238095238093</v>
      </c>
      <c r="H252">
        <v>85</v>
      </c>
      <c r="I252">
        <v>10.59</v>
      </c>
      <c r="J252" s="2">
        <f t="shared" si="10"/>
        <v>1924</v>
      </c>
      <c r="K252" s="9">
        <f t="shared" si="11"/>
        <v>20375.16</v>
      </c>
    </row>
    <row r="253" spans="1:11" x14ac:dyDescent="0.35">
      <c r="A253" s="10" t="s">
        <v>911</v>
      </c>
      <c r="B253" s="10">
        <v>2127</v>
      </c>
      <c r="C253" t="s">
        <v>244</v>
      </c>
      <c r="D253" t="s">
        <v>557</v>
      </c>
      <c r="E253" s="2">
        <v>3339</v>
      </c>
      <c r="F253" s="2">
        <v>1055</v>
      </c>
      <c r="G253" s="12">
        <f t="shared" si="9"/>
        <v>0.31596286313267447</v>
      </c>
      <c r="H253">
        <v>85</v>
      </c>
      <c r="I253">
        <v>10.59</v>
      </c>
      <c r="J253" s="2">
        <f t="shared" si="10"/>
        <v>2284</v>
      </c>
      <c r="K253" s="9">
        <f t="shared" si="11"/>
        <v>24187.56</v>
      </c>
    </row>
    <row r="254" spans="1:11" x14ac:dyDescent="0.35">
      <c r="A254" s="10" t="s">
        <v>911</v>
      </c>
      <c r="B254" s="10">
        <v>2144</v>
      </c>
      <c r="C254" t="s">
        <v>245</v>
      </c>
      <c r="D254" t="s">
        <v>812</v>
      </c>
      <c r="E254" s="2">
        <v>2568</v>
      </c>
      <c r="F254" s="2">
        <v>1449</v>
      </c>
      <c r="G254" s="12">
        <f t="shared" si="9"/>
        <v>0.56425233644859818</v>
      </c>
      <c r="H254">
        <v>85</v>
      </c>
      <c r="I254">
        <v>10.59</v>
      </c>
      <c r="J254" s="2">
        <f t="shared" si="10"/>
        <v>1119</v>
      </c>
      <c r="K254" s="9">
        <f t="shared" si="11"/>
        <v>11850.21</v>
      </c>
    </row>
    <row r="255" spans="1:11" x14ac:dyDescent="0.35">
      <c r="A255" s="10" t="s">
        <v>911</v>
      </c>
      <c r="B255" s="10">
        <v>2148</v>
      </c>
      <c r="C255" t="s">
        <v>246</v>
      </c>
      <c r="D255" t="s">
        <v>558</v>
      </c>
      <c r="E255" s="2">
        <v>4151</v>
      </c>
      <c r="F255" s="2">
        <v>1704</v>
      </c>
      <c r="G255" s="12">
        <f t="shared" si="9"/>
        <v>0.41050349313418455</v>
      </c>
      <c r="H255">
        <v>85</v>
      </c>
      <c r="I255">
        <v>10.59</v>
      </c>
      <c r="J255" s="2">
        <f t="shared" si="10"/>
        <v>2447</v>
      </c>
      <c r="K255" s="9">
        <f t="shared" si="11"/>
        <v>25913.73</v>
      </c>
    </row>
    <row r="256" spans="1:11" x14ac:dyDescent="0.35">
      <c r="A256" s="10" t="s">
        <v>911</v>
      </c>
      <c r="B256" s="10">
        <v>2152</v>
      </c>
      <c r="C256" t="s">
        <v>247</v>
      </c>
      <c r="D256" t="s">
        <v>801</v>
      </c>
      <c r="E256" s="2">
        <v>3647</v>
      </c>
      <c r="F256" s="2">
        <v>1219</v>
      </c>
      <c r="G256" s="12">
        <f t="shared" si="9"/>
        <v>0.3342473265697834</v>
      </c>
      <c r="H256">
        <v>85</v>
      </c>
      <c r="I256">
        <v>10.59</v>
      </c>
      <c r="J256" s="2">
        <f t="shared" si="10"/>
        <v>2428</v>
      </c>
      <c r="K256" s="9">
        <f t="shared" si="11"/>
        <v>25712.52</v>
      </c>
    </row>
    <row r="257" spans="1:11" x14ac:dyDescent="0.35">
      <c r="A257" s="10" t="s">
        <v>911</v>
      </c>
      <c r="B257" s="10">
        <v>2158</v>
      </c>
      <c r="C257" t="s">
        <v>248</v>
      </c>
      <c r="D257" t="s">
        <v>559</v>
      </c>
      <c r="E257" s="2">
        <v>5594</v>
      </c>
      <c r="F257" s="2">
        <v>1748</v>
      </c>
      <c r="G257" s="12">
        <f t="shared" si="9"/>
        <v>0.31247765462996069</v>
      </c>
      <c r="H257">
        <v>85</v>
      </c>
      <c r="I257">
        <v>10.59</v>
      </c>
      <c r="J257" s="2">
        <f t="shared" si="10"/>
        <v>3846</v>
      </c>
      <c r="K257" s="9">
        <f t="shared" si="11"/>
        <v>40729.14</v>
      </c>
    </row>
    <row r="258" spans="1:11" x14ac:dyDescent="0.35">
      <c r="A258" s="10" t="s">
        <v>911</v>
      </c>
      <c r="B258" s="10">
        <v>2161</v>
      </c>
      <c r="C258" t="s">
        <v>249</v>
      </c>
      <c r="D258" t="s">
        <v>560</v>
      </c>
      <c r="E258" s="2">
        <v>4524</v>
      </c>
      <c r="F258" s="2">
        <v>1288</v>
      </c>
      <c r="G258" s="12">
        <f t="shared" si="9"/>
        <v>0.28470380194518125</v>
      </c>
      <c r="H258">
        <v>85</v>
      </c>
      <c r="I258">
        <v>10.59</v>
      </c>
      <c r="J258" s="2">
        <f t="shared" si="10"/>
        <v>3236</v>
      </c>
      <c r="K258" s="9">
        <f t="shared" si="11"/>
        <v>34269.24</v>
      </c>
    </row>
    <row r="259" spans="1:11" x14ac:dyDescent="0.35">
      <c r="A259" s="10" t="s">
        <v>911</v>
      </c>
      <c r="B259" s="10">
        <v>2164</v>
      </c>
      <c r="C259" t="s">
        <v>714</v>
      </c>
      <c r="D259" t="s">
        <v>561</v>
      </c>
      <c r="E259" s="2">
        <v>4337</v>
      </c>
      <c r="F259" s="2">
        <v>1755</v>
      </c>
      <c r="G259" s="12">
        <f t="shared" ref="G259:G322" si="12">F259/E259</f>
        <v>0.40465759741756974</v>
      </c>
      <c r="H259">
        <v>85</v>
      </c>
      <c r="I259">
        <v>10.59</v>
      </c>
      <c r="J259" s="2">
        <f t="shared" ref="J259:J322" si="13">E259-F259</f>
        <v>2582</v>
      </c>
      <c r="K259" s="9">
        <f t="shared" ref="K259:K322" si="14">J259*I259</f>
        <v>27343.38</v>
      </c>
    </row>
    <row r="260" spans="1:11" x14ac:dyDescent="0.35">
      <c r="A260" s="10" t="s">
        <v>911</v>
      </c>
      <c r="B260" s="10">
        <v>2168</v>
      </c>
      <c r="C260" t="s">
        <v>250</v>
      </c>
      <c r="D260" t="s">
        <v>562</v>
      </c>
      <c r="E260" s="2">
        <v>1708</v>
      </c>
      <c r="F260" s="2">
        <v>1009</v>
      </c>
      <c r="G260" s="12">
        <f t="shared" si="12"/>
        <v>0.59074941451990637</v>
      </c>
      <c r="H260">
        <v>85</v>
      </c>
      <c r="I260">
        <v>10.59</v>
      </c>
      <c r="J260" s="2">
        <f t="shared" si="13"/>
        <v>699</v>
      </c>
      <c r="K260" s="9">
        <f t="shared" si="14"/>
        <v>7402.41</v>
      </c>
    </row>
    <row r="261" spans="1:11" x14ac:dyDescent="0.35">
      <c r="A261" s="10" t="s">
        <v>911</v>
      </c>
      <c r="B261" s="10">
        <v>2175</v>
      </c>
      <c r="C261" t="s">
        <v>251</v>
      </c>
      <c r="D261" t="s">
        <v>563</v>
      </c>
      <c r="E261" s="2">
        <v>5830</v>
      </c>
      <c r="F261" s="2">
        <v>1716</v>
      </c>
      <c r="G261" s="12">
        <f t="shared" si="12"/>
        <v>0.29433962264150942</v>
      </c>
      <c r="H261">
        <v>85</v>
      </c>
      <c r="I261">
        <v>10.59</v>
      </c>
      <c r="J261" s="2">
        <f t="shared" si="13"/>
        <v>4114</v>
      </c>
      <c r="K261" s="9">
        <f t="shared" si="14"/>
        <v>43567.26</v>
      </c>
    </row>
    <row r="262" spans="1:11" x14ac:dyDescent="0.35">
      <c r="A262" s="10" t="s">
        <v>911</v>
      </c>
      <c r="B262" s="10">
        <v>2177</v>
      </c>
      <c r="C262" t="s">
        <v>720</v>
      </c>
      <c r="D262" t="s">
        <v>564</v>
      </c>
      <c r="E262" s="2">
        <v>4222</v>
      </c>
      <c r="F262" s="2">
        <v>1335</v>
      </c>
      <c r="G262" s="12">
        <f t="shared" si="12"/>
        <v>0.31620085267645665</v>
      </c>
      <c r="H262">
        <v>85</v>
      </c>
      <c r="I262">
        <v>10.59</v>
      </c>
      <c r="J262" s="2">
        <f t="shared" si="13"/>
        <v>2887</v>
      </c>
      <c r="K262" s="9">
        <f t="shared" si="14"/>
        <v>30573.329999999998</v>
      </c>
    </row>
    <row r="263" spans="1:11" x14ac:dyDescent="0.35">
      <c r="A263" s="10" t="s">
        <v>911</v>
      </c>
      <c r="B263" s="10">
        <v>2180</v>
      </c>
      <c r="C263" t="s">
        <v>252</v>
      </c>
      <c r="D263" t="s">
        <v>822</v>
      </c>
      <c r="E263" s="2">
        <v>8453</v>
      </c>
      <c r="F263" s="2">
        <v>3160</v>
      </c>
      <c r="G263" s="12">
        <f t="shared" si="12"/>
        <v>0.37383177570093457</v>
      </c>
      <c r="H263">
        <v>85</v>
      </c>
      <c r="I263">
        <v>10.59</v>
      </c>
      <c r="J263" s="2">
        <f t="shared" si="13"/>
        <v>5293</v>
      </c>
      <c r="K263" s="9">
        <f t="shared" si="14"/>
        <v>56052.87</v>
      </c>
    </row>
    <row r="264" spans="1:11" x14ac:dyDescent="0.35">
      <c r="A264" s="10" t="s">
        <v>911</v>
      </c>
      <c r="B264" s="10">
        <v>2183</v>
      </c>
      <c r="C264" t="s">
        <v>253</v>
      </c>
      <c r="D264" t="s">
        <v>565</v>
      </c>
      <c r="E264" s="2">
        <v>11971</v>
      </c>
      <c r="F264" s="2">
        <v>4150</v>
      </c>
      <c r="G264" s="12">
        <f t="shared" si="12"/>
        <v>0.34667112187787152</v>
      </c>
      <c r="H264">
        <v>85</v>
      </c>
      <c r="I264">
        <v>10.59</v>
      </c>
      <c r="J264" s="2">
        <f t="shared" si="13"/>
        <v>7821</v>
      </c>
      <c r="K264" s="9">
        <f t="shared" si="14"/>
        <v>82824.39</v>
      </c>
    </row>
    <row r="265" spans="1:11" x14ac:dyDescent="0.35">
      <c r="A265" s="10" t="s">
        <v>911</v>
      </c>
      <c r="B265" s="10">
        <v>2186</v>
      </c>
      <c r="C265" t="s">
        <v>254</v>
      </c>
      <c r="D265" t="s">
        <v>566</v>
      </c>
      <c r="E265" s="2">
        <v>4457</v>
      </c>
      <c r="F265" s="2">
        <v>1743</v>
      </c>
      <c r="G265" s="12">
        <f t="shared" si="12"/>
        <v>0.39107022660982727</v>
      </c>
      <c r="H265">
        <v>85</v>
      </c>
      <c r="I265">
        <v>10.59</v>
      </c>
      <c r="J265" s="2">
        <f t="shared" si="13"/>
        <v>2714</v>
      </c>
      <c r="K265" s="9">
        <f t="shared" si="14"/>
        <v>28741.26</v>
      </c>
    </row>
    <row r="266" spans="1:11" x14ac:dyDescent="0.35">
      <c r="A266" s="10" t="s">
        <v>911</v>
      </c>
      <c r="B266" s="10">
        <v>2187</v>
      </c>
      <c r="C266" t="s">
        <v>255</v>
      </c>
      <c r="D266" t="s">
        <v>567</v>
      </c>
      <c r="E266" s="2">
        <v>5800</v>
      </c>
      <c r="F266" s="2">
        <v>1909</v>
      </c>
      <c r="G266" s="12">
        <f t="shared" si="12"/>
        <v>0.32913793103448274</v>
      </c>
      <c r="H266">
        <v>85</v>
      </c>
      <c r="I266">
        <v>10.59</v>
      </c>
      <c r="J266" s="2">
        <f t="shared" si="13"/>
        <v>3891</v>
      </c>
      <c r="K266" s="9">
        <f t="shared" si="14"/>
        <v>41205.69</v>
      </c>
    </row>
    <row r="267" spans="1:11" x14ac:dyDescent="0.35">
      <c r="A267" s="10" t="s">
        <v>911</v>
      </c>
      <c r="B267" s="10">
        <v>2189</v>
      </c>
      <c r="C267" t="s">
        <v>256</v>
      </c>
      <c r="D267" t="s">
        <v>568</v>
      </c>
      <c r="E267" s="2">
        <v>6600</v>
      </c>
      <c r="F267" s="2">
        <v>2242</v>
      </c>
      <c r="G267" s="12">
        <f t="shared" si="12"/>
        <v>0.33969696969696972</v>
      </c>
      <c r="H267">
        <v>85</v>
      </c>
      <c r="I267">
        <v>10.59</v>
      </c>
      <c r="J267" s="2">
        <f t="shared" si="13"/>
        <v>4358</v>
      </c>
      <c r="K267" s="9">
        <f t="shared" si="14"/>
        <v>46151.22</v>
      </c>
    </row>
    <row r="268" spans="1:11" x14ac:dyDescent="0.35">
      <c r="A268" s="10" t="s">
        <v>911</v>
      </c>
      <c r="B268" s="10">
        <v>2191</v>
      </c>
      <c r="C268" t="s">
        <v>708</v>
      </c>
      <c r="D268" t="s">
        <v>569</v>
      </c>
      <c r="E268" s="2">
        <v>8742</v>
      </c>
      <c r="F268" s="2">
        <v>2871</v>
      </c>
      <c r="G268" s="12">
        <f t="shared" si="12"/>
        <v>0.32841455044612217</v>
      </c>
      <c r="H268">
        <v>85</v>
      </c>
      <c r="I268">
        <v>10.59</v>
      </c>
      <c r="J268" s="2">
        <f t="shared" si="13"/>
        <v>5871</v>
      </c>
      <c r="K268" s="9">
        <f t="shared" si="14"/>
        <v>62173.89</v>
      </c>
    </row>
    <row r="269" spans="1:11" x14ac:dyDescent="0.35">
      <c r="A269" s="10" t="s">
        <v>911</v>
      </c>
      <c r="B269" s="10">
        <v>2194</v>
      </c>
      <c r="C269" t="s">
        <v>257</v>
      </c>
      <c r="D269" t="s">
        <v>570</v>
      </c>
      <c r="E269" s="2">
        <v>9250</v>
      </c>
      <c r="F269" s="2">
        <v>2593</v>
      </c>
      <c r="G269" s="12">
        <f t="shared" si="12"/>
        <v>0.2803243243243243</v>
      </c>
      <c r="H269">
        <v>85</v>
      </c>
      <c r="I269">
        <v>10.59</v>
      </c>
      <c r="J269" s="2">
        <f t="shared" si="13"/>
        <v>6657</v>
      </c>
      <c r="K269" s="9">
        <f t="shared" si="14"/>
        <v>70497.63</v>
      </c>
    </row>
    <row r="270" spans="1:11" x14ac:dyDescent="0.35">
      <c r="A270" s="10" t="s">
        <v>911</v>
      </c>
      <c r="B270" s="10">
        <v>2196</v>
      </c>
      <c r="C270" t="s">
        <v>258</v>
      </c>
      <c r="D270" t="s">
        <v>571</v>
      </c>
      <c r="E270" s="2">
        <v>3758</v>
      </c>
      <c r="F270" s="2">
        <v>1373</v>
      </c>
      <c r="G270" s="12">
        <f t="shared" si="12"/>
        <v>0.3653539116551357</v>
      </c>
      <c r="H270">
        <v>85</v>
      </c>
      <c r="I270">
        <v>10.59</v>
      </c>
      <c r="J270" s="2">
        <f t="shared" si="13"/>
        <v>2385</v>
      </c>
      <c r="K270" s="9">
        <f t="shared" si="14"/>
        <v>25257.15</v>
      </c>
    </row>
    <row r="271" spans="1:11" x14ac:dyDescent="0.35">
      <c r="A271" s="10" t="s">
        <v>911</v>
      </c>
      <c r="B271" s="10">
        <v>2197</v>
      </c>
      <c r="C271" t="s">
        <v>744</v>
      </c>
      <c r="D271" t="s">
        <v>654</v>
      </c>
      <c r="E271" s="2">
        <v>3229</v>
      </c>
      <c r="F271" s="2">
        <v>1462</v>
      </c>
      <c r="G271" s="12">
        <f t="shared" si="12"/>
        <v>0.45277175596159802</v>
      </c>
      <c r="H271">
        <v>85</v>
      </c>
      <c r="I271">
        <v>10.59</v>
      </c>
      <c r="J271" s="2">
        <f t="shared" si="13"/>
        <v>1767</v>
      </c>
      <c r="K271" s="9">
        <f t="shared" si="14"/>
        <v>18712.53</v>
      </c>
    </row>
    <row r="272" spans="1:11" x14ac:dyDescent="0.35">
      <c r="A272" s="10" t="s">
        <v>911</v>
      </c>
      <c r="B272" s="10">
        <v>2199</v>
      </c>
      <c r="C272" t="s">
        <v>712</v>
      </c>
      <c r="D272" t="s">
        <v>572</v>
      </c>
      <c r="E272" s="2">
        <v>11747</v>
      </c>
      <c r="F272" s="2">
        <v>3996</v>
      </c>
      <c r="G272" s="12">
        <f t="shared" si="12"/>
        <v>0.340171958797991</v>
      </c>
      <c r="H272">
        <v>85</v>
      </c>
      <c r="I272">
        <v>10.59</v>
      </c>
      <c r="J272" s="2">
        <f t="shared" si="13"/>
        <v>7751</v>
      </c>
      <c r="K272" s="9">
        <f t="shared" si="14"/>
        <v>82083.09</v>
      </c>
    </row>
    <row r="273" spans="1:11" x14ac:dyDescent="0.35">
      <c r="A273" s="10" t="s">
        <v>911</v>
      </c>
      <c r="B273" s="10">
        <v>2202</v>
      </c>
      <c r="C273" t="s">
        <v>259</v>
      </c>
      <c r="D273" t="s">
        <v>573</v>
      </c>
      <c r="E273" s="2">
        <v>8363</v>
      </c>
      <c r="F273" s="2">
        <v>3258</v>
      </c>
      <c r="G273" s="12">
        <f t="shared" si="12"/>
        <v>0.38957311969388975</v>
      </c>
      <c r="H273">
        <v>85</v>
      </c>
      <c r="I273">
        <v>10.59</v>
      </c>
      <c r="J273" s="2">
        <f t="shared" si="13"/>
        <v>5105</v>
      </c>
      <c r="K273" s="9">
        <f t="shared" si="14"/>
        <v>54061.95</v>
      </c>
    </row>
    <row r="274" spans="1:11" x14ac:dyDescent="0.35">
      <c r="A274" s="10" t="s">
        <v>911</v>
      </c>
      <c r="B274" s="10">
        <v>2204</v>
      </c>
      <c r="C274" t="s">
        <v>260</v>
      </c>
      <c r="D274" t="s">
        <v>574</v>
      </c>
      <c r="E274" s="2">
        <v>6685</v>
      </c>
      <c r="F274" s="2">
        <v>3620</v>
      </c>
      <c r="G274" s="12">
        <f t="shared" si="12"/>
        <v>0.54151084517576664</v>
      </c>
      <c r="H274">
        <v>85</v>
      </c>
      <c r="I274">
        <v>10.59</v>
      </c>
      <c r="J274" s="2">
        <f t="shared" si="13"/>
        <v>3065</v>
      </c>
      <c r="K274" s="9">
        <f t="shared" si="14"/>
        <v>32458.35</v>
      </c>
    </row>
    <row r="275" spans="1:11" x14ac:dyDescent="0.35">
      <c r="A275" s="10" t="s">
        <v>911</v>
      </c>
      <c r="B275" s="10">
        <v>2206</v>
      </c>
      <c r="C275" t="s">
        <v>261</v>
      </c>
      <c r="D275" t="s">
        <v>575</v>
      </c>
      <c r="E275" s="2">
        <v>3620</v>
      </c>
      <c r="F275" s="2">
        <v>1356</v>
      </c>
      <c r="G275" s="12">
        <f t="shared" si="12"/>
        <v>0.37458563535911604</v>
      </c>
      <c r="H275">
        <v>85</v>
      </c>
      <c r="I275">
        <v>10.59</v>
      </c>
      <c r="J275" s="2">
        <f t="shared" si="13"/>
        <v>2264</v>
      </c>
      <c r="K275" s="9">
        <f t="shared" si="14"/>
        <v>23975.759999999998</v>
      </c>
    </row>
    <row r="276" spans="1:11" x14ac:dyDescent="0.35">
      <c r="A276" s="10" t="s">
        <v>911</v>
      </c>
      <c r="B276" s="10">
        <v>2207</v>
      </c>
      <c r="C276" t="s">
        <v>262</v>
      </c>
      <c r="D276" t="s">
        <v>576</v>
      </c>
      <c r="E276" s="2">
        <v>3674</v>
      </c>
      <c r="F276" s="2">
        <v>1717</v>
      </c>
      <c r="G276" s="12">
        <f t="shared" si="12"/>
        <v>0.46733805117038651</v>
      </c>
      <c r="H276">
        <v>85</v>
      </c>
      <c r="I276">
        <v>10.59</v>
      </c>
      <c r="J276" s="2">
        <f t="shared" si="13"/>
        <v>1957</v>
      </c>
      <c r="K276" s="9">
        <f t="shared" si="14"/>
        <v>20724.63</v>
      </c>
    </row>
    <row r="277" spans="1:11" x14ac:dyDescent="0.35">
      <c r="A277" s="10" t="s">
        <v>911</v>
      </c>
      <c r="B277" s="10">
        <v>2208</v>
      </c>
      <c r="C277" t="s">
        <v>263</v>
      </c>
      <c r="D277" t="s">
        <v>577</v>
      </c>
      <c r="E277" s="2">
        <v>6026</v>
      </c>
      <c r="F277" s="2">
        <v>2467</v>
      </c>
      <c r="G277" s="12">
        <f t="shared" si="12"/>
        <v>0.40939263192831066</v>
      </c>
      <c r="H277">
        <v>85</v>
      </c>
      <c r="I277">
        <v>10.59</v>
      </c>
      <c r="J277" s="2">
        <f t="shared" si="13"/>
        <v>3559</v>
      </c>
      <c r="K277" s="9">
        <f t="shared" si="14"/>
        <v>37689.81</v>
      </c>
    </row>
    <row r="278" spans="1:11" x14ac:dyDescent="0.35">
      <c r="A278" s="10" t="s">
        <v>911</v>
      </c>
      <c r="B278" s="10">
        <v>2213</v>
      </c>
      <c r="C278" t="s">
        <v>264</v>
      </c>
      <c r="D278" t="s">
        <v>578</v>
      </c>
      <c r="E278" s="2">
        <v>4848</v>
      </c>
      <c r="F278" s="2">
        <v>2038</v>
      </c>
      <c r="G278" s="12">
        <f t="shared" si="12"/>
        <v>0.4203795379537954</v>
      </c>
      <c r="H278">
        <v>85</v>
      </c>
      <c r="I278">
        <v>10.59</v>
      </c>
      <c r="J278" s="2">
        <f t="shared" si="13"/>
        <v>2810</v>
      </c>
      <c r="K278" s="9">
        <f t="shared" si="14"/>
        <v>29757.899999999998</v>
      </c>
    </row>
    <row r="279" spans="1:11" x14ac:dyDescent="0.35">
      <c r="A279" s="10" t="s">
        <v>911</v>
      </c>
      <c r="B279" s="10">
        <v>2216</v>
      </c>
      <c r="C279" t="s">
        <v>265</v>
      </c>
      <c r="D279" t="s">
        <v>579</v>
      </c>
      <c r="E279" s="2">
        <v>4505</v>
      </c>
      <c r="F279" s="2">
        <v>1669</v>
      </c>
      <c r="G279" s="12">
        <f t="shared" si="12"/>
        <v>0.37047724750277472</v>
      </c>
      <c r="H279">
        <v>85</v>
      </c>
      <c r="I279">
        <v>10.59</v>
      </c>
      <c r="J279" s="2">
        <f t="shared" si="13"/>
        <v>2836</v>
      </c>
      <c r="K279" s="9">
        <f t="shared" si="14"/>
        <v>30033.239999999998</v>
      </c>
    </row>
    <row r="280" spans="1:11" x14ac:dyDescent="0.35">
      <c r="A280" s="10" t="s">
        <v>911</v>
      </c>
      <c r="B280" s="10">
        <v>2217</v>
      </c>
      <c r="C280" t="s">
        <v>266</v>
      </c>
      <c r="D280" t="s">
        <v>580</v>
      </c>
      <c r="E280" s="2">
        <v>3755</v>
      </c>
      <c r="F280" s="2">
        <v>1717</v>
      </c>
      <c r="G280" s="12">
        <f t="shared" si="12"/>
        <v>0.45725699067909453</v>
      </c>
      <c r="H280">
        <v>85</v>
      </c>
      <c r="I280">
        <v>10.59</v>
      </c>
      <c r="J280" s="2">
        <f t="shared" si="13"/>
        <v>2038</v>
      </c>
      <c r="K280" s="9">
        <f t="shared" si="14"/>
        <v>21582.42</v>
      </c>
    </row>
    <row r="281" spans="1:11" x14ac:dyDescent="0.35">
      <c r="A281" s="10" t="s">
        <v>911</v>
      </c>
      <c r="B281" s="10">
        <v>2218</v>
      </c>
      <c r="C281" t="s">
        <v>267</v>
      </c>
      <c r="D281" t="s">
        <v>581</v>
      </c>
      <c r="E281" s="2">
        <v>2596</v>
      </c>
      <c r="F281" s="2">
        <v>941</v>
      </c>
      <c r="G281" s="12">
        <f t="shared" si="12"/>
        <v>0.36248073959938365</v>
      </c>
      <c r="H281">
        <v>85</v>
      </c>
      <c r="I281">
        <v>10.59</v>
      </c>
      <c r="J281" s="2">
        <f t="shared" si="13"/>
        <v>1655</v>
      </c>
      <c r="K281" s="9">
        <f t="shared" si="14"/>
        <v>17526.45</v>
      </c>
    </row>
    <row r="282" spans="1:11" x14ac:dyDescent="0.35">
      <c r="A282" s="10" t="s">
        <v>911</v>
      </c>
      <c r="B282" s="10">
        <v>2223</v>
      </c>
      <c r="C282" t="s">
        <v>268</v>
      </c>
      <c r="D282" t="s">
        <v>582</v>
      </c>
      <c r="E282" s="2">
        <v>5462</v>
      </c>
      <c r="F282" s="2">
        <v>1635</v>
      </c>
      <c r="G282" s="12">
        <f t="shared" si="12"/>
        <v>0.29934090076894909</v>
      </c>
      <c r="H282">
        <v>85</v>
      </c>
      <c r="I282">
        <v>10.59</v>
      </c>
      <c r="J282" s="2">
        <f t="shared" si="13"/>
        <v>3827</v>
      </c>
      <c r="K282" s="9">
        <f t="shared" si="14"/>
        <v>40527.93</v>
      </c>
    </row>
    <row r="283" spans="1:11" x14ac:dyDescent="0.35">
      <c r="A283" s="10" t="s">
        <v>911</v>
      </c>
      <c r="B283" s="10">
        <v>2224</v>
      </c>
      <c r="C283" t="s">
        <v>269</v>
      </c>
      <c r="D283" t="s">
        <v>583</v>
      </c>
      <c r="E283" s="2">
        <v>6216</v>
      </c>
      <c r="F283" s="2">
        <v>2095</v>
      </c>
      <c r="G283" s="12">
        <f t="shared" si="12"/>
        <v>0.33703346203346202</v>
      </c>
      <c r="H283">
        <v>85</v>
      </c>
      <c r="I283">
        <v>10.59</v>
      </c>
      <c r="J283" s="2">
        <f t="shared" si="13"/>
        <v>4121</v>
      </c>
      <c r="K283" s="9">
        <f t="shared" si="14"/>
        <v>43641.39</v>
      </c>
    </row>
    <row r="284" spans="1:11" x14ac:dyDescent="0.35">
      <c r="A284" s="10" t="s">
        <v>911</v>
      </c>
      <c r="B284" s="10">
        <v>2225</v>
      </c>
      <c r="C284" t="s">
        <v>270</v>
      </c>
      <c r="D284" t="s">
        <v>584</v>
      </c>
      <c r="E284" s="2">
        <v>12469</v>
      </c>
      <c r="F284" s="2">
        <v>5356</v>
      </c>
      <c r="G284" s="12">
        <f t="shared" si="12"/>
        <v>0.42954527227524258</v>
      </c>
      <c r="H284">
        <v>85</v>
      </c>
      <c r="I284">
        <v>10.59</v>
      </c>
      <c r="J284" s="2">
        <f t="shared" si="13"/>
        <v>7113</v>
      </c>
      <c r="K284" s="9">
        <f t="shared" si="14"/>
        <v>75326.67</v>
      </c>
    </row>
    <row r="285" spans="1:11" x14ac:dyDescent="0.35">
      <c r="A285" s="10" t="s">
        <v>911</v>
      </c>
      <c r="B285" s="10">
        <v>2229</v>
      </c>
      <c r="C285" t="s">
        <v>271</v>
      </c>
      <c r="D285" t="s">
        <v>585</v>
      </c>
      <c r="E285" s="2">
        <v>7026</v>
      </c>
      <c r="F285" s="2">
        <v>1267</v>
      </c>
      <c r="G285" s="12">
        <f t="shared" si="12"/>
        <v>0.18033020210646172</v>
      </c>
      <c r="H285">
        <v>85</v>
      </c>
      <c r="I285">
        <v>10.59</v>
      </c>
      <c r="J285" s="2">
        <f t="shared" si="13"/>
        <v>5759</v>
      </c>
      <c r="K285" s="9">
        <f t="shared" si="14"/>
        <v>60987.81</v>
      </c>
    </row>
    <row r="286" spans="1:11" x14ac:dyDescent="0.35">
      <c r="A286" s="10" t="s">
        <v>911</v>
      </c>
      <c r="B286" s="10">
        <v>2231</v>
      </c>
      <c r="C286" t="s">
        <v>272</v>
      </c>
      <c r="D286" t="s">
        <v>586</v>
      </c>
      <c r="E286" s="2">
        <v>3362</v>
      </c>
      <c r="F286" s="2">
        <v>1442</v>
      </c>
      <c r="G286" s="12">
        <f t="shared" si="12"/>
        <v>0.42891136228435456</v>
      </c>
      <c r="H286">
        <v>85</v>
      </c>
      <c r="I286">
        <v>10.59</v>
      </c>
      <c r="J286" s="2">
        <f t="shared" si="13"/>
        <v>1920</v>
      </c>
      <c r="K286" s="9">
        <f t="shared" si="14"/>
        <v>20332.8</v>
      </c>
    </row>
    <row r="287" spans="1:11" x14ac:dyDescent="0.35">
      <c r="A287" s="10" t="s">
        <v>911</v>
      </c>
      <c r="B287" s="10">
        <v>2236</v>
      </c>
      <c r="C287" t="s">
        <v>273</v>
      </c>
      <c r="D287" t="s">
        <v>787</v>
      </c>
      <c r="E287" s="2">
        <v>12912</v>
      </c>
      <c r="F287" s="2">
        <v>7440</v>
      </c>
      <c r="G287" s="12">
        <f t="shared" si="12"/>
        <v>0.57620817843866168</v>
      </c>
      <c r="H287">
        <v>85</v>
      </c>
      <c r="I287">
        <v>10.59</v>
      </c>
      <c r="J287" s="2">
        <f t="shared" si="13"/>
        <v>5472</v>
      </c>
      <c r="K287" s="9">
        <f t="shared" si="14"/>
        <v>57948.479999999996</v>
      </c>
    </row>
    <row r="288" spans="1:11" x14ac:dyDescent="0.35">
      <c r="A288" s="10" t="s">
        <v>911</v>
      </c>
      <c r="B288" s="10">
        <v>2237</v>
      </c>
      <c r="C288" t="s">
        <v>274</v>
      </c>
      <c r="D288" t="s">
        <v>587</v>
      </c>
      <c r="E288" s="2">
        <v>4106</v>
      </c>
      <c r="F288" s="2">
        <v>1756</v>
      </c>
      <c r="G288" s="12">
        <f t="shared" si="12"/>
        <v>0.42766682903068681</v>
      </c>
      <c r="H288">
        <v>85</v>
      </c>
      <c r="I288">
        <v>10.59</v>
      </c>
      <c r="J288" s="2">
        <f t="shared" si="13"/>
        <v>2350</v>
      </c>
      <c r="K288" s="9">
        <f t="shared" si="14"/>
        <v>24886.5</v>
      </c>
    </row>
    <row r="289" spans="1:11" x14ac:dyDescent="0.35">
      <c r="A289" s="10" t="s">
        <v>911</v>
      </c>
      <c r="B289" s="10">
        <v>2241</v>
      </c>
      <c r="C289" t="s">
        <v>275</v>
      </c>
      <c r="D289" t="s">
        <v>808</v>
      </c>
      <c r="E289" s="2">
        <v>5285</v>
      </c>
      <c r="F289" s="2">
        <v>3194</v>
      </c>
      <c r="G289" s="12">
        <f t="shared" si="12"/>
        <v>0.60435193945127719</v>
      </c>
      <c r="H289">
        <v>85</v>
      </c>
      <c r="I289">
        <v>10.59</v>
      </c>
      <c r="J289" s="2">
        <f t="shared" si="13"/>
        <v>2091</v>
      </c>
      <c r="K289" s="9">
        <f t="shared" si="14"/>
        <v>22143.69</v>
      </c>
    </row>
    <row r="290" spans="1:11" x14ac:dyDescent="0.35">
      <c r="A290" s="10" t="s">
        <v>911</v>
      </c>
      <c r="B290" s="10">
        <v>2243</v>
      </c>
      <c r="C290" t="s">
        <v>276</v>
      </c>
      <c r="D290" t="s">
        <v>588</v>
      </c>
      <c r="E290" s="2">
        <v>4360</v>
      </c>
      <c r="F290" s="2">
        <v>2131</v>
      </c>
      <c r="G290" s="12">
        <f t="shared" si="12"/>
        <v>0.48876146788990826</v>
      </c>
      <c r="H290">
        <v>85</v>
      </c>
      <c r="I290">
        <v>10.59</v>
      </c>
      <c r="J290" s="2">
        <f t="shared" si="13"/>
        <v>2229</v>
      </c>
      <c r="K290" s="9">
        <f t="shared" si="14"/>
        <v>23605.11</v>
      </c>
    </row>
    <row r="291" spans="1:11" x14ac:dyDescent="0.35">
      <c r="A291" s="10" t="s">
        <v>911</v>
      </c>
      <c r="B291" s="10">
        <v>2247</v>
      </c>
      <c r="C291" t="s">
        <v>277</v>
      </c>
      <c r="D291" t="s">
        <v>589</v>
      </c>
      <c r="E291" s="2">
        <v>5174</v>
      </c>
      <c r="F291" s="2">
        <v>1743</v>
      </c>
      <c r="G291" s="12">
        <f t="shared" si="12"/>
        <v>0.33687669114804791</v>
      </c>
      <c r="H291">
        <v>85</v>
      </c>
      <c r="I291">
        <v>10.59</v>
      </c>
      <c r="J291" s="2">
        <f t="shared" si="13"/>
        <v>3431</v>
      </c>
      <c r="K291" s="9">
        <f t="shared" si="14"/>
        <v>36334.29</v>
      </c>
    </row>
    <row r="292" spans="1:11" x14ac:dyDescent="0.35">
      <c r="A292" s="10" t="s">
        <v>911</v>
      </c>
      <c r="B292" s="10">
        <v>2248</v>
      </c>
      <c r="C292" t="s">
        <v>278</v>
      </c>
      <c r="D292" t="s">
        <v>590</v>
      </c>
      <c r="E292" s="2">
        <v>4775</v>
      </c>
      <c r="F292" s="2">
        <v>2418</v>
      </c>
      <c r="G292" s="12">
        <f t="shared" si="12"/>
        <v>0.50638743455497381</v>
      </c>
      <c r="H292">
        <v>85</v>
      </c>
      <c r="I292">
        <v>10.59</v>
      </c>
      <c r="J292" s="2">
        <f t="shared" si="13"/>
        <v>2357</v>
      </c>
      <c r="K292" s="9">
        <f t="shared" si="14"/>
        <v>24960.63</v>
      </c>
    </row>
    <row r="293" spans="1:11" x14ac:dyDescent="0.35">
      <c r="A293" s="10" t="s">
        <v>911</v>
      </c>
      <c r="B293" s="10">
        <v>2250</v>
      </c>
      <c r="C293" t="s">
        <v>279</v>
      </c>
      <c r="D293" t="s">
        <v>591</v>
      </c>
      <c r="E293" s="2">
        <v>4908</v>
      </c>
      <c r="F293" s="2">
        <v>2429</v>
      </c>
      <c r="G293" s="12">
        <f t="shared" si="12"/>
        <v>0.49490627546862265</v>
      </c>
      <c r="H293">
        <v>85</v>
      </c>
      <c r="I293">
        <v>10.59</v>
      </c>
      <c r="J293" s="2">
        <f t="shared" si="13"/>
        <v>2479</v>
      </c>
      <c r="K293" s="9">
        <f t="shared" si="14"/>
        <v>26252.61</v>
      </c>
    </row>
    <row r="294" spans="1:11" x14ac:dyDescent="0.35">
      <c r="A294" s="10" t="s">
        <v>911</v>
      </c>
      <c r="B294" s="10">
        <v>2251</v>
      </c>
      <c r="C294" t="s">
        <v>280</v>
      </c>
      <c r="D294" t="s">
        <v>592</v>
      </c>
      <c r="E294" s="2">
        <v>2065</v>
      </c>
      <c r="F294" s="2">
        <v>766</v>
      </c>
      <c r="G294" s="12">
        <f t="shared" si="12"/>
        <v>0.37094430992736077</v>
      </c>
      <c r="H294">
        <v>85</v>
      </c>
      <c r="I294">
        <v>10.59</v>
      </c>
      <c r="J294" s="2">
        <f t="shared" si="13"/>
        <v>1299</v>
      </c>
      <c r="K294" s="9">
        <f t="shared" si="14"/>
        <v>13756.41</v>
      </c>
    </row>
    <row r="295" spans="1:11" x14ac:dyDescent="0.35">
      <c r="A295" s="10" t="s">
        <v>911</v>
      </c>
      <c r="B295" s="10">
        <v>2258</v>
      </c>
      <c r="C295" t="s">
        <v>281</v>
      </c>
      <c r="D295" t="s">
        <v>593</v>
      </c>
      <c r="E295" s="2">
        <v>6114</v>
      </c>
      <c r="F295" s="2">
        <v>3797</v>
      </c>
      <c r="G295" s="12">
        <f t="shared" si="12"/>
        <v>0.62103369316323198</v>
      </c>
      <c r="H295">
        <v>85</v>
      </c>
      <c r="I295">
        <v>10.59</v>
      </c>
      <c r="J295" s="2">
        <f t="shared" si="13"/>
        <v>2317</v>
      </c>
      <c r="K295" s="9">
        <f t="shared" si="14"/>
        <v>24537.03</v>
      </c>
    </row>
    <row r="296" spans="1:11" x14ac:dyDescent="0.35">
      <c r="A296" s="10" t="s">
        <v>911</v>
      </c>
      <c r="B296" s="10">
        <v>2266</v>
      </c>
      <c r="C296" t="s">
        <v>282</v>
      </c>
      <c r="D296" t="s">
        <v>815</v>
      </c>
      <c r="E296" s="2">
        <v>11475</v>
      </c>
      <c r="F296" s="2">
        <v>3517</v>
      </c>
      <c r="G296" s="12">
        <f t="shared" si="12"/>
        <v>0.30649237472766883</v>
      </c>
      <c r="H296">
        <v>85</v>
      </c>
      <c r="I296">
        <v>10.59</v>
      </c>
      <c r="J296" s="2">
        <f t="shared" si="13"/>
        <v>7958</v>
      </c>
      <c r="K296" s="9">
        <f t="shared" si="14"/>
        <v>84275.22</v>
      </c>
    </row>
    <row r="297" spans="1:11" x14ac:dyDescent="0.35">
      <c r="A297" s="10" t="s">
        <v>911</v>
      </c>
      <c r="B297" s="10">
        <v>2267</v>
      </c>
      <c r="C297" t="s">
        <v>283</v>
      </c>
      <c r="D297" t="s">
        <v>811</v>
      </c>
      <c r="E297" s="2">
        <v>4449</v>
      </c>
      <c r="F297" s="2">
        <v>2135</v>
      </c>
      <c r="G297" s="12">
        <f t="shared" si="12"/>
        <v>0.47988311980220272</v>
      </c>
      <c r="H297">
        <v>85</v>
      </c>
      <c r="I297">
        <v>10.59</v>
      </c>
      <c r="J297" s="2">
        <f t="shared" si="13"/>
        <v>2314</v>
      </c>
      <c r="K297" s="9">
        <f t="shared" si="14"/>
        <v>24505.26</v>
      </c>
    </row>
    <row r="298" spans="1:11" x14ac:dyDescent="0.35">
      <c r="A298" s="10" t="s">
        <v>911</v>
      </c>
      <c r="B298" s="10">
        <v>2270</v>
      </c>
      <c r="C298" t="s">
        <v>284</v>
      </c>
      <c r="D298" t="s">
        <v>594</v>
      </c>
      <c r="E298" s="2">
        <v>18560</v>
      </c>
      <c r="F298" s="2">
        <v>12133</v>
      </c>
      <c r="G298" s="12">
        <f t="shared" si="12"/>
        <v>0.65371767241379308</v>
      </c>
      <c r="H298">
        <v>85</v>
      </c>
      <c r="I298">
        <v>10.59</v>
      </c>
      <c r="J298" s="2">
        <f t="shared" si="13"/>
        <v>6427</v>
      </c>
      <c r="K298" s="9">
        <f t="shared" si="14"/>
        <v>68061.929999999993</v>
      </c>
    </row>
    <row r="299" spans="1:11" x14ac:dyDescent="0.35">
      <c r="A299" s="10" t="s">
        <v>911</v>
      </c>
      <c r="B299" s="10">
        <v>2272</v>
      </c>
      <c r="C299" t="s">
        <v>285</v>
      </c>
      <c r="D299" t="s">
        <v>827</v>
      </c>
      <c r="E299" s="2">
        <v>5925</v>
      </c>
      <c r="F299" s="2">
        <v>3602</v>
      </c>
      <c r="G299" s="12">
        <f t="shared" si="12"/>
        <v>0.60793248945147682</v>
      </c>
      <c r="H299">
        <v>85</v>
      </c>
      <c r="I299">
        <v>10.59</v>
      </c>
      <c r="J299" s="2">
        <f t="shared" si="13"/>
        <v>2323</v>
      </c>
      <c r="K299" s="9">
        <f t="shared" si="14"/>
        <v>24600.57</v>
      </c>
    </row>
    <row r="300" spans="1:11" x14ac:dyDescent="0.35">
      <c r="A300" s="10" t="s">
        <v>911</v>
      </c>
      <c r="B300" s="10">
        <v>2280</v>
      </c>
      <c r="C300" t="s">
        <v>286</v>
      </c>
      <c r="D300" t="s">
        <v>813</v>
      </c>
      <c r="E300" s="2">
        <v>9807</v>
      </c>
      <c r="F300" s="2">
        <v>3715</v>
      </c>
      <c r="G300" s="12">
        <f t="shared" si="12"/>
        <v>0.37881105332925463</v>
      </c>
      <c r="H300">
        <v>85</v>
      </c>
      <c r="I300">
        <v>10.59</v>
      </c>
      <c r="J300" s="2">
        <f t="shared" si="13"/>
        <v>6092</v>
      </c>
      <c r="K300" s="9">
        <f t="shared" si="14"/>
        <v>64514.28</v>
      </c>
    </row>
    <row r="301" spans="1:11" x14ac:dyDescent="0.35">
      <c r="A301" s="10" t="s">
        <v>911</v>
      </c>
      <c r="B301" s="10">
        <v>2282</v>
      </c>
      <c r="C301" t="s">
        <v>287</v>
      </c>
      <c r="D301" t="s">
        <v>854</v>
      </c>
      <c r="E301" s="2">
        <v>4331</v>
      </c>
      <c r="F301" s="2">
        <v>1678</v>
      </c>
      <c r="G301" s="12">
        <f t="shared" si="12"/>
        <v>0.38743939044100667</v>
      </c>
      <c r="H301">
        <v>85</v>
      </c>
      <c r="I301">
        <v>10.59</v>
      </c>
      <c r="J301" s="2">
        <f t="shared" si="13"/>
        <v>2653</v>
      </c>
      <c r="K301" s="9">
        <f t="shared" si="14"/>
        <v>28095.27</v>
      </c>
    </row>
    <row r="302" spans="1:11" x14ac:dyDescent="0.35">
      <c r="A302" s="10" t="s">
        <v>911</v>
      </c>
      <c r="B302" s="10">
        <v>2284</v>
      </c>
      <c r="C302" t="s">
        <v>288</v>
      </c>
      <c r="D302" t="s">
        <v>596</v>
      </c>
      <c r="E302" s="2">
        <v>6425</v>
      </c>
      <c r="F302" s="2">
        <v>3018</v>
      </c>
      <c r="G302" s="12">
        <f t="shared" si="12"/>
        <v>0.46972762645914395</v>
      </c>
      <c r="H302">
        <v>85</v>
      </c>
      <c r="I302">
        <v>10.59</v>
      </c>
      <c r="J302" s="2">
        <f t="shared" si="13"/>
        <v>3407</v>
      </c>
      <c r="K302" s="9">
        <f t="shared" si="14"/>
        <v>36080.129999999997</v>
      </c>
    </row>
    <row r="303" spans="1:11" x14ac:dyDescent="0.35">
      <c r="A303" s="10" t="s">
        <v>911</v>
      </c>
      <c r="B303" s="10">
        <v>2289</v>
      </c>
      <c r="C303" t="s">
        <v>289</v>
      </c>
      <c r="D303" t="s">
        <v>597</v>
      </c>
      <c r="E303" s="2">
        <v>9383</v>
      </c>
      <c r="F303" s="2">
        <v>3934</v>
      </c>
      <c r="G303" s="12">
        <f t="shared" si="12"/>
        <v>0.41926889054673344</v>
      </c>
      <c r="H303">
        <v>85</v>
      </c>
      <c r="I303">
        <v>10.59</v>
      </c>
      <c r="J303" s="2">
        <f t="shared" si="13"/>
        <v>5449</v>
      </c>
      <c r="K303" s="9">
        <f t="shared" si="14"/>
        <v>57704.909999999996</v>
      </c>
    </row>
    <row r="304" spans="1:11" x14ac:dyDescent="0.35">
      <c r="A304" s="10" t="s">
        <v>911</v>
      </c>
      <c r="B304" s="10">
        <v>2294</v>
      </c>
      <c r="C304" t="s">
        <v>290</v>
      </c>
      <c r="D304" t="s">
        <v>598</v>
      </c>
      <c r="E304" s="2">
        <v>2711</v>
      </c>
      <c r="F304" s="2">
        <v>801</v>
      </c>
      <c r="G304" s="12">
        <f t="shared" si="12"/>
        <v>0.29546292880855773</v>
      </c>
      <c r="H304">
        <v>85</v>
      </c>
      <c r="I304">
        <v>10.59</v>
      </c>
      <c r="J304" s="2">
        <f t="shared" si="13"/>
        <v>1910</v>
      </c>
      <c r="K304" s="9">
        <f t="shared" si="14"/>
        <v>20226.900000000001</v>
      </c>
    </row>
    <row r="305" spans="1:11" x14ac:dyDescent="0.35">
      <c r="A305" s="10" t="s">
        <v>911</v>
      </c>
      <c r="B305" s="10">
        <v>2300</v>
      </c>
      <c r="C305" t="s">
        <v>291</v>
      </c>
      <c r="D305" t="s">
        <v>599</v>
      </c>
      <c r="E305" s="2">
        <v>6492</v>
      </c>
      <c r="F305" s="2">
        <v>3091</v>
      </c>
      <c r="G305" s="12">
        <f t="shared" si="12"/>
        <v>0.47612446087492299</v>
      </c>
      <c r="H305">
        <v>85</v>
      </c>
      <c r="I305">
        <v>10.59</v>
      </c>
      <c r="J305" s="2">
        <f t="shared" si="13"/>
        <v>3401</v>
      </c>
      <c r="K305" s="9">
        <f t="shared" si="14"/>
        <v>36016.589999999997</v>
      </c>
    </row>
    <row r="306" spans="1:11" x14ac:dyDescent="0.35">
      <c r="A306" s="10" t="s">
        <v>911</v>
      </c>
      <c r="B306" s="10">
        <v>2304</v>
      </c>
      <c r="C306" t="s">
        <v>292</v>
      </c>
      <c r="D306" t="s">
        <v>600</v>
      </c>
      <c r="E306" s="2">
        <v>2234</v>
      </c>
      <c r="F306" s="2">
        <v>687</v>
      </c>
      <c r="G306" s="12">
        <f t="shared" si="12"/>
        <v>0.30752014324082366</v>
      </c>
      <c r="H306">
        <v>85</v>
      </c>
      <c r="I306">
        <v>10.59</v>
      </c>
      <c r="J306" s="2">
        <f t="shared" si="13"/>
        <v>1547</v>
      </c>
      <c r="K306" s="9">
        <f t="shared" si="14"/>
        <v>16382.73</v>
      </c>
    </row>
    <row r="307" spans="1:11" x14ac:dyDescent="0.35">
      <c r="A307" s="10" t="s">
        <v>911</v>
      </c>
      <c r="B307" s="10">
        <v>2316</v>
      </c>
      <c r="C307" t="s">
        <v>725</v>
      </c>
      <c r="D307" t="s">
        <v>848</v>
      </c>
      <c r="E307" s="2">
        <v>2802</v>
      </c>
      <c r="F307" s="2">
        <v>811</v>
      </c>
      <c r="G307" s="12">
        <f t="shared" si="12"/>
        <v>0.28943611705924338</v>
      </c>
      <c r="H307">
        <v>85</v>
      </c>
      <c r="I307">
        <v>10.59</v>
      </c>
      <c r="J307" s="2">
        <f t="shared" si="13"/>
        <v>1991</v>
      </c>
      <c r="K307" s="9">
        <f t="shared" si="14"/>
        <v>21084.69</v>
      </c>
    </row>
    <row r="308" spans="1:11" x14ac:dyDescent="0.35">
      <c r="A308" s="10" t="s">
        <v>911</v>
      </c>
      <c r="B308" s="10">
        <v>2317</v>
      </c>
      <c r="C308" t="s">
        <v>293</v>
      </c>
      <c r="D308" t="s">
        <v>601</v>
      </c>
      <c r="E308" s="2">
        <v>4681</v>
      </c>
      <c r="F308" s="2">
        <v>2539</v>
      </c>
      <c r="G308" s="12">
        <f t="shared" si="12"/>
        <v>0.54240546891689811</v>
      </c>
      <c r="H308">
        <v>85</v>
      </c>
      <c r="I308">
        <v>10.59</v>
      </c>
      <c r="J308" s="2">
        <f t="shared" si="13"/>
        <v>2142</v>
      </c>
      <c r="K308" s="9">
        <f t="shared" si="14"/>
        <v>22683.78</v>
      </c>
    </row>
    <row r="309" spans="1:11" x14ac:dyDescent="0.35">
      <c r="A309" s="10" t="s">
        <v>911</v>
      </c>
      <c r="B309" s="10">
        <v>2319</v>
      </c>
      <c r="C309" t="s">
        <v>294</v>
      </c>
      <c r="D309" t="s">
        <v>602</v>
      </c>
      <c r="E309" s="2">
        <v>3951</v>
      </c>
      <c r="F309" s="2">
        <v>2064</v>
      </c>
      <c r="G309" s="12">
        <f t="shared" si="12"/>
        <v>0.52239939255884582</v>
      </c>
      <c r="H309">
        <v>85</v>
      </c>
      <c r="I309">
        <v>10.59</v>
      </c>
      <c r="J309" s="2">
        <f t="shared" si="13"/>
        <v>1887</v>
      </c>
      <c r="K309" s="9">
        <f t="shared" si="14"/>
        <v>19983.329999999998</v>
      </c>
    </row>
    <row r="310" spans="1:11" x14ac:dyDescent="0.35">
      <c r="A310" s="10" t="s">
        <v>911</v>
      </c>
      <c r="B310" s="10">
        <v>2320</v>
      </c>
      <c r="C310" t="s">
        <v>887</v>
      </c>
      <c r="D310" t="s">
        <v>802</v>
      </c>
      <c r="E310" s="2">
        <v>2691</v>
      </c>
      <c r="F310" s="2">
        <v>1099</v>
      </c>
      <c r="G310" s="12">
        <f t="shared" si="12"/>
        <v>0.40839836492010406</v>
      </c>
      <c r="H310">
        <v>85</v>
      </c>
      <c r="I310">
        <v>10.59</v>
      </c>
      <c r="J310" s="2">
        <f t="shared" si="13"/>
        <v>1592</v>
      </c>
      <c r="K310" s="9">
        <f t="shared" si="14"/>
        <v>16859.28</v>
      </c>
    </row>
    <row r="311" spans="1:11" x14ac:dyDescent="0.35">
      <c r="A311" s="10" t="s">
        <v>911</v>
      </c>
      <c r="B311" s="10">
        <v>2321</v>
      </c>
      <c r="C311" t="s">
        <v>295</v>
      </c>
      <c r="D311" t="s">
        <v>603</v>
      </c>
      <c r="E311" s="2">
        <v>5653</v>
      </c>
      <c r="F311" s="2">
        <v>2348</v>
      </c>
      <c r="G311" s="12">
        <f t="shared" si="12"/>
        <v>0.41535467893154077</v>
      </c>
      <c r="H311">
        <v>85</v>
      </c>
      <c r="I311">
        <v>10.59</v>
      </c>
      <c r="J311" s="2">
        <f t="shared" si="13"/>
        <v>3305</v>
      </c>
      <c r="K311" s="9">
        <f t="shared" si="14"/>
        <v>34999.949999999997</v>
      </c>
    </row>
    <row r="312" spans="1:11" x14ac:dyDescent="0.35">
      <c r="A312" s="10" t="s">
        <v>911</v>
      </c>
      <c r="B312" s="10">
        <v>2325</v>
      </c>
      <c r="C312" t="s">
        <v>296</v>
      </c>
      <c r="D312" t="s">
        <v>604</v>
      </c>
      <c r="E312" s="2">
        <v>6930</v>
      </c>
      <c r="F312" s="2">
        <v>4054</v>
      </c>
      <c r="G312" s="12">
        <f t="shared" si="12"/>
        <v>0.58499278499278495</v>
      </c>
      <c r="H312">
        <v>85</v>
      </c>
      <c r="I312">
        <v>10.59</v>
      </c>
      <c r="J312" s="2">
        <f t="shared" si="13"/>
        <v>2876</v>
      </c>
      <c r="K312" s="9">
        <f t="shared" si="14"/>
        <v>30456.84</v>
      </c>
    </row>
    <row r="313" spans="1:11" x14ac:dyDescent="0.35">
      <c r="A313" s="10" t="s">
        <v>911</v>
      </c>
      <c r="B313" s="10">
        <v>2326</v>
      </c>
      <c r="C313" t="s">
        <v>297</v>
      </c>
      <c r="D313" t="s">
        <v>605</v>
      </c>
      <c r="E313" s="2">
        <v>7791</v>
      </c>
      <c r="F313" s="2">
        <v>3938</v>
      </c>
      <c r="G313" s="12">
        <f t="shared" si="12"/>
        <v>0.50545501219355671</v>
      </c>
      <c r="H313">
        <v>85</v>
      </c>
      <c r="I313">
        <v>10.59</v>
      </c>
      <c r="J313" s="2">
        <f t="shared" si="13"/>
        <v>3853</v>
      </c>
      <c r="K313" s="9">
        <f t="shared" si="14"/>
        <v>40803.269999999997</v>
      </c>
    </row>
    <row r="314" spans="1:11" x14ac:dyDescent="0.35">
      <c r="A314" s="10" t="s">
        <v>911</v>
      </c>
      <c r="B314" s="10">
        <v>2327</v>
      </c>
      <c r="C314" t="s">
        <v>298</v>
      </c>
      <c r="D314" t="s">
        <v>606</v>
      </c>
      <c r="E314" s="2">
        <v>6880</v>
      </c>
      <c r="F314" s="2">
        <v>2386</v>
      </c>
      <c r="G314" s="12">
        <f t="shared" si="12"/>
        <v>0.34680232558139534</v>
      </c>
      <c r="H314">
        <v>85</v>
      </c>
      <c r="I314">
        <v>10.59</v>
      </c>
      <c r="J314" s="2">
        <f t="shared" si="13"/>
        <v>4494</v>
      </c>
      <c r="K314" s="9">
        <f t="shared" si="14"/>
        <v>47591.46</v>
      </c>
    </row>
    <row r="315" spans="1:11" x14ac:dyDescent="0.35">
      <c r="A315" s="10" t="s">
        <v>911</v>
      </c>
      <c r="B315" s="10">
        <v>2328</v>
      </c>
      <c r="C315" t="s">
        <v>299</v>
      </c>
      <c r="D315" t="s">
        <v>607</v>
      </c>
      <c r="E315" s="2">
        <v>4777</v>
      </c>
      <c r="F315" s="2">
        <v>1620</v>
      </c>
      <c r="G315" s="12">
        <f t="shared" si="12"/>
        <v>0.33912497383294954</v>
      </c>
      <c r="H315">
        <v>85</v>
      </c>
      <c r="I315">
        <v>10.59</v>
      </c>
      <c r="J315" s="2">
        <f t="shared" si="13"/>
        <v>3157</v>
      </c>
      <c r="K315" s="9">
        <f t="shared" si="14"/>
        <v>33432.629999999997</v>
      </c>
    </row>
    <row r="316" spans="1:11" x14ac:dyDescent="0.35">
      <c r="A316" s="10" t="s">
        <v>911</v>
      </c>
      <c r="B316" s="10">
        <v>2330</v>
      </c>
      <c r="C316" t="s">
        <v>300</v>
      </c>
      <c r="D316" t="s">
        <v>866</v>
      </c>
      <c r="E316" s="2">
        <v>2962</v>
      </c>
      <c r="F316" s="2">
        <v>1036</v>
      </c>
      <c r="G316" s="12">
        <f t="shared" si="12"/>
        <v>0.34976367319378798</v>
      </c>
      <c r="H316">
        <v>85</v>
      </c>
      <c r="I316">
        <v>10.59</v>
      </c>
      <c r="J316" s="2">
        <f t="shared" si="13"/>
        <v>1926</v>
      </c>
      <c r="K316" s="9">
        <f t="shared" si="14"/>
        <v>20396.34</v>
      </c>
    </row>
    <row r="317" spans="1:11" x14ac:dyDescent="0.35">
      <c r="A317" s="10" t="s">
        <v>911</v>
      </c>
      <c r="B317" s="10">
        <v>2331</v>
      </c>
      <c r="C317" t="s">
        <v>301</v>
      </c>
      <c r="D317" t="s">
        <v>608</v>
      </c>
      <c r="E317" s="2">
        <v>7802</v>
      </c>
      <c r="F317" s="2">
        <v>2190</v>
      </c>
      <c r="G317" s="12">
        <f t="shared" si="12"/>
        <v>0.28069725711356064</v>
      </c>
      <c r="H317">
        <v>85</v>
      </c>
      <c r="I317">
        <v>10.59</v>
      </c>
      <c r="J317" s="2">
        <f t="shared" si="13"/>
        <v>5612</v>
      </c>
      <c r="K317" s="9">
        <f t="shared" si="14"/>
        <v>59431.08</v>
      </c>
    </row>
    <row r="318" spans="1:11" x14ac:dyDescent="0.35">
      <c r="A318" s="10" t="s">
        <v>911</v>
      </c>
      <c r="B318" s="10">
        <v>2332</v>
      </c>
      <c r="C318" t="s">
        <v>302</v>
      </c>
      <c r="D318" t="s">
        <v>609</v>
      </c>
      <c r="E318" s="2">
        <v>2441</v>
      </c>
      <c r="F318" s="2">
        <v>883</v>
      </c>
      <c r="G318" s="12">
        <f t="shared" si="12"/>
        <v>0.36173699303564111</v>
      </c>
      <c r="H318">
        <v>85</v>
      </c>
      <c r="I318">
        <v>10.59</v>
      </c>
      <c r="J318" s="2">
        <f t="shared" si="13"/>
        <v>1558</v>
      </c>
      <c r="K318" s="9">
        <f t="shared" si="14"/>
        <v>16499.22</v>
      </c>
    </row>
    <row r="319" spans="1:11" x14ac:dyDescent="0.35">
      <c r="A319" s="10" t="s">
        <v>911</v>
      </c>
      <c r="B319" s="10">
        <v>2333</v>
      </c>
      <c r="C319" t="s">
        <v>303</v>
      </c>
      <c r="D319" t="s">
        <v>610</v>
      </c>
      <c r="E319" s="2">
        <v>4002</v>
      </c>
      <c r="F319" s="2">
        <v>1824</v>
      </c>
      <c r="G319" s="12">
        <f t="shared" si="12"/>
        <v>0.45577211394302847</v>
      </c>
      <c r="H319">
        <v>85</v>
      </c>
      <c r="I319">
        <v>10.59</v>
      </c>
      <c r="J319" s="2">
        <f t="shared" si="13"/>
        <v>2178</v>
      </c>
      <c r="K319" s="9">
        <f t="shared" si="14"/>
        <v>23065.02</v>
      </c>
    </row>
    <row r="320" spans="1:11" x14ac:dyDescent="0.35">
      <c r="A320" s="10" t="s">
        <v>911</v>
      </c>
      <c r="B320" s="10">
        <v>2335</v>
      </c>
      <c r="C320" t="s">
        <v>304</v>
      </c>
      <c r="D320" t="s">
        <v>838</v>
      </c>
      <c r="E320" s="2">
        <v>3804</v>
      </c>
      <c r="F320" s="2">
        <v>2126</v>
      </c>
      <c r="G320" s="12">
        <f t="shared" si="12"/>
        <v>0.55888538380651942</v>
      </c>
      <c r="H320">
        <v>85</v>
      </c>
      <c r="I320">
        <v>10.59</v>
      </c>
      <c r="J320" s="2">
        <f t="shared" si="13"/>
        <v>1678</v>
      </c>
      <c r="K320" s="9">
        <f t="shared" si="14"/>
        <v>17770.02</v>
      </c>
    </row>
    <row r="321" spans="1:11" x14ac:dyDescent="0.35">
      <c r="A321" s="10" t="s">
        <v>911</v>
      </c>
      <c r="B321" s="10">
        <v>2336</v>
      </c>
      <c r="C321" t="s">
        <v>305</v>
      </c>
      <c r="D321" t="s">
        <v>611</v>
      </c>
      <c r="E321" s="2">
        <v>5397</v>
      </c>
      <c r="F321" s="2">
        <v>2950</v>
      </c>
      <c r="G321" s="12">
        <f t="shared" si="12"/>
        <v>0.54659996294237534</v>
      </c>
      <c r="H321">
        <v>85</v>
      </c>
      <c r="I321">
        <v>10.59</v>
      </c>
      <c r="J321" s="2">
        <f t="shared" si="13"/>
        <v>2447</v>
      </c>
      <c r="K321" s="9">
        <f t="shared" si="14"/>
        <v>25913.73</v>
      </c>
    </row>
    <row r="322" spans="1:11" x14ac:dyDescent="0.35">
      <c r="A322" s="10" t="s">
        <v>911</v>
      </c>
      <c r="B322" s="10">
        <v>2339</v>
      </c>
      <c r="C322" t="s">
        <v>306</v>
      </c>
      <c r="D322" t="s">
        <v>612</v>
      </c>
      <c r="E322" s="2">
        <v>5496</v>
      </c>
      <c r="F322" s="2">
        <v>2119</v>
      </c>
      <c r="G322" s="12">
        <f t="shared" si="12"/>
        <v>0.38555312954876275</v>
      </c>
      <c r="H322">
        <v>85</v>
      </c>
      <c r="I322">
        <v>10.59</v>
      </c>
      <c r="J322" s="2">
        <f t="shared" si="13"/>
        <v>3377</v>
      </c>
      <c r="K322" s="9">
        <f t="shared" si="14"/>
        <v>35762.43</v>
      </c>
    </row>
    <row r="323" spans="1:11" x14ac:dyDescent="0.35">
      <c r="A323" s="10" t="s">
        <v>911</v>
      </c>
      <c r="B323" s="10">
        <v>2344</v>
      </c>
      <c r="C323" t="s">
        <v>307</v>
      </c>
      <c r="D323" t="s">
        <v>613</v>
      </c>
      <c r="E323" s="2">
        <v>5014</v>
      </c>
      <c r="F323" s="2">
        <v>2161</v>
      </c>
      <c r="G323" s="12">
        <f t="shared" ref="G323:G386" si="15">F323/E323</f>
        <v>0.43099321898683685</v>
      </c>
      <c r="H323">
        <v>85</v>
      </c>
      <c r="I323">
        <v>10.59</v>
      </c>
      <c r="J323" s="2">
        <f t="shared" ref="J323:J386" si="16">E323-F323</f>
        <v>2853</v>
      </c>
      <c r="K323" s="9">
        <f t="shared" ref="K323:K386" si="17">J323*I323</f>
        <v>30213.27</v>
      </c>
    </row>
    <row r="324" spans="1:11" x14ac:dyDescent="0.35">
      <c r="A324" s="10" t="s">
        <v>911</v>
      </c>
      <c r="B324" s="10">
        <v>2346</v>
      </c>
      <c r="C324" t="s">
        <v>308</v>
      </c>
      <c r="D324" t="s">
        <v>614</v>
      </c>
      <c r="E324" s="2">
        <v>3244</v>
      </c>
      <c r="F324" s="2">
        <v>1397</v>
      </c>
      <c r="G324" s="12">
        <f t="shared" si="15"/>
        <v>0.43064118372379778</v>
      </c>
      <c r="H324">
        <v>85</v>
      </c>
      <c r="I324">
        <v>10.59</v>
      </c>
      <c r="J324" s="2">
        <f t="shared" si="16"/>
        <v>1847</v>
      </c>
      <c r="K324" s="9">
        <f t="shared" si="17"/>
        <v>19559.73</v>
      </c>
    </row>
    <row r="325" spans="1:11" x14ac:dyDescent="0.35">
      <c r="A325" s="10" t="s">
        <v>911</v>
      </c>
      <c r="B325" s="10">
        <v>2348</v>
      </c>
      <c r="C325" t="s">
        <v>767</v>
      </c>
      <c r="D325" t="s">
        <v>880</v>
      </c>
      <c r="E325" s="2">
        <v>2573</v>
      </c>
      <c r="F325" s="2">
        <v>1049</v>
      </c>
      <c r="G325" s="12">
        <f t="shared" si="15"/>
        <v>0.40769529731830551</v>
      </c>
      <c r="H325">
        <v>85</v>
      </c>
      <c r="I325">
        <v>10.59</v>
      </c>
      <c r="J325" s="2">
        <f t="shared" si="16"/>
        <v>1524</v>
      </c>
      <c r="K325" s="9">
        <f t="shared" si="17"/>
        <v>16139.16</v>
      </c>
    </row>
    <row r="326" spans="1:11" x14ac:dyDescent="0.35">
      <c r="A326" s="10" t="s">
        <v>911</v>
      </c>
      <c r="B326" s="10">
        <v>2350</v>
      </c>
      <c r="C326" t="s">
        <v>309</v>
      </c>
      <c r="D326" t="s">
        <v>615</v>
      </c>
      <c r="E326" s="2">
        <v>7805</v>
      </c>
      <c r="F326" s="2">
        <v>4011</v>
      </c>
      <c r="G326" s="12">
        <f t="shared" si="15"/>
        <v>0.51390134529147979</v>
      </c>
      <c r="H326">
        <v>85</v>
      </c>
      <c r="I326">
        <v>10.59</v>
      </c>
      <c r="J326" s="2">
        <f t="shared" si="16"/>
        <v>3794</v>
      </c>
      <c r="K326" s="9">
        <f t="shared" si="17"/>
        <v>40178.46</v>
      </c>
    </row>
    <row r="327" spans="1:11" x14ac:dyDescent="0.35">
      <c r="A327" s="10" t="s">
        <v>911</v>
      </c>
      <c r="B327" s="10">
        <v>2354</v>
      </c>
      <c r="C327" t="s">
        <v>310</v>
      </c>
      <c r="D327" t="s">
        <v>616</v>
      </c>
      <c r="E327" s="2">
        <v>6009</v>
      </c>
      <c r="F327" s="2">
        <v>1926</v>
      </c>
      <c r="G327" s="12">
        <f t="shared" si="15"/>
        <v>0.3205192211682476</v>
      </c>
      <c r="H327">
        <v>85</v>
      </c>
      <c r="I327">
        <v>10.59</v>
      </c>
      <c r="J327" s="2">
        <f t="shared" si="16"/>
        <v>4083</v>
      </c>
      <c r="K327" s="9">
        <f t="shared" si="17"/>
        <v>43238.97</v>
      </c>
    </row>
    <row r="328" spans="1:11" x14ac:dyDescent="0.35">
      <c r="A328" s="10" t="s">
        <v>911</v>
      </c>
      <c r="B328" s="10">
        <v>2356</v>
      </c>
      <c r="C328" t="s">
        <v>732</v>
      </c>
      <c r="D328" t="s">
        <v>617</v>
      </c>
      <c r="E328" s="2">
        <v>6429</v>
      </c>
      <c r="F328" s="2">
        <v>3119</v>
      </c>
      <c r="G328" s="12">
        <f t="shared" si="15"/>
        <v>0.48514543474879451</v>
      </c>
      <c r="H328">
        <v>85</v>
      </c>
      <c r="I328">
        <v>10.59</v>
      </c>
      <c r="J328" s="2">
        <f t="shared" si="16"/>
        <v>3310</v>
      </c>
      <c r="K328" s="9">
        <f t="shared" si="17"/>
        <v>35052.9</v>
      </c>
    </row>
    <row r="329" spans="1:11" x14ac:dyDescent="0.35">
      <c r="A329" s="10" t="s">
        <v>911</v>
      </c>
      <c r="B329" s="10">
        <v>2357</v>
      </c>
      <c r="C329" t="s">
        <v>311</v>
      </c>
      <c r="D329" t="s">
        <v>618</v>
      </c>
      <c r="E329" s="2">
        <v>6339</v>
      </c>
      <c r="F329" s="2">
        <v>2318</v>
      </c>
      <c r="G329" s="12">
        <f t="shared" si="15"/>
        <v>0.36567281905663351</v>
      </c>
      <c r="H329">
        <v>85</v>
      </c>
      <c r="I329">
        <v>10.59</v>
      </c>
      <c r="J329" s="2">
        <f t="shared" si="16"/>
        <v>4021</v>
      </c>
      <c r="K329" s="9">
        <f t="shared" si="17"/>
        <v>42582.39</v>
      </c>
    </row>
    <row r="330" spans="1:11" x14ac:dyDescent="0.35">
      <c r="A330" s="10" t="s">
        <v>911</v>
      </c>
      <c r="B330" s="10">
        <v>2358</v>
      </c>
      <c r="C330" t="s">
        <v>312</v>
      </c>
      <c r="D330" t="s">
        <v>619</v>
      </c>
      <c r="E330" s="2">
        <v>7002</v>
      </c>
      <c r="F330" s="2">
        <v>3533</v>
      </c>
      <c r="G330" s="12">
        <f t="shared" si="15"/>
        <v>0.50457012282205083</v>
      </c>
      <c r="H330">
        <v>85</v>
      </c>
      <c r="I330">
        <v>10.59</v>
      </c>
      <c r="J330" s="2">
        <f t="shared" si="16"/>
        <v>3469</v>
      </c>
      <c r="K330" s="9">
        <f t="shared" si="17"/>
        <v>36736.71</v>
      </c>
    </row>
    <row r="331" spans="1:11" x14ac:dyDescent="0.35">
      <c r="A331" s="10" t="s">
        <v>911</v>
      </c>
      <c r="B331" s="10">
        <v>2360</v>
      </c>
      <c r="C331" t="s">
        <v>313</v>
      </c>
      <c r="D331" t="s">
        <v>620</v>
      </c>
      <c r="E331" s="2">
        <v>7397</v>
      </c>
      <c r="F331" s="2">
        <v>4249</v>
      </c>
      <c r="G331" s="12">
        <f t="shared" si="15"/>
        <v>0.57442206299851295</v>
      </c>
      <c r="H331">
        <v>85</v>
      </c>
      <c r="I331">
        <v>10.59</v>
      </c>
      <c r="J331" s="2">
        <f t="shared" si="16"/>
        <v>3148</v>
      </c>
      <c r="K331" s="9">
        <f t="shared" si="17"/>
        <v>33337.32</v>
      </c>
    </row>
    <row r="332" spans="1:11" x14ac:dyDescent="0.35">
      <c r="A332" s="10" t="s">
        <v>911</v>
      </c>
      <c r="B332" s="10">
        <v>2362</v>
      </c>
      <c r="C332" t="s">
        <v>314</v>
      </c>
      <c r="D332" t="s">
        <v>621</v>
      </c>
      <c r="E332" s="2">
        <v>4210</v>
      </c>
      <c r="F332" s="2">
        <v>1624</v>
      </c>
      <c r="G332" s="12">
        <f t="shared" si="15"/>
        <v>0.38574821852731589</v>
      </c>
      <c r="H332">
        <v>85</v>
      </c>
      <c r="I332">
        <v>10.59</v>
      </c>
      <c r="J332" s="2">
        <f t="shared" si="16"/>
        <v>2586</v>
      </c>
      <c r="K332" s="9">
        <f t="shared" si="17"/>
        <v>27385.739999999998</v>
      </c>
    </row>
    <row r="333" spans="1:11" x14ac:dyDescent="0.35">
      <c r="A333" s="10" t="s">
        <v>911</v>
      </c>
      <c r="B333" s="10">
        <v>2363</v>
      </c>
      <c r="C333" t="s">
        <v>315</v>
      </c>
      <c r="D333" t="s">
        <v>622</v>
      </c>
      <c r="E333" s="2">
        <v>4069</v>
      </c>
      <c r="F333" s="2">
        <v>1224</v>
      </c>
      <c r="G333" s="12">
        <f t="shared" si="15"/>
        <v>0.30081101007618577</v>
      </c>
      <c r="H333">
        <v>85</v>
      </c>
      <c r="I333">
        <v>10.59</v>
      </c>
      <c r="J333" s="2">
        <f t="shared" si="16"/>
        <v>2845</v>
      </c>
      <c r="K333" s="9">
        <f t="shared" si="17"/>
        <v>30128.55</v>
      </c>
    </row>
    <row r="334" spans="1:11" x14ac:dyDescent="0.35">
      <c r="A334" s="10" t="s">
        <v>911</v>
      </c>
      <c r="B334" s="10">
        <v>2367</v>
      </c>
      <c r="C334" t="s">
        <v>316</v>
      </c>
      <c r="D334" t="s">
        <v>623</v>
      </c>
      <c r="E334" s="2">
        <v>2993</v>
      </c>
      <c r="F334" s="2">
        <v>1147</v>
      </c>
      <c r="G334" s="12">
        <f t="shared" si="15"/>
        <v>0.38322753090544603</v>
      </c>
      <c r="H334">
        <v>85</v>
      </c>
      <c r="I334">
        <v>10.59</v>
      </c>
      <c r="J334" s="2">
        <f t="shared" si="16"/>
        <v>1846</v>
      </c>
      <c r="K334" s="9">
        <f t="shared" si="17"/>
        <v>19549.14</v>
      </c>
    </row>
    <row r="335" spans="1:11" x14ac:dyDescent="0.35">
      <c r="A335" s="10" t="s">
        <v>911</v>
      </c>
      <c r="B335" s="10">
        <v>2368</v>
      </c>
      <c r="C335" t="s">
        <v>317</v>
      </c>
      <c r="D335" t="s">
        <v>757</v>
      </c>
      <c r="E335" s="2">
        <v>5233</v>
      </c>
      <c r="F335" s="2">
        <v>1406</v>
      </c>
      <c r="G335" s="12">
        <f t="shared" si="15"/>
        <v>0.26867953372826292</v>
      </c>
      <c r="H335">
        <v>85</v>
      </c>
      <c r="I335">
        <v>10.59</v>
      </c>
      <c r="J335" s="2">
        <f t="shared" si="16"/>
        <v>3827</v>
      </c>
      <c r="K335" s="9">
        <f t="shared" si="17"/>
        <v>40527.93</v>
      </c>
    </row>
    <row r="336" spans="1:11" x14ac:dyDescent="0.35">
      <c r="A336" s="10" t="s">
        <v>911</v>
      </c>
      <c r="B336" s="10">
        <v>2371</v>
      </c>
      <c r="C336" t="s">
        <v>318</v>
      </c>
      <c r="D336" t="s">
        <v>624</v>
      </c>
      <c r="E336" s="2">
        <v>5647</v>
      </c>
      <c r="F336" s="2">
        <v>3407</v>
      </c>
      <c r="G336" s="12">
        <f t="shared" si="15"/>
        <v>0.60332920134584733</v>
      </c>
      <c r="H336">
        <v>85</v>
      </c>
      <c r="I336">
        <v>10.59</v>
      </c>
      <c r="J336" s="2">
        <f t="shared" si="16"/>
        <v>2240</v>
      </c>
      <c r="K336" s="9">
        <f t="shared" si="17"/>
        <v>23721.599999999999</v>
      </c>
    </row>
    <row r="337" spans="1:11" x14ac:dyDescent="0.35">
      <c r="A337" s="10" t="s">
        <v>911</v>
      </c>
      <c r="B337" s="10">
        <v>2373</v>
      </c>
      <c r="C337" t="s">
        <v>319</v>
      </c>
      <c r="D337" t="s">
        <v>625</v>
      </c>
      <c r="E337" s="2">
        <v>3246</v>
      </c>
      <c r="F337" s="2">
        <v>1249</v>
      </c>
      <c r="G337" s="12">
        <f t="shared" si="15"/>
        <v>0.38478126925446704</v>
      </c>
      <c r="H337">
        <v>85</v>
      </c>
      <c r="I337">
        <v>10.59</v>
      </c>
      <c r="J337" s="2">
        <f t="shared" si="16"/>
        <v>1997</v>
      </c>
      <c r="K337" s="9">
        <f t="shared" si="17"/>
        <v>21148.23</v>
      </c>
    </row>
    <row r="338" spans="1:11" x14ac:dyDescent="0.35">
      <c r="A338" s="10" t="s">
        <v>911</v>
      </c>
      <c r="B338" s="10">
        <v>2375</v>
      </c>
      <c r="C338" t="s">
        <v>320</v>
      </c>
      <c r="D338" t="s">
        <v>626</v>
      </c>
      <c r="E338" s="2">
        <v>3200</v>
      </c>
      <c r="F338" s="2">
        <v>1361</v>
      </c>
      <c r="G338" s="12">
        <f t="shared" si="15"/>
        <v>0.42531249999999998</v>
      </c>
      <c r="H338">
        <v>85</v>
      </c>
      <c r="I338">
        <v>10.59</v>
      </c>
      <c r="J338" s="2">
        <f t="shared" si="16"/>
        <v>1839</v>
      </c>
      <c r="K338" s="9">
        <f t="shared" si="17"/>
        <v>19475.009999999998</v>
      </c>
    </row>
    <row r="339" spans="1:11" x14ac:dyDescent="0.35">
      <c r="A339" s="10" t="s">
        <v>911</v>
      </c>
      <c r="B339" s="10">
        <v>2382</v>
      </c>
      <c r="C339" t="s">
        <v>321</v>
      </c>
      <c r="D339" t="s">
        <v>628</v>
      </c>
      <c r="E339" s="2">
        <v>4407</v>
      </c>
      <c r="F339" s="2">
        <v>1779</v>
      </c>
      <c r="G339" s="12">
        <f t="shared" si="15"/>
        <v>0.40367597004765149</v>
      </c>
      <c r="H339">
        <v>85</v>
      </c>
      <c r="I339">
        <v>10.59</v>
      </c>
      <c r="J339" s="2">
        <f t="shared" si="16"/>
        <v>2628</v>
      </c>
      <c r="K339" s="9">
        <f t="shared" si="17"/>
        <v>27830.52</v>
      </c>
    </row>
    <row r="340" spans="1:11" x14ac:dyDescent="0.35">
      <c r="A340" s="10" t="s">
        <v>911</v>
      </c>
      <c r="B340" s="10">
        <v>2388</v>
      </c>
      <c r="C340" t="s">
        <v>705</v>
      </c>
      <c r="D340" t="s">
        <v>629</v>
      </c>
      <c r="E340" s="2">
        <v>11188</v>
      </c>
      <c r="F340" s="2">
        <v>5670</v>
      </c>
      <c r="G340" s="12">
        <f t="shared" si="15"/>
        <v>0.50679299249195564</v>
      </c>
      <c r="H340">
        <v>85</v>
      </c>
      <c r="I340">
        <v>10.59</v>
      </c>
      <c r="J340" s="2">
        <f t="shared" si="16"/>
        <v>5518</v>
      </c>
      <c r="K340" s="9">
        <f t="shared" si="17"/>
        <v>58435.62</v>
      </c>
    </row>
    <row r="341" spans="1:11" x14ac:dyDescent="0.35">
      <c r="A341" s="10" t="s">
        <v>911</v>
      </c>
      <c r="B341" s="10">
        <v>2389</v>
      </c>
      <c r="C341" t="s">
        <v>322</v>
      </c>
      <c r="D341" t="s">
        <v>685</v>
      </c>
      <c r="E341" s="2">
        <v>2571</v>
      </c>
      <c r="F341" s="2">
        <v>1683</v>
      </c>
      <c r="G341" s="12">
        <f t="shared" si="15"/>
        <v>0.65460910151691953</v>
      </c>
      <c r="H341">
        <v>85</v>
      </c>
      <c r="I341">
        <v>10.59</v>
      </c>
      <c r="J341" s="2">
        <f t="shared" si="16"/>
        <v>888</v>
      </c>
      <c r="K341" s="9">
        <f t="shared" si="17"/>
        <v>9403.92</v>
      </c>
    </row>
    <row r="342" spans="1:11" x14ac:dyDescent="0.35">
      <c r="A342" s="10" t="s">
        <v>911</v>
      </c>
      <c r="B342" s="10">
        <v>2390</v>
      </c>
      <c r="C342" t="s">
        <v>323</v>
      </c>
      <c r="D342" t="s">
        <v>630</v>
      </c>
      <c r="E342" s="2">
        <v>25116</v>
      </c>
      <c r="F342" s="2">
        <v>13143</v>
      </c>
      <c r="G342" s="12">
        <f t="shared" si="15"/>
        <v>0.52329192546583847</v>
      </c>
      <c r="H342">
        <v>85</v>
      </c>
      <c r="I342">
        <v>10.59</v>
      </c>
      <c r="J342" s="2">
        <f t="shared" si="16"/>
        <v>11973</v>
      </c>
      <c r="K342" s="9">
        <f t="shared" si="17"/>
        <v>126794.06999999999</v>
      </c>
    </row>
    <row r="343" spans="1:11" x14ac:dyDescent="0.35">
      <c r="A343" s="10" t="s">
        <v>911</v>
      </c>
      <c r="B343" s="10">
        <v>2397</v>
      </c>
      <c r="C343" t="s">
        <v>324</v>
      </c>
      <c r="D343" t="s">
        <v>800</v>
      </c>
      <c r="E343" s="2">
        <v>6121</v>
      </c>
      <c r="F343" s="2">
        <v>3175</v>
      </c>
      <c r="G343" s="12">
        <f t="shared" si="15"/>
        <v>0.5187060937755269</v>
      </c>
      <c r="H343">
        <v>85</v>
      </c>
      <c r="I343">
        <v>10.59</v>
      </c>
      <c r="J343" s="2">
        <f t="shared" si="16"/>
        <v>2946</v>
      </c>
      <c r="K343" s="9">
        <f t="shared" si="17"/>
        <v>31198.14</v>
      </c>
    </row>
    <row r="344" spans="1:11" x14ac:dyDescent="0.35">
      <c r="A344" s="10" t="s">
        <v>911</v>
      </c>
      <c r="B344" s="10">
        <v>2402</v>
      </c>
      <c r="C344" t="s">
        <v>325</v>
      </c>
      <c r="D344" t="s">
        <v>631</v>
      </c>
      <c r="E344" s="2">
        <v>2642</v>
      </c>
      <c r="F344" s="2">
        <v>932</v>
      </c>
      <c r="G344" s="12">
        <f t="shared" si="15"/>
        <v>0.35276305828917487</v>
      </c>
      <c r="H344">
        <v>85</v>
      </c>
      <c r="I344">
        <v>10.59</v>
      </c>
      <c r="J344" s="2">
        <f t="shared" si="16"/>
        <v>1710</v>
      </c>
      <c r="K344" s="9">
        <f t="shared" si="17"/>
        <v>18108.900000000001</v>
      </c>
    </row>
    <row r="345" spans="1:11" x14ac:dyDescent="0.35">
      <c r="A345" s="10" t="s">
        <v>911</v>
      </c>
      <c r="B345" s="10">
        <v>2404</v>
      </c>
      <c r="C345" t="s">
        <v>326</v>
      </c>
      <c r="D345" t="s">
        <v>632</v>
      </c>
      <c r="E345" s="2">
        <v>7806</v>
      </c>
      <c r="F345" s="2">
        <v>2997</v>
      </c>
      <c r="G345" s="12">
        <f t="shared" si="15"/>
        <v>0.38393543428132204</v>
      </c>
      <c r="H345">
        <v>85</v>
      </c>
      <c r="I345">
        <v>10.59</v>
      </c>
      <c r="J345" s="2">
        <f t="shared" si="16"/>
        <v>4809</v>
      </c>
      <c r="K345" s="9">
        <f t="shared" si="17"/>
        <v>50927.31</v>
      </c>
    </row>
    <row r="346" spans="1:11" x14ac:dyDescent="0.35">
      <c r="A346" s="10" t="s">
        <v>911</v>
      </c>
      <c r="B346" s="10">
        <v>2405</v>
      </c>
      <c r="C346" t="s">
        <v>327</v>
      </c>
      <c r="D346" t="s">
        <v>633</v>
      </c>
      <c r="E346" s="2">
        <v>4980</v>
      </c>
      <c r="F346" s="2">
        <v>1675</v>
      </c>
      <c r="G346" s="12">
        <f t="shared" si="15"/>
        <v>0.33634538152610444</v>
      </c>
      <c r="H346">
        <v>85</v>
      </c>
      <c r="I346">
        <v>10.59</v>
      </c>
      <c r="J346" s="2">
        <f t="shared" si="16"/>
        <v>3305</v>
      </c>
      <c r="K346" s="9">
        <f t="shared" si="17"/>
        <v>34999.949999999997</v>
      </c>
    </row>
    <row r="347" spans="1:11" x14ac:dyDescent="0.35">
      <c r="A347" s="10" t="s">
        <v>911</v>
      </c>
      <c r="B347" s="10">
        <v>2412</v>
      </c>
      <c r="C347" t="s">
        <v>328</v>
      </c>
      <c r="D347" t="s">
        <v>634</v>
      </c>
      <c r="E347" s="2">
        <v>6595</v>
      </c>
      <c r="F347" s="2">
        <v>2014</v>
      </c>
      <c r="G347" s="12">
        <f t="shared" si="15"/>
        <v>0.30538286580742985</v>
      </c>
      <c r="H347">
        <v>85</v>
      </c>
      <c r="I347">
        <v>10.59</v>
      </c>
      <c r="J347" s="2">
        <f t="shared" si="16"/>
        <v>4581</v>
      </c>
      <c r="K347" s="9">
        <f t="shared" si="17"/>
        <v>48512.79</v>
      </c>
    </row>
    <row r="348" spans="1:11" x14ac:dyDescent="0.35">
      <c r="A348" s="10" t="s">
        <v>911</v>
      </c>
      <c r="B348" s="10">
        <v>2415</v>
      </c>
      <c r="C348" t="s">
        <v>329</v>
      </c>
      <c r="D348" t="s">
        <v>635</v>
      </c>
      <c r="E348" s="2">
        <v>3559</v>
      </c>
      <c r="F348" s="2">
        <v>2041</v>
      </c>
      <c r="G348" s="12">
        <f t="shared" si="15"/>
        <v>0.57347569542006183</v>
      </c>
      <c r="H348">
        <v>85</v>
      </c>
      <c r="I348">
        <v>10.59</v>
      </c>
      <c r="J348" s="2">
        <f t="shared" si="16"/>
        <v>1518</v>
      </c>
      <c r="K348" s="9">
        <f t="shared" si="17"/>
        <v>16075.619999999999</v>
      </c>
    </row>
    <row r="349" spans="1:11" x14ac:dyDescent="0.35">
      <c r="A349" s="10" t="s">
        <v>911</v>
      </c>
      <c r="B349" s="10">
        <v>2417</v>
      </c>
      <c r="C349" t="s">
        <v>330</v>
      </c>
      <c r="D349" t="s">
        <v>636</v>
      </c>
      <c r="E349" s="2">
        <v>3166</v>
      </c>
      <c r="F349" s="2">
        <v>1205</v>
      </c>
      <c r="G349" s="12">
        <f t="shared" si="15"/>
        <v>0.38060644346178141</v>
      </c>
      <c r="H349">
        <v>85</v>
      </c>
      <c r="I349">
        <v>10.59</v>
      </c>
      <c r="J349" s="2">
        <f t="shared" si="16"/>
        <v>1961</v>
      </c>
      <c r="K349" s="9">
        <f t="shared" si="17"/>
        <v>20766.989999999998</v>
      </c>
    </row>
    <row r="350" spans="1:11" x14ac:dyDescent="0.35">
      <c r="A350" s="10" t="s">
        <v>911</v>
      </c>
      <c r="B350" s="10">
        <v>2418</v>
      </c>
      <c r="C350" t="s">
        <v>331</v>
      </c>
      <c r="D350" t="s">
        <v>637</v>
      </c>
      <c r="E350" s="2">
        <v>4813</v>
      </c>
      <c r="F350" s="2">
        <v>2722</v>
      </c>
      <c r="G350" s="12">
        <f t="shared" si="15"/>
        <v>0.56555163099937666</v>
      </c>
      <c r="H350">
        <v>85</v>
      </c>
      <c r="I350">
        <v>10.59</v>
      </c>
      <c r="J350" s="2">
        <f t="shared" si="16"/>
        <v>2091</v>
      </c>
      <c r="K350" s="9">
        <f t="shared" si="17"/>
        <v>22143.69</v>
      </c>
    </row>
    <row r="351" spans="1:11" x14ac:dyDescent="0.35">
      <c r="A351" s="10" t="s">
        <v>911</v>
      </c>
      <c r="B351" s="10">
        <v>2422</v>
      </c>
      <c r="C351" t="s">
        <v>332</v>
      </c>
      <c r="D351" t="s">
        <v>638</v>
      </c>
      <c r="E351" s="2">
        <v>2934</v>
      </c>
      <c r="F351" s="2">
        <v>1378</v>
      </c>
      <c r="G351" s="12">
        <f t="shared" si="15"/>
        <v>0.46966598500340834</v>
      </c>
      <c r="H351">
        <v>85</v>
      </c>
      <c r="I351">
        <v>10.59</v>
      </c>
      <c r="J351" s="2">
        <f t="shared" si="16"/>
        <v>1556</v>
      </c>
      <c r="K351" s="9">
        <f t="shared" si="17"/>
        <v>16478.04</v>
      </c>
    </row>
    <row r="352" spans="1:11" x14ac:dyDescent="0.35">
      <c r="A352" s="10" t="s">
        <v>911</v>
      </c>
      <c r="B352" s="10">
        <v>2423</v>
      </c>
      <c r="C352" t="s">
        <v>333</v>
      </c>
      <c r="D352" t="s">
        <v>639</v>
      </c>
      <c r="E352" s="2">
        <v>5866</v>
      </c>
      <c r="F352" s="2">
        <v>2578</v>
      </c>
      <c r="G352" s="12">
        <f t="shared" si="15"/>
        <v>0.4394817592908285</v>
      </c>
      <c r="H352">
        <v>85</v>
      </c>
      <c r="I352">
        <v>10.59</v>
      </c>
      <c r="J352" s="2">
        <f t="shared" si="16"/>
        <v>3288</v>
      </c>
      <c r="K352" s="9">
        <f t="shared" si="17"/>
        <v>34819.919999999998</v>
      </c>
    </row>
    <row r="353" spans="1:11" x14ac:dyDescent="0.35">
      <c r="A353" s="10" t="s">
        <v>911</v>
      </c>
      <c r="B353" s="10">
        <v>2426</v>
      </c>
      <c r="C353" t="s">
        <v>334</v>
      </c>
      <c r="D353" t="s">
        <v>786</v>
      </c>
      <c r="E353" s="2">
        <v>1660</v>
      </c>
      <c r="F353" s="2">
        <v>615</v>
      </c>
      <c r="G353" s="12">
        <f t="shared" si="15"/>
        <v>0.37048192771084337</v>
      </c>
      <c r="H353">
        <v>85</v>
      </c>
      <c r="I353">
        <v>10.59</v>
      </c>
      <c r="J353" s="2">
        <f t="shared" si="16"/>
        <v>1045</v>
      </c>
      <c r="K353" s="9">
        <f t="shared" si="17"/>
        <v>11066.55</v>
      </c>
    </row>
    <row r="354" spans="1:11" x14ac:dyDescent="0.35">
      <c r="A354" s="10" t="s">
        <v>911</v>
      </c>
      <c r="B354" s="10">
        <v>2427</v>
      </c>
      <c r="C354" t="s">
        <v>335</v>
      </c>
      <c r="D354" t="s">
        <v>640</v>
      </c>
      <c r="E354" s="2">
        <v>4010</v>
      </c>
      <c r="F354" s="2">
        <v>1574</v>
      </c>
      <c r="G354" s="12">
        <f t="shared" si="15"/>
        <v>0.39251870324189525</v>
      </c>
      <c r="H354">
        <v>85</v>
      </c>
      <c r="I354">
        <v>10.59</v>
      </c>
      <c r="J354" s="2">
        <f t="shared" si="16"/>
        <v>2436</v>
      </c>
      <c r="K354" s="9">
        <f t="shared" si="17"/>
        <v>25797.239999999998</v>
      </c>
    </row>
    <row r="355" spans="1:11" x14ac:dyDescent="0.35">
      <c r="A355" s="10" t="s">
        <v>911</v>
      </c>
      <c r="B355" s="10">
        <v>2428</v>
      </c>
      <c r="C355" t="s">
        <v>656</v>
      </c>
      <c r="D355" t="s">
        <v>659</v>
      </c>
      <c r="E355" s="2">
        <v>5408</v>
      </c>
      <c r="F355" s="2">
        <v>2369</v>
      </c>
      <c r="G355" s="12">
        <f t="shared" si="15"/>
        <v>0.43805473372781067</v>
      </c>
      <c r="H355">
        <v>85</v>
      </c>
      <c r="I355">
        <v>10.59</v>
      </c>
      <c r="J355" s="2">
        <f t="shared" si="16"/>
        <v>3039</v>
      </c>
      <c r="K355" s="9">
        <f t="shared" si="17"/>
        <v>32183.01</v>
      </c>
    </row>
    <row r="356" spans="1:11" x14ac:dyDescent="0.35">
      <c r="A356" s="10" t="s">
        <v>911</v>
      </c>
      <c r="B356" s="10">
        <v>2429</v>
      </c>
      <c r="C356" t="s">
        <v>336</v>
      </c>
      <c r="D356" t="s">
        <v>885</v>
      </c>
      <c r="E356" s="2">
        <v>3472</v>
      </c>
      <c r="F356" s="2">
        <v>1533</v>
      </c>
      <c r="G356" s="12">
        <f t="shared" si="15"/>
        <v>0.44153225806451613</v>
      </c>
      <c r="H356">
        <v>85</v>
      </c>
      <c r="I356">
        <v>10.59</v>
      </c>
      <c r="J356" s="2">
        <f t="shared" si="16"/>
        <v>1939</v>
      </c>
      <c r="K356" s="9">
        <f t="shared" si="17"/>
        <v>20534.009999999998</v>
      </c>
    </row>
    <row r="357" spans="1:11" x14ac:dyDescent="0.35">
      <c r="A357" s="10" t="s">
        <v>911</v>
      </c>
      <c r="B357" s="10">
        <v>2430</v>
      </c>
      <c r="C357" t="s">
        <v>337</v>
      </c>
      <c r="D357" t="s">
        <v>825</v>
      </c>
      <c r="E357" s="2">
        <v>6688</v>
      </c>
      <c r="F357" s="2">
        <v>3399</v>
      </c>
      <c r="G357" s="12">
        <f t="shared" si="15"/>
        <v>0.50822368421052633</v>
      </c>
      <c r="H357">
        <v>85</v>
      </c>
      <c r="I357">
        <v>10.59</v>
      </c>
      <c r="J357" s="2">
        <f t="shared" si="16"/>
        <v>3289</v>
      </c>
      <c r="K357" s="9">
        <f t="shared" si="17"/>
        <v>34830.51</v>
      </c>
    </row>
    <row r="358" spans="1:11" x14ac:dyDescent="0.35">
      <c r="A358" s="10" t="s">
        <v>911</v>
      </c>
      <c r="B358" s="10">
        <v>2434</v>
      </c>
      <c r="C358" t="s">
        <v>338</v>
      </c>
      <c r="D358" t="s">
        <v>882</v>
      </c>
      <c r="E358" s="2">
        <v>6297</v>
      </c>
      <c r="F358" s="2">
        <v>2700</v>
      </c>
      <c r="G358" s="12">
        <f t="shared" si="15"/>
        <v>0.42877560743211052</v>
      </c>
      <c r="H358">
        <v>85</v>
      </c>
      <c r="I358">
        <v>10.59</v>
      </c>
      <c r="J358" s="2">
        <f t="shared" si="16"/>
        <v>3597</v>
      </c>
      <c r="K358" s="9">
        <f t="shared" si="17"/>
        <v>38092.229999999996</v>
      </c>
    </row>
    <row r="359" spans="1:11" x14ac:dyDescent="0.35">
      <c r="A359" s="10" t="s">
        <v>911</v>
      </c>
      <c r="B359" s="10">
        <v>2438</v>
      </c>
      <c r="C359" t="s">
        <v>339</v>
      </c>
      <c r="D359" t="s">
        <v>642</v>
      </c>
      <c r="E359" s="2">
        <v>4018</v>
      </c>
      <c r="F359" s="2">
        <v>1297</v>
      </c>
      <c r="G359" s="12">
        <f t="shared" si="15"/>
        <v>0.32279741164758585</v>
      </c>
      <c r="H359">
        <v>85</v>
      </c>
      <c r="I359">
        <v>10.59</v>
      </c>
      <c r="J359" s="2">
        <f t="shared" si="16"/>
        <v>2721</v>
      </c>
      <c r="K359" s="9">
        <f t="shared" si="17"/>
        <v>28815.39</v>
      </c>
    </row>
    <row r="360" spans="1:11" x14ac:dyDescent="0.35">
      <c r="A360" s="10" t="s">
        <v>911</v>
      </c>
      <c r="B360" s="10">
        <v>2441</v>
      </c>
      <c r="C360" t="s">
        <v>743</v>
      </c>
      <c r="D360" t="s">
        <v>643</v>
      </c>
      <c r="E360" s="2">
        <v>6669</v>
      </c>
      <c r="F360" s="2">
        <v>2326</v>
      </c>
      <c r="G360" s="12">
        <f t="shared" si="15"/>
        <v>0.34877792772529614</v>
      </c>
      <c r="H360">
        <v>85</v>
      </c>
      <c r="I360">
        <v>10.59</v>
      </c>
      <c r="J360" s="2">
        <f t="shared" si="16"/>
        <v>4343</v>
      </c>
      <c r="K360" s="9">
        <f t="shared" si="17"/>
        <v>45992.37</v>
      </c>
    </row>
    <row r="361" spans="1:11" x14ac:dyDescent="0.35">
      <c r="A361" s="10" t="s">
        <v>911</v>
      </c>
      <c r="B361" s="10">
        <v>2445</v>
      </c>
      <c r="C361" t="s">
        <v>340</v>
      </c>
      <c r="D361" t="s">
        <v>834</v>
      </c>
      <c r="E361" s="2">
        <v>6610</v>
      </c>
      <c r="F361" s="2">
        <v>2927</v>
      </c>
      <c r="G361" s="12">
        <f t="shared" si="15"/>
        <v>0.44281391830559758</v>
      </c>
      <c r="H361">
        <v>85</v>
      </c>
      <c r="I361">
        <v>10.59</v>
      </c>
      <c r="J361" s="2">
        <f t="shared" si="16"/>
        <v>3683</v>
      </c>
      <c r="K361" s="9">
        <f t="shared" si="17"/>
        <v>39002.97</v>
      </c>
    </row>
    <row r="362" spans="1:11" x14ac:dyDescent="0.35">
      <c r="A362" s="10" t="s">
        <v>911</v>
      </c>
      <c r="B362" s="10">
        <v>2451</v>
      </c>
      <c r="C362" t="s">
        <v>341</v>
      </c>
      <c r="D362" t="s">
        <v>644</v>
      </c>
      <c r="E362" s="2">
        <v>3981</v>
      </c>
      <c r="F362" s="2">
        <v>1579</v>
      </c>
      <c r="G362" s="12">
        <f t="shared" si="15"/>
        <v>0.3966340115548857</v>
      </c>
      <c r="H362">
        <v>85</v>
      </c>
      <c r="I362">
        <v>10.59</v>
      </c>
      <c r="J362" s="2">
        <f t="shared" si="16"/>
        <v>2402</v>
      </c>
      <c r="K362" s="9">
        <f t="shared" si="17"/>
        <v>25437.18</v>
      </c>
    </row>
    <row r="363" spans="1:11" x14ac:dyDescent="0.35">
      <c r="A363" s="10" t="s">
        <v>911</v>
      </c>
      <c r="B363" s="10">
        <v>2452</v>
      </c>
      <c r="C363" t="s">
        <v>342</v>
      </c>
      <c r="D363" t="s">
        <v>736</v>
      </c>
      <c r="E363" s="2">
        <v>8953</v>
      </c>
      <c r="F363" s="2">
        <v>4848</v>
      </c>
      <c r="G363" s="12">
        <f t="shared" si="15"/>
        <v>0.54149447112699656</v>
      </c>
      <c r="H363">
        <v>85</v>
      </c>
      <c r="I363">
        <v>10.59</v>
      </c>
      <c r="J363" s="2">
        <f t="shared" si="16"/>
        <v>4105</v>
      </c>
      <c r="K363" s="9">
        <f t="shared" si="17"/>
        <v>43471.95</v>
      </c>
    </row>
    <row r="364" spans="1:11" x14ac:dyDescent="0.35">
      <c r="A364" s="10" t="s">
        <v>911</v>
      </c>
      <c r="B364" s="10">
        <v>2453</v>
      </c>
      <c r="C364" t="s">
        <v>711</v>
      </c>
      <c r="D364" t="s">
        <v>645</v>
      </c>
      <c r="E364" s="2">
        <v>6534</v>
      </c>
      <c r="F364" s="2">
        <v>2127</v>
      </c>
      <c r="G364" s="12">
        <f t="shared" si="15"/>
        <v>0.32552800734618914</v>
      </c>
      <c r="H364">
        <v>85</v>
      </c>
      <c r="I364">
        <v>10.59</v>
      </c>
      <c r="J364" s="2">
        <f t="shared" si="16"/>
        <v>4407</v>
      </c>
      <c r="K364" s="9">
        <f t="shared" si="17"/>
        <v>46670.13</v>
      </c>
    </row>
    <row r="365" spans="1:11" x14ac:dyDescent="0.35">
      <c r="A365" s="10" t="s">
        <v>911</v>
      </c>
      <c r="B365" s="10">
        <v>2466</v>
      </c>
      <c r="C365" t="s">
        <v>343</v>
      </c>
      <c r="D365" t="s">
        <v>646</v>
      </c>
      <c r="E365" s="2">
        <v>6271</v>
      </c>
      <c r="F365" s="2">
        <v>2362</v>
      </c>
      <c r="G365" s="12">
        <f t="shared" si="15"/>
        <v>0.37665444107797802</v>
      </c>
      <c r="H365">
        <v>85</v>
      </c>
      <c r="I365">
        <v>10.59</v>
      </c>
      <c r="J365" s="2">
        <f t="shared" si="16"/>
        <v>3909</v>
      </c>
      <c r="K365" s="9">
        <f t="shared" si="17"/>
        <v>41396.31</v>
      </c>
    </row>
    <row r="366" spans="1:11" x14ac:dyDescent="0.35">
      <c r="A366" s="10" t="s">
        <v>911</v>
      </c>
      <c r="B366" s="10">
        <v>2467</v>
      </c>
      <c r="C366" t="s">
        <v>772</v>
      </c>
      <c r="D366" t="s">
        <v>761</v>
      </c>
      <c r="E366" s="2">
        <v>5176</v>
      </c>
      <c r="F366" s="2">
        <v>1902</v>
      </c>
      <c r="G366" s="12">
        <f t="shared" si="15"/>
        <v>0.36746522411128285</v>
      </c>
      <c r="H366">
        <v>85</v>
      </c>
      <c r="I366">
        <v>10.59</v>
      </c>
      <c r="J366" s="2">
        <f t="shared" si="16"/>
        <v>3274</v>
      </c>
      <c r="K366" s="9">
        <f t="shared" si="17"/>
        <v>34671.659999999996</v>
      </c>
    </row>
    <row r="367" spans="1:11" x14ac:dyDescent="0.35">
      <c r="A367" s="10" t="s">
        <v>911</v>
      </c>
      <c r="B367" s="10">
        <v>2477</v>
      </c>
      <c r="C367" t="s">
        <v>652</v>
      </c>
      <c r="D367" t="s">
        <v>731</v>
      </c>
      <c r="E367" s="2">
        <v>5585</v>
      </c>
      <c r="F367" s="2">
        <v>2782</v>
      </c>
      <c r="G367" s="12">
        <f t="shared" si="15"/>
        <v>0.4981199641897941</v>
      </c>
      <c r="H367">
        <v>85</v>
      </c>
      <c r="I367">
        <v>10.59</v>
      </c>
      <c r="J367" s="2">
        <f t="shared" si="16"/>
        <v>2803</v>
      </c>
      <c r="K367" s="9">
        <f t="shared" si="17"/>
        <v>29683.77</v>
      </c>
    </row>
    <row r="368" spans="1:11" x14ac:dyDescent="0.35">
      <c r="A368" s="10" t="s">
        <v>911</v>
      </c>
      <c r="B368" s="10">
        <v>2483</v>
      </c>
      <c r="C368" t="s">
        <v>774</v>
      </c>
      <c r="D368" t="s">
        <v>647</v>
      </c>
      <c r="E368" s="2">
        <v>3133</v>
      </c>
      <c r="F368" s="2">
        <v>1377</v>
      </c>
      <c r="G368" s="12">
        <f t="shared" si="15"/>
        <v>0.43951484200446855</v>
      </c>
      <c r="H368">
        <v>85</v>
      </c>
      <c r="I368">
        <v>10.59</v>
      </c>
      <c r="J368" s="2">
        <f t="shared" si="16"/>
        <v>1756</v>
      </c>
      <c r="K368" s="9">
        <f t="shared" si="17"/>
        <v>18596.04</v>
      </c>
    </row>
    <row r="369" spans="1:11" x14ac:dyDescent="0.35">
      <c r="A369" s="10" t="s">
        <v>911</v>
      </c>
      <c r="B369" s="10">
        <v>2485</v>
      </c>
      <c r="C369" t="s">
        <v>763</v>
      </c>
      <c r="D369" t="s">
        <v>648</v>
      </c>
      <c r="E369" s="2">
        <v>5653</v>
      </c>
      <c r="F369" s="2">
        <v>2313</v>
      </c>
      <c r="G369" s="12">
        <f t="shared" si="15"/>
        <v>0.40916327613656467</v>
      </c>
      <c r="H369">
        <v>85</v>
      </c>
      <c r="I369">
        <v>10.59</v>
      </c>
      <c r="J369" s="2">
        <f t="shared" si="16"/>
        <v>3340</v>
      </c>
      <c r="K369" s="9">
        <f t="shared" si="17"/>
        <v>35370.6</v>
      </c>
    </row>
    <row r="370" spans="1:11" x14ac:dyDescent="0.35">
      <c r="A370" s="10" t="s">
        <v>911</v>
      </c>
      <c r="B370" s="10">
        <v>2487</v>
      </c>
      <c r="C370" t="s">
        <v>344</v>
      </c>
      <c r="D370" t="s">
        <v>649</v>
      </c>
      <c r="E370" s="2">
        <v>2213</v>
      </c>
      <c r="F370" s="2">
        <v>1241</v>
      </c>
      <c r="G370" s="12">
        <f t="shared" si="15"/>
        <v>0.56077722548576592</v>
      </c>
      <c r="H370">
        <v>85</v>
      </c>
      <c r="I370">
        <v>10.59</v>
      </c>
      <c r="J370" s="2">
        <f t="shared" si="16"/>
        <v>972</v>
      </c>
      <c r="K370" s="9">
        <f t="shared" si="17"/>
        <v>10293.48</v>
      </c>
    </row>
    <row r="371" spans="1:11" x14ac:dyDescent="0.35">
      <c r="A371" s="10" t="s">
        <v>911</v>
      </c>
      <c r="B371" s="10">
        <v>2488</v>
      </c>
      <c r="C371" t="s">
        <v>345</v>
      </c>
      <c r="D371" t="s">
        <v>909</v>
      </c>
      <c r="E371" s="2">
        <v>2555</v>
      </c>
      <c r="F371" s="2">
        <v>1194</v>
      </c>
      <c r="G371" s="12">
        <f t="shared" si="15"/>
        <v>0.46731898238747555</v>
      </c>
      <c r="H371">
        <v>85</v>
      </c>
      <c r="I371">
        <v>10.59</v>
      </c>
      <c r="J371" s="2">
        <f t="shared" si="16"/>
        <v>1361</v>
      </c>
      <c r="K371" s="9">
        <f t="shared" si="17"/>
        <v>14412.99</v>
      </c>
    </row>
    <row r="372" spans="1:11" x14ac:dyDescent="0.35">
      <c r="A372" s="10" t="s">
        <v>911</v>
      </c>
      <c r="B372" s="10">
        <v>2492</v>
      </c>
      <c r="C372" t="s">
        <v>346</v>
      </c>
      <c r="D372" t="s">
        <v>650</v>
      </c>
      <c r="E372" s="2">
        <v>10128</v>
      </c>
      <c r="F372" s="2">
        <v>5210</v>
      </c>
      <c r="G372" s="12">
        <f t="shared" si="15"/>
        <v>0.51441548183254349</v>
      </c>
      <c r="H372">
        <v>85</v>
      </c>
      <c r="I372">
        <v>10.59</v>
      </c>
      <c r="J372" s="2">
        <f t="shared" si="16"/>
        <v>4918</v>
      </c>
      <c r="K372" s="9">
        <f t="shared" si="17"/>
        <v>52081.62</v>
      </c>
    </row>
    <row r="373" spans="1:11" x14ac:dyDescent="0.35">
      <c r="A373" s="10" t="s">
        <v>911</v>
      </c>
      <c r="B373" s="10">
        <v>2497</v>
      </c>
      <c r="C373" t="s">
        <v>769</v>
      </c>
      <c r="D373" t="s">
        <v>759</v>
      </c>
      <c r="E373" s="2">
        <v>2778</v>
      </c>
      <c r="F373" s="2">
        <v>1317</v>
      </c>
      <c r="G373" s="12">
        <f t="shared" si="15"/>
        <v>0.47408207343412528</v>
      </c>
      <c r="H373">
        <v>85</v>
      </c>
      <c r="I373">
        <v>10.59</v>
      </c>
      <c r="J373" s="2">
        <f t="shared" si="16"/>
        <v>1461</v>
      </c>
      <c r="K373" s="9">
        <f t="shared" si="17"/>
        <v>15471.99</v>
      </c>
    </row>
    <row r="374" spans="1:11" x14ac:dyDescent="0.35">
      <c r="A374" s="10" t="s">
        <v>911</v>
      </c>
      <c r="B374" s="10">
        <v>2500</v>
      </c>
      <c r="C374" t="s">
        <v>771</v>
      </c>
      <c r="D374" t="s">
        <v>737</v>
      </c>
      <c r="E374" s="2">
        <v>2071</v>
      </c>
      <c r="F374" s="2">
        <v>958</v>
      </c>
      <c r="G374" s="12">
        <f t="shared" si="15"/>
        <v>0.46257846450989859</v>
      </c>
      <c r="H374">
        <v>85</v>
      </c>
      <c r="I374">
        <v>10.59</v>
      </c>
      <c r="J374" s="2">
        <f t="shared" si="16"/>
        <v>1113</v>
      </c>
      <c r="K374" s="9">
        <f t="shared" si="17"/>
        <v>11786.67</v>
      </c>
    </row>
    <row r="375" spans="1:11" x14ac:dyDescent="0.35">
      <c r="A375" s="10" t="s">
        <v>911</v>
      </c>
      <c r="B375" s="10">
        <v>2513</v>
      </c>
      <c r="C375" t="s">
        <v>347</v>
      </c>
      <c r="D375" t="s">
        <v>651</v>
      </c>
      <c r="E375" s="2">
        <v>6160</v>
      </c>
      <c r="F375" s="2">
        <v>1695</v>
      </c>
      <c r="G375" s="12">
        <f t="shared" si="15"/>
        <v>0.27516233766233766</v>
      </c>
      <c r="H375">
        <v>85</v>
      </c>
      <c r="I375">
        <v>10.59</v>
      </c>
      <c r="J375" s="2">
        <f t="shared" si="16"/>
        <v>4465</v>
      </c>
      <c r="K375" s="9">
        <f t="shared" si="17"/>
        <v>47284.35</v>
      </c>
    </row>
    <row r="376" spans="1:11" x14ac:dyDescent="0.35">
      <c r="A376" s="10" t="s">
        <v>911</v>
      </c>
      <c r="B376" s="10">
        <v>2516</v>
      </c>
      <c r="C376" t="s">
        <v>877</v>
      </c>
      <c r="D376" t="s">
        <v>868</v>
      </c>
      <c r="E376" s="2">
        <v>3708</v>
      </c>
      <c r="F376" s="2">
        <v>1806</v>
      </c>
      <c r="G376" s="12">
        <f t="shared" si="15"/>
        <v>0.48705501618122976</v>
      </c>
      <c r="H376">
        <v>85</v>
      </c>
      <c r="I376">
        <v>10.59</v>
      </c>
      <c r="J376" s="2">
        <f t="shared" si="16"/>
        <v>1902</v>
      </c>
      <c r="K376" s="9">
        <f t="shared" si="17"/>
        <v>20142.18</v>
      </c>
    </row>
    <row r="377" spans="1:11" x14ac:dyDescent="0.35">
      <c r="A377" s="10" t="s">
        <v>911</v>
      </c>
      <c r="B377" s="10">
        <v>2519</v>
      </c>
      <c r="C377" t="s">
        <v>348</v>
      </c>
      <c r="D377" t="s">
        <v>855</v>
      </c>
      <c r="E377" s="2">
        <v>2921</v>
      </c>
      <c r="F377" s="2">
        <v>1325</v>
      </c>
      <c r="G377" s="12">
        <f t="shared" si="15"/>
        <v>0.45361177678877096</v>
      </c>
      <c r="H377">
        <v>85</v>
      </c>
      <c r="I377">
        <v>10.59</v>
      </c>
      <c r="J377" s="2">
        <f t="shared" si="16"/>
        <v>1596</v>
      </c>
      <c r="K377" s="9">
        <f t="shared" si="17"/>
        <v>16901.64</v>
      </c>
    </row>
    <row r="378" spans="1:11" x14ac:dyDescent="0.35">
      <c r="A378" s="10" t="s">
        <v>911</v>
      </c>
      <c r="B378" s="10">
        <v>2520</v>
      </c>
      <c r="C378" t="s">
        <v>662</v>
      </c>
      <c r="D378" t="s">
        <v>842</v>
      </c>
      <c r="E378" s="2">
        <v>4732</v>
      </c>
      <c r="F378" s="2">
        <v>2556</v>
      </c>
      <c r="G378" s="12">
        <f t="shared" si="15"/>
        <v>0.54015215553677087</v>
      </c>
      <c r="H378">
        <v>85</v>
      </c>
      <c r="I378">
        <v>10.59</v>
      </c>
      <c r="J378" s="2">
        <f t="shared" si="16"/>
        <v>2176</v>
      </c>
      <c r="K378" s="9">
        <f t="shared" si="17"/>
        <v>23043.84</v>
      </c>
    </row>
    <row r="379" spans="1:11" x14ac:dyDescent="0.35">
      <c r="A379" s="10" t="s">
        <v>911</v>
      </c>
      <c r="B379" s="10">
        <v>2525</v>
      </c>
      <c r="C379" t="s">
        <v>653</v>
      </c>
      <c r="D379" t="s">
        <v>655</v>
      </c>
      <c r="E379" s="2">
        <v>6023</v>
      </c>
      <c r="F379" s="2">
        <v>2364</v>
      </c>
      <c r="G379" s="12">
        <f t="shared" si="15"/>
        <v>0.39249543416901878</v>
      </c>
      <c r="H379">
        <v>85</v>
      </c>
      <c r="I379">
        <v>10.59</v>
      </c>
      <c r="J379" s="2">
        <f t="shared" si="16"/>
        <v>3659</v>
      </c>
      <c r="K379" s="9">
        <f t="shared" si="17"/>
        <v>38748.81</v>
      </c>
    </row>
    <row r="380" spans="1:11" x14ac:dyDescent="0.35">
      <c r="A380" s="10" t="s">
        <v>911</v>
      </c>
      <c r="B380" s="10">
        <v>2529</v>
      </c>
      <c r="C380" t="s">
        <v>718</v>
      </c>
      <c r="D380" t="s">
        <v>554</v>
      </c>
      <c r="E380" s="2">
        <v>4201</v>
      </c>
      <c r="F380" s="2">
        <v>1590</v>
      </c>
      <c r="G380" s="12">
        <f t="shared" si="15"/>
        <v>0.37848131397286361</v>
      </c>
      <c r="H380">
        <v>85</v>
      </c>
      <c r="I380">
        <v>10.59</v>
      </c>
      <c r="J380" s="2">
        <f t="shared" si="16"/>
        <v>2611</v>
      </c>
      <c r="K380" s="9">
        <f t="shared" si="17"/>
        <v>27650.489999999998</v>
      </c>
    </row>
    <row r="381" spans="1:11" x14ac:dyDescent="0.35">
      <c r="A381" s="10" t="s">
        <v>911</v>
      </c>
      <c r="B381" s="10">
        <v>2530</v>
      </c>
      <c r="C381" t="s">
        <v>657</v>
      </c>
      <c r="D381" t="s">
        <v>849</v>
      </c>
      <c r="E381" s="2">
        <v>4468</v>
      </c>
      <c r="F381" s="2">
        <v>1626</v>
      </c>
      <c r="G381" s="12">
        <f t="shared" si="15"/>
        <v>0.36392121754700091</v>
      </c>
      <c r="H381">
        <v>85</v>
      </c>
      <c r="I381">
        <v>10.59</v>
      </c>
      <c r="J381" s="2">
        <f t="shared" si="16"/>
        <v>2842</v>
      </c>
      <c r="K381" s="9">
        <f t="shared" si="17"/>
        <v>30096.78</v>
      </c>
    </row>
    <row r="382" spans="1:11" x14ac:dyDescent="0.35">
      <c r="A382" s="10" t="s">
        <v>911</v>
      </c>
      <c r="B382" s="10">
        <v>2531</v>
      </c>
      <c r="C382" t="s">
        <v>658</v>
      </c>
      <c r="D382" t="s">
        <v>829</v>
      </c>
      <c r="E382" s="2">
        <v>2902</v>
      </c>
      <c r="F382" s="2">
        <v>1580</v>
      </c>
      <c r="G382" s="12">
        <f t="shared" si="15"/>
        <v>0.5444521019986216</v>
      </c>
      <c r="H382">
        <v>85</v>
      </c>
      <c r="I382">
        <v>10.59</v>
      </c>
      <c r="J382" s="2">
        <f t="shared" si="16"/>
        <v>1322</v>
      </c>
      <c r="K382" s="9">
        <f t="shared" si="17"/>
        <v>13999.98</v>
      </c>
    </row>
    <row r="383" spans="1:11" x14ac:dyDescent="0.35">
      <c r="A383" s="10" t="s">
        <v>911</v>
      </c>
      <c r="B383" s="10">
        <v>2532</v>
      </c>
      <c r="C383" t="s">
        <v>701</v>
      </c>
      <c r="D383" t="s">
        <v>686</v>
      </c>
      <c r="E383" s="2">
        <v>7758</v>
      </c>
      <c r="F383" s="2">
        <v>3702</v>
      </c>
      <c r="G383" s="12">
        <f t="shared" si="15"/>
        <v>0.47718484145398299</v>
      </c>
      <c r="H383">
        <v>85</v>
      </c>
      <c r="I383">
        <v>10.59</v>
      </c>
      <c r="J383" s="2">
        <f t="shared" si="16"/>
        <v>4056</v>
      </c>
      <c r="K383" s="9">
        <f t="shared" si="17"/>
        <v>42953.04</v>
      </c>
    </row>
    <row r="384" spans="1:11" x14ac:dyDescent="0.35">
      <c r="A384" s="10" t="s">
        <v>911</v>
      </c>
      <c r="B384" s="10">
        <v>2534</v>
      </c>
      <c r="C384" t="s">
        <v>242</v>
      </c>
      <c r="D384" t="s">
        <v>555</v>
      </c>
      <c r="E384" s="2">
        <v>5664</v>
      </c>
      <c r="F384" s="2">
        <v>2759</v>
      </c>
      <c r="G384" s="12">
        <f t="shared" si="15"/>
        <v>0.48711158192090398</v>
      </c>
      <c r="H384">
        <v>85</v>
      </c>
      <c r="I384">
        <v>10.59</v>
      </c>
      <c r="J384" s="2">
        <f t="shared" si="16"/>
        <v>2905</v>
      </c>
      <c r="K384" s="9">
        <f t="shared" si="17"/>
        <v>30763.95</v>
      </c>
    </row>
    <row r="385" spans="1:11" x14ac:dyDescent="0.35">
      <c r="A385" s="10" t="s">
        <v>911</v>
      </c>
      <c r="B385" s="10">
        <v>2538</v>
      </c>
      <c r="C385" t="s">
        <v>31</v>
      </c>
      <c r="D385" t="s">
        <v>742</v>
      </c>
      <c r="E385" s="2">
        <v>6800</v>
      </c>
      <c r="F385" s="2">
        <v>2992</v>
      </c>
      <c r="G385" s="12">
        <f t="shared" si="15"/>
        <v>0.44</v>
      </c>
      <c r="H385">
        <v>85</v>
      </c>
      <c r="I385">
        <v>10.59</v>
      </c>
      <c r="J385" s="2">
        <f t="shared" si="16"/>
        <v>3808</v>
      </c>
      <c r="K385" s="9">
        <f t="shared" si="17"/>
        <v>40326.720000000001</v>
      </c>
    </row>
    <row r="386" spans="1:11" x14ac:dyDescent="0.35">
      <c r="A386" s="10" t="s">
        <v>911</v>
      </c>
      <c r="B386" s="10">
        <v>2540</v>
      </c>
      <c r="C386" t="s">
        <v>745</v>
      </c>
      <c r="D386" t="s">
        <v>760</v>
      </c>
      <c r="E386" s="2">
        <v>7140</v>
      </c>
      <c r="F386" s="2">
        <v>3015</v>
      </c>
      <c r="G386" s="12">
        <f t="shared" si="15"/>
        <v>0.42226890756302521</v>
      </c>
      <c r="H386">
        <v>85</v>
      </c>
      <c r="I386">
        <v>10.59</v>
      </c>
      <c r="J386" s="2">
        <f t="shared" si="16"/>
        <v>4125</v>
      </c>
      <c r="K386" s="9">
        <f t="shared" si="17"/>
        <v>43683.75</v>
      </c>
    </row>
    <row r="387" spans="1:11" x14ac:dyDescent="0.35">
      <c r="A387" s="10" t="s">
        <v>911</v>
      </c>
      <c r="B387" s="10">
        <v>2544</v>
      </c>
      <c r="C387" t="s">
        <v>709</v>
      </c>
      <c r="D387" t="s">
        <v>739</v>
      </c>
      <c r="E387" s="2">
        <v>3322</v>
      </c>
      <c r="F387" s="2">
        <v>1616</v>
      </c>
      <c r="G387" s="12">
        <f t="shared" ref="G387:G450" si="18">F387/E387</f>
        <v>0.4864539434075858</v>
      </c>
      <c r="H387">
        <v>85</v>
      </c>
      <c r="I387">
        <v>10.59</v>
      </c>
      <c r="J387" s="2">
        <f t="shared" ref="J387:J450" si="19">E387-F387</f>
        <v>1706</v>
      </c>
      <c r="K387" s="9">
        <f t="shared" ref="K387:K450" si="20">J387*I387</f>
        <v>18066.54</v>
      </c>
    </row>
    <row r="388" spans="1:11" x14ac:dyDescent="0.35">
      <c r="A388" s="10" t="s">
        <v>911</v>
      </c>
      <c r="B388" s="10">
        <v>2546</v>
      </c>
      <c r="C388" t="s">
        <v>663</v>
      </c>
      <c r="D388" t="s">
        <v>839</v>
      </c>
      <c r="E388" s="2">
        <v>4267</v>
      </c>
      <c r="F388" s="2">
        <v>2065</v>
      </c>
      <c r="G388" s="12">
        <f t="shared" si="18"/>
        <v>0.48394656667447855</v>
      </c>
      <c r="H388">
        <v>85</v>
      </c>
      <c r="I388">
        <v>10.59</v>
      </c>
      <c r="J388" s="2">
        <f t="shared" si="19"/>
        <v>2202</v>
      </c>
      <c r="K388" s="9">
        <f t="shared" si="20"/>
        <v>23319.18</v>
      </c>
    </row>
    <row r="389" spans="1:11" x14ac:dyDescent="0.35">
      <c r="A389" s="10" t="s">
        <v>911</v>
      </c>
      <c r="B389" s="10">
        <v>2550</v>
      </c>
      <c r="C389" t="s">
        <v>664</v>
      </c>
      <c r="D389" t="s">
        <v>845</v>
      </c>
      <c r="E389" s="2">
        <v>6055</v>
      </c>
      <c r="F389" s="2">
        <v>2930</v>
      </c>
      <c r="G389" s="12">
        <f t="shared" si="18"/>
        <v>0.48389760528488851</v>
      </c>
      <c r="H389">
        <v>85</v>
      </c>
      <c r="I389">
        <v>10.59</v>
      </c>
      <c r="J389" s="2">
        <f t="shared" si="19"/>
        <v>3125</v>
      </c>
      <c r="K389" s="9">
        <f t="shared" si="20"/>
        <v>33093.75</v>
      </c>
    </row>
    <row r="390" spans="1:11" x14ac:dyDescent="0.35">
      <c r="A390" s="10" t="s">
        <v>911</v>
      </c>
      <c r="B390" s="10">
        <v>2552</v>
      </c>
      <c r="C390" t="s">
        <v>665</v>
      </c>
      <c r="D390" t="s">
        <v>914</v>
      </c>
      <c r="E390" s="2">
        <v>4207</v>
      </c>
      <c r="F390" s="2">
        <v>1582</v>
      </c>
      <c r="G390" s="12">
        <f t="shared" si="18"/>
        <v>0.37603993344425957</v>
      </c>
      <c r="H390">
        <v>85</v>
      </c>
      <c r="I390">
        <v>10.59</v>
      </c>
      <c r="J390" s="2">
        <f t="shared" si="19"/>
        <v>2625</v>
      </c>
      <c r="K390" s="9">
        <f t="shared" si="20"/>
        <v>27798.75</v>
      </c>
    </row>
    <row r="391" spans="1:11" x14ac:dyDescent="0.35">
      <c r="A391" s="10" t="s">
        <v>911</v>
      </c>
      <c r="B391" s="10">
        <v>2553</v>
      </c>
      <c r="C391" t="s">
        <v>666</v>
      </c>
      <c r="D391" t="s">
        <v>782</v>
      </c>
      <c r="E391" s="2">
        <v>4154</v>
      </c>
      <c r="F391" s="2">
        <v>2378</v>
      </c>
      <c r="G391" s="12">
        <f t="shared" si="18"/>
        <v>0.57246027924891674</v>
      </c>
      <c r="H391">
        <v>85</v>
      </c>
      <c r="I391">
        <v>10.59</v>
      </c>
      <c r="J391" s="2">
        <f t="shared" si="19"/>
        <v>1776</v>
      </c>
      <c r="K391" s="9">
        <f t="shared" si="20"/>
        <v>18807.84</v>
      </c>
    </row>
    <row r="392" spans="1:11" x14ac:dyDescent="0.35">
      <c r="A392" s="10" t="s">
        <v>911</v>
      </c>
      <c r="B392" s="10">
        <v>2554</v>
      </c>
      <c r="C392" t="s">
        <v>753</v>
      </c>
      <c r="D392" t="s">
        <v>785</v>
      </c>
      <c r="E392" s="2">
        <v>2646</v>
      </c>
      <c r="F392" s="2">
        <v>1551</v>
      </c>
      <c r="G392" s="12">
        <f t="shared" si="18"/>
        <v>0.58616780045351469</v>
      </c>
      <c r="H392">
        <v>85</v>
      </c>
      <c r="I392">
        <v>10.59</v>
      </c>
      <c r="J392" s="2">
        <f t="shared" si="19"/>
        <v>1095</v>
      </c>
      <c r="K392" s="9">
        <f t="shared" si="20"/>
        <v>11596.05</v>
      </c>
    </row>
    <row r="393" spans="1:11" x14ac:dyDescent="0.35">
      <c r="A393" s="10" t="s">
        <v>911</v>
      </c>
      <c r="B393" s="10">
        <v>2557</v>
      </c>
      <c r="C393" t="s">
        <v>667</v>
      </c>
      <c r="D393" t="s">
        <v>844</v>
      </c>
      <c r="E393" s="2">
        <v>11166</v>
      </c>
      <c r="F393" s="2">
        <v>5958</v>
      </c>
      <c r="G393" s="12">
        <f t="shared" si="18"/>
        <v>0.53358409457281031</v>
      </c>
      <c r="H393">
        <v>85</v>
      </c>
      <c r="I393">
        <v>10.59</v>
      </c>
      <c r="J393" s="2">
        <f t="shared" si="19"/>
        <v>5208</v>
      </c>
      <c r="K393" s="9">
        <f t="shared" si="20"/>
        <v>55152.72</v>
      </c>
    </row>
    <row r="394" spans="1:11" x14ac:dyDescent="0.35">
      <c r="A394" s="10" t="s">
        <v>911</v>
      </c>
      <c r="B394" s="10">
        <v>2558</v>
      </c>
      <c r="C394" t="s">
        <v>676</v>
      </c>
      <c r="D394" t="s">
        <v>798</v>
      </c>
      <c r="E394" s="2">
        <v>7475</v>
      </c>
      <c r="F394" s="2">
        <v>4547</v>
      </c>
      <c r="G394" s="12">
        <f t="shared" si="18"/>
        <v>0.60829431438127091</v>
      </c>
      <c r="H394">
        <v>85</v>
      </c>
      <c r="I394">
        <v>10.59</v>
      </c>
      <c r="J394" s="2">
        <f t="shared" si="19"/>
        <v>2928</v>
      </c>
      <c r="K394" s="9">
        <f t="shared" si="20"/>
        <v>31007.52</v>
      </c>
    </row>
    <row r="395" spans="1:11" x14ac:dyDescent="0.35">
      <c r="A395" s="10" t="s">
        <v>911</v>
      </c>
      <c r="B395" s="10">
        <v>2559</v>
      </c>
      <c r="C395" t="s">
        <v>668</v>
      </c>
      <c r="D395" t="s">
        <v>852</v>
      </c>
      <c r="E395" s="2">
        <v>2675</v>
      </c>
      <c r="F395" s="2">
        <v>1365</v>
      </c>
      <c r="G395" s="12">
        <f t="shared" si="18"/>
        <v>0.51028037383177571</v>
      </c>
      <c r="H395">
        <v>85</v>
      </c>
      <c r="I395">
        <v>10.59</v>
      </c>
      <c r="J395" s="2">
        <f t="shared" si="19"/>
        <v>1310</v>
      </c>
      <c r="K395" s="9">
        <f t="shared" si="20"/>
        <v>13872.9</v>
      </c>
    </row>
    <row r="396" spans="1:11" x14ac:dyDescent="0.35">
      <c r="A396" s="10" t="s">
        <v>911</v>
      </c>
      <c r="B396" s="10">
        <v>2561</v>
      </c>
      <c r="C396" t="s">
        <v>677</v>
      </c>
      <c r="D396" t="s">
        <v>748</v>
      </c>
      <c r="E396" s="2">
        <v>6914</v>
      </c>
      <c r="F396" s="2">
        <v>2639</v>
      </c>
      <c r="G396" s="12">
        <f t="shared" si="18"/>
        <v>0.38168932600520683</v>
      </c>
      <c r="H396">
        <v>85</v>
      </c>
      <c r="I396">
        <v>10.59</v>
      </c>
      <c r="J396" s="2">
        <f t="shared" si="19"/>
        <v>4275</v>
      </c>
      <c r="K396" s="9">
        <f t="shared" si="20"/>
        <v>45272.25</v>
      </c>
    </row>
    <row r="397" spans="1:11" x14ac:dyDescent="0.35">
      <c r="A397" s="10" t="s">
        <v>911</v>
      </c>
      <c r="B397" s="10">
        <v>2563</v>
      </c>
      <c r="C397" t="s">
        <v>669</v>
      </c>
      <c r="D397" t="s">
        <v>863</v>
      </c>
      <c r="E397" s="2">
        <v>4247</v>
      </c>
      <c r="F397" s="2">
        <v>1813</v>
      </c>
      <c r="G397" s="12">
        <f t="shared" si="18"/>
        <v>0.42688956910760539</v>
      </c>
      <c r="H397">
        <v>85</v>
      </c>
      <c r="I397">
        <v>10.59</v>
      </c>
      <c r="J397" s="2">
        <f t="shared" si="19"/>
        <v>2434</v>
      </c>
      <c r="K397" s="9">
        <f t="shared" si="20"/>
        <v>25776.06</v>
      </c>
    </row>
    <row r="398" spans="1:11" x14ac:dyDescent="0.35">
      <c r="A398" s="10" t="s">
        <v>911</v>
      </c>
      <c r="B398" s="10">
        <v>2564</v>
      </c>
      <c r="C398" t="s">
        <v>780</v>
      </c>
      <c r="D398" t="s">
        <v>870</v>
      </c>
      <c r="E398" s="2">
        <v>4156</v>
      </c>
      <c r="F398" s="2">
        <v>2233</v>
      </c>
      <c r="G398" s="12">
        <f t="shared" si="18"/>
        <v>0.53729547641963427</v>
      </c>
      <c r="H398">
        <v>85</v>
      </c>
      <c r="I398">
        <v>10.59</v>
      </c>
      <c r="J398" s="2">
        <f t="shared" si="19"/>
        <v>1923</v>
      </c>
      <c r="K398" s="9">
        <f t="shared" si="20"/>
        <v>20364.57</v>
      </c>
    </row>
    <row r="399" spans="1:11" x14ac:dyDescent="0.35">
      <c r="A399" s="10" t="s">
        <v>911</v>
      </c>
      <c r="B399" s="10">
        <v>2569</v>
      </c>
      <c r="C399" t="s">
        <v>670</v>
      </c>
      <c r="D399" t="s">
        <v>660</v>
      </c>
      <c r="E399" s="2">
        <v>4071</v>
      </c>
      <c r="F399" s="2">
        <v>2001</v>
      </c>
      <c r="G399" s="12">
        <f t="shared" si="18"/>
        <v>0.49152542372881358</v>
      </c>
      <c r="H399">
        <v>85</v>
      </c>
      <c r="I399">
        <v>10.59</v>
      </c>
      <c r="J399" s="2">
        <f t="shared" si="19"/>
        <v>2070</v>
      </c>
      <c r="K399" s="9">
        <f t="shared" si="20"/>
        <v>21921.3</v>
      </c>
    </row>
    <row r="400" spans="1:11" x14ac:dyDescent="0.35">
      <c r="A400" s="10" t="s">
        <v>911</v>
      </c>
      <c r="B400" s="10">
        <v>2573</v>
      </c>
      <c r="C400" t="s">
        <v>765</v>
      </c>
      <c r="D400" t="s">
        <v>823</v>
      </c>
      <c r="E400" s="2">
        <v>5186</v>
      </c>
      <c r="F400" s="2">
        <v>1324</v>
      </c>
      <c r="G400" s="12">
        <f t="shared" si="18"/>
        <v>0.25530273814114923</v>
      </c>
      <c r="H400">
        <v>85</v>
      </c>
      <c r="I400">
        <v>10.59</v>
      </c>
      <c r="J400" s="2">
        <f t="shared" si="19"/>
        <v>3862</v>
      </c>
      <c r="K400" s="9">
        <f t="shared" si="20"/>
        <v>40898.58</v>
      </c>
    </row>
    <row r="401" spans="1:11" x14ac:dyDescent="0.35">
      <c r="A401" s="10" t="s">
        <v>911</v>
      </c>
      <c r="B401" s="10">
        <v>2577</v>
      </c>
      <c r="C401" t="s">
        <v>779</v>
      </c>
      <c r="D401" t="s">
        <v>418</v>
      </c>
      <c r="E401" s="2">
        <v>5002</v>
      </c>
      <c r="F401" s="2">
        <v>2202</v>
      </c>
      <c r="G401" s="12">
        <f t="shared" si="18"/>
        <v>0.44022391043582565</v>
      </c>
      <c r="H401">
        <v>85</v>
      </c>
      <c r="I401">
        <v>10.59</v>
      </c>
      <c r="J401" s="2">
        <f t="shared" si="19"/>
        <v>2800</v>
      </c>
      <c r="K401" s="9">
        <f t="shared" si="20"/>
        <v>29652</v>
      </c>
    </row>
    <row r="402" spans="1:11" x14ac:dyDescent="0.35">
      <c r="A402" s="10" t="s">
        <v>911</v>
      </c>
      <c r="B402" s="10">
        <v>2578</v>
      </c>
      <c r="C402" t="s">
        <v>699</v>
      </c>
      <c r="D402" t="s">
        <v>830</v>
      </c>
      <c r="E402" s="2">
        <v>5970</v>
      </c>
      <c r="F402" s="2">
        <v>1978</v>
      </c>
      <c r="G402" s="12">
        <f t="shared" si="18"/>
        <v>0.33132328308207704</v>
      </c>
      <c r="H402">
        <v>85</v>
      </c>
      <c r="I402">
        <v>10.59</v>
      </c>
      <c r="J402" s="2">
        <f t="shared" si="19"/>
        <v>3992</v>
      </c>
      <c r="K402" s="9">
        <f t="shared" si="20"/>
        <v>42275.28</v>
      </c>
    </row>
    <row r="403" spans="1:11" x14ac:dyDescent="0.35">
      <c r="A403" s="10" t="s">
        <v>911</v>
      </c>
      <c r="B403" s="10">
        <v>2591</v>
      </c>
      <c r="C403" t="s">
        <v>671</v>
      </c>
      <c r="D403" t="s">
        <v>853</v>
      </c>
      <c r="E403" s="2">
        <v>4737</v>
      </c>
      <c r="F403" s="2">
        <v>2376</v>
      </c>
      <c r="G403" s="12">
        <f t="shared" si="18"/>
        <v>0.50158328055731471</v>
      </c>
      <c r="H403">
        <v>85</v>
      </c>
      <c r="I403">
        <v>10.59</v>
      </c>
      <c r="J403" s="2">
        <f t="shared" si="19"/>
        <v>2361</v>
      </c>
      <c r="K403" s="9">
        <f t="shared" si="20"/>
        <v>25002.989999999998</v>
      </c>
    </row>
    <row r="404" spans="1:11" x14ac:dyDescent="0.35">
      <c r="A404" s="10" t="s">
        <v>911</v>
      </c>
      <c r="B404" s="10">
        <v>2592</v>
      </c>
      <c r="C404" t="s">
        <v>672</v>
      </c>
      <c r="D404" t="s">
        <v>871</v>
      </c>
      <c r="E404" s="2">
        <v>4193</v>
      </c>
      <c r="F404" s="2">
        <v>2522</v>
      </c>
      <c r="G404" s="12">
        <f t="shared" si="18"/>
        <v>0.60147865490102548</v>
      </c>
      <c r="H404">
        <v>85</v>
      </c>
      <c r="I404">
        <v>10.59</v>
      </c>
      <c r="J404" s="2">
        <f t="shared" si="19"/>
        <v>1671</v>
      </c>
      <c r="K404" s="9">
        <f t="shared" si="20"/>
        <v>17695.89</v>
      </c>
    </row>
    <row r="405" spans="1:11" x14ac:dyDescent="0.35">
      <c r="A405" s="10" t="s">
        <v>911</v>
      </c>
      <c r="B405" s="10">
        <v>2596</v>
      </c>
      <c r="C405" t="s">
        <v>673</v>
      </c>
      <c r="D405" t="s">
        <v>846</v>
      </c>
      <c r="E405" s="2">
        <v>3823</v>
      </c>
      <c r="F405" s="2">
        <v>2144</v>
      </c>
      <c r="G405" s="12">
        <f t="shared" si="18"/>
        <v>0.56081611300026157</v>
      </c>
      <c r="H405">
        <v>85</v>
      </c>
      <c r="I405">
        <v>10.59</v>
      </c>
      <c r="J405" s="2">
        <f t="shared" si="19"/>
        <v>1679</v>
      </c>
      <c r="K405" s="9">
        <f t="shared" si="20"/>
        <v>17780.61</v>
      </c>
    </row>
    <row r="406" spans="1:11" x14ac:dyDescent="0.35">
      <c r="A406" s="10" t="s">
        <v>911</v>
      </c>
      <c r="B406" s="10">
        <v>2599</v>
      </c>
      <c r="C406" t="s">
        <v>674</v>
      </c>
      <c r="D406" t="s">
        <v>730</v>
      </c>
      <c r="E406" s="2">
        <v>8524</v>
      </c>
      <c r="F406" s="2">
        <v>5279</v>
      </c>
      <c r="G406" s="12">
        <f t="shared" si="18"/>
        <v>0.61931018301267016</v>
      </c>
      <c r="H406">
        <v>85</v>
      </c>
      <c r="I406">
        <v>10.59</v>
      </c>
      <c r="J406" s="2">
        <f t="shared" si="19"/>
        <v>3245</v>
      </c>
      <c r="K406" s="9">
        <f t="shared" si="20"/>
        <v>34364.550000000003</v>
      </c>
    </row>
    <row r="407" spans="1:11" x14ac:dyDescent="0.35">
      <c r="A407" s="10" t="s">
        <v>911</v>
      </c>
      <c r="B407" s="10">
        <v>2605</v>
      </c>
      <c r="C407" t="s">
        <v>721</v>
      </c>
      <c r="D407" t="s">
        <v>874</v>
      </c>
      <c r="E407" s="2">
        <v>3532</v>
      </c>
      <c r="F407" s="2">
        <v>1674</v>
      </c>
      <c r="G407" s="12">
        <f t="shared" si="18"/>
        <v>0.47395243488108718</v>
      </c>
      <c r="H407">
        <v>85</v>
      </c>
      <c r="I407">
        <v>10.59</v>
      </c>
      <c r="J407" s="2">
        <f t="shared" si="19"/>
        <v>1858</v>
      </c>
      <c r="K407" s="9">
        <f t="shared" si="20"/>
        <v>19676.22</v>
      </c>
    </row>
    <row r="408" spans="1:11" x14ac:dyDescent="0.35">
      <c r="A408" s="10" t="s">
        <v>911</v>
      </c>
      <c r="B408" s="10">
        <v>2612</v>
      </c>
      <c r="C408" t="s">
        <v>675</v>
      </c>
      <c r="D408" t="s">
        <v>872</v>
      </c>
      <c r="E408" s="2">
        <v>7833</v>
      </c>
      <c r="F408" s="2">
        <v>4613</v>
      </c>
      <c r="G408" s="12">
        <f t="shared" si="18"/>
        <v>0.58891867739052728</v>
      </c>
      <c r="H408">
        <v>85</v>
      </c>
      <c r="I408">
        <v>10.59</v>
      </c>
      <c r="J408" s="2">
        <f t="shared" si="19"/>
        <v>3220</v>
      </c>
      <c r="K408" s="9">
        <f t="shared" si="20"/>
        <v>34099.800000000003</v>
      </c>
    </row>
    <row r="409" spans="1:11" x14ac:dyDescent="0.35">
      <c r="A409" s="10" t="s">
        <v>911</v>
      </c>
      <c r="B409" s="10">
        <v>2614</v>
      </c>
      <c r="C409" t="s">
        <v>717</v>
      </c>
      <c r="D409" t="s">
        <v>437</v>
      </c>
      <c r="E409" s="2">
        <v>6634</v>
      </c>
      <c r="F409" s="2">
        <v>2389</v>
      </c>
      <c r="G409" s="12">
        <f t="shared" si="18"/>
        <v>0.36011456135061803</v>
      </c>
      <c r="H409">
        <v>85</v>
      </c>
      <c r="I409">
        <v>10.59</v>
      </c>
      <c r="J409" s="2">
        <f t="shared" si="19"/>
        <v>4245</v>
      </c>
      <c r="K409" s="9">
        <f t="shared" si="20"/>
        <v>44954.55</v>
      </c>
    </row>
    <row r="410" spans="1:11" x14ac:dyDescent="0.35">
      <c r="A410" s="10" t="s">
        <v>911</v>
      </c>
      <c r="B410" s="10">
        <v>2618</v>
      </c>
      <c r="C410" t="s">
        <v>710</v>
      </c>
      <c r="D410" t="s">
        <v>869</v>
      </c>
      <c r="E410" s="2">
        <v>5012</v>
      </c>
      <c r="F410" s="2">
        <v>2310</v>
      </c>
      <c r="G410" s="12">
        <f t="shared" si="18"/>
        <v>0.46089385474860334</v>
      </c>
      <c r="H410">
        <v>85</v>
      </c>
      <c r="I410">
        <v>10.59</v>
      </c>
      <c r="J410" s="2">
        <f t="shared" si="19"/>
        <v>2702</v>
      </c>
      <c r="K410" s="9">
        <f t="shared" si="20"/>
        <v>28614.18</v>
      </c>
    </row>
    <row r="411" spans="1:11" x14ac:dyDescent="0.35">
      <c r="A411" s="10" t="s">
        <v>911</v>
      </c>
      <c r="B411" s="10">
        <v>2619</v>
      </c>
      <c r="C411" t="s">
        <v>703</v>
      </c>
      <c r="D411" t="s">
        <v>466</v>
      </c>
      <c r="E411" s="2">
        <v>11939</v>
      </c>
      <c r="F411" s="2">
        <v>6245</v>
      </c>
      <c r="G411" s="12">
        <f t="shared" si="18"/>
        <v>0.52307563447524918</v>
      </c>
      <c r="H411">
        <v>85</v>
      </c>
      <c r="I411">
        <v>10.59</v>
      </c>
      <c r="J411" s="2">
        <f t="shared" si="19"/>
        <v>5694</v>
      </c>
      <c r="K411" s="9">
        <f t="shared" si="20"/>
        <v>60299.46</v>
      </c>
    </row>
    <row r="412" spans="1:11" x14ac:dyDescent="0.35">
      <c r="A412" s="10" t="s">
        <v>911</v>
      </c>
      <c r="B412" s="10">
        <v>2627</v>
      </c>
      <c r="C412" t="s">
        <v>678</v>
      </c>
      <c r="D412" t="s">
        <v>860</v>
      </c>
      <c r="E412" s="2">
        <v>8694</v>
      </c>
      <c r="F412" s="2">
        <v>4248</v>
      </c>
      <c r="G412" s="12">
        <f t="shared" si="18"/>
        <v>0.48861283643892339</v>
      </c>
      <c r="H412">
        <v>85</v>
      </c>
      <c r="I412">
        <v>10.59</v>
      </c>
      <c r="J412" s="2">
        <f t="shared" si="19"/>
        <v>4446</v>
      </c>
      <c r="K412" s="9">
        <f t="shared" si="20"/>
        <v>47083.14</v>
      </c>
    </row>
    <row r="413" spans="1:11" x14ac:dyDescent="0.35">
      <c r="A413" s="10" t="s">
        <v>911</v>
      </c>
      <c r="B413" s="10">
        <v>2634</v>
      </c>
      <c r="C413" t="s">
        <v>754</v>
      </c>
      <c r="D413" t="s">
        <v>915</v>
      </c>
      <c r="E413" s="2">
        <v>5988</v>
      </c>
      <c r="F413" s="2">
        <v>2876</v>
      </c>
      <c r="G413" s="12">
        <f t="shared" si="18"/>
        <v>0.4802939211756847</v>
      </c>
      <c r="H413">
        <v>85</v>
      </c>
      <c r="I413">
        <v>10.59</v>
      </c>
      <c r="J413" s="2">
        <f t="shared" si="19"/>
        <v>3112</v>
      </c>
      <c r="K413" s="9">
        <f t="shared" si="20"/>
        <v>32956.080000000002</v>
      </c>
    </row>
    <row r="414" spans="1:11" x14ac:dyDescent="0.35">
      <c r="A414" s="10" t="s">
        <v>911</v>
      </c>
      <c r="B414" s="10">
        <v>2639</v>
      </c>
      <c r="C414" t="s">
        <v>700</v>
      </c>
      <c r="D414" t="s">
        <v>840</v>
      </c>
      <c r="E414" s="2">
        <v>10853</v>
      </c>
      <c r="F414" s="2">
        <v>5092</v>
      </c>
      <c r="G414" s="12">
        <f t="shared" si="18"/>
        <v>0.46917902883995211</v>
      </c>
      <c r="H414">
        <v>85</v>
      </c>
      <c r="I414">
        <v>10.59</v>
      </c>
      <c r="J414" s="2">
        <f t="shared" si="19"/>
        <v>5761</v>
      </c>
      <c r="K414" s="9">
        <f t="shared" si="20"/>
        <v>61008.99</v>
      </c>
    </row>
    <row r="415" spans="1:11" x14ac:dyDescent="0.35">
      <c r="A415" s="10" t="s">
        <v>911</v>
      </c>
      <c r="B415" s="10">
        <v>2641</v>
      </c>
      <c r="C415" t="s">
        <v>661</v>
      </c>
      <c r="D415" t="s">
        <v>491</v>
      </c>
      <c r="E415" s="2">
        <v>5324</v>
      </c>
      <c r="F415" s="2">
        <v>2062</v>
      </c>
      <c r="G415" s="12">
        <f t="shared" si="18"/>
        <v>0.38730277986476336</v>
      </c>
      <c r="H415">
        <v>85</v>
      </c>
      <c r="I415">
        <v>10.59</v>
      </c>
      <c r="J415" s="2">
        <f t="shared" si="19"/>
        <v>3262</v>
      </c>
      <c r="K415" s="9">
        <f t="shared" si="20"/>
        <v>34544.58</v>
      </c>
    </row>
    <row r="416" spans="1:11" x14ac:dyDescent="0.35">
      <c r="A416" s="10" t="s">
        <v>911</v>
      </c>
      <c r="B416" s="10">
        <v>2647</v>
      </c>
      <c r="C416" t="s">
        <v>679</v>
      </c>
      <c r="D416" t="s">
        <v>804</v>
      </c>
      <c r="E416" s="2">
        <v>3425</v>
      </c>
      <c r="F416" s="2">
        <v>1055</v>
      </c>
      <c r="G416" s="12">
        <f t="shared" si="18"/>
        <v>0.30802919708029197</v>
      </c>
      <c r="H416">
        <v>85</v>
      </c>
      <c r="I416">
        <v>10.59</v>
      </c>
      <c r="J416" s="2">
        <f t="shared" si="19"/>
        <v>2370</v>
      </c>
      <c r="K416" s="9">
        <f t="shared" si="20"/>
        <v>25098.3</v>
      </c>
    </row>
    <row r="417" spans="1:11" x14ac:dyDescent="0.35">
      <c r="A417" s="10" t="s">
        <v>911</v>
      </c>
      <c r="B417" s="10">
        <v>2648</v>
      </c>
      <c r="C417" t="s">
        <v>698</v>
      </c>
      <c r="D417" t="s">
        <v>805</v>
      </c>
      <c r="E417" s="2">
        <v>2990</v>
      </c>
      <c r="F417" s="2">
        <v>1394</v>
      </c>
      <c r="G417" s="12">
        <f t="shared" si="18"/>
        <v>0.46622073578595319</v>
      </c>
      <c r="H417">
        <v>85</v>
      </c>
      <c r="I417">
        <v>10.59</v>
      </c>
      <c r="J417" s="2">
        <f t="shared" si="19"/>
        <v>1596</v>
      </c>
      <c r="K417" s="9">
        <f t="shared" si="20"/>
        <v>16901.64</v>
      </c>
    </row>
    <row r="418" spans="1:11" x14ac:dyDescent="0.35">
      <c r="A418" s="10" t="s">
        <v>911</v>
      </c>
      <c r="B418" s="10">
        <v>2650</v>
      </c>
      <c r="C418" t="s">
        <v>680</v>
      </c>
      <c r="D418" t="s">
        <v>858</v>
      </c>
      <c r="E418" s="2">
        <v>2532</v>
      </c>
      <c r="F418" s="2">
        <v>1041</v>
      </c>
      <c r="G418" s="12">
        <f t="shared" si="18"/>
        <v>0.41113744075829384</v>
      </c>
      <c r="H418">
        <v>85</v>
      </c>
      <c r="I418">
        <v>10.59</v>
      </c>
      <c r="J418" s="2">
        <f t="shared" si="19"/>
        <v>1491</v>
      </c>
      <c r="K418" s="9">
        <f t="shared" si="20"/>
        <v>15789.69</v>
      </c>
    </row>
    <row r="419" spans="1:11" x14ac:dyDescent="0.35">
      <c r="A419" s="10" t="s">
        <v>911</v>
      </c>
      <c r="B419" s="10">
        <v>2656</v>
      </c>
      <c r="C419" t="s">
        <v>702</v>
      </c>
      <c r="D419" t="s">
        <v>595</v>
      </c>
      <c r="E419" s="2">
        <v>7854</v>
      </c>
      <c r="F419" s="2">
        <v>4392</v>
      </c>
      <c r="G419" s="12">
        <f t="shared" si="18"/>
        <v>0.55920550038197092</v>
      </c>
      <c r="H419">
        <v>85</v>
      </c>
      <c r="I419">
        <v>10.59</v>
      </c>
      <c r="J419" s="2">
        <f t="shared" si="19"/>
        <v>3462</v>
      </c>
      <c r="K419" s="9">
        <f t="shared" si="20"/>
        <v>36662.58</v>
      </c>
    </row>
    <row r="420" spans="1:11" x14ac:dyDescent="0.35">
      <c r="A420" s="10" t="s">
        <v>911</v>
      </c>
      <c r="B420" s="10">
        <v>2663</v>
      </c>
      <c r="C420" t="s">
        <v>716</v>
      </c>
      <c r="D420" t="s">
        <v>851</v>
      </c>
      <c r="E420" s="2">
        <v>4046</v>
      </c>
      <c r="F420" s="2">
        <v>1796</v>
      </c>
      <c r="G420" s="12">
        <f t="shared" si="18"/>
        <v>0.44389520514087988</v>
      </c>
      <c r="H420">
        <v>85</v>
      </c>
      <c r="I420">
        <v>10.59</v>
      </c>
      <c r="J420" s="2">
        <f t="shared" si="19"/>
        <v>2250</v>
      </c>
      <c r="K420" s="9">
        <f t="shared" si="20"/>
        <v>23827.5</v>
      </c>
    </row>
    <row r="421" spans="1:11" x14ac:dyDescent="0.35">
      <c r="A421" s="10" t="s">
        <v>911</v>
      </c>
      <c r="B421" s="10">
        <v>2665</v>
      </c>
      <c r="C421" t="s">
        <v>696</v>
      </c>
      <c r="D421" t="s">
        <v>687</v>
      </c>
      <c r="E421" s="2">
        <v>3520</v>
      </c>
      <c r="F421" s="2">
        <v>1954</v>
      </c>
      <c r="G421" s="12">
        <f t="shared" si="18"/>
        <v>0.55511363636363631</v>
      </c>
      <c r="H421">
        <v>85</v>
      </c>
      <c r="I421">
        <v>10.59</v>
      </c>
      <c r="J421" s="2">
        <f t="shared" si="19"/>
        <v>1566</v>
      </c>
      <c r="K421" s="9">
        <f t="shared" si="20"/>
        <v>16583.939999999999</v>
      </c>
    </row>
    <row r="422" spans="1:11" x14ac:dyDescent="0.35">
      <c r="A422" s="10" t="s">
        <v>911</v>
      </c>
      <c r="B422" s="10">
        <v>2666</v>
      </c>
      <c r="C422" t="s">
        <v>704</v>
      </c>
      <c r="D422" t="s">
        <v>837</v>
      </c>
      <c r="E422" s="2">
        <v>9698</v>
      </c>
      <c r="F422" s="2">
        <v>5147</v>
      </c>
      <c r="G422" s="12">
        <f t="shared" si="18"/>
        <v>0.5307279851515776</v>
      </c>
      <c r="H422">
        <v>85</v>
      </c>
      <c r="I422">
        <v>10.59</v>
      </c>
      <c r="J422" s="2">
        <f t="shared" si="19"/>
        <v>4551</v>
      </c>
      <c r="K422" s="9">
        <f t="shared" si="20"/>
        <v>48195.09</v>
      </c>
    </row>
    <row r="423" spans="1:11" x14ac:dyDescent="0.35">
      <c r="A423" s="10" t="s">
        <v>911</v>
      </c>
      <c r="B423" s="10">
        <v>2675</v>
      </c>
      <c r="C423" t="s">
        <v>722</v>
      </c>
      <c r="D423" t="s">
        <v>723</v>
      </c>
      <c r="E423" s="2">
        <v>3484</v>
      </c>
      <c r="F423" s="2">
        <v>1279</v>
      </c>
      <c r="G423" s="12">
        <f t="shared" si="18"/>
        <v>0.36710677382319173</v>
      </c>
      <c r="H423">
        <v>85</v>
      </c>
      <c r="I423">
        <v>10.59</v>
      </c>
      <c r="J423" s="2">
        <f t="shared" si="19"/>
        <v>2205</v>
      </c>
      <c r="K423" s="9">
        <f t="shared" si="20"/>
        <v>23350.95</v>
      </c>
    </row>
    <row r="424" spans="1:11" x14ac:dyDescent="0.35">
      <c r="A424" s="10" t="s">
        <v>911</v>
      </c>
      <c r="B424" s="10">
        <v>2677</v>
      </c>
      <c r="C424" t="s">
        <v>776</v>
      </c>
      <c r="D424" t="s">
        <v>862</v>
      </c>
      <c r="E424" s="2">
        <v>2998</v>
      </c>
      <c r="F424" s="2">
        <v>1769</v>
      </c>
      <c r="G424" s="12">
        <f t="shared" si="18"/>
        <v>0.59006004002668444</v>
      </c>
      <c r="H424">
        <v>85</v>
      </c>
      <c r="I424">
        <v>10.59</v>
      </c>
      <c r="J424" s="2">
        <f t="shared" si="19"/>
        <v>1229</v>
      </c>
      <c r="K424" s="9">
        <f t="shared" si="20"/>
        <v>13015.11</v>
      </c>
    </row>
    <row r="425" spans="1:11" x14ac:dyDescent="0.35">
      <c r="A425" s="10" t="s">
        <v>911</v>
      </c>
      <c r="B425" s="10">
        <v>2679</v>
      </c>
      <c r="C425" t="s">
        <v>751</v>
      </c>
      <c r="D425" t="s">
        <v>784</v>
      </c>
      <c r="E425" s="2">
        <v>3819</v>
      </c>
      <c r="F425" s="2">
        <v>1974</v>
      </c>
      <c r="G425" s="12">
        <f t="shared" si="18"/>
        <v>0.51688923802042419</v>
      </c>
      <c r="H425">
        <v>85</v>
      </c>
      <c r="I425">
        <v>10.59</v>
      </c>
      <c r="J425" s="2">
        <f t="shared" si="19"/>
        <v>1845</v>
      </c>
      <c r="K425" s="9">
        <f t="shared" si="20"/>
        <v>19538.55</v>
      </c>
    </row>
    <row r="426" spans="1:11" x14ac:dyDescent="0.35">
      <c r="A426" s="10" t="s">
        <v>911</v>
      </c>
      <c r="B426" s="10">
        <v>2684</v>
      </c>
      <c r="C426" t="s">
        <v>752</v>
      </c>
      <c r="D426" t="s">
        <v>843</v>
      </c>
      <c r="E426" s="2">
        <v>7032</v>
      </c>
      <c r="F426" s="2">
        <v>3167</v>
      </c>
      <c r="G426" s="12">
        <f t="shared" si="18"/>
        <v>0.45036973833902161</v>
      </c>
      <c r="H426">
        <v>85</v>
      </c>
      <c r="I426">
        <v>10.59</v>
      </c>
      <c r="J426" s="2">
        <f t="shared" si="19"/>
        <v>3865</v>
      </c>
      <c r="K426" s="9">
        <f t="shared" si="20"/>
        <v>40930.35</v>
      </c>
    </row>
    <row r="427" spans="1:11" x14ac:dyDescent="0.35">
      <c r="A427" s="10" t="s">
        <v>911</v>
      </c>
      <c r="B427" s="10">
        <v>2685</v>
      </c>
      <c r="C427" t="s">
        <v>735</v>
      </c>
      <c r="D427" t="s">
        <v>374</v>
      </c>
      <c r="E427" s="2">
        <v>10805</v>
      </c>
      <c r="F427" s="2">
        <v>4648</v>
      </c>
      <c r="G427" s="12">
        <f t="shared" si="18"/>
        <v>0.43017121702915317</v>
      </c>
      <c r="H427">
        <v>85</v>
      </c>
      <c r="I427">
        <v>10.59</v>
      </c>
      <c r="J427" s="2">
        <f t="shared" si="19"/>
        <v>6157</v>
      </c>
      <c r="K427" s="9">
        <f t="shared" si="20"/>
        <v>65202.63</v>
      </c>
    </row>
    <row r="428" spans="1:11" x14ac:dyDescent="0.35">
      <c r="A428" s="10" t="s">
        <v>911</v>
      </c>
      <c r="B428" s="10">
        <v>2686</v>
      </c>
      <c r="C428" t="s">
        <v>756</v>
      </c>
      <c r="D428" t="s">
        <v>724</v>
      </c>
      <c r="E428" s="2">
        <v>2631</v>
      </c>
      <c r="F428" s="2">
        <v>1362</v>
      </c>
      <c r="G428" s="12">
        <f t="shared" si="18"/>
        <v>0.51767388825541616</v>
      </c>
      <c r="H428">
        <v>85</v>
      </c>
      <c r="I428">
        <v>10.59</v>
      </c>
      <c r="J428" s="2">
        <f t="shared" si="19"/>
        <v>1269</v>
      </c>
      <c r="K428" s="9">
        <f t="shared" si="20"/>
        <v>13438.71</v>
      </c>
    </row>
    <row r="429" spans="1:11" x14ac:dyDescent="0.35">
      <c r="A429" s="10" t="s">
        <v>911</v>
      </c>
      <c r="B429" s="10">
        <v>2694</v>
      </c>
      <c r="C429" t="s">
        <v>762</v>
      </c>
      <c r="D429" t="s">
        <v>524</v>
      </c>
      <c r="E429" s="2">
        <v>1727</v>
      </c>
      <c r="F429" s="2">
        <v>561</v>
      </c>
      <c r="G429" s="12">
        <f t="shared" si="18"/>
        <v>0.32484076433121017</v>
      </c>
      <c r="H429">
        <v>85</v>
      </c>
      <c r="I429">
        <v>10.59</v>
      </c>
      <c r="J429" s="2">
        <f t="shared" si="19"/>
        <v>1166</v>
      </c>
      <c r="K429" s="9">
        <f t="shared" si="20"/>
        <v>12347.94</v>
      </c>
    </row>
    <row r="430" spans="1:11" x14ac:dyDescent="0.35">
      <c r="A430" s="10" t="s">
        <v>911</v>
      </c>
      <c r="B430" s="10">
        <v>2695</v>
      </c>
      <c r="C430" t="s">
        <v>775</v>
      </c>
      <c r="D430" t="s">
        <v>641</v>
      </c>
      <c r="E430" s="2">
        <v>5924</v>
      </c>
      <c r="F430" s="2">
        <v>2866</v>
      </c>
      <c r="G430" s="12">
        <f t="shared" si="18"/>
        <v>0.48379473328831868</v>
      </c>
      <c r="H430">
        <v>85</v>
      </c>
      <c r="I430">
        <v>10.59</v>
      </c>
      <c r="J430" s="2">
        <f t="shared" si="19"/>
        <v>3058</v>
      </c>
      <c r="K430" s="9">
        <f t="shared" si="20"/>
        <v>32384.22</v>
      </c>
    </row>
    <row r="431" spans="1:11" x14ac:dyDescent="0.35">
      <c r="A431" s="10" t="s">
        <v>911</v>
      </c>
      <c r="B431" s="10">
        <v>2697</v>
      </c>
      <c r="C431" t="s">
        <v>770</v>
      </c>
      <c r="D431" t="s">
        <v>726</v>
      </c>
      <c r="E431" s="2">
        <v>4649</v>
      </c>
      <c r="F431" s="2">
        <v>2586</v>
      </c>
      <c r="G431" s="12">
        <f t="shared" si="18"/>
        <v>0.55624865562486558</v>
      </c>
      <c r="H431">
        <v>85</v>
      </c>
      <c r="I431">
        <v>10.59</v>
      </c>
      <c r="J431" s="2">
        <f t="shared" si="19"/>
        <v>2063</v>
      </c>
      <c r="K431" s="9">
        <f t="shared" si="20"/>
        <v>21847.17</v>
      </c>
    </row>
    <row r="432" spans="1:11" x14ac:dyDescent="0.35">
      <c r="A432" s="10" t="s">
        <v>911</v>
      </c>
      <c r="B432" s="10">
        <v>2698</v>
      </c>
      <c r="C432" t="s">
        <v>764</v>
      </c>
      <c r="D432" t="s">
        <v>433</v>
      </c>
      <c r="E432" s="2">
        <v>2791</v>
      </c>
      <c r="F432" s="2">
        <v>1652</v>
      </c>
      <c r="G432" s="12">
        <f t="shared" si="18"/>
        <v>0.59190254389107844</v>
      </c>
      <c r="H432">
        <v>85</v>
      </c>
      <c r="I432">
        <v>10.59</v>
      </c>
      <c r="J432" s="2">
        <f t="shared" si="19"/>
        <v>1139</v>
      </c>
      <c r="K432" s="9">
        <f t="shared" si="20"/>
        <v>12062.01</v>
      </c>
    </row>
    <row r="433" spans="1:11" x14ac:dyDescent="0.35">
      <c r="A433" s="10" t="s">
        <v>911</v>
      </c>
      <c r="B433" s="10">
        <v>2701</v>
      </c>
      <c r="C433" t="s">
        <v>773</v>
      </c>
      <c r="D433" t="s">
        <v>382</v>
      </c>
      <c r="E433" s="2">
        <v>2075</v>
      </c>
      <c r="F433" s="2">
        <v>858</v>
      </c>
      <c r="G433" s="12">
        <f t="shared" si="18"/>
        <v>0.41349397590361447</v>
      </c>
      <c r="H433">
        <v>85</v>
      </c>
      <c r="I433">
        <v>10.59</v>
      </c>
      <c r="J433" s="2">
        <f t="shared" si="19"/>
        <v>1217</v>
      </c>
      <c r="K433" s="9">
        <f t="shared" si="20"/>
        <v>12888.03</v>
      </c>
    </row>
    <row r="434" spans="1:11" x14ac:dyDescent="0.35">
      <c r="A434" s="10" t="s">
        <v>911</v>
      </c>
      <c r="B434" s="10">
        <v>2707</v>
      </c>
      <c r="C434" t="s">
        <v>766</v>
      </c>
      <c r="D434" t="s">
        <v>833</v>
      </c>
      <c r="E434" s="2">
        <v>3788</v>
      </c>
      <c r="F434" s="2">
        <v>1537</v>
      </c>
      <c r="G434" s="12">
        <f t="shared" si="18"/>
        <v>0.40575501583949314</v>
      </c>
      <c r="H434">
        <v>85</v>
      </c>
      <c r="I434">
        <v>10.59</v>
      </c>
      <c r="J434" s="2">
        <f t="shared" si="19"/>
        <v>2251</v>
      </c>
      <c r="K434" s="9">
        <f t="shared" si="20"/>
        <v>23838.09</v>
      </c>
    </row>
    <row r="435" spans="1:11" x14ac:dyDescent="0.35">
      <c r="A435" s="10" t="s">
        <v>911</v>
      </c>
      <c r="B435" s="10">
        <v>2709</v>
      </c>
      <c r="C435" t="s">
        <v>777</v>
      </c>
      <c r="D435" t="s">
        <v>627</v>
      </c>
      <c r="E435" s="2">
        <v>2899</v>
      </c>
      <c r="F435" s="2">
        <v>1724</v>
      </c>
      <c r="G435" s="12">
        <f t="shared" si="18"/>
        <v>0.59468782338737491</v>
      </c>
      <c r="H435">
        <v>85</v>
      </c>
      <c r="I435">
        <v>10.59</v>
      </c>
      <c r="J435" s="2">
        <f t="shared" si="19"/>
        <v>1175</v>
      </c>
      <c r="K435" s="9">
        <f t="shared" si="20"/>
        <v>12443.25</v>
      </c>
    </row>
    <row r="436" spans="1:11" x14ac:dyDescent="0.35">
      <c r="A436" s="10" t="s">
        <v>911</v>
      </c>
      <c r="B436" s="10">
        <v>2714</v>
      </c>
      <c r="C436" t="s">
        <v>888</v>
      </c>
      <c r="D436" t="s">
        <v>896</v>
      </c>
      <c r="E436" s="2">
        <v>4151</v>
      </c>
      <c r="F436" s="2">
        <v>1661</v>
      </c>
      <c r="G436" s="12">
        <f t="shared" si="18"/>
        <v>0.40014454348349793</v>
      </c>
      <c r="H436">
        <v>85</v>
      </c>
      <c r="I436">
        <v>10.59</v>
      </c>
      <c r="J436" s="2">
        <f t="shared" si="19"/>
        <v>2490</v>
      </c>
      <c r="K436" s="9">
        <f t="shared" si="20"/>
        <v>26369.1</v>
      </c>
    </row>
    <row r="437" spans="1:11" x14ac:dyDescent="0.35">
      <c r="A437" s="10" t="s">
        <v>911</v>
      </c>
      <c r="B437" s="10">
        <v>5118</v>
      </c>
      <c r="C437" t="s">
        <v>889</v>
      </c>
      <c r="D437" t="s">
        <v>897</v>
      </c>
      <c r="E437" s="2">
        <v>6672</v>
      </c>
      <c r="F437" s="2">
        <v>3162</v>
      </c>
      <c r="G437" s="12">
        <f t="shared" si="18"/>
        <v>0.47392086330935251</v>
      </c>
      <c r="H437">
        <v>85</v>
      </c>
      <c r="I437">
        <v>10.59</v>
      </c>
      <c r="J437" s="2">
        <f t="shared" si="19"/>
        <v>3510</v>
      </c>
      <c r="K437" s="9">
        <f t="shared" si="20"/>
        <v>37170.9</v>
      </c>
    </row>
    <row r="438" spans="1:11" x14ac:dyDescent="0.35">
      <c r="A438" s="10" t="s">
        <v>911</v>
      </c>
      <c r="B438" s="10">
        <v>5337</v>
      </c>
      <c r="C438" t="s">
        <v>755</v>
      </c>
      <c r="D438" t="s">
        <v>857</v>
      </c>
      <c r="E438" s="2">
        <v>4726</v>
      </c>
      <c r="F438" s="2">
        <v>2401</v>
      </c>
      <c r="G438" s="12">
        <f t="shared" si="18"/>
        <v>0.50804062632247149</v>
      </c>
      <c r="H438">
        <v>85</v>
      </c>
      <c r="I438">
        <v>10.59</v>
      </c>
      <c r="J438" s="2">
        <f t="shared" si="19"/>
        <v>2325</v>
      </c>
      <c r="K438" s="9">
        <f t="shared" si="20"/>
        <v>24621.75</v>
      </c>
    </row>
    <row r="439" spans="1:11" x14ac:dyDescent="0.35">
      <c r="A439" s="10" t="s">
        <v>911</v>
      </c>
      <c r="B439" s="10">
        <v>5836</v>
      </c>
      <c r="C439" t="s">
        <v>781</v>
      </c>
      <c r="D439" t="s">
        <v>873</v>
      </c>
      <c r="E439" s="2">
        <v>5954</v>
      </c>
      <c r="F439" s="2">
        <v>2491</v>
      </c>
      <c r="G439" s="12">
        <f t="shared" si="18"/>
        <v>0.418374202216997</v>
      </c>
      <c r="H439">
        <v>85</v>
      </c>
      <c r="I439">
        <v>10.59</v>
      </c>
      <c r="J439" s="2">
        <f t="shared" si="19"/>
        <v>3463</v>
      </c>
      <c r="K439" s="9">
        <f t="shared" si="20"/>
        <v>36673.17</v>
      </c>
    </row>
    <row r="440" spans="1:11" x14ac:dyDescent="0.35">
      <c r="A440" s="10" t="s">
        <v>911</v>
      </c>
      <c r="B440" s="10">
        <v>5875</v>
      </c>
      <c r="C440" t="s">
        <v>768</v>
      </c>
      <c r="D440" t="s">
        <v>841</v>
      </c>
      <c r="E440" s="2">
        <v>1968</v>
      </c>
      <c r="F440" s="2">
        <v>982</v>
      </c>
      <c r="G440" s="12">
        <f t="shared" si="18"/>
        <v>0.49898373983739835</v>
      </c>
      <c r="H440">
        <v>85</v>
      </c>
      <c r="I440">
        <v>10.59</v>
      </c>
      <c r="J440" s="2">
        <f t="shared" si="19"/>
        <v>986</v>
      </c>
      <c r="K440" s="9">
        <f t="shared" si="20"/>
        <v>10441.74</v>
      </c>
    </row>
    <row r="441" spans="1:11" x14ac:dyDescent="0.35">
      <c r="A441" s="10" t="s">
        <v>911</v>
      </c>
      <c r="B441" s="10">
        <v>6058</v>
      </c>
      <c r="C441" t="s">
        <v>746</v>
      </c>
      <c r="D441" t="s">
        <v>783</v>
      </c>
      <c r="E441" s="2">
        <v>4853</v>
      </c>
      <c r="F441" s="2">
        <v>2138</v>
      </c>
      <c r="G441" s="12">
        <f t="shared" si="18"/>
        <v>0.44055223573047597</v>
      </c>
      <c r="H441">
        <v>85</v>
      </c>
      <c r="I441">
        <v>10.59</v>
      </c>
      <c r="J441" s="2">
        <f t="shared" si="19"/>
        <v>2715</v>
      </c>
      <c r="K441" s="9">
        <f t="shared" si="20"/>
        <v>28751.85</v>
      </c>
    </row>
    <row r="442" spans="1:11" x14ac:dyDescent="0.35">
      <c r="A442" s="10" t="s">
        <v>911</v>
      </c>
      <c r="B442" s="10">
        <v>6062</v>
      </c>
      <c r="C442" t="s">
        <v>747</v>
      </c>
      <c r="D442" t="s">
        <v>832</v>
      </c>
      <c r="E442" s="2">
        <v>5657</v>
      </c>
      <c r="F442" s="2">
        <v>3405</v>
      </c>
      <c r="G442" s="12">
        <f t="shared" si="18"/>
        <v>0.6019091391196747</v>
      </c>
      <c r="H442">
        <v>85</v>
      </c>
      <c r="I442">
        <v>10.59</v>
      </c>
      <c r="J442" s="2">
        <f t="shared" si="19"/>
        <v>2252</v>
      </c>
      <c r="K442" s="9">
        <f t="shared" si="20"/>
        <v>23848.68</v>
      </c>
    </row>
    <row r="443" spans="1:11" x14ac:dyDescent="0.35">
      <c r="A443" s="10" t="s">
        <v>911</v>
      </c>
      <c r="B443" s="10">
        <v>6092</v>
      </c>
      <c r="C443" t="s">
        <v>778</v>
      </c>
      <c r="D443" t="s">
        <v>867</v>
      </c>
      <c r="E443" s="2">
        <v>4705</v>
      </c>
      <c r="F443" s="2">
        <v>2187</v>
      </c>
      <c r="G443" s="12">
        <f t="shared" si="18"/>
        <v>0.46482465462274175</v>
      </c>
      <c r="H443">
        <v>85</v>
      </c>
      <c r="I443">
        <v>10.59</v>
      </c>
      <c r="J443" s="2">
        <f t="shared" si="19"/>
        <v>2518</v>
      </c>
      <c r="K443" s="9">
        <f t="shared" si="20"/>
        <v>26665.62</v>
      </c>
    </row>
    <row r="444" spans="1:11" x14ac:dyDescent="0.35">
      <c r="A444" s="10" t="s">
        <v>911</v>
      </c>
      <c r="B444" s="10">
        <v>6275</v>
      </c>
      <c r="C444" t="s">
        <v>892</v>
      </c>
      <c r="D444" t="s">
        <v>900</v>
      </c>
      <c r="E444" s="2">
        <v>5098</v>
      </c>
      <c r="F444" s="2">
        <v>2033</v>
      </c>
      <c r="G444" s="12">
        <f t="shared" si="18"/>
        <v>0.39878383679874463</v>
      </c>
      <c r="H444">
        <v>85</v>
      </c>
      <c r="I444">
        <v>10.59</v>
      </c>
      <c r="J444" s="2">
        <f t="shared" si="19"/>
        <v>3065</v>
      </c>
      <c r="K444" s="9">
        <f t="shared" si="20"/>
        <v>32458.35</v>
      </c>
    </row>
    <row r="445" spans="1:11" x14ac:dyDescent="0.35">
      <c r="A445" s="10" t="s">
        <v>911</v>
      </c>
      <c r="B445" s="10">
        <v>6312</v>
      </c>
      <c r="C445" t="s">
        <v>876</v>
      </c>
      <c r="D445" t="s">
        <v>883</v>
      </c>
      <c r="E445" s="2">
        <v>5977</v>
      </c>
      <c r="F445" s="2">
        <v>3207</v>
      </c>
      <c r="G445" s="12">
        <f t="shared" si="18"/>
        <v>0.53655680107077131</v>
      </c>
      <c r="H445">
        <v>85</v>
      </c>
      <c r="I445">
        <v>10.59</v>
      </c>
      <c r="J445" s="2">
        <f t="shared" si="19"/>
        <v>2770</v>
      </c>
      <c r="K445" s="9">
        <f t="shared" si="20"/>
        <v>29334.3</v>
      </c>
    </row>
    <row r="446" spans="1:11" x14ac:dyDescent="0.35">
      <c r="A446" s="10" t="s">
        <v>911</v>
      </c>
      <c r="B446" s="10">
        <v>6444</v>
      </c>
      <c r="C446" t="s">
        <v>875</v>
      </c>
      <c r="D446" t="s">
        <v>879</v>
      </c>
      <c r="E446" s="2">
        <v>5344</v>
      </c>
      <c r="F446" s="2">
        <v>2677</v>
      </c>
      <c r="G446" s="12">
        <f t="shared" si="18"/>
        <v>0.50093562874251496</v>
      </c>
      <c r="H446">
        <v>85</v>
      </c>
      <c r="I446">
        <v>10.59</v>
      </c>
      <c r="J446" s="2">
        <f t="shared" si="19"/>
        <v>2667</v>
      </c>
      <c r="K446" s="9">
        <f t="shared" si="20"/>
        <v>28243.53</v>
      </c>
    </row>
    <row r="447" spans="1:11" x14ac:dyDescent="0.35">
      <c r="A447" s="10" t="s">
        <v>911</v>
      </c>
      <c r="B447" s="10">
        <v>6456</v>
      </c>
      <c r="C447" t="s">
        <v>893</v>
      </c>
      <c r="D447" t="s">
        <v>901</v>
      </c>
      <c r="E447" s="2">
        <v>2493</v>
      </c>
      <c r="F447" s="2">
        <v>1022</v>
      </c>
      <c r="G447" s="12">
        <f t="shared" si="18"/>
        <v>0.40994785399117528</v>
      </c>
      <c r="H447">
        <v>85</v>
      </c>
      <c r="I447">
        <v>10.59</v>
      </c>
      <c r="J447" s="2">
        <f t="shared" si="19"/>
        <v>1471</v>
      </c>
      <c r="K447" s="9">
        <f t="shared" si="20"/>
        <v>15577.89</v>
      </c>
    </row>
    <row r="448" spans="1:11" x14ac:dyDescent="0.35">
      <c r="A448" s="10" t="s">
        <v>911</v>
      </c>
      <c r="B448" s="10">
        <v>6540</v>
      </c>
      <c r="C448" t="s">
        <v>895</v>
      </c>
      <c r="D448" t="s">
        <v>916</v>
      </c>
      <c r="E448" s="2">
        <v>4864</v>
      </c>
      <c r="F448" s="2">
        <v>1905</v>
      </c>
      <c r="G448" s="12">
        <f t="shared" si="18"/>
        <v>0.39165296052631576</v>
      </c>
      <c r="H448">
        <v>85</v>
      </c>
      <c r="I448">
        <v>10.59</v>
      </c>
      <c r="J448" s="2">
        <f t="shared" si="19"/>
        <v>2959</v>
      </c>
      <c r="K448" s="9">
        <f t="shared" si="20"/>
        <v>31335.81</v>
      </c>
    </row>
    <row r="449" spans="1:11" x14ac:dyDescent="0.35">
      <c r="A449" s="10" t="s">
        <v>911</v>
      </c>
      <c r="B449" s="10">
        <v>6556</v>
      </c>
      <c r="C449" t="s">
        <v>890</v>
      </c>
      <c r="D449" t="s">
        <v>898</v>
      </c>
      <c r="E449" s="2">
        <v>2527</v>
      </c>
      <c r="F449" s="2">
        <v>1358</v>
      </c>
      <c r="G449" s="12">
        <f t="shared" si="18"/>
        <v>0.53739612188365649</v>
      </c>
      <c r="H449">
        <v>85</v>
      </c>
      <c r="I449">
        <v>10.59</v>
      </c>
      <c r="J449" s="2">
        <f t="shared" si="19"/>
        <v>1169</v>
      </c>
      <c r="K449" s="9">
        <f t="shared" si="20"/>
        <v>12379.71</v>
      </c>
    </row>
    <row r="450" spans="1:11" x14ac:dyDescent="0.35">
      <c r="A450" s="10" t="s">
        <v>911</v>
      </c>
      <c r="B450" s="10">
        <v>6599</v>
      </c>
      <c r="C450" t="s">
        <v>904</v>
      </c>
      <c r="D450" t="s">
        <v>908</v>
      </c>
      <c r="E450" s="2">
        <v>4552</v>
      </c>
      <c r="F450" s="2">
        <v>2496</v>
      </c>
      <c r="G450" s="12">
        <f t="shared" si="18"/>
        <v>0.54833040421792623</v>
      </c>
      <c r="H450">
        <v>85</v>
      </c>
      <c r="I450">
        <v>10.59</v>
      </c>
      <c r="J450" s="2">
        <f t="shared" si="19"/>
        <v>2056</v>
      </c>
      <c r="K450" s="9">
        <f t="shared" si="20"/>
        <v>21773.040000000001</v>
      </c>
    </row>
    <row r="451" spans="1:11" x14ac:dyDescent="0.35">
      <c r="A451" s="10" t="s">
        <v>911</v>
      </c>
      <c r="B451" s="10">
        <v>6687</v>
      </c>
      <c r="C451" t="s">
        <v>891</v>
      </c>
      <c r="D451" t="s">
        <v>899</v>
      </c>
      <c r="E451" s="2">
        <v>4550</v>
      </c>
      <c r="F451" s="2">
        <v>2039</v>
      </c>
      <c r="G451" s="12">
        <f t="shared" ref="G451:G457" si="21">F451/E451</f>
        <v>0.44813186813186812</v>
      </c>
      <c r="H451">
        <v>85</v>
      </c>
      <c r="I451">
        <v>10.59</v>
      </c>
      <c r="J451" s="2">
        <f t="shared" ref="J451:J457" si="22">E451-F451</f>
        <v>2511</v>
      </c>
      <c r="K451" s="9">
        <f t="shared" ref="K451:K457" si="23">J451*I451</f>
        <v>26591.489999999998</v>
      </c>
    </row>
    <row r="452" spans="1:11" x14ac:dyDescent="0.35">
      <c r="A452" s="10" t="s">
        <v>911</v>
      </c>
      <c r="B452" s="10">
        <v>6909</v>
      </c>
      <c r="C452" t="s">
        <v>171</v>
      </c>
      <c r="D452" t="s">
        <v>917</v>
      </c>
      <c r="E452" s="2">
        <v>6740</v>
      </c>
      <c r="F452" s="2">
        <v>3364</v>
      </c>
      <c r="G452" s="12">
        <f t="shared" si="21"/>
        <v>0.49910979228486646</v>
      </c>
      <c r="H452">
        <v>85</v>
      </c>
      <c r="I452">
        <v>10.59</v>
      </c>
      <c r="J452" s="2">
        <f t="shared" si="22"/>
        <v>3376</v>
      </c>
      <c r="K452" s="9">
        <f t="shared" si="23"/>
        <v>35751.839999999997</v>
      </c>
    </row>
    <row r="453" spans="1:11" x14ac:dyDescent="0.35">
      <c r="A453" s="10" t="s">
        <v>911</v>
      </c>
      <c r="B453" s="10">
        <v>7022</v>
      </c>
      <c r="C453" t="s">
        <v>918</v>
      </c>
      <c r="D453" t="s">
        <v>919</v>
      </c>
      <c r="E453" s="2">
        <v>7825</v>
      </c>
      <c r="F453" s="2">
        <v>4359</v>
      </c>
      <c r="G453" s="12">
        <f t="shared" si="21"/>
        <v>0.55706070287539933</v>
      </c>
      <c r="H453">
        <v>85</v>
      </c>
      <c r="I453">
        <v>10.59</v>
      </c>
      <c r="J453" s="2">
        <f t="shared" si="22"/>
        <v>3466</v>
      </c>
      <c r="K453" s="9">
        <f t="shared" si="23"/>
        <v>36704.94</v>
      </c>
    </row>
    <row r="454" spans="1:11" x14ac:dyDescent="0.35">
      <c r="A454" s="10" t="s">
        <v>911</v>
      </c>
      <c r="B454" s="10">
        <v>7026</v>
      </c>
      <c r="C454" t="s">
        <v>902</v>
      </c>
      <c r="D454" t="s">
        <v>906</v>
      </c>
      <c r="E454" s="2">
        <v>5244</v>
      </c>
      <c r="F454" s="2">
        <v>2589</v>
      </c>
      <c r="G454" s="12">
        <f t="shared" si="21"/>
        <v>0.49370709382151029</v>
      </c>
      <c r="H454">
        <v>85</v>
      </c>
      <c r="I454">
        <v>10.59</v>
      </c>
      <c r="J454" s="2">
        <f t="shared" si="22"/>
        <v>2655</v>
      </c>
      <c r="K454" s="9">
        <f t="shared" si="23"/>
        <v>28116.45</v>
      </c>
    </row>
    <row r="455" spans="1:11" x14ac:dyDescent="0.35">
      <c r="A455" s="10" t="s">
        <v>911</v>
      </c>
      <c r="B455" s="10">
        <v>7031</v>
      </c>
      <c r="C455" t="s">
        <v>905</v>
      </c>
      <c r="D455" t="s">
        <v>910</v>
      </c>
      <c r="E455" s="2">
        <v>3750</v>
      </c>
      <c r="F455" s="2">
        <v>1841</v>
      </c>
      <c r="G455" s="12">
        <f t="shared" si="21"/>
        <v>0.49093333333333333</v>
      </c>
      <c r="H455">
        <v>85</v>
      </c>
      <c r="I455">
        <v>10.59</v>
      </c>
      <c r="J455" s="2">
        <f t="shared" si="22"/>
        <v>1909</v>
      </c>
      <c r="K455" s="9">
        <f t="shared" si="23"/>
        <v>20216.310000000001</v>
      </c>
    </row>
    <row r="456" spans="1:11" x14ac:dyDescent="0.35">
      <c r="A456" s="10" t="s">
        <v>911</v>
      </c>
      <c r="B456" s="10">
        <v>7135</v>
      </c>
      <c r="C456" t="s">
        <v>920</v>
      </c>
      <c r="D456" t="s">
        <v>921</v>
      </c>
      <c r="E456" s="2">
        <v>2296</v>
      </c>
      <c r="F456" s="2">
        <v>1547</v>
      </c>
      <c r="G456" s="12">
        <f t="shared" si="21"/>
        <v>0.67378048780487809</v>
      </c>
      <c r="H456">
        <v>85</v>
      </c>
      <c r="I456">
        <v>10.59</v>
      </c>
      <c r="J456" s="2">
        <f t="shared" si="22"/>
        <v>749</v>
      </c>
      <c r="K456" s="9">
        <f t="shared" si="23"/>
        <v>7931.91</v>
      </c>
    </row>
    <row r="457" spans="1:11" x14ac:dyDescent="0.35">
      <c r="A457" s="11" t="s">
        <v>911</v>
      </c>
      <c r="B457" s="10">
        <v>7278</v>
      </c>
      <c r="C457" t="s">
        <v>922</v>
      </c>
      <c r="D457" t="s">
        <v>923</v>
      </c>
      <c r="E457" s="2">
        <v>6441</v>
      </c>
      <c r="F457" s="2">
        <v>2490</v>
      </c>
      <c r="G457" s="12">
        <f t="shared" si="21"/>
        <v>0.38658593386120166</v>
      </c>
      <c r="H457">
        <v>85</v>
      </c>
      <c r="I457">
        <v>10.59</v>
      </c>
      <c r="J457" s="2">
        <f t="shared" si="22"/>
        <v>3951</v>
      </c>
      <c r="K457" s="9">
        <f t="shared" si="23"/>
        <v>41841.089999999997</v>
      </c>
    </row>
  </sheetData>
  <autoFilter ref="A1:K1" xr:uid="{7314B8E4-7729-4B64-B4CE-AFAB5F217797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Calculo_Cokenet_Bobs_2025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Grazieli Candido</cp:lastModifiedBy>
  <dcterms:created xsi:type="dcterms:W3CDTF">2024-11-05T14:36:28Z</dcterms:created>
  <dcterms:modified xsi:type="dcterms:W3CDTF">2026-03-11T12:55:11Z</dcterms:modified>
</cp:coreProperties>
</file>