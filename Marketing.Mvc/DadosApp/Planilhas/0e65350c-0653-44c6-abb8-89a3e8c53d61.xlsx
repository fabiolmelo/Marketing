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20306\Downloads\"/>
    </mc:Choice>
  </mc:AlternateContent>
  <xr:revisionPtr revIDLastSave="0" documentId="13_ncr:1_{34A831F3-3688-44B2-823D-F2649B865114}" xr6:coauthVersionLast="47" xr6:coauthVersionMax="47" xr10:uidLastSave="{00000000-0000-0000-0000-000000000000}"/>
  <bookViews>
    <workbookView xWindow="28680" yWindow="-120" windowWidth="29040" windowHeight="15720" xr2:uid="{DA1F6154-AC53-4911-A9C5-3093DE530DC8}"/>
  </bookViews>
  <sheets>
    <sheet name="Calculo_Cokenet_Dominos" sheetId="1" r:id="rId1"/>
  </sheets>
  <definedNames>
    <definedName name="_xlnm._FilterDatabase" localSheetId="0" hidden="1">Calculo_Cokenet_Dominos!$A$1:$M$201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0" i="1" l="1"/>
  <c r="M90" i="1" s="1"/>
  <c r="L165" i="1"/>
  <c r="M165" i="1" s="1"/>
  <c r="L173" i="1"/>
  <c r="M173" i="1" s="1"/>
  <c r="L193" i="1"/>
  <c r="M193" i="1" s="1"/>
  <c r="I2" i="1"/>
  <c r="L2" i="1" s="1"/>
  <c r="M2" i="1" s="1"/>
  <c r="I3" i="1"/>
  <c r="L3" i="1" s="1"/>
  <c r="M3" i="1" s="1"/>
  <c r="I4" i="1"/>
  <c r="L4" i="1" s="1"/>
  <c r="M4" i="1" s="1"/>
  <c r="I5" i="1"/>
  <c r="L5" i="1" s="1"/>
  <c r="M5" i="1" s="1"/>
  <c r="I6" i="1"/>
  <c r="L6" i="1" s="1"/>
  <c r="M6" i="1" s="1"/>
  <c r="I7" i="1"/>
  <c r="L7" i="1" s="1"/>
  <c r="M7" i="1" s="1"/>
  <c r="I8" i="1"/>
  <c r="L8" i="1" s="1"/>
  <c r="M8" i="1" s="1"/>
  <c r="I9" i="1"/>
  <c r="L9" i="1" s="1"/>
  <c r="M9" i="1" s="1"/>
  <c r="I10" i="1"/>
  <c r="L10" i="1" s="1"/>
  <c r="M10" i="1" s="1"/>
  <c r="I11" i="1"/>
  <c r="L11" i="1" s="1"/>
  <c r="M11" i="1" s="1"/>
  <c r="I12" i="1"/>
  <c r="L12" i="1" s="1"/>
  <c r="M12" i="1" s="1"/>
  <c r="I13" i="1"/>
  <c r="L13" i="1" s="1"/>
  <c r="M13" i="1" s="1"/>
  <c r="I14" i="1"/>
  <c r="L14" i="1" s="1"/>
  <c r="M14" i="1" s="1"/>
  <c r="I15" i="1"/>
  <c r="L15" i="1" s="1"/>
  <c r="M15" i="1" s="1"/>
  <c r="I16" i="1"/>
  <c r="L16" i="1" s="1"/>
  <c r="M16" i="1" s="1"/>
  <c r="I17" i="1"/>
  <c r="L17" i="1" s="1"/>
  <c r="M17" i="1" s="1"/>
  <c r="I18" i="1"/>
  <c r="L18" i="1" s="1"/>
  <c r="M18" i="1" s="1"/>
  <c r="I19" i="1"/>
  <c r="L19" i="1" s="1"/>
  <c r="M19" i="1" s="1"/>
  <c r="I20" i="1"/>
  <c r="L20" i="1" s="1"/>
  <c r="M20" i="1" s="1"/>
  <c r="I21" i="1"/>
  <c r="L21" i="1" s="1"/>
  <c r="M21" i="1" s="1"/>
  <c r="I22" i="1"/>
  <c r="L22" i="1" s="1"/>
  <c r="M22" i="1" s="1"/>
  <c r="I23" i="1"/>
  <c r="L23" i="1" s="1"/>
  <c r="M23" i="1" s="1"/>
  <c r="I24" i="1"/>
  <c r="L24" i="1" s="1"/>
  <c r="M24" i="1" s="1"/>
  <c r="I25" i="1"/>
  <c r="L25" i="1" s="1"/>
  <c r="M25" i="1" s="1"/>
  <c r="I26" i="1"/>
  <c r="L26" i="1" s="1"/>
  <c r="M26" i="1" s="1"/>
  <c r="I27" i="1"/>
  <c r="L27" i="1" s="1"/>
  <c r="M27" i="1" s="1"/>
  <c r="I28" i="1"/>
  <c r="L28" i="1" s="1"/>
  <c r="M28" i="1" s="1"/>
  <c r="I29" i="1"/>
  <c r="L29" i="1" s="1"/>
  <c r="M29" i="1" s="1"/>
  <c r="I30" i="1"/>
  <c r="L30" i="1" s="1"/>
  <c r="M30" i="1" s="1"/>
  <c r="I31" i="1"/>
  <c r="L31" i="1" s="1"/>
  <c r="M31" i="1" s="1"/>
  <c r="I32" i="1"/>
  <c r="L32" i="1" s="1"/>
  <c r="M32" i="1" s="1"/>
  <c r="I33" i="1"/>
  <c r="L33" i="1" s="1"/>
  <c r="M33" i="1" s="1"/>
  <c r="I34" i="1"/>
  <c r="L34" i="1" s="1"/>
  <c r="M34" i="1" s="1"/>
  <c r="I35" i="1"/>
  <c r="L35" i="1" s="1"/>
  <c r="M35" i="1" s="1"/>
  <c r="I36" i="1"/>
  <c r="L36" i="1" s="1"/>
  <c r="M36" i="1" s="1"/>
  <c r="I37" i="1"/>
  <c r="L37" i="1" s="1"/>
  <c r="M37" i="1" s="1"/>
  <c r="I38" i="1"/>
  <c r="L38" i="1" s="1"/>
  <c r="M38" i="1" s="1"/>
  <c r="I39" i="1"/>
  <c r="L39" i="1" s="1"/>
  <c r="M39" i="1" s="1"/>
  <c r="I40" i="1"/>
  <c r="L40" i="1" s="1"/>
  <c r="M40" i="1" s="1"/>
  <c r="I41" i="1"/>
  <c r="L41" i="1" s="1"/>
  <c r="M41" i="1" s="1"/>
  <c r="I42" i="1"/>
  <c r="L42" i="1" s="1"/>
  <c r="M42" i="1" s="1"/>
  <c r="I43" i="1"/>
  <c r="L43" i="1" s="1"/>
  <c r="M43" i="1" s="1"/>
  <c r="I44" i="1"/>
  <c r="L44" i="1" s="1"/>
  <c r="M44" i="1" s="1"/>
  <c r="I45" i="1"/>
  <c r="L45" i="1" s="1"/>
  <c r="M45" i="1" s="1"/>
  <c r="I46" i="1"/>
  <c r="L46" i="1" s="1"/>
  <c r="M46" i="1" s="1"/>
  <c r="I47" i="1"/>
  <c r="L47" i="1" s="1"/>
  <c r="M47" i="1" s="1"/>
  <c r="I48" i="1"/>
  <c r="L48" i="1" s="1"/>
  <c r="M48" i="1" s="1"/>
  <c r="I49" i="1"/>
  <c r="L49" i="1" s="1"/>
  <c r="M49" i="1" s="1"/>
  <c r="I50" i="1"/>
  <c r="L50" i="1" s="1"/>
  <c r="M50" i="1" s="1"/>
  <c r="I51" i="1"/>
  <c r="L51" i="1" s="1"/>
  <c r="M51" i="1" s="1"/>
  <c r="I52" i="1"/>
  <c r="L52" i="1" s="1"/>
  <c r="M52" i="1" s="1"/>
  <c r="I53" i="1"/>
  <c r="L53" i="1" s="1"/>
  <c r="M53" i="1" s="1"/>
  <c r="I54" i="1"/>
  <c r="L54" i="1" s="1"/>
  <c r="M54" i="1" s="1"/>
  <c r="I55" i="1"/>
  <c r="L55" i="1" s="1"/>
  <c r="M55" i="1" s="1"/>
  <c r="I56" i="1"/>
  <c r="L56" i="1" s="1"/>
  <c r="M56" i="1" s="1"/>
  <c r="I57" i="1"/>
  <c r="L57" i="1" s="1"/>
  <c r="M57" i="1" s="1"/>
  <c r="I58" i="1"/>
  <c r="L58" i="1" s="1"/>
  <c r="M58" i="1" s="1"/>
  <c r="I59" i="1"/>
  <c r="L59" i="1" s="1"/>
  <c r="M59" i="1" s="1"/>
  <c r="I60" i="1"/>
  <c r="L60" i="1" s="1"/>
  <c r="M60" i="1" s="1"/>
  <c r="I61" i="1"/>
  <c r="L61" i="1" s="1"/>
  <c r="M61" i="1" s="1"/>
  <c r="I62" i="1"/>
  <c r="L62" i="1" s="1"/>
  <c r="M62" i="1" s="1"/>
  <c r="I63" i="1"/>
  <c r="L63" i="1" s="1"/>
  <c r="M63" i="1" s="1"/>
  <c r="I64" i="1"/>
  <c r="L64" i="1" s="1"/>
  <c r="M64" i="1" s="1"/>
  <c r="I65" i="1"/>
  <c r="L65" i="1" s="1"/>
  <c r="M65" i="1" s="1"/>
  <c r="I66" i="1"/>
  <c r="L66" i="1" s="1"/>
  <c r="M66" i="1" s="1"/>
  <c r="I67" i="1"/>
  <c r="L67" i="1" s="1"/>
  <c r="M67" i="1" s="1"/>
  <c r="I68" i="1"/>
  <c r="L68" i="1" s="1"/>
  <c r="M68" i="1" s="1"/>
  <c r="I69" i="1"/>
  <c r="L69" i="1" s="1"/>
  <c r="M69" i="1" s="1"/>
  <c r="I70" i="1"/>
  <c r="L70" i="1" s="1"/>
  <c r="M70" i="1" s="1"/>
  <c r="I71" i="1"/>
  <c r="L71" i="1" s="1"/>
  <c r="M71" i="1" s="1"/>
  <c r="I72" i="1"/>
  <c r="L72" i="1" s="1"/>
  <c r="M72" i="1" s="1"/>
  <c r="I73" i="1"/>
  <c r="L73" i="1" s="1"/>
  <c r="M73" i="1" s="1"/>
  <c r="I74" i="1"/>
  <c r="L74" i="1" s="1"/>
  <c r="M74" i="1" s="1"/>
  <c r="I75" i="1"/>
  <c r="L75" i="1" s="1"/>
  <c r="M75" i="1" s="1"/>
  <c r="I76" i="1"/>
  <c r="L76" i="1" s="1"/>
  <c r="M76" i="1" s="1"/>
  <c r="I77" i="1"/>
  <c r="L77" i="1" s="1"/>
  <c r="M77" i="1" s="1"/>
  <c r="I78" i="1"/>
  <c r="L78" i="1" s="1"/>
  <c r="M78" i="1" s="1"/>
  <c r="I79" i="1"/>
  <c r="L79" i="1" s="1"/>
  <c r="M79" i="1" s="1"/>
  <c r="I80" i="1"/>
  <c r="L80" i="1" s="1"/>
  <c r="M80" i="1" s="1"/>
  <c r="I81" i="1"/>
  <c r="L81" i="1" s="1"/>
  <c r="M81" i="1" s="1"/>
  <c r="I82" i="1"/>
  <c r="L82" i="1" s="1"/>
  <c r="M82" i="1" s="1"/>
  <c r="I83" i="1"/>
  <c r="L83" i="1" s="1"/>
  <c r="M83" i="1" s="1"/>
  <c r="I84" i="1"/>
  <c r="L84" i="1" s="1"/>
  <c r="M84" i="1" s="1"/>
  <c r="I85" i="1"/>
  <c r="L85" i="1" s="1"/>
  <c r="M85" i="1" s="1"/>
  <c r="I86" i="1"/>
  <c r="L86" i="1" s="1"/>
  <c r="M86" i="1" s="1"/>
  <c r="I87" i="1"/>
  <c r="L87" i="1" s="1"/>
  <c r="M87" i="1" s="1"/>
  <c r="I88" i="1"/>
  <c r="L88" i="1" s="1"/>
  <c r="M88" i="1" s="1"/>
  <c r="I89" i="1"/>
  <c r="L89" i="1" s="1"/>
  <c r="M89" i="1" s="1"/>
  <c r="I90" i="1"/>
  <c r="I91" i="1"/>
  <c r="L91" i="1" s="1"/>
  <c r="M91" i="1" s="1"/>
  <c r="I92" i="1"/>
  <c r="L92" i="1" s="1"/>
  <c r="M92" i="1" s="1"/>
  <c r="I93" i="1"/>
  <c r="L93" i="1" s="1"/>
  <c r="M93" i="1" s="1"/>
  <c r="I94" i="1"/>
  <c r="L94" i="1" s="1"/>
  <c r="M94" i="1" s="1"/>
  <c r="I95" i="1"/>
  <c r="L95" i="1" s="1"/>
  <c r="M95" i="1" s="1"/>
  <c r="I96" i="1"/>
  <c r="L96" i="1" s="1"/>
  <c r="M96" i="1" s="1"/>
  <c r="I97" i="1"/>
  <c r="L97" i="1" s="1"/>
  <c r="M97" i="1" s="1"/>
  <c r="I98" i="1"/>
  <c r="L98" i="1" s="1"/>
  <c r="M98" i="1" s="1"/>
  <c r="I99" i="1"/>
  <c r="L99" i="1" s="1"/>
  <c r="M99" i="1" s="1"/>
  <c r="I100" i="1"/>
  <c r="L100" i="1" s="1"/>
  <c r="M100" i="1" s="1"/>
  <c r="I101" i="1"/>
  <c r="L101" i="1" s="1"/>
  <c r="M101" i="1" s="1"/>
  <c r="I102" i="1"/>
  <c r="L102" i="1" s="1"/>
  <c r="M102" i="1" s="1"/>
  <c r="I103" i="1"/>
  <c r="L103" i="1" s="1"/>
  <c r="M103" i="1" s="1"/>
  <c r="I104" i="1"/>
  <c r="L104" i="1" s="1"/>
  <c r="M104" i="1" s="1"/>
  <c r="I105" i="1"/>
  <c r="L105" i="1" s="1"/>
  <c r="M105" i="1" s="1"/>
  <c r="I106" i="1"/>
  <c r="L106" i="1" s="1"/>
  <c r="M106" i="1" s="1"/>
  <c r="I107" i="1"/>
  <c r="L107" i="1" s="1"/>
  <c r="M107" i="1" s="1"/>
  <c r="I108" i="1"/>
  <c r="L108" i="1" s="1"/>
  <c r="M108" i="1" s="1"/>
  <c r="I109" i="1"/>
  <c r="L109" i="1" s="1"/>
  <c r="M109" i="1" s="1"/>
  <c r="I110" i="1"/>
  <c r="L110" i="1" s="1"/>
  <c r="M110" i="1" s="1"/>
  <c r="I111" i="1"/>
  <c r="L111" i="1" s="1"/>
  <c r="M111" i="1" s="1"/>
  <c r="I112" i="1"/>
  <c r="L112" i="1" s="1"/>
  <c r="M112" i="1" s="1"/>
  <c r="I113" i="1"/>
  <c r="L113" i="1" s="1"/>
  <c r="M113" i="1" s="1"/>
  <c r="I114" i="1"/>
  <c r="L114" i="1" s="1"/>
  <c r="M114" i="1" s="1"/>
  <c r="I115" i="1"/>
  <c r="L115" i="1" s="1"/>
  <c r="M115" i="1" s="1"/>
  <c r="I116" i="1"/>
  <c r="L116" i="1" s="1"/>
  <c r="M116" i="1" s="1"/>
  <c r="I117" i="1"/>
  <c r="L117" i="1" s="1"/>
  <c r="M117" i="1" s="1"/>
  <c r="I118" i="1"/>
  <c r="L118" i="1" s="1"/>
  <c r="M118" i="1" s="1"/>
  <c r="I119" i="1"/>
  <c r="L119" i="1" s="1"/>
  <c r="M119" i="1" s="1"/>
  <c r="I120" i="1"/>
  <c r="L120" i="1" s="1"/>
  <c r="M120" i="1" s="1"/>
  <c r="I121" i="1"/>
  <c r="L121" i="1" s="1"/>
  <c r="M121" i="1" s="1"/>
  <c r="I122" i="1"/>
  <c r="L122" i="1" s="1"/>
  <c r="M122" i="1" s="1"/>
  <c r="I123" i="1"/>
  <c r="L123" i="1" s="1"/>
  <c r="M123" i="1" s="1"/>
  <c r="I124" i="1"/>
  <c r="L124" i="1" s="1"/>
  <c r="M124" i="1" s="1"/>
  <c r="I125" i="1"/>
  <c r="L125" i="1" s="1"/>
  <c r="M125" i="1" s="1"/>
  <c r="I126" i="1"/>
  <c r="L126" i="1" s="1"/>
  <c r="M126" i="1" s="1"/>
  <c r="I127" i="1"/>
  <c r="L127" i="1" s="1"/>
  <c r="M127" i="1" s="1"/>
  <c r="I128" i="1"/>
  <c r="L128" i="1" s="1"/>
  <c r="M128" i="1" s="1"/>
  <c r="I129" i="1"/>
  <c r="L129" i="1" s="1"/>
  <c r="M129" i="1" s="1"/>
  <c r="I130" i="1"/>
  <c r="L130" i="1" s="1"/>
  <c r="M130" i="1" s="1"/>
  <c r="I131" i="1"/>
  <c r="L131" i="1" s="1"/>
  <c r="M131" i="1" s="1"/>
  <c r="I132" i="1"/>
  <c r="L132" i="1" s="1"/>
  <c r="M132" i="1" s="1"/>
  <c r="I133" i="1"/>
  <c r="L133" i="1" s="1"/>
  <c r="M133" i="1" s="1"/>
  <c r="I134" i="1"/>
  <c r="L134" i="1" s="1"/>
  <c r="M134" i="1" s="1"/>
  <c r="I135" i="1"/>
  <c r="L135" i="1" s="1"/>
  <c r="M135" i="1" s="1"/>
  <c r="I136" i="1"/>
  <c r="L136" i="1" s="1"/>
  <c r="M136" i="1" s="1"/>
  <c r="I137" i="1"/>
  <c r="L137" i="1" s="1"/>
  <c r="M137" i="1" s="1"/>
  <c r="I138" i="1"/>
  <c r="L138" i="1" s="1"/>
  <c r="M138" i="1" s="1"/>
  <c r="I139" i="1"/>
  <c r="L139" i="1" s="1"/>
  <c r="M139" i="1" s="1"/>
  <c r="I140" i="1"/>
  <c r="L140" i="1" s="1"/>
  <c r="M140" i="1" s="1"/>
  <c r="I141" i="1"/>
  <c r="L141" i="1" s="1"/>
  <c r="M141" i="1" s="1"/>
  <c r="I142" i="1"/>
  <c r="L142" i="1" s="1"/>
  <c r="M142" i="1" s="1"/>
  <c r="I143" i="1"/>
  <c r="L143" i="1" s="1"/>
  <c r="M143" i="1" s="1"/>
  <c r="I144" i="1"/>
  <c r="L144" i="1" s="1"/>
  <c r="M144" i="1" s="1"/>
  <c r="I145" i="1"/>
  <c r="L145" i="1" s="1"/>
  <c r="M145" i="1" s="1"/>
  <c r="I146" i="1"/>
  <c r="L146" i="1" s="1"/>
  <c r="M146" i="1" s="1"/>
  <c r="I147" i="1"/>
  <c r="L147" i="1" s="1"/>
  <c r="M147" i="1" s="1"/>
  <c r="I148" i="1"/>
  <c r="L148" i="1" s="1"/>
  <c r="M148" i="1" s="1"/>
  <c r="I149" i="1"/>
  <c r="L149" i="1" s="1"/>
  <c r="M149" i="1" s="1"/>
  <c r="I150" i="1"/>
  <c r="L150" i="1" s="1"/>
  <c r="M150" i="1" s="1"/>
  <c r="I151" i="1"/>
  <c r="L151" i="1" s="1"/>
  <c r="M151" i="1" s="1"/>
  <c r="I152" i="1"/>
  <c r="L152" i="1" s="1"/>
  <c r="M152" i="1" s="1"/>
  <c r="I153" i="1"/>
  <c r="L153" i="1" s="1"/>
  <c r="M153" i="1" s="1"/>
  <c r="I154" i="1"/>
  <c r="L154" i="1" s="1"/>
  <c r="M154" i="1" s="1"/>
  <c r="I155" i="1"/>
  <c r="L155" i="1" s="1"/>
  <c r="M155" i="1" s="1"/>
  <c r="I156" i="1"/>
  <c r="L156" i="1" s="1"/>
  <c r="M156" i="1" s="1"/>
  <c r="I157" i="1"/>
  <c r="L157" i="1" s="1"/>
  <c r="M157" i="1" s="1"/>
  <c r="I158" i="1"/>
  <c r="L158" i="1" s="1"/>
  <c r="M158" i="1" s="1"/>
  <c r="I159" i="1"/>
  <c r="L159" i="1" s="1"/>
  <c r="M159" i="1" s="1"/>
  <c r="I160" i="1"/>
  <c r="L160" i="1" s="1"/>
  <c r="M160" i="1" s="1"/>
  <c r="I161" i="1"/>
  <c r="L161" i="1" s="1"/>
  <c r="M161" i="1" s="1"/>
  <c r="I162" i="1"/>
  <c r="L162" i="1" s="1"/>
  <c r="M162" i="1" s="1"/>
  <c r="I163" i="1"/>
  <c r="L163" i="1" s="1"/>
  <c r="M163" i="1" s="1"/>
  <c r="I164" i="1"/>
  <c r="L164" i="1" s="1"/>
  <c r="M164" i="1" s="1"/>
  <c r="I165" i="1"/>
  <c r="I166" i="1"/>
  <c r="L166" i="1" s="1"/>
  <c r="M166" i="1" s="1"/>
  <c r="I167" i="1"/>
  <c r="L167" i="1" s="1"/>
  <c r="M167" i="1" s="1"/>
  <c r="I168" i="1"/>
  <c r="L168" i="1" s="1"/>
  <c r="M168" i="1" s="1"/>
  <c r="I169" i="1"/>
  <c r="L169" i="1" s="1"/>
  <c r="M169" i="1" s="1"/>
  <c r="I170" i="1"/>
  <c r="L170" i="1" s="1"/>
  <c r="M170" i="1" s="1"/>
  <c r="I171" i="1"/>
  <c r="L171" i="1" s="1"/>
  <c r="M171" i="1" s="1"/>
  <c r="I172" i="1"/>
  <c r="L172" i="1" s="1"/>
  <c r="M172" i="1" s="1"/>
  <c r="I173" i="1"/>
  <c r="I174" i="1"/>
  <c r="L174" i="1" s="1"/>
  <c r="M174" i="1" s="1"/>
  <c r="I175" i="1"/>
  <c r="L175" i="1" s="1"/>
  <c r="M175" i="1" s="1"/>
  <c r="I176" i="1"/>
  <c r="L176" i="1" s="1"/>
  <c r="M176" i="1" s="1"/>
  <c r="I177" i="1"/>
  <c r="L177" i="1" s="1"/>
  <c r="M177" i="1" s="1"/>
  <c r="I178" i="1"/>
  <c r="L178" i="1" s="1"/>
  <c r="M178" i="1" s="1"/>
  <c r="I179" i="1"/>
  <c r="L179" i="1" s="1"/>
  <c r="M179" i="1" s="1"/>
  <c r="I180" i="1"/>
  <c r="L180" i="1" s="1"/>
  <c r="M180" i="1" s="1"/>
  <c r="I181" i="1"/>
  <c r="L181" i="1" s="1"/>
  <c r="M181" i="1" s="1"/>
  <c r="I182" i="1"/>
  <c r="L182" i="1" s="1"/>
  <c r="M182" i="1" s="1"/>
  <c r="I183" i="1"/>
  <c r="L183" i="1" s="1"/>
  <c r="M183" i="1" s="1"/>
  <c r="I184" i="1"/>
  <c r="L184" i="1" s="1"/>
  <c r="M184" i="1" s="1"/>
  <c r="I185" i="1"/>
  <c r="L185" i="1" s="1"/>
  <c r="M185" i="1" s="1"/>
  <c r="I186" i="1"/>
  <c r="L186" i="1" s="1"/>
  <c r="M186" i="1" s="1"/>
  <c r="I187" i="1"/>
  <c r="L187" i="1" s="1"/>
  <c r="M187" i="1" s="1"/>
  <c r="I188" i="1"/>
  <c r="L188" i="1" s="1"/>
  <c r="M188" i="1" s="1"/>
  <c r="I189" i="1"/>
  <c r="L189" i="1" s="1"/>
  <c r="M189" i="1" s="1"/>
  <c r="I190" i="1"/>
  <c r="L190" i="1" s="1"/>
  <c r="M190" i="1" s="1"/>
  <c r="I191" i="1"/>
  <c r="L191" i="1" s="1"/>
  <c r="M191" i="1" s="1"/>
  <c r="I192" i="1"/>
  <c r="L192" i="1" s="1"/>
  <c r="M192" i="1" s="1"/>
  <c r="I193" i="1"/>
  <c r="I194" i="1"/>
  <c r="L194" i="1" s="1"/>
  <c r="M194" i="1" s="1"/>
  <c r="I195" i="1"/>
  <c r="L195" i="1" s="1"/>
  <c r="M195" i="1" s="1"/>
  <c r="I196" i="1"/>
  <c r="L196" i="1" s="1"/>
  <c r="M196" i="1" s="1"/>
  <c r="I197" i="1"/>
  <c r="L197" i="1" s="1"/>
  <c r="M197" i="1" s="1"/>
  <c r="I198" i="1"/>
  <c r="L198" i="1" s="1"/>
  <c r="M198" i="1" s="1"/>
  <c r="I199" i="1"/>
  <c r="L199" i="1" s="1"/>
  <c r="M199" i="1" s="1"/>
  <c r="I200" i="1"/>
  <c r="L200" i="1" s="1"/>
  <c r="M200" i="1" s="1"/>
  <c r="I201" i="1"/>
  <c r="L201" i="1" s="1"/>
  <c r="M20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</authors>
  <commentList>
    <comment ref="J1" authorId="0" shapeId="0" xr:uid="{918EAE87-153B-4C14-86CF-9F1A9396E459}">
      <text>
        <r>
          <rPr>
            <b/>
            <sz val="9"/>
            <color indexed="81"/>
            <rFont val="Segoe UI"/>
            <family val="2"/>
          </rPr>
          <t>Raphael:</t>
        </r>
        <r>
          <rPr>
            <sz val="9"/>
            <color indexed="81"/>
            <rFont val="Segoe UI"/>
            <family val="2"/>
          </rPr>
          <t xml:space="preserve">
Ponderado ultimos 3 meses + 5%</t>
        </r>
      </text>
    </comment>
  </commentList>
</comments>
</file>

<file path=xl/sharedStrings.xml><?xml version="1.0" encoding="utf-8"?>
<sst xmlns="http://schemas.openxmlformats.org/spreadsheetml/2006/main" count="613" uniqueCount="331">
  <si>
    <t>UF</t>
  </si>
  <si>
    <t>ID_LOJA</t>
  </si>
  <si>
    <t>CNPJ</t>
  </si>
  <si>
    <t>SP</t>
  </si>
  <si>
    <t>Americana</t>
  </si>
  <si>
    <t>DOMINOS SP AMERICANA CENTRO</t>
  </si>
  <si>
    <t>PA</t>
  </si>
  <si>
    <t>GO</t>
  </si>
  <si>
    <t>Anápolis</t>
  </si>
  <si>
    <t>ANAPOLIS</t>
  </si>
  <si>
    <t>Araraquara</t>
  </si>
  <si>
    <t>DOMINOS SP ARARAQUARA</t>
  </si>
  <si>
    <t>Araras</t>
  </si>
  <si>
    <t>ARARAS CENTRO</t>
  </si>
  <si>
    <t>MG</t>
  </si>
  <si>
    <t>RJ</t>
  </si>
  <si>
    <t>BUZIOS</t>
  </si>
  <si>
    <t>Atibaia</t>
  </si>
  <si>
    <t>ATIBAIA</t>
  </si>
  <si>
    <t>Barra Mansa</t>
  </si>
  <si>
    <t>BARRA MANSA</t>
  </si>
  <si>
    <t>BA</t>
  </si>
  <si>
    <t>Barreiras</t>
  </si>
  <si>
    <t>BARREIRAS</t>
  </si>
  <si>
    <t>Barueri</t>
  </si>
  <si>
    <t>BARUERI CENTRO</t>
  </si>
  <si>
    <t>Belém</t>
  </si>
  <si>
    <t>NAZARE</t>
  </si>
  <si>
    <t>BELEM 2</t>
  </si>
  <si>
    <t>Belo Horizonte</t>
  </si>
  <si>
    <t>CIDADE NOVA</t>
  </si>
  <si>
    <t>PRADO</t>
  </si>
  <si>
    <t>PADRE EUSTAQUIO</t>
  </si>
  <si>
    <t>RAJA GABAGLIA</t>
  </si>
  <si>
    <t>SAVASSI</t>
  </si>
  <si>
    <t>SHOPPING BARREIRO</t>
  </si>
  <si>
    <t>LUXEMBURGO</t>
  </si>
  <si>
    <t>CASTELO</t>
  </si>
  <si>
    <t>JARAGUA BH</t>
  </si>
  <si>
    <t>BURITIS</t>
  </si>
  <si>
    <t>RR</t>
  </si>
  <si>
    <t>Boa Vista</t>
  </si>
  <si>
    <t>BOA VISTA</t>
  </si>
  <si>
    <t>PATIO RORAIMA SHOPPING</t>
  </si>
  <si>
    <t>Botucatu</t>
  </si>
  <si>
    <t>DOMINOS SP BOTUCATU CENTRO</t>
  </si>
  <si>
    <t>DF</t>
  </si>
  <si>
    <t>Brasília</t>
  </si>
  <si>
    <t>SUDOESTE</t>
  </si>
  <si>
    <t>AGUAS CLARAS</t>
  </si>
  <si>
    <t>109 NORTE</t>
  </si>
  <si>
    <t>JARDIM BOTANICO</t>
  </si>
  <si>
    <t>LAGO NORTE</t>
  </si>
  <si>
    <t>GILBERTO SALOMAO</t>
  </si>
  <si>
    <t>BRASILIA 211 SUL</t>
  </si>
  <si>
    <t>TAGUATINGA</t>
  </si>
  <si>
    <t>TAGUATINGA NORTE</t>
  </si>
  <si>
    <t>Cabo Frio</t>
  </si>
  <si>
    <t>CABO FRIO</t>
  </si>
  <si>
    <t>ES</t>
  </si>
  <si>
    <t>DOMINOS ES CACHOEIRO DE ITAPEMIRIM CENTRO</t>
  </si>
  <si>
    <t>PB</t>
  </si>
  <si>
    <t>Campinas</t>
  </si>
  <si>
    <t>BARAO GERALDO</t>
  </si>
  <si>
    <t>CAMPINAS</t>
  </si>
  <si>
    <t>CAMPINAS 3</t>
  </si>
  <si>
    <t>MS</t>
  </si>
  <si>
    <t>Campo Grande</t>
  </si>
  <si>
    <t>CAMPO GRANDE</t>
  </si>
  <si>
    <t>RS</t>
  </si>
  <si>
    <t>Canoas</t>
  </si>
  <si>
    <t>MARECHAL RONDON</t>
  </si>
  <si>
    <t>PE</t>
  </si>
  <si>
    <t>Caruaru</t>
  </si>
  <si>
    <t>CARUARU 2</t>
  </si>
  <si>
    <t>BESSA</t>
  </si>
  <si>
    <t>MT</t>
  </si>
  <si>
    <t>Cuiabá</t>
  </si>
  <si>
    <t>CUIABA</t>
  </si>
  <si>
    <t>CUIABA GOIABEIRAS</t>
  </si>
  <si>
    <t>PR</t>
  </si>
  <si>
    <t>Curitiba</t>
  </si>
  <si>
    <t>CURITIBA</t>
  </si>
  <si>
    <t>JUVEVE</t>
  </si>
  <si>
    <t>DOMINOS PR CURITIBA SANTA FELICIDADE</t>
  </si>
  <si>
    <t>CURITIBA PORTAO</t>
  </si>
  <si>
    <t>SHOPPING OUTLET PREMIUM WASHINGTON LUIS</t>
  </si>
  <si>
    <t>CE</t>
  </si>
  <si>
    <t>AV. DOS EXPEDICIONARIOS</t>
  </si>
  <si>
    <t>BUENA VISTA</t>
  </si>
  <si>
    <t>PARQUE DO COCÓ</t>
  </si>
  <si>
    <t>BAIRRO DE FATIMA</t>
  </si>
  <si>
    <t>PRAIA DE IRACEMA</t>
  </si>
  <si>
    <t>MEIRELES</t>
  </si>
  <si>
    <t>FOZ DO IGUACU</t>
  </si>
  <si>
    <t>Garanhuns</t>
  </si>
  <si>
    <t>DOMINOS PE GARANHUNS HELIOPOLIS</t>
  </si>
  <si>
    <t>Goiânia</t>
  </si>
  <si>
    <t>GOIANIA</t>
  </si>
  <si>
    <t>GOIANIA 2</t>
  </si>
  <si>
    <t>Guará</t>
  </si>
  <si>
    <t>GUARA</t>
  </si>
  <si>
    <t>Guarapari</t>
  </si>
  <si>
    <t>GUARAPARI CENTRO</t>
  </si>
  <si>
    <t>Guarapuava</t>
  </si>
  <si>
    <t>DOMINOS PR GUARAPUAVA CENTRO</t>
  </si>
  <si>
    <t>Guarujá</t>
  </si>
  <si>
    <t>GUARUJA ENSEADA</t>
  </si>
  <si>
    <t>Guarulhos</t>
  </si>
  <si>
    <t>GOPOUVA</t>
  </si>
  <si>
    <t>Ipatinga</t>
  </si>
  <si>
    <t>DOMINOS MG IPATINGA CIDADE NOBRE</t>
  </si>
  <si>
    <t>Ituiutaba</t>
  </si>
  <si>
    <t>DOMINOS MG ITUIUTABA CENTRO</t>
  </si>
  <si>
    <t>PIEDADE</t>
  </si>
  <si>
    <t>JUIZ DE FORA</t>
  </si>
  <si>
    <t>LAURO DE FREITAS</t>
  </si>
  <si>
    <t>Londrina</t>
  </si>
  <si>
    <t>LONDRINA</t>
  </si>
  <si>
    <t>Luís Eduardo Magalhães</t>
  </si>
  <si>
    <t>DOMINOS BA LUIZ EDUARDO MAGALHAES CENTRO</t>
  </si>
  <si>
    <t>AP</t>
  </si>
  <si>
    <t>Macapa</t>
  </si>
  <si>
    <t>DOMINOS AP MACAPA SHOPPING</t>
  </si>
  <si>
    <t>AL</t>
  </si>
  <si>
    <t>Maceió</t>
  </si>
  <si>
    <t>MACEIO</t>
  </si>
  <si>
    <t>AM</t>
  </si>
  <si>
    <t>Manaus</t>
  </si>
  <si>
    <t>MANAUS</t>
  </si>
  <si>
    <t>MANAUS 2</t>
  </si>
  <si>
    <t>MANAUS 3</t>
  </si>
  <si>
    <t>MANAUS ALEIXO</t>
  </si>
  <si>
    <t>Maringá</t>
  </si>
  <si>
    <t>MARINGA</t>
  </si>
  <si>
    <t>Montes Claros</t>
  </si>
  <si>
    <t>DOMINOS MG MONTES CLAROS JARDIM PALMEIRAS</t>
  </si>
  <si>
    <t>MONTES CLAROS</t>
  </si>
  <si>
    <t>RN</t>
  </si>
  <si>
    <t>Natal</t>
  </si>
  <si>
    <t>DOMINOS RN NATAL TIROL</t>
  </si>
  <si>
    <t>Nilópolis</t>
  </si>
  <si>
    <t>NILOPOLIS</t>
  </si>
  <si>
    <t>Niterói</t>
  </si>
  <si>
    <t>ITAIPU</t>
  </si>
  <si>
    <t>ICARAI</t>
  </si>
  <si>
    <t>AVENIDA SETE</t>
  </si>
  <si>
    <t>Nova Friburgo</t>
  </si>
  <si>
    <t>NOVA FRIBURGO</t>
  </si>
  <si>
    <t>Nova Iguaçu</t>
  </si>
  <si>
    <t>CAXIAS</t>
  </si>
  <si>
    <t>NOVA IGUACU</t>
  </si>
  <si>
    <t>AUTONOMISTAS</t>
  </si>
  <si>
    <t>TO</t>
  </si>
  <si>
    <t>Palmas</t>
  </si>
  <si>
    <t>DOMINOS TO PALMAS CENTRO</t>
  </si>
  <si>
    <t>Parauapebas</t>
  </si>
  <si>
    <t>DOMINOS PA PARAUAPEBAS</t>
  </si>
  <si>
    <t>PI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</si>
  <si>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</si>
  <si>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</si>
  <si>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</si>
  <si>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</si>
  <si>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</si>
  <si>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</si>
  <si>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</si>
  <si>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</si>
  <si>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</si>
  <si>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</si>
  <si>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Petrópolis</t>
  </si>
  <si>
    <t>PETROPOLIS</t>
  </si>
  <si>
    <t>Ponta Grossa</t>
  </si>
  <si>
    <t>DOMINOS PR PONTA GROSSA CENTRO</t>
  </si>
  <si>
    <t>Porto Alegre</t>
  </si>
  <si>
    <t>PORTO ALEGRE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</si>
  <si>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</si>
  <si>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</si>
  <si>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</si>
  <si>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</si>
  <si>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</si>
  <si>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</si>
  <si>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RO</t>
  </si>
  <si>
    <t>Porto Velho</t>
  </si>
  <si>
    <t>PORTO VELHO</t>
  </si>
  <si>
    <t>Recife</t>
  </si>
  <si>
    <t>SETUBAL</t>
  </si>
  <si>
    <t>BOA VIAGEM</t>
  </si>
  <si>
    <t>GRACAS</t>
  </si>
  <si>
    <t>CASA FORTE</t>
  </si>
  <si>
    <t>Resende</t>
  </si>
  <si>
    <t>RESENDE</t>
  </si>
  <si>
    <t>Ribeirão Preto</t>
  </si>
  <si>
    <t>PRESIDENTE VARGAS</t>
  </si>
  <si>
    <t>AC</t>
  </si>
  <si>
    <t>Rio Branco</t>
  </si>
  <si>
    <t>RIO BRANCO</t>
  </si>
  <si>
    <t>BONSUCESSO</t>
  </si>
  <si>
    <t>CENTRO</t>
  </si>
  <si>
    <t>CACHAMBI</t>
  </si>
  <si>
    <t>CASCADURA</t>
  </si>
  <si>
    <t>MEIER</t>
  </si>
  <si>
    <t>VILA VALQUEIRE</t>
  </si>
  <si>
    <t>HUMAITA</t>
  </si>
  <si>
    <t>CATETE</t>
  </si>
  <si>
    <t>ARCO VERDE</t>
  </si>
  <si>
    <t>MIGUEL LEMOS</t>
  </si>
  <si>
    <t>FLAMENGO</t>
  </si>
  <si>
    <t>BOTAFOGO</t>
  </si>
  <si>
    <t>LAGOA</t>
  </si>
  <si>
    <t>PARQUE DAS ROSAS</t>
  </si>
  <si>
    <t>SHOPPING DOWNTOWN</t>
  </si>
  <si>
    <t>CONDE DE BONFIM</t>
  </si>
  <si>
    <t>ERICO VERISSIMO</t>
  </si>
  <si>
    <t>VILA ISABEL</t>
  </si>
  <si>
    <t>CAMPO GRANDE RJ</t>
  </si>
  <si>
    <t>CAMPO GRANDE 2</t>
  </si>
  <si>
    <t>DOMINOS RJ RIO DE JANEIRO IPANEMA</t>
  </si>
  <si>
    <t>LEBLON</t>
  </si>
  <si>
    <t>TIJUCA</t>
  </si>
  <si>
    <t>FREGUESIA</t>
  </si>
  <si>
    <t>TAQUARA</t>
  </si>
  <si>
    <t>TIJUCA 2</t>
  </si>
  <si>
    <t>BARRA MALL</t>
  </si>
  <si>
    <t>RECREIO AMERICAS</t>
  </si>
  <si>
    <t>RIO 2</t>
  </si>
  <si>
    <t>VILA DA PENHA</t>
  </si>
  <si>
    <t>Salvador</t>
  </si>
  <si>
    <t>HORTO FLORESTAL</t>
  </si>
  <si>
    <t>SALVADOR 2</t>
  </si>
  <si>
    <t>SALVADOR</t>
  </si>
  <si>
    <t>PIATA</t>
  </si>
  <si>
    <t>DOMINOS BA SALVADOR STELLA MARIS</t>
  </si>
  <si>
    <t>BROTAS</t>
  </si>
  <si>
    <t>IMBUI</t>
  </si>
  <si>
    <t>Santarém</t>
  </si>
  <si>
    <t>SANTAREM</t>
  </si>
  <si>
    <t>ANTONINA</t>
  </si>
  <si>
    <t>Santos</t>
  </si>
  <si>
    <t>SANTOS 2</t>
  </si>
  <si>
    <t>CAPITAO CASA</t>
  </si>
  <si>
    <t>KENNEDY</t>
  </si>
  <si>
    <t>SANTA PAULA</t>
  </si>
  <si>
    <t>MA</t>
  </si>
  <si>
    <t>São Luís</t>
  </si>
  <si>
    <t>SAO LUIS 2</t>
  </si>
  <si>
    <t>SAO LUIS</t>
  </si>
  <si>
    <t>São Paulo</t>
  </si>
  <si>
    <t>JARDIM PAULISTA</t>
  </si>
  <si>
    <t>REPUBLICA</t>
  </si>
  <si>
    <t>CHACARA STO ANTONIO</t>
  </si>
  <si>
    <t>BROOKLIN</t>
  </si>
  <si>
    <t>PERI PERI</t>
  </si>
  <si>
    <t>VILA ANDRADE</t>
  </si>
  <si>
    <t>CAPAO REDONDO</t>
  </si>
  <si>
    <t>SAO MIGUEL</t>
  </si>
  <si>
    <t>VILA CARRAO</t>
  </si>
  <si>
    <t>PARQUE MANDAQUI</t>
  </si>
  <si>
    <t>INTERLAGOS</t>
  </si>
  <si>
    <t>NOVE DE JULHO</t>
  </si>
  <si>
    <t>ALPHAVILLE</t>
  </si>
  <si>
    <t>LED BARRA FUNDA</t>
  </si>
  <si>
    <t>ACLIMACAO</t>
  </si>
  <si>
    <t>PINHEIROS</t>
  </si>
  <si>
    <t>CHACARA FLORA</t>
  </si>
  <si>
    <t>TATUAPE</t>
  </si>
  <si>
    <t>RUA DA MOOCA</t>
  </si>
  <si>
    <t>VILA CLEMENTINO</t>
  </si>
  <si>
    <t>JABAQUARA</t>
  </si>
  <si>
    <t>CAMPO BELO</t>
  </si>
  <si>
    <t>Serra</t>
  </si>
  <si>
    <t>SERRA</t>
  </si>
  <si>
    <t>Sete Lagoas</t>
  </si>
  <si>
    <t>DOMINOS MG SETE LAGOAS CENTRO</t>
  </si>
  <si>
    <t>Sorocaba</t>
  </si>
  <si>
    <t>SOROCABA</t>
  </si>
  <si>
    <t>Sorriso</t>
  </si>
  <si>
    <t>SORRISO CENTRO</t>
  </si>
  <si>
    <t>Teresina</t>
  </si>
  <si>
    <t>TERESINA</t>
  </si>
  <si>
    <t>Teresópolis</t>
  </si>
  <si>
    <t>TERESOPOLIS</t>
  </si>
  <si>
    <t>Uberaba</t>
  </si>
  <si>
    <t>DOMINOS MG UBERABA SANTOS DUMONT</t>
  </si>
  <si>
    <t>Uberlândia</t>
  </si>
  <si>
    <t>UBERLANDIA</t>
  </si>
  <si>
    <t>Varginha</t>
  </si>
  <si>
    <t>VARGINHA</t>
  </si>
  <si>
    <t>Vila Velha</t>
  </si>
  <si>
    <t>PRAIA DA COSTA</t>
  </si>
  <si>
    <t>ITAPARICA</t>
  </si>
  <si>
    <t>Vitória</t>
  </si>
  <si>
    <t>VITORIA</t>
  </si>
  <si>
    <t>JARDIM CAMBURI (VITORIA 2)</t>
  </si>
  <si>
    <t>VITORIA DA CONQUISTA</t>
  </si>
  <si>
    <t>Volta Redonda</t>
  </si>
  <si>
    <t>VOLTA REDONDA</t>
  </si>
  <si>
    <t>AnoMes</t>
  </si>
  <si>
    <t>Cidade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</si>
  <si>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</si>
  <si>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</si>
  <si>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</si>
  <si>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</si>
  <si>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</si>
  <si>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</si>
  <si>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</si>
  <si>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</si>
  <si>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Lajeado</t>
  </si>
  <si>
    <t>DOMINOS LAJEADO</t>
  </si>
  <si>
    <t>DOMINOS TANGARÁ DA SERRA</t>
  </si>
  <si>
    <t>Armação dos Búzios</t>
  </si>
  <si>
    <t>Cachoeira de Itapemirim</t>
  </si>
  <si>
    <t>Duque de Caxias</t>
  </si>
  <si>
    <t>FORTALEZA</t>
  </si>
  <si>
    <t>Foz do Iguaçu</t>
  </si>
  <si>
    <t>Jaboatão dos Guararapes</t>
  </si>
  <si>
    <t>Juiz de Fora</t>
  </si>
  <si>
    <t>Lauro de Freitas</t>
  </si>
  <si>
    <t>OSASCO</t>
  </si>
  <si>
    <t>Rio de Janeiro</t>
  </si>
  <si>
    <t>SANTO ANDRÉ</t>
  </si>
  <si>
    <t>SÃO BERNARDO DO CAMPO</t>
  </si>
  <si>
    <t>São Caetano do Sul</t>
  </si>
  <si>
    <t>Tangará da Serra</t>
  </si>
  <si>
    <t>Vitória da Conquista</t>
  </si>
  <si>
    <t>Coronel Fabriciano</t>
  </si>
  <si>
    <t>DOMINOS CORONEL FABRICIANO</t>
  </si>
  <si>
    <t>DOMINOS ICOARACI BELEM</t>
  </si>
  <si>
    <t>João Pessoa</t>
  </si>
  <si>
    <t>UBERLANDIA 2</t>
  </si>
  <si>
    <t>Macaé</t>
  </si>
  <si>
    <t>MACAE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</si>
</sst>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">
    <xf numFmtId="0" fontId="0" fillId="0" borderId="0" xfId="0"/>
    <xf numFmtId="10" fontId="0" fillId="0" borderId="0" xfId="1" applyNumberFormat="1" applyFont="1" applyAlignment="1">
      <alignment horizontal="center"/>
    </xf>
    <xf numFmtId="166" fontId="0" fillId="0" borderId="0" xfId="0" applyNumberFormat="1"/>
    <xf numFmtId="1" fontId="0" fillId="0" borderId="0" xfId="0" applyNumberForma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/>
    <xf numFmtId="0" fontId="5" fillId="0" borderId="2" xfId="0" applyFont="1" applyBorder="1" applyAlignment="1">
      <alignment horizontal="center" vertical="center" wrapText="1"/>
    </xf>
    <xf numFmtId="165" fontId="0" fillId="0" borderId="2" xfId="4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2" fillId="0" borderId="0" xfId="2" applyNumberFormat="1" applyAlignment="1">
      <alignment horizontal="center"/>
    </xf>
    <xf numFmtId="0" fontId="0" fillId="0" borderId="1" xfId="0" applyBorder="1" applyAlignment="1">
      <alignment horizontal="left"/>
    </xf>
    <xf numFmtId="49" fontId="0" fillId="0" borderId="0" xfId="0" applyNumberFormat="1" applyAlignment="1">
      <alignment horizontal="left"/>
    </xf>
    <xf numFmtId="9" fontId="0" fillId="0" borderId="0" xfId="1" applyFont="1"/>
    <xf numFmtId="0" fontId="6" fillId="0" borderId="0" xfId="0" applyFont="1"/>
    <xf numFmtId="14" fontId="6" fillId="0" borderId="3" xfId="0" applyNumberFormat="1" applyFont="1" applyBorder="1"/>
    <xf numFmtId="1" fontId="0" fillId="0" borderId="0" xfId="0" applyNumberFormat="1"/>
    <xf numFmtId="3" fontId="0" fillId="0" borderId="0" xfId="0" applyNumberFormat="1"/>
  </cellXfs>
  <cellStyles count="6">
    <cellStyle name="Moeda 2" xfId="5" xr:uid="{7210D104-6179-4EE8-B929-1BF363BC7A1C}"/>
    <cellStyle name="Normal" xfId="0" builtinId="0"/>
    <cellStyle name="Normal 2" xfId="2" xr:uid="{D9CB0797-C823-4FB8-AB27-45F6C3059128}"/>
    <cellStyle name="Normal 3" xfId="3" xr:uid="{BCAD5055-944F-461A-BEF3-0C2EEFE67949}"/>
    <cellStyle name="Porcentagem" xfId="1" builtinId="5"/>
    <cellStyle name="Vírgula 2" xfId="4" xr:uid="{A24562CF-F75C-4DD5-B59F-2C7247274D5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B8E4-7729-4B64-B4CE-AFAB5F217797}">
  <dimension ref="A1:M201"/>
  <sheetViews>
    <sheetView tabSelected="1" workbookViewId="0">
      <selection activeCell="A2" sqref="A2:XFD1048576"/>
    </sheetView>
  </sheetViews>
  <sheetFormatPr defaultRowHeight="14.5" x14ac:dyDescent="0.35"/>
  <cols>
    <col min="1" max="1" width="11.81640625" style="2" bestFit="1" customWidth="1"/>
    <col min="2" max="2" width="8.7265625" style="7"/>
    <col min="3" max="3" width="18.54296875" style="7" bestFit="1" customWidth="1"/>
    <col min="4" max="4" width="16.453125" style="14" bestFit="1" customWidth="1"/>
    <col min="5" max="5" width="14.90625" style="7" bestFit="1" customWidth="1"/>
    <col min="6" max="6" width="46.1796875" style="7" bestFit="1" customWidth="1"/>
    <col min="7" max="7" width="23.26953125" customWidth="1"/>
    <col min="8" max="8" width="28.36328125" customWidth="1"/>
    <col min="9" max="9" width="16.08984375" customWidth="1"/>
    <col min="10" max="10" width="16" bestFit="1" customWidth="1"/>
    <col min="11" max="11" width="27.36328125" style="11" bestFit="1" customWidth="1"/>
    <col min="12" max="12" width="44" bestFit="1" customWidth="1"/>
    <col min="13" max="13" width="33.81640625" style="11" bestFit="1" customWidth="1"/>
  </cols>
  <sheetData>
    <row r="1" spans="1:13" x14ac:dyDescent="0.35">
      <c r="A1" s="5" t="s">
        <v>296</v>
      </c>
      <c r="B1" s="5" t="s">
        <v>0</v>
      </c>
      <c r="C1" s="5" t="s">
        <v>297</v>
      </c>
      <c r="D1" s="13" t="s">
        <v>1</v>
      </c>
      <c r="E1" s="6" t="s">
        <v>2</v>
      </c>
      <c r="F1" s="5" t="s">
        <v>298</v>
      </c>
      <c r="G1" s="5" t="s">
        <v>299</v>
      </c>
      <c r="H1" s="5" t="s">
        <v>300</v>
      </c>
      <c r="I1" s="4" t="s">
        <v>301</v>
      </c>
      <c r="J1" s="8" t="s">
        <v>302</v>
      </c>
      <c r="K1" s="9" t="s">
        <v>303</v>
      </c>
      <c r="L1" s="4" t="s">
        <v>304</v>
      </c>
      <c r="M1" s="4" t="s">
        <v>305</v>
      </c>
    </row>
    <row r="2" spans="1:13" x14ac:dyDescent="0.35">
      <c r="A2" s="17">
        <v>46054</v>
      </c>
      <c r="B2" s="16" t="s">
        <v>193</v>
      </c>
      <c r="C2" t="s">
        <v>194</v>
      </c>
      <c r="D2" s="16">
        <v>19762</v>
      </c>
      <c r="E2" s="18">
        <v>29315001000107</v>
      </c>
      <c r="F2" t="s">
        <v>195</v>
      </c>
      <c r="G2" s="19">
        <v>1313</v>
      </c>
      <c r="H2" s="19">
        <v>631</v>
      </c>
      <c r="I2" s="15">
        <f t="shared" ref="I2:I48" si="0">H2/G2</f>
        <v>0.4805788271134806</v>
      </c>
      <c r="J2" s="1">
        <v>0.7</v>
      </c>
      <c r="K2" s="12">
        <v>13.75</v>
      </c>
      <c r="L2" s="3">
        <f t="shared" ref="L2:L58" si="1">H2*J2/I2-H2</f>
        <v>288.09999999999991</v>
      </c>
      <c r="M2" s="10">
        <f t="shared" ref="M2:M58" si="2">L2*K2</f>
        <v>3961.3749999999986</v>
      </c>
    </row>
    <row r="3" spans="1:13" x14ac:dyDescent="0.35">
      <c r="A3" s="17">
        <v>46054</v>
      </c>
      <c r="B3" s="16" t="s">
        <v>124</v>
      </c>
      <c r="C3" t="s">
        <v>125</v>
      </c>
      <c r="D3" s="16">
        <v>19623</v>
      </c>
      <c r="E3" s="18">
        <v>23266167000102</v>
      </c>
      <c r="F3" t="s">
        <v>126</v>
      </c>
      <c r="G3" s="19">
        <v>1669</v>
      </c>
      <c r="H3" s="19">
        <v>761</v>
      </c>
      <c r="I3" s="15">
        <f t="shared" si="0"/>
        <v>0.45596165368484121</v>
      </c>
      <c r="J3" s="1">
        <v>0.7</v>
      </c>
      <c r="K3" s="12">
        <v>13.75</v>
      </c>
      <c r="L3" s="3">
        <f t="shared" si="1"/>
        <v>407.29999999999995</v>
      </c>
      <c r="M3" s="10">
        <f t="shared" si="2"/>
        <v>5600.3749999999991</v>
      </c>
    </row>
    <row r="4" spans="1:13" x14ac:dyDescent="0.35">
      <c r="A4" s="17">
        <v>46054</v>
      </c>
      <c r="B4" s="16" t="s">
        <v>127</v>
      </c>
      <c r="C4" t="s">
        <v>128</v>
      </c>
      <c r="D4" s="16">
        <v>19742</v>
      </c>
      <c r="E4" s="18">
        <v>27655101000157</v>
      </c>
      <c r="F4" t="s">
        <v>129</v>
      </c>
      <c r="G4" s="19">
        <v>1185</v>
      </c>
      <c r="H4" s="19">
        <v>483</v>
      </c>
      <c r="I4" s="15">
        <f t="shared" si="0"/>
        <v>0.40759493670886077</v>
      </c>
      <c r="J4" s="1">
        <v>0.7</v>
      </c>
      <c r="K4" s="12">
        <v>13.75</v>
      </c>
      <c r="L4" s="3">
        <f t="shared" si="1"/>
        <v>346.49999999999989</v>
      </c>
      <c r="M4" s="10">
        <f t="shared" si="2"/>
        <v>4764.3749999999982</v>
      </c>
    </row>
    <row r="5" spans="1:13" x14ac:dyDescent="0.35">
      <c r="A5" s="17">
        <v>46054</v>
      </c>
      <c r="B5" s="16" t="s">
        <v>127</v>
      </c>
      <c r="C5" t="s">
        <v>128</v>
      </c>
      <c r="D5" s="16">
        <v>19785</v>
      </c>
      <c r="E5" s="18">
        <v>27655101000238</v>
      </c>
      <c r="F5" t="s">
        <v>130</v>
      </c>
      <c r="G5" s="19">
        <v>1427</v>
      </c>
      <c r="H5" s="19">
        <v>661</v>
      </c>
      <c r="I5" s="15">
        <f t="shared" si="0"/>
        <v>0.46320953048353186</v>
      </c>
      <c r="J5" s="1">
        <v>0.7</v>
      </c>
      <c r="K5" s="12">
        <v>13.75</v>
      </c>
      <c r="L5" s="3">
        <f t="shared" si="1"/>
        <v>337.9</v>
      </c>
      <c r="M5" s="10">
        <f t="shared" si="2"/>
        <v>4646.125</v>
      </c>
    </row>
    <row r="6" spans="1:13" x14ac:dyDescent="0.35">
      <c r="A6" s="17">
        <v>46054</v>
      </c>
      <c r="B6" s="16" t="s">
        <v>127</v>
      </c>
      <c r="C6" t="s">
        <v>128</v>
      </c>
      <c r="D6" s="16">
        <v>19843</v>
      </c>
      <c r="E6" s="18">
        <v>27655101000319</v>
      </c>
      <c r="F6" t="s">
        <v>131</v>
      </c>
      <c r="G6" s="19">
        <v>1238</v>
      </c>
      <c r="H6" s="19">
        <v>540</v>
      </c>
      <c r="I6" s="15">
        <f t="shared" si="0"/>
        <v>0.43618739903069464</v>
      </c>
      <c r="J6" s="1">
        <v>0.7</v>
      </c>
      <c r="K6" s="12">
        <v>13.75</v>
      </c>
      <c r="L6" s="3">
        <f t="shared" si="1"/>
        <v>326.60000000000002</v>
      </c>
      <c r="M6" s="10">
        <f t="shared" si="2"/>
        <v>4490.75</v>
      </c>
    </row>
    <row r="7" spans="1:13" x14ac:dyDescent="0.35">
      <c r="A7" s="17">
        <v>46054</v>
      </c>
      <c r="B7" s="16" t="s">
        <v>127</v>
      </c>
      <c r="C7" t="s">
        <v>128</v>
      </c>
      <c r="D7" s="16">
        <v>19879</v>
      </c>
      <c r="E7" s="18">
        <v>27655101000408</v>
      </c>
      <c r="F7" t="s">
        <v>132</v>
      </c>
      <c r="G7" s="19">
        <v>1152</v>
      </c>
      <c r="H7" s="19">
        <v>620</v>
      </c>
      <c r="I7" s="15">
        <f t="shared" si="0"/>
        <v>0.53819444444444442</v>
      </c>
      <c r="J7" s="1">
        <v>0.7</v>
      </c>
      <c r="K7" s="12">
        <v>13.75</v>
      </c>
      <c r="L7" s="3">
        <f t="shared" si="1"/>
        <v>186.40000000000009</v>
      </c>
      <c r="M7" s="10">
        <f t="shared" si="2"/>
        <v>2563.0000000000014</v>
      </c>
    </row>
    <row r="8" spans="1:13" x14ac:dyDescent="0.35">
      <c r="A8" s="17">
        <v>46054</v>
      </c>
      <c r="B8" s="16" t="s">
        <v>121</v>
      </c>
      <c r="C8" t="s">
        <v>122</v>
      </c>
      <c r="D8" s="16">
        <v>19945</v>
      </c>
      <c r="E8" s="18">
        <v>47787076000172</v>
      </c>
      <c r="F8" t="s">
        <v>123</v>
      </c>
      <c r="G8" s="19">
        <v>1030</v>
      </c>
      <c r="H8" s="19">
        <v>636</v>
      </c>
      <c r="I8" s="15">
        <f t="shared" si="0"/>
        <v>0.6174757281553398</v>
      </c>
      <c r="J8" s="1">
        <v>0.7</v>
      </c>
      <c r="K8" s="12">
        <v>13.75</v>
      </c>
      <c r="L8" s="3">
        <f t="shared" si="1"/>
        <v>85</v>
      </c>
      <c r="M8" s="10">
        <f t="shared" si="2"/>
        <v>1168.75</v>
      </c>
    </row>
    <row r="9" spans="1:13" x14ac:dyDescent="0.35">
      <c r="A9" s="17">
        <v>46054</v>
      </c>
      <c r="B9" s="16" t="s">
        <v>21</v>
      </c>
      <c r="C9" t="s">
        <v>22</v>
      </c>
      <c r="D9" s="16">
        <v>19741</v>
      </c>
      <c r="E9" s="18">
        <v>19041058000101</v>
      </c>
      <c r="F9" t="s">
        <v>23</v>
      </c>
      <c r="G9" s="19">
        <v>1651</v>
      </c>
      <c r="H9" s="19">
        <v>822</v>
      </c>
      <c r="I9" s="15">
        <f t="shared" si="0"/>
        <v>0.49788007268322226</v>
      </c>
      <c r="J9" s="1">
        <v>0.7</v>
      </c>
      <c r="K9" s="12">
        <v>13.75</v>
      </c>
      <c r="L9" s="3">
        <f t="shared" si="1"/>
        <v>333.70000000000005</v>
      </c>
      <c r="M9" s="10">
        <f t="shared" si="2"/>
        <v>4588.3750000000009</v>
      </c>
    </row>
    <row r="10" spans="1:13" x14ac:dyDescent="0.35">
      <c r="A10" s="17">
        <v>46054</v>
      </c>
      <c r="B10" s="16" t="s">
        <v>21</v>
      </c>
      <c r="C10" t="s">
        <v>316</v>
      </c>
      <c r="D10" s="16">
        <v>19738</v>
      </c>
      <c r="E10" s="18">
        <v>27586982000100</v>
      </c>
      <c r="F10" t="s">
        <v>116</v>
      </c>
      <c r="G10" s="19">
        <v>3760</v>
      </c>
      <c r="H10" s="19">
        <v>2000</v>
      </c>
      <c r="I10" s="15">
        <f t="shared" si="0"/>
        <v>0.53191489361702127</v>
      </c>
      <c r="J10" s="1">
        <v>0.7</v>
      </c>
      <c r="K10" s="12">
        <v>13.75</v>
      </c>
      <c r="L10" s="3">
        <f t="shared" si="1"/>
        <v>632</v>
      </c>
      <c r="M10" s="10">
        <f t="shared" si="2"/>
        <v>8690</v>
      </c>
    </row>
    <row r="11" spans="1:13" x14ac:dyDescent="0.35">
      <c r="A11" s="17">
        <v>46054</v>
      </c>
      <c r="B11" s="16" t="s">
        <v>21</v>
      </c>
      <c r="C11" t="s">
        <v>119</v>
      </c>
      <c r="D11" s="16">
        <v>19910</v>
      </c>
      <c r="E11" s="18">
        <v>43883930000143</v>
      </c>
      <c r="F11" t="s">
        <v>120</v>
      </c>
      <c r="G11" s="19">
        <v>1101</v>
      </c>
      <c r="H11" s="19">
        <v>599</v>
      </c>
      <c r="I11" s="15">
        <f t="shared" si="0"/>
        <v>0.54405086285195281</v>
      </c>
      <c r="J11" s="1">
        <v>0.7</v>
      </c>
      <c r="K11" s="12">
        <v>13.75</v>
      </c>
      <c r="L11" s="3">
        <f t="shared" si="1"/>
        <v>171.69999999999982</v>
      </c>
      <c r="M11" s="10">
        <f t="shared" si="2"/>
        <v>2360.8749999999973</v>
      </c>
    </row>
    <row r="12" spans="1:13" x14ac:dyDescent="0.35">
      <c r="A12" s="17">
        <v>46054</v>
      </c>
      <c r="B12" s="16" t="s">
        <v>21</v>
      </c>
      <c r="C12" t="s">
        <v>179</v>
      </c>
      <c r="D12" s="16">
        <v>19778</v>
      </c>
      <c r="E12" s="18">
        <v>29885098000193</v>
      </c>
      <c r="F12" t="s">
        <v>180</v>
      </c>
      <c r="G12" s="19">
        <v>1354</v>
      </c>
      <c r="H12" s="19">
        <v>861</v>
      </c>
      <c r="I12" s="15">
        <f t="shared" si="0"/>
        <v>0.63589364844903984</v>
      </c>
      <c r="J12" s="1">
        <v>0.7</v>
      </c>
      <c r="K12" s="12">
        <v>13.75</v>
      </c>
      <c r="L12" s="3">
        <f t="shared" si="1"/>
        <v>86.799999999999955</v>
      </c>
      <c r="M12" s="10">
        <f t="shared" si="2"/>
        <v>1193.4999999999993</v>
      </c>
    </row>
    <row r="13" spans="1:13" x14ac:dyDescent="0.35">
      <c r="A13" s="17">
        <v>46054</v>
      </c>
      <c r="B13" s="16" t="s">
        <v>21</v>
      </c>
      <c r="C13" t="s">
        <v>226</v>
      </c>
      <c r="D13" s="16">
        <v>19625</v>
      </c>
      <c r="E13" s="18">
        <v>57413737000153</v>
      </c>
      <c r="F13" t="s">
        <v>229</v>
      </c>
      <c r="G13" s="19">
        <v>2627</v>
      </c>
      <c r="H13" s="19">
        <v>1223</v>
      </c>
      <c r="I13" s="15">
        <f t="shared" si="0"/>
        <v>0.46555005709935288</v>
      </c>
      <c r="J13" s="1">
        <v>0.7</v>
      </c>
      <c r="K13" s="12">
        <v>13.75</v>
      </c>
      <c r="L13" s="3">
        <f t="shared" si="1"/>
        <v>615.89999999999986</v>
      </c>
      <c r="M13" s="10">
        <f t="shared" si="2"/>
        <v>8468.6249999999982</v>
      </c>
    </row>
    <row r="14" spans="1:13" x14ac:dyDescent="0.35">
      <c r="A14" s="17">
        <v>46054</v>
      </c>
      <c r="B14" s="16" t="s">
        <v>21</v>
      </c>
      <c r="C14" t="s">
        <v>226</v>
      </c>
      <c r="D14" s="16">
        <v>19689</v>
      </c>
      <c r="E14" s="18">
        <v>57413737000315</v>
      </c>
      <c r="F14" t="s">
        <v>228</v>
      </c>
      <c r="G14" s="19">
        <v>1036</v>
      </c>
      <c r="H14" s="19">
        <v>545</v>
      </c>
      <c r="I14" s="15">
        <f t="shared" si="0"/>
        <v>0.52606177606177607</v>
      </c>
      <c r="J14" s="1">
        <v>0.7</v>
      </c>
      <c r="K14" s="12">
        <v>13.75</v>
      </c>
      <c r="L14" s="3">
        <f t="shared" si="1"/>
        <v>180.20000000000005</v>
      </c>
      <c r="M14" s="10">
        <f t="shared" si="2"/>
        <v>2477.7500000000005</v>
      </c>
    </row>
    <row r="15" spans="1:13" x14ac:dyDescent="0.35">
      <c r="A15" s="17">
        <v>46054</v>
      </c>
      <c r="B15" s="16" t="s">
        <v>21</v>
      </c>
      <c r="C15" t="s">
        <v>226</v>
      </c>
      <c r="D15" s="16">
        <v>19740</v>
      </c>
      <c r="E15" s="18">
        <v>27492596000140</v>
      </c>
      <c r="F15" t="s">
        <v>227</v>
      </c>
      <c r="G15" s="19">
        <v>1843</v>
      </c>
      <c r="H15" s="19">
        <v>674</v>
      </c>
      <c r="I15" s="15">
        <f t="shared" si="0"/>
        <v>0.36570808464460119</v>
      </c>
      <c r="J15" s="1">
        <v>0.7</v>
      </c>
      <c r="K15" s="12">
        <v>13.75</v>
      </c>
      <c r="L15" s="3">
        <f t="shared" si="1"/>
        <v>616.09999999999991</v>
      </c>
      <c r="M15" s="10">
        <f t="shared" si="2"/>
        <v>8471.3749999999982</v>
      </c>
    </row>
    <row r="16" spans="1:13" x14ac:dyDescent="0.35">
      <c r="A16" s="17">
        <v>46054</v>
      </c>
      <c r="B16" s="16" t="s">
        <v>21</v>
      </c>
      <c r="C16" t="s">
        <v>226</v>
      </c>
      <c r="D16" s="16">
        <v>19771</v>
      </c>
      <c r="E16" s="18">
        <v>57413737000234</v>
      </c>
      <c r="F16" t="s">
        <v>233</v>
      </c>
      <c r="G16" s="19">
        <v>1923</v>
      </c>
      <c r="H16" s="19">
        <v>749</v>
      </c>
      <c r="I16" s="15">
        <f t="shared" si="0"/>
        <v>0.38949557982319294</v>
      </c>
      <c r="J16" s="1">
        <v>0.7</v>
      </c>
      <c r="K16" s="12">
        <v>13.75</v>
      </c>
      <c r="L16" s="3">
        <f t="shared" si="1"/>
        <v>597.09999999999991</v>
      </c>
      <c r="M16" s="10">
        <f t="shared" si="2"/>
        <v>8210.1249999999982</v>
      </c>
    </row>
    <row r="17" spans="1:13" x14ac:dyDescent="0.35">
      <c r="A17" s="17">
        <v>46054</v>
      </c>
      <c r="B17" s="16" t="s">
        <v>21</v>
      </c>
      <c r="C17" t="s">
        <v>226</v>
      </c>
      <c r="D17" s="16">
        <v>19790</v>
      </c>
      <c r="E17" s="18">
        <v>32347471000167</v>
      </c>
      <c r="F17" t="s">
        <v>230</v>
      </c>
      <c r="G17" s="19">
        <v>2821</v>
      </c>
      <c r="H17" s="19">
        <v>1382</v>
      </c>
      <c r="I17" s="15">
        <f t="shared" si="0"/>
        <v>0.48989719957461891</v>
      </c>
      <c r="J17" s="1">
        <v>0.7</v>
      </c>
      <c r="K17" s="12">
        <v>13.75</v>
      </c>
      <c r="L17" s="3">
        <f t="shared" si="1"/>
        <v>592.70000000000005</v>
      </c>
      <c r="M17" s="10">
        <f t="shared" si="2"/>
        <v>8149.6250000000009</v>
      </c>
    </row>
    <row r="18" spans="1:13" x14ac:dyDescent="0.35">
      <c r="A18" s="17">
        <v>46054</v>
      </c>
      <c r="B18" s="16" t="s">
        <v>21</v>
      </c>
      <c r="C18" t="s">
        <v>226</v>
      </c>
      <c r="D18" s="16">
        <v>19907</v>
      </c>
      <c r="E18" s="18">
        <v>48140187000155</v>
      </c>
      <c r="F18" t="s">
        <v>232</v>
      </c>
      <c r="G18" s="19">
        <v>1267</v>
      </c>
      <c r="H18" s="19">
        <v>492</v>
      </c>
      <c r="I18" s="15">
        <f t="shared" si="0"/>
        <v>0.38831886345698502</v>
      </c>
      <c r="J18" s="1">
        <v>0.7</v>
      </c>
      <c r="K18" s="12">
        <v>13.75</v>
      </c>
      <c r="L18" s="3">
        <f t="shared" si="1"/>
        <v>394.89999999999986</v>
      </c>
      <c r="M18" s="10">
        <f t="shared" si="2"/>
        <v>5429.8749999999982</v>
      </c>
    </row>
    <row r="19" spans="1:13" x14ac:dyDescent="0.35">
      <c r="A19" s="17">
        <v>46054</v>
      </c>
      <c r="B19" s="16" t="s">
        <v>21</v>
      </c>
      <c r="C19" t="s">
        <v>226</v>
      </c>
      <c r="D19" s="16">
        <v>19931</v>
      </c>
      <c r="E19" s="18">
        <v>46596902000133</v>
      </c>
      <c r="F19" t="s">
        <v>231</v>
      </c>
      <c r="G19" s="19">
        <v>1921</v>
      </c>
      <c r="H19" s="19">
        <v>904</v>
      </c>
      <c r="I19" s="15">
        <f t="shared" si="0"/>
        <v>0.47058823529411764</v>
      </c>
      <c r="J19" s="1">
        <v>0.7</v>
      </c>
      <c r="K19" s="12">
        <v>13.75</v>
      </c>
      <c r="L19" s="3">
        <f t="shared" si="1"/>
        <v>440.69999999999982</v>
      </c>
      <c r="M19" s="10">
        <f t="shared" si="2"/>
        <v>6059.6249999999973</v>
      </c>
    </row>
    <row r="20" spans="1:13" x14ac:dyDescent="0.35">
      <c r="A20" s="17">
        <v>46054</v>
      </c>
      <c r="B20" s="16" t="s">
        <v>21</v>
      </c>
      <c r="C20" t="s">
        <v>323</v>
      </c>
      <c r="D20" s="16">
        <v>19736</v>
      </c>
      <c r="E20" s="18">
        <v>27190532000195</v>
      </c>
      <c r="F20" t="s">
        <v>293</v>
      </c>
      <c r="G20" s="19">
        <v>2805</v>
      </c>
      <c r="H20" s="19">
        <v>1102</v>
      </c>
      <c r="I20" s="15">
        <f t="shared" si="0"/>
        <v>0.39286987522281641</v>
      </c>
      <c r="J20" s="1">
        <v>0.7</v>
      </c>
      <c r="K20" s="12">
        <v>13.75</v>
      </c>
      <c r="L20" s="3">
        <f t="shared" si="1"/>
        <v>861.49999999999977</v>
      </c>
      <c r="M20" s="10">
        <f t="shared" si="2"/>
        <v>11845.624999999996</v>
      </c>
    </row>
    <row r="21" spans="1:13" x14ac:dyDescent="0.35">
      <c r="A21" s="17">
        <v>46054</v>
      </c>
      <c r="B21" s="16" t="s">
        <v>87</v>
      </c>
      <c r="C21" t="s">
        <v>312</v>
      </c>
      <c r="D21" s="16">
        <v>19607</v>
      </c>
      <c r="E21" s="18">
        <v>27655101000661</v>
      </c>
      <c r="F21" t="s">
        <v>89</v>
      </c>
      <c r="G21" s="19">
        <v>1712</v>
      </c>
      <c r="H21" s="19">
        <v>573</v>
      </c>
      <c r="I21" s="15">
        <f t="shared" si="0"/>
        <v>0.33469626168224298</v>
      </c>
      <c r="J21" s="1">
        <v>0.7</v>
      </c>
      <c r="K21" s="12">
        <v>13.75</v>
      </c>
      <c r="L21" s="3">
        <f t="shared" si="1"/>
        <v>625.39999999999986</v>
      </c>
      <c r="M21" s="10">
        <f t="shared" si="2"/>
        <v>8599.2499999999982</v>
      </c>
    </row>
    <row r="22" spans="1:13" x14ac:dyDescent="0.35">
      <c r="A22" s="17">
        <v>46054</v>
      </c>
      <c r="B22" s="16" t="s">
        <v>87</v>
      </c>
      <c r="C22" t="s">
        <v>312</v>
      </c>
      <c r="D22" s="16">
        <v>19642</v>
      </c>
      <c r="E22" s="18">
        <v>27655101000742</v>
      </c>
      <c r="F22" t="s">
        <v>90</v>
      </c>
      <c r="G22" s="19">
        <v>1394</v>
      </c>
      <c r="H22" s="19">
        <v>541</v>
      </c>
      <c r="I22" s="15">
        <f t="shared" si="0"/>
        <v>0.38809182209469151</v>
      </c>
      <c r="J22" s="1">
        <v>0.7</v>
      </c>
      <c r="K22" s="12">
        <v>13.75</v>
      </c>
      <c r="L22" s="3">
        <f t="shared" si="1"/>
        <v>434.80000000000007</v>
      </c>
      <c r="M22" s="10">
        <f t="shared" si="2"/>
        <v>5978.5000000000009</v>
      </c>
    </row>
    <row r="23" spans="1:13" x14ac:dyDescent="0.35">
      <c r="A23" s="17">
        <v>46054</v>
      </c>
      <c r="B23" s="16" t="s">
        <v>87</v>
      </c>
      <c r="C23" t="s">
        <v>312</v>
      </c>
      <c r="D23" s="16">
        <v>19725</v>
      </c>
      <c r="E23" s="18">
        <v>27655101000823</v>
      </c>
      <c r="F23" t="s">
        <v>91</v>
      </c>
      <c r="G23" s="19">
        <v>1430</v>
      </c>
      <c r="H23" s="19">
        <v>587</v>
      </c>
      <c r="I23" s="15">
        <f t="shared" si="0"/>
        <v>0.41048951048951049</v>
      </c>
      <c r="J23" s="1">
        <v>0.7</v>
      </c>
      <c r="K23" s="12">
        <v>13.75</v>
      </c>
      <c r="L23" s="3">
        <f t="shared" si="1"/>
        <v>414</v>
      </c>
      <c r="M23" s="10">
        <f t="shared" si="2"/>
        <v>5692.5</v>
      </c>
    </row>
    <row r="24" spans="1:13" x14ac:dyDescent="0.35">
      <c r="A24" s="17">
        <v>46054</v>
      </c>
      <c r="B24" s="16" t="s">
        <v>87</v>
      </c>
      <c r="C24" t="s">
        <v>312</v>
      </c>
      <c r="D24" s="16">
        <v>19735</v>
      </c>
      <c r="E24" s="18">
        <v>27655101000580</v>
      </c>
      <c r="F24" t="s">
        <v>88</v>
      </c>
      <c r="G24" s="19">
        <v>333</v>
      </c>
      <c r="H24" s="19">
        <v>112</v>
      </c>
      <c r="I24" s="15">
        <f t="shared" si="0"/>
        <v>0.33633633633633636</v>
      </c>
      <c r="J24" s="1">
        <v>0.7</v>
      </c>
      <c r="K24" s="12">
        <v>13.75</v>
      </c>
      <c r="L24" s="3">
        <f t="shared" si="1"/>
        <v>121.09999999999997</v>
      </c>
      <c r="M24" s="10">
        <f t="shared" si="2"/>
        <v>1665.1249999999995</v>
      </c>
    </row>
    <row r="25" spans="1:13" x14ac:dyDescent="0.35">
      <c r="A25" s="17">
        <v>46054</v>
      </c>
      <c r="B25" s="16" t="s">
        <v>87</v>
      </c>
      <c r="C25" t="s">
        <v>312</v>
      </c>
      <c r="D25" s="16">
        <v>19902</v>
      </c>
      <c r="E25" s="18">
        <v>27655101000904</v>
      </c>
      <c r="F25" t="s">
        <v>92</v>
      </c>
      <c r="G25" s="19">
        <v>1691</v>
      </c>
      <c r="H25" s="19">
        <v>802</v>
      </c>
      <c r="I25" s="15">
        <f t="shared" si="0"/>
        <v>0.47427557658190422</v>
      </c>
      <c r="J25" s="1">
        <v>0.7</v>
      </c>
      <c r="K25" s="12">
        <v>13.75</v>
      </c>
      <c r="L25" s="3">
        <f t="shared" si="1"/>
        <v>381.69999999999982</v>
      </c>
      <c r="M25" s="10">
        <f t="shared" si="2"/>
        <v>5248.3749999999973</v>
      </c>
    </row>
    <row r="26" spans="1:13" x14ac:dyDescent="0.35">
      <c r="A26" s="17">
        <v>46054</v>
      </c>
      <c r="B26" s="16" t="s">
        <v>87</v>
      </c>
      <c r="C26" t="s">
        <v>312</v>
      </c>
      <c r="D26" s="16">
        <v>19903</v>
      </c>
      <c r="E26" s="18">
        <v>27655101001048</v>
      </c>
      <c r="F26" t="s">
        <v>93</v>
      </c>
      <c r="G26" s="19">
        <v>1852</v>
      </c>
      <c r="H26" s="19">
        <v>1094</v>
      </c>
      <c r="I26" s="15">
        <f t="shared" si="0"/>
        <v>0.59071274298056153</v>
      </c>
      <c r="J26" s="1">
        <v>0.7</v>
      </c>
      <c r="K26" s="12">
        <v>13.75</v>
      </c>
      <c r="L26" s="3">
        <f t="shared" si="1"/>
        <v>202.39999999999986</v>
      </c>
      <c r="M26" s="10">
        <f t="shared" si="2"/>
        <v>2782.9999999999982</v>
      </c>
    </row>
    <row r="27" spans="1:13" x14ac:dyDescent="0.35">
      <c r="A27" s="17">
        <v>46054</v>
      </c>
      <c r="B27" s="16" t="s">
        <v>46</v>
      </c>
      <c r="C27" t="s">
        <v>47</v>
      </c>
      <c r="D27" s="16">
        <v>19551</v>
      </c>
      <c r="E27" s="18">
        <v>16370406000104</v>
      </c>
      <c r="F27" t="s">
        <v>48</v>
      </c>
      <c r="G27" s="19">
        <v>2274</v>
      </c>
      <c r="H27" s="19">
        <v>870</v>
      </c>
      <c r="I27" s="15">
        <f t="shared" si="0"/>
        <v>0.38258575197889183</v>
      </c>
      <c r="J27" s="1">
        <v>0.7</v>
      </c>
      <c r="K27" s="12">
        <v>13.75</v>
      </c>
      <c r="L27" s="3">
        <f t="shared" si="1"/>
        <v>721.8</v>
      </c>
      <c r="M27" s="10">
        <f t="shared" si="2"/>
        <v>9924.75</v>
      </c>
    </row>
    <row r="28" spans="1:13" x14ac:dyDescent="0.35">
      <c r="A28" s="17">
        <v>46054</v>
      </c>
      <c r="B28" s="16" t="s">
        <v>46</v>
      </c>
      <c r="C28" t="s">
        <v>47</v>
      </c>
      <c r="D28" s="16">
        <v>19552</v>
      </c>
      <c r="E28" s="18">
        <v>20175900000187</v>
      </c>
      <c r="F28" t="s">
        <v>50</v>
      </c>
      <c r="G28" s="19">
        <v>3867</v>
      </c>
      <c r="H28" s="19">
        <v>1692</v>
      </c>
      <c r="I28" s="15">
        <f t="shared" si="0"/>
        <v>0.43754848719937939</v>
      </c>
      <c r="J28" s="1">
        <v>0.7</v>
      </c>
      <c r="K28" s="12">
        <v>13.75</v>
      </c>
      <c r="L28" s="3">
        <f t="shared" si="1"/>
        <v>1014.8999999999996</v>
      </c>
      <c r="M28" s="10">
        <f t="shared" si="2"/>
        <v>13954.874999999995</v>
      </c>
    </row>
    <row r="29" spans="1:13" x14ac:dyDescent="0.35">
      <c r="A29" s="17">
        <v>46054</v>
      </c>
      <c r="B29" s="16" t="s">
        <v>46</v>
      </c>
      <c r="C29" t="s">
        <v>47</v>
      </c>
      <c r="D29" s="16">
        <v>19647</v>
      </c>
      <c r="E29" s="18">
        <v>52493239000144</v>
      </c>
      <c r="F29" t="s">
        <v>55</v>
      </c>
      <c r="G29" s="19">
        <v>1497</v>
      </c>
      <c r="H29" s="19">
        <v>497</v>
      </c>
      <c r="I29" s="15">
        <f t="shared" si="0"/>
        <v>0.33199732798931197</v>
      </c>
      <c r="J29" s="1">
        <v>0.7</v>
      </c>
      <c r="K29" s="12">
        <v>13.75</v>
      </c>
      <c r="L29" s="3">
        <f t="shared" si="1"/>
        <v>550.89999999999986</v>
      </c>
      <c r="M29" s="10">
        <f t="shared" si="2"/>
        <v>7574.8749999999982</v>
      </c>
    </row>
    <row r="30" spans="1:13" x14ac:dyDescent="0.35">
      <c r="A30" s="17">
        <v>46054</v>
      </c>
      <c r="B30" s="16" t="s">
        <v>46</v>
      </c>
      <c r="C30" t="s">
        <v>47</v>
      </c>
      <c r="D30" s="16">
        <v>19666</v>
      </c>
      <c r="E30" s="18">
        <v>61992406000192</v>
      </c>
      <c r="F30" t="s">
        <v>49</v>
      </c>
      <c r="G30" s="19">
        <v>2256</v>
      </c>
      <c r="H30" s="19">
        <v>853</v>
      </c>
      <c r="I30" s="15">
        <f t="shared" si="0"/>
        <v>0.37810283687943264</v>
      </c>
      <c r="J30" s="1">
        <v>0.7</v>
      </c>
      <c r="K30" s="12">
        <v>13.75</v>
      </c>
      <c r="L30" s="3">
        <f t="shared" si="1"/>
        <v>726.19999999999982</v>
      </c>
      <c r="M30" s="10">
        <f t="shared" si="2"/>
        <v>9985.2499999999982</v>
      </c>
    </row>
    <row r="31" spans="1:13" x14ac:dyDescent="0.35">
      <c r="A31" s="17">
        <v>46054</v>
      </c>
      <c r="B31" s="16" t="s">
        <v>46</v>
      </c>
      <c r="C31" t="s">
        <v>47</v>
      </c>
      <c r="D31" s="16">
        <v>19693</v>
      </c>
      <c r="E31" s="18">
        <v>23997144000160</v>
      </c>
      <c r="F31" t="s">
        <v>51</v>
      </c>
      <c r="G31" s="19">
        <v>1966</v>
      </c>
      <c r="H31" s="19">
        <v>641</v>
      </c>
      <c r="I31" s="15">
        <f t="shared" si="0"/>
        <v>0.32604272634791454</v>
      </c>
      <c r="J31" s="1">
        <v>0.7</v>
      </c>
      <c r="K31" s="12">
        <v>13.75</v>
      </c>
      <c r="L31" s="3">
        <f t="shared" si="1"/>
        <v>735.2</v>
      </c>
      <c r="M31" s="10">
        <f t="shared" si="2"/>
        <v>10109</v>
      </c>
    </row>
    <row r="32" spans="1:13" x14ac:dyDescent="0.35">
      <c r="A32" s="17">
        <v>46054</v>
      </c>
      <c r="B32" s="16" t="s">
        <v>46</v>
      </c>
      <c r="C32" t="s">
        <v>47</v>
      </c>
      <c r="D32" s="16">
        <v>19722</v>
      </c>
      <c r="E32" s="18">
        <v>25451389000112</v>
      </c>
      <c r="F32" t="s">
        <v>52</v>
      </c>
      <c r="G32" s="19">
        <v>1252</v>
      </c>
      <c r="H32" s="19">
        <v>398</v>
      </c>
      <c r="I32" s="15">
        <f t="shared" si="0"/>
        <v>0.31789137380191695</v>
      </c>
      <c r="J32" s="1">
        <v>0.7</v>
      </c>
      <c r="K32" s="12">
        <v>13.75</v>
      </c>
      <c r="L32" s="3">
        <f t="shared" si="1"/>
        <v>478.39999999999986</v>
      </c>
      <c r="M32" s="10">
        <f t="shared" si="2"/>
        <v>6577.9999999999982</v>
      </c>
    </row>
    <row r="33" spans="1:13" x14ac:dyDescent="0.35">
      <c r="A33" s="17">
        <v>46054</v>
      </c>
      <c r="B33" s="16" t="s">
        <v>46</v>
      </c>
      <c r="C33" t="s">
        <v>47</v>
      </c>
      <c r="D33" s="16">
        <v>19755</v>
      </c>
      <c r="E33" s="18">
        <v>54730480000175</v>
      </c>
      <c r="F33" t="s">
        <v>53</v>
      </c>
      <c r="G33" s="19">
        <v>848</v>
      </c>
      <c r="H33" s="19">
        <v>364</v>
      </c>
      <c r="I33" s="15">
        <f t="shared" si="0"/>
        <v>0.42924528301886794</v>
      </c>
      <c r="J33" s="1">
        <v>0.7</v>
      </c>
      <c r="K33" s="12">
        <v>13.75</v>
      </c>
      <c r="L33" s="3">
        <f t="shared" si="1"/>
        <v>229.59999999999991</v>
      </c>
      <c r="M33" s="10">
        <f t="shared" si="2"/>
        <v>3156.9999999999986</v>
      </c>
    </row>
    <row r="34" spans="1:13" x14ac:dyDescent="0.35">
      <c r="A34" s="17">
        <v>46054</v>
      </c>
      <c r="B34" s="16" t="s">
        <v>46</v>
      </c>
      <c r="C34" t="s">
        <v>47</v>
      </c>
      <c r="D34" s="16">
        <v>19881</v>
      </c>
      <c r="E34" s="18">
        <v>38428651000150</v>
      </c>
      <c r="F34" t="s">
        <v>54</v>
      </c>
      <c r="G34" s="19">
        <v>2771</v>
      </c>
      <c r="H34" s="19">
        <v>1018</v>
      </c>
      <c r="I34" s="15">
        <f t="shared" si="0"/>
        <v>0.3673763984121256</v>
      </c>
      <c r="J34" s="1">
        <v>0.7</v>
      </c>
      <c r="K34" s="12">
        <v>13.75</v>
      </c>
      <c r="L34" s="3">
        <f t="shared" si="1"/>
        <v>921.69999999999959</v>
      </c>
      <c r="M34" s="10">
        <f t="shared" si="2"/>
        <v>12673.374999999995</v>
      </c>
    </row>
    <row r="35" spans="1:13" x14ac:dyDescent="0.35">
      <c r="A35" s="17">
        <v>46054</v>
      </c>
      <c r="B35" s="16" t="s">
        <v>46</v>
      </c>
      <c r="C35" t="s">
        <v>47</v>
      </c>
      <c r="D35" s="16">
        <v>19898</v>
      </c>
      <c r="E35" s="18">
        <v>52493270000185</v>
      </c>
      <c r="F35" t="s">
        <v>56</v>
      </c>
      <c r="G35" s="19">
        <v>976</v>
      </c>
      <c r="H35" s="19">
        <v>296</v>
      </c>
      <c r="I35" s="15">
        <f t="shared" si="0"/>
        <v>0.30327868852459017</v>
      </c>
      <c r="J35" s="1">
        <v>0.7</v>
      </c>
      <c r="K35" s="12">
        <v>13.75</v>
      </c>
      <c r="L35" s="3">
        <f t="shared" si="1"/>
        <v>387.19999999999993</v>
      </c>
      <c r="M35" s="10">
        <f t="shared" si="2"/>
        <v>5323.9999999999991</v>
      </c>
    </row>
    <row r="36" spans="1:13" x14ac:dyDescent="0.35">
      <c r="A36" s="17">
        <v>46054</v>
      </c>
      <c r="B36" s="16" t="s">
        <v>46</v>
      </c>
      <c r="C36" t="s">
        <v>100</v>
      </c>
      <c r="D36" s="16">
        <v>19553</v>
      </c>
      <c r="E36" s="18">
        <v>47198534000138</v>
      </c>
      <c r="F36" t="s">
        <v>101</v>
      </c>
      <c r="G36" s="19">
        <v>1809</v>
      </c>
      <c r="H36" s="19">
        <v>718</v>
      </c>
      <c r="I36" s="15">
        <f t="shared" si="0"/>
        <v>0.39690436705362081</v>
      </c>
      <c r="J36" s="1">
        <v>0.7</v>
      </c>
      <c r="K36" s="12">
        <v>13.75</v>
      </c>
      <c r="L36" s="3">
        <f t="shared" si="1"/>
        <v>548.29999999999973</v>
      </c>
      <c r="M36" s="10">
        <f t="shared" si="2"/>
        <v>7539.1249999999964</v>
      </c>
    </row>
    <row r="37" spans="1:13" x14ac:dyDescent="0.35">
      <c r="A37" s="17">
        <v>46054</v>
      </c>
      <c r="B37" s="16" t="s">
        <v>59</v>
      </c>
      <c r="C37" t="s">
        <v>310</v>
      </c>
      <c r="D37" s="16">
        <v>19944</v>
      </c>
      <c r="E37" s="18">
        <v>46155956000163</v>
      </c>
      <c r="F37" t="s">
        <v>60</v>
      </c>
      <c r="G37" s="19">
        <v>2008</v>
      </c>
      <c r="H37" s="19">
        <v>862</v>
      </c>
      <c r="I37" s="15">
        <f t="shared" si="0"/>
        <v>0.42928286852589642</v>
      </c>
      <c r="J37" s="1">
        <v>0.7</v>
      </c>
      <c r="K37" s="12">
        <v>13.75</v>
      </c>
      <c r="L37" s="3">
        <f t="shared" si="1"/>
        <v>543.59999999999991</v>
      </c>
      <c r="M37" s="10">
        <f t="shared" si="2"/>
        <v>7474.4999999999991</v>
      </c>
    </row>
    <row r="38" spans="1:13" x14ac:dyDescent="0.35">
      <c r="A38" s="17">
        <v>46054</v>
      </c>
      <c r="B38" s="16" t="s">
        <v>59</v>
      </c>
      <c r="C38" t="s">
        <v>102</v>
      </c>
      <c r="D38" s="16">
        <v>19872</v>
      </c>
      <c r="E38" s="18">
        <v>55682285000180</v>
      </c>
      <c r="F38" t="s">
        <v>103</v>
      </c>
      <c r="G38" s="19">
        <v>3072</v>
      </c>
      <c r="H38" s="19">
        <v>1443</v>
      </c>
      <c r="I38" s="15">
        <f t="shared" si="0"/>
        <v>0.4697265625</v>
      </c>
      <c r="J38" s="1">
        <v>0.7</v>
      </c>
      <c r="K38" s="12">
        <v>13.75</v>
      </c>
      <c r="L38" s="3">
        <f t="shared" si="1"/>
        <v>707.39999999999964</v>
      </c>
      <c r="M38" s="10">
        <f t="shared" si="2"/>
        <v>9726.7499999999945</v>
      </c>
    </row>
    <row r="39" spans="1:13" x14ac:dyDescent="0.35">
      <c r="A39" s="17">
        <v>46054</v>
      </c>
      <c r="B39" s="16" t="s">
        <v>59</v>
      </c>
      <c r="C39" t="s">
        <v>269</v>
      </c>
      <c r="D39" s="16">
        <v>19775</v>
      </c>
      <c r="E39" s="18">
        <v>57438869000130</v>
      </c>
      <c r="F39" t="s">
        <v>270</v>
      </c>
      <c r="G39" s="19">
        <v>1337</v>
      </c>
      <c r="H39" s="19">
        <v>507</v>
      </c>
      <c r="I39" s="15">
        <f t="shared" si="0"/>
        <v>0.37920718025430067</v>
      </c>
      <c r="J39" s="1">
        <v>0.7</v>
      </c>
      <c r="K39" s="12">
        <v>13.75</v>
      </c>
      <c r="L39" s="3">
        <f t="shared" si="1"/>
        <v>428.9</v>
      </c>
      <c r="M39" s="10">
        <f t="shared" si="2"/>
        <v>5897.375</v>
      </c>
    </row>
    <row r="40" spans="1:13" x14ac:dyDescent="0.35">
      <c r="A40" s="17">
        <v>46054</v>
      </c>
      <c r="B40" s="16" t="s">
        <v>59</v>
      </c>
      <c r="C40" t="s">
        <v>287</v>
      </c>
      <c r="D40" s="16">
        <v>19581</v>
      </c>
      <c r="E40" s="18">
        <v>59701973000109</v>
      </c>
      <c r="F40" t="s">
        <v>288</v>
      </c>
      <c r="G40" s="19">
        <v>1997</v>
      </c>
      <c r="H40" s="19">
        <v>610</v>
      </c>
      <c r="I40" s="15">
        <f t="shared" si="0"/>
        <v>0.30545818728092139</v>
      </c>
      <c r="J40" s="1">
        <v>0.7</v>
      </c>
      <c r="K40" s="12">
        <v>13.75</v>
      </c>
      <c r="L40" s="3">
        <f t="shared" si="1"/>
        <v>787.89999999999986</v>
      </c>
      <c r="M40" s="10">
        <f t="shared" si="2"/>
        <v>10833.624999999998</v>
      </c>
    </row>
    <row r="41" spans="1:13" x14ac:dyDescent="0.35">
      <c r="A41" s="17">
        <v>46054</v>
      </c>
      <c r="B41" s="16" t="s">
        <v>59</v>
      </c>
      <c r="C41" t="s">
        <v>287</v>
      </c>
      <c r="D41" s="16">
        <v>19876</v>
      </c>
      <c r="E41" s="18">
        <v>35933752000513</v>
      </c>
      <c r="F41" t="s">
        <v>289</v>
      </c>
      <c r="G41" s="19">
        <v>2017</v>
      </c>
      <c r="H41" s="19">
        <v>673</v>
      </c>
      <c r="I41" s="15">
        <f t="shared" si="0"/>
        <v>0.33366385721368369</v>
      </c>
      <c r="J41" s="1">
        <v>0.7</v>
      </c>
      <c r="K41" s="12">
        <v>13.75</v>
      </c>
      <c r="L41" s="3">
        <f t="shared" si="1"/>
        <v>738.89999999999986</v>
      </c>
      <c r="M41" s="10">
        <f t="shared" si="2"/>
        <v>10159.874999999998</v>
      </c>
    </row>
    <row r="42" spans="1:13" x14ac:dyDescent="0.35">
      <c r="A42" s="17">
        <v>46054</v>
      </c>
      <c r="B42" s="16" t="s">
        <v>59</v>
      </c>
      <c r="C42" t="s">
        <v>290</v>
      </c>
      <c r="D42" s="16">
        <v>19580</v>
      </c>
      <c r="E42" s="18">
        <v>57439562000153</v>
      </c>
      <c r="F42" t="s">
        <v>291</v>
      </c>
      <c r="G42" s="19">
        <v>1925</v>
      </c>
      <c r="H42" s="19">
        <v>650</v>
      </c>
      <c r="I42" s="15">
        <f t="shared" si="0"/>
        <v>0.33766233766233766</v>
      </c>
      <c r="J42" s="1">
        <v>0.7</v>
      </c>
      <c r="K42" s="12">
        <v>13.75</v>
      </c>
      <c r="L42" s="3">
        <f t="shared" si="1"/>
        <v>697.49999999999977</v>
      </c>
      <c r="M42" s="10">
        <f t="shared" si="2"/>
        <v>9590.6249999999964</v>
      </c>
    </row>
    <row r="43" spans="1:13" x14ac:dyDescent="0.35">
      <c r="A43" s="17">
        <v>46054</v>
      </c>
      <c r="B43" s="16" t="s">
        <v>59</v>
      </c>
      <c r="C43" t="s">
        <v>290</v>
      </c>
      <c r="D43" s="16">
        <v>19719</v>
      </c>
      <c r="E43" s="18">
        <v>57440222000142</v>
      </c>
      <c r="F43" t="s">
        <v>292</v>
      </c>
      <c r="G43" s="19">
        <v>1522</v>
      </c>
      <c r="H43" s="19">
        <v>523</v>
      </c>
      <c r="I43" s="15">
        <f t="shared" si="0"/>
        <v>0.34362680683311431</v>
      </c>
      <c r="J43" s="1">
        <v>0.7</v>
      </c>
      <c r="K43" s="12">
        <v>13.75</v>
      </c>
      <c r="L43" s="3">
        <f t="shared" si="1"/>
        <v>542.39999999999986</v>
      </c>
      <c r="M43" s="10">
        <f t="shared" si="2"/>
        <v>7457.9999999999982</v>
      </c>
    </row>
    <row r="44" spans="1:13" x14ac:dyDescent="0.35">
      <c r="A44" s="17">
        <v>46054</v>
      </c>
      <c r="B44" s="16" t="s">
        <v>7</v>
      </c>
      <c r="C44" t="s">
        <v>8</v>
      </c>
      <c r="D44" s="16">
        <v>19700</v>
      </c>
      <c r="E44" s="18">
        <v>24923389000105</v>
      </c>
      <c r="F44" t="s">
        <v>9</v>
      </c>
      <c r="G44" s="19">
        <v>1479</v>
      </c>
      <c r="H44" s="19">
        <v>486</v>
      </c>
      <c r="I44" s="15">
        <f t="shared" si="0"/>
        <v>0.32860040567951321</v>
      </c>
      <c r="J44" s="1">
        <v>0.7</v>
      </c>
      <c r="K44" s="12">
        <v>13.75</v>
      </c>
      <c r="L44" s="3">
        <f t="shared" si="1"/>
        <v>549.29999999999995</v>
      </c>
      <c r="M44" s="10">
        <f t="shared" si="2"/>
        <v>7552.8749999999991</v>
      </c>
    </row>
    <row r="45" spans="1:13" x14ac:dyDescent="0.35">
      <c r="A45" s="17">
        <v>46054</v>
      </c>
      <c r="B45" s="16" t="s">
        <v>7</v>
      </c>
      <c r="C45" t="s">
        <v>97</v>
      </c>
      <c r="D45" s="16">
        <v>19691</v>
      </c>
      <c r="E45" s="18">
        <v>24660065000121</v>
      </c>
      <c r="F45" t="s">
        <v>98</v>
      </c>
      <c r="G45" s="19">
        <v>2103</v>
      </c>
      <c r="H45" s="19">
        <v>874</v>
      </c>
      <c r="I45" s="15">
        <f t="shared" si="0"/>
        <v>0.41559676652401334</v>
      </c>
      <c r="J45" s="1">
        <v>0.7</v>
      </c>
      <c r="K45" s="12">
        <v>13.75</v>
      </c>
      <c r="L45" s="3">
        <f t="shared" si="1"/>
        <v>598.09999999999991</v>
      </c>
      <c r="M45" s="10">
        <f t="shared" si="2"/>
        <v>8223.8749999999982</v>
      </c>
    </row>
    <row r="46" spans="1:13" x14ac:dyDescent="0.35">
      <c r="A46" s="17">
        <v>46054</v>
      </c>
      <c r="B46" s="16" t="s">
        <v>7</v>
      </c>
      <c r="C46" t="s">
        <v>97</v>
      </c>
      <c r="D46" s="16">
        <v>19754</v>
      </c>
      <c r="E46" s="18">
        <v>28836652000180</v>
      </c>
      <c r="F46" t="s">
        <v>99</v>
      </c>
      <c r="G46" s="19">
        <v>2409</v>
      </c>
      <c r="H46" s="19">
        <v>905</v>
      </c>
      <c r="I46" s="15">
        <f t="shared" si="0"/>
        <v>0.37567455375674552</v>
      </c>
      <c r="J46" s="1">
        <v>0.7</v>
      </c>
      <c r="K46" s="12">
        <v>13.75</v>
      </c>
      <c r="L46" s="3">
        <f t="shared" si="1"/>
        <v>781.30000000000018</v>
      </c>
      <c r="M46" s="10">
        <f t="shared" si="2"/>
        <v>10742.875000000002</v>
      </c>
    </row>
    <row r="47" spans="1:13" x14ac:dyDescent="0.35">
      <c r="A47" s="17">
        <v>46054</v>
      </c>
      <c r="B47" s="16" t="s">
        <v>242</v>
      </c>
      <c r="C47" t="s">
        <v>243</v>
      </c>
      <c r="D47" s="16">
        <v>19595</v>
      </c>
      <c r="E47" s="18">
        <v>49602499000287</v>
      </c>
      <c r="F47" t="s">
        <v>245</v>
      </c>
      <c r="G47" s="19">
        <v>3248</v>
      </c>
      <c r="H47" s="19">
        <v>1538</v>
      </c>
      <c r="I47" s="15">
        <f t="shared" si="0"/>
        <v>0.47352216748768472</v>
      </c>
      <c r="J47" s="1">
        <v>0.7</v>
      </c>
      <c r="K47" s="12">
        <v>13.75</v>
      </c>
      <c r="L47" s="3">
        <f t="shared" si="1"/>
        <v>735.59999999999991</v>
      </c>
      <c r="M47" s="10">
        <f t="shared" si="2"/>
        <v>10114.499999999998</v>
      </c>
    </row>
    <row r="48" spans="1:13" x14ac:dyDescent="0.35">
      <c r="A48" s="17">
        <v>46054</v>
      </c>
      <c r="B48" s="16" t="s">
        <v>242</v>
      </c>
      <c r="C48" t="s">
        <v>243</v>
      </c>
      <c r="D48" s="16">
        <v>19617</v>
      </c>
      <c r="E48" s="18">
        <v>49602499000104</v>
      </c>
      <c r="F48" t="s">
        <v>244</v>
      </c>
      <c r="G48" s="19">
        <v>3274</v>
      </c>
      <c r="H48" s="19">
        <v>1390</v>
      </c>
      <c r="I48" s="15">
        <f t="shared" si="0"/>
        <v>0.42455711667684787</v>
      </c>
      <c r="J48" s="1">
        <v>0.7</v>
      </c>
      <c r="K48" s="12">
        <v>13.75</v>
      </c>
      <c r="L48" s="3">
        <f t="shared" si="1"/>
        <v>901.79999999999973</v>
      </c>
      <c r="M48" s="10">
        <f t="shared" si="2"/>
        <v>12399.749999999996</v>
      </c>
    </row>
    <row r="49" spans="1:13" x14ac:dyDescent="0.35">
      <c r="A49" s="17">
        <v>46054</v>
      </c>
      <c r="B49" s="16" t="s">
        <v>14</v>
      </c>
      <c r="C49" t="s">
        <v>29</v>
      </c>
      <c r="D49" s="16">
        <v>19560</v>
      </c>
      <c r="E49" s="18">
        <v>24840166006620</v>
      </c>
      <c r="F49" t="s">
        <v>34</v>
      </c>
      <c r="G49" s="19">
        <v>4027</v>
      </c>
      <c r="H49" s="19">
        <v>1636</v>
      </c>
      <c r="I49" s="15">
        <f t="shared" ref="I49:I112" si="3">H49/G49</f>
        <v>0.40625776011919545</v>
      </c>
      <c r="J49" s="1">
        <v>0.7</v>
      </c>
      <c r="K49" s="12">
        <v>13.75</v>
      </c>
      <c r="L49" s="3">
        <f t="shared" si="1"/>
        <v>1182.8999999999992</v>
      </c>
      <c r="M49" s="10">
        <f t="shared" si="2"/>
        <v>16264.874999999989</v>
      </c>
    </row>
    <row r="50" spans="1:13" x14ac:dyDescent="0.35">
      <c r="A50" s="17">
        <v>46054</v>
      </c>
      <c r="B50" s="16" t="s">
        <v>14</v>
      </c>
      <c r="C50" t="s">
        <v>29</v>
      </c>
      <c r="D50" s="16">
        <v>19561</v>
      </c>
      <c r="E50" s="18">
        <v>24840166006468</v>
      </c>
      <c r="F50" t="s">
        <v>33</v>
      </c>
      <c r="G50" s="19">
        <v>1416</v>
      </c>
      <c r="H50" s="19">
        <v>558</v>
      </c>
      <c r="I50" s="15">
        <f t="shared" si="3"/>
        <v>0.3940677966101695</v>
      </c>
      <c r="J50" s="1">
        <v>0.7</v>
      </c>
      <c r="K50" s="12">
        <v>13.75</v>
      </c>
      <c r="L50" s="3">
        <f t="shared" si="1"/>
        <v>433.19999999999993</v>
      </c>
      <c r="M50" s="10">
        <f t="shared" si="2"/>
        <v>5956.4999999999991</v>
      </c>
    </row>
    <row r="51" spans="1:13" x14ac:dyDescent="0.35">
      <c r="A51" s="17">
        <v>46054</v>
      </c>
      <c r="B51" s="16" t="s">
        <v>14</v>
      </c>
      <c r="C51" t="s">
        <v>29</v>
      </c>
      <c r="D51" s="16">
        <v>19562</v>
      </c>
      <c r="E51" s="18">
        <v>24840166006115</v>
      </c>
      <c r="F51" t="s">
        <v>31</v>
      </c>
      <c r="G51" s="19">
        <v>1794</v>
      </c>
      <c r="H51" s="19">
        <v>825</v>
      </c>
      <c r="I51" s="15">
        <f t="shared" si="3"/>
        <v>0.45986622073578598</v>
      </c>
      <c r="J51" s="1">
        <v>0.7</v>
      </c>
      <c r="K51" s="12">
        <v>13.75</v>
      </c>
      <c r="L51" s="3">
        <f t="shared" si="1"/>
        <v>430.79999999999995</v>
      </c>
      <c r="M51" s="10">
        <f t="shared" si="2"/>
        <v>5923.4999999999991</v>
      </c>
    </row>
    <row r="52" spans="1:13" x14ac:dyDescent="0.35">
      <c r="A52" s="17">
        <v>46054</v>
      </c>
      <c r="B52" s="16" t="s">
        <v>14</v>
      </c>
      <c r="C52" t="s">
        <v>29</v>
      </c>
      <c r="D52" s="16">
        <v>19697</v>
      </c>
      <c r="E52" s="18">
        <v>25050439000150</v>
      </c>
      <c r="F52" t="s">
        <v>37</v>
      </c>
      <c r="G52" s="19">
        <v>550</v>
      </c>
      <c r="H52" s="19">
        <v>216</v>
      </c>
      <c r="I52" s="15">
        <f t="shared" si="3"/>
        <v>0.3927272727272727</v>
      </c>
      <c r="J52" s="1">
        <v>0.7</v>
      </c>
      <c r="K52" s="12">
        <v>13.75</v>
      </c>
      <c r="L52" s="3">
        <f t="shared" si="1"/>
        <v>169</v>
      </c>
      <c r="M52" s="10">
        <f t="shared" si="2"/>
        <v>2323.75</v>
      </c>
    </row>
    <row r="53" spans="1:13" x14ac:dyDescent="0.35">
      <c r="A53" s="17">
        <v>46054</v>
      </c>
      <c r="B53" s="16" t="s">
        <v>14</v>
      </c>
      <c r="C53" t="s">
        <v>29</v>
      </c>
      <c r="D53" s="16">
        <v>19704</v>
      </c>
      <c r="E53" s="18">
        <v>24840166005739</v>
      </c>
      <c r="F53" t="s">
        <v>30</v>
      </c>
      <c r="G53" s="19">
        <v>3332</v>
      </c>
      <c r="H53" s="19">
        <v>1664</v>
      </c>
      <c r="I53" s="15">
        <f t="shared" si="3"/>
        <v>0.49939975990396157</v>
      </c>
      <c r="J53" s="1">
        <v>0.7</v>
      </c>
      <c r="K53" s="12">
        <v>13.75</v>
      </c>
      <c r="L53" s="3">
        <f t="shared" si="1"/>
        <v>668.40000000000009</v>
      </c>
      <c r="M53" s="10">
        <f t="shared" si="2"/>
        <v>9190.5000000000018</v>
      </c>
    </row>
    <row r="54" spans="1:13" x14ac:dyDescent="0.35">
      <c r="A54" s="17">
        <v>46054</v>
      </c>
      <c r="B54" s="16" t="s">
        <v>14</v>
      </c>
      <c r="C54" t="s">
        <v>29</v>
      </c>
      <c r="D54" s="16">
        <v>19720</v>
      </c>
      <c r="E54" s="18">
        <v>55056005001361</v>
      </c>
      <c r="F54" t="s">
        <v>36</v>
      </c>
      <c r="G54" s="19">
        <v>1378</v>
      </c>
      <c r="H54" s="19">
        <v>507</v>
      </c>
      <c r="I54" s="15">
        <f t="shared" si="3"/>
        <v>0.36792452830188677</v>
      </c>
      <c r="J54" s="1">
        <v>0.7</v>
      </c>
      <c r="K54" s="12">
        <v>13.75</v>
      </c>
      <c r="L54" s="3">
        <f t="shared" si="1"/>
        <v>457.6</v>
      </c>
      <c r="M54" s="10">
        <f t="shared" si="2"/>
        <v>6292</v>
      </c>
    </row>
    <row r="55" spans="1:13" x14ac:dyDescent="0.35">
      <c r="A55" s="17">
        <v>46054</v>
      </c>
      <c r="B55" s="16" t="s">
        <v>14</v>
      </c>
      <c r="C55" t="s">
        <v>29</v>
      </c>
      <c r="D55" s="16">
        <v>19748</v>
      </c>
      <c r="E55" s="18">
        <v>24840166006387</v>
      </c>
      <c r="F55" t="s">
        <v>32</v>
      </c>
      <c r="G55" s="19">
        <v>1944</v>
      </c>
      <c r="H55" s="19">
        <v>876</v>
      </c>
      <c r="I55" s="15">
        <f t="shared" si="3"/>
        <v>0.45061728395061729</v>
      </c>
      <c r="J55" s="1">
        <v>0.7</v>
      </c>
      <c r="K55" s="12">
        <v>13.75</v>
      </c>
      <c r="L55" s="3">
        <f t="shared" si="1"/>
        <v>484.79999999999973</v>
      </c>
      <c r="M55" s="10">
        <f t="shared" si="2"/>
        <v>6665.9999999999964</v>
      </c>
    </row>
    <row r="56" spans="1:13" x14ac:dyDescent="0.35">
      <c r="A56" s="17">
        <v>46054</v>
      </c>
      <c r="B56" s="16" t="s">
        <v>14</v>
      </c>
      <c r="C56" t="s">
        <v>29</v>
      </c>
      <c r="D56" s="16">
        <v>19759</v>
      </c>
      <c r="E56" s="18">
        <v>58671851000146</v>
      </c>
      <c r="F56" t="s">
        <v>38</v>
      </c>
      <c r="G56" s="19">
        <v>1419</v>
      </c>
      <c r="H56" s="19">
        <v>624</v>
      </c>
      <c r="I56" s="15">
        <f t="shared" si="3"/>
        <v>0.43974630021141647</v>
      </c>
      <c r="J56" s="1">
        <v>0.7</v>
      </c>
      <c r="K56" s="12">
        <v>13.75</v>
      </c>
      <c r="L56" s="3">
        <f t="shared" si="1"/>
        <v>369.29999999999995</v>
      </c>
      <c r="M56" s="10">
        <f t="shared" si="2"/>
        <v>5077.8749999999991</v>
      </c>
    </row>
    <row r="57" spans="1:13" x14ac:dyDescent="0.35">
      <c r="A57" s="17">
        <v>46054</v>
      </c>
      <c r="B57" s="16" t="s">
        <v>14</v>
      </c>
      <c r="C57" t="s">
        <v>29</v>
      </c>
      <c r="D57" s="16">
        <v>19780</v>
      </c>
      <c r="E57" s="18">
        <v>55056005000128</v>
      </c>
      <c r="F57" t="s">
        <v>35</v>
      </c>
      <c r="G57" s="19">
        <v>1324</v>
      </c>
      <c r="H57" s="19">
        <v>777</v>
      </c>
      <c r="I57" s="15">
        <f t="shared" si="3"/>
        <v>0.5868580060422961</v>
      </c>
      <c r="J57" s="1">
        <v>0.7</v>
      </c>
      <c r="K57" s="12">
        <v>13.75</v>
      </c>
      <c r="L57" s="3">
        <f t="shared" si="1"/>
        <v>149.79999999999995</v>
      </c>
      <c r="M57" s="10">
        <f t="shared" si="2"/>
        <v>2059.7499999999995</v>
      </c>
    </row>
    <row r="58" spans="1:13" x14ac:dyDescent="0.35">
      <c r="A58" s="17">
        <v>46054</v>
      </c>
      <c r="B58" s="16" t="s">
        <v>14</v>
      </c>
      <c r="C58" t="s">
        <v>29</v>
      </c>
      <c r="D58" s="16">
        <v>19793</v>
      </c>
      <c r="E58" s="18">
        <v>24840166005658</v>
      </c>
      <c r="F58" t="s">
        <v>39</v>
      </c>
      <c r="G58" s="19">
        <v>1447</v>
      </c>
      <c r="H58" s="19">
        <v>666</v>
      </c>
      <c r="I58" s="15">
        <f t="shared" si="3"/>
        <v>0.46026261230131305</v>
      </c>
      <c r="J58" s="1">
        <v>0.7</v>
      </c>
      <c r="K58" s="12">
        <v>13.75</v>
      </c>
      <c r="L58" s="3">
        <f t="shared" si="1"/>
        <v>346.9</v>
      </c>
      <c r="M58" s="10">
        <f t="shared" si="2"/>
        <v>4769.875</v>
      </c>
    </row>
    <row r="59" spans="1:13" x14ac:dyDescent="0.35">
      <c r="A59" s="17">
        <v>46054</v>
      </c>
      <c r="B59" s="16" t="s">
        <v>14</v>
      </c>
      <c r="C59" t="s">
        <v>324</v>
      </c>
      <c r="D59" s="16">
        <v>19961</v>
      </c>
      <c r="E59" s="18">
        <v>62000582000163</v>
      </c>
      <c r="F59" t="s">
        <v>325</v>
      </c>
      <c r="G59" s="19">
        <v>1375</v>
      </c>
      <c r="H59" s="19">
        <v>554</v>
      </c>
      <c r="I59" s="15">
        <f t="shared" si="3"/>
        <v>0.40290909090909088</v>
      </c>
      <c r="J59" s="1">
        <v>0.7</v>
      </c>
      <c r="K59" s="12">
        <v>13.75</v>
      </c>
      <c r="L59" s="3">
        <f t="shared" ref="L59:L122" si="4">H59*J59/I59-H59</f>
        <v>408.5</v>
      </c>
      <c r="M59" s="10">
        <f t="shared" ref="M59:M122" si="5">L59*K59</f>
        <v>5616.875</v>
      </c>
    </row>
    <row r="60" spans="1:13" x14ac:dyDescent="0.35">
      <c r="A60" s="17">
        <v>46054</v>
      </c>
      <c r="B60" s="16" t="s">
        <v>14</v>
      </c>
      <c r="C60" t="s">
        <v>110</v>
      </c>
      <c r="D60" s="16">
        <v>19951</v>
      </c>
      <c r="E60" s="18">
        <v>51318025000179</v>
      </c>
      <c r="F60" t="s">
        <v>111</v>
      </c>
      <c r="G60" s="19">
        <v>1739</v>
      </c>
      <c r="H60" s="19">
        <v>615</v>
      </c>
      <c r="I60" s="15">
        <f t="shared" si="3"/>
        <v>0.35365152386428983</v>
      </c>
      <c r="J60" s="1">
        <v>0.7</v>
      </c>
      <c r="K60" s="12">
        <v>13.75</v>
      </c>
      <c r="L60" s="3">
        <f t="shared" si="4"/>
        <v>602.29999999999995</v>
      </c>
      <c r="M60" s="10">
        <f t="shared" si="5"/>
        <v>8281.625</v>
      </c>
    </row>
    <row r="61" spans="1:13" x14ac:dyDescent="0.35">
      <c r="A61" s="17">
        <v>46054</v>
      </c>
      <c r="B61" s="16" t="s">
        <v>14</v>
      </c>
      <c r="C61" t="s">
        <v>112</v>
      </c>
      <c r="D61" s="16">
        <v>19943</v>
      </c>
      <c r="E61" s="18">
        <v>49292826000160</v>
      </c>
      <c r="F61" t="s">
        <v>113</v>
      </c>
      <c r="G61" s="19">
        <v>828</v>
      </c>
      <c r="H61" s="19">
        <v>369</v>
      </c>
      <c r="I61" s="15">
        <f t="shared" si="3"/>
        <v>0.44565217391304346</v>
      </c>
      <c r="J61" s="1">
        <v>0.7</v>
      </c>
      <c r="K61" s="12">
        <v>13.75</v>
      </c>
      <c r="L61" s="3">
        <f t="shared" si="4"/>
        <v>210.60000000000002</v>
      </c>
      <c r="M61" s="10">
        <f t="shared" si="5"/>
        <v>2895.7500000000005</v>
      </c>
    </row>
    <row r="62" spans="1:13" x14ac:dyDescent="0.35">
      <c r="A62" s="17">
        <v>46054</v>
      </c>
      <c r="B62" s="16" t="s">
        <v>14</v>
      </c>
      <c r="C62" t="s">
        <v>315</v>
      </c>
      <c r="D62" s="16">
        <v>19615</v>
      </c>
      <c r="E62" s="18">
        <v>52247102000290</v>
      </c>
      <c r="F62" t="s">
        <v>115</v>
      </c>
      <c r="G62" s="19">
        <v>2489</v>
      </c>
      <c r="H62" s="19">
        <v>974</v>
      </c>
      <c r="I62" s="15">
        <f t="shared" si="3"/>
        <v>0.39132181599035759</v>
      </c>
      <c r="J62" s="1">
        <v>0.7</v>
      </c>
      <c r="K62" s="12">
        <v>13.75</v>
      </c>
      <c r="L62" s="3">
        <f t="shared" si="4"/>
        <v>768.29999999999973</v>
      </c>
      <c r="M62" s="10">
        <f t="shared" si="5"/>
        <v>10564.124999999996</v>
      </c>
    </row>
    <row r="63" spans="1:13" x14ac:dyDescent="0.35">
      <c r="A63" s="17">
        <v>46054</v>
      </c>
      <c r="B63" s="16" t="s">
        <v>14</v>
      </c>
      <c r="C63" t="s">
        <v>135</v>
      </c>
      <c r="D63" s="16">
        <v>19796</v>
      </c>
      <c r="E63" s="18">
        <v>42748938000215</v>
      </c>
      <c r="F63" t="s">
        <v>137</v>
      </c>
      <c r="G63" s="19">
        <v>2274</v>
      </c>
      <c r="H63" s="19">
        <v>1181</v>
      </c>
      <c r="I63" s="15">
        <f t="shared" si="3"/>
        <v>0.51934916446789803</v>
      </c>
      <c r="J63" s="1">
        <v>0.7</v>
      </c>
      <c r="K63" s="12">
        <v>13.75</v>
      </c>
      <c r="L63" s="3">
        <f t="shared" si="4"/>
        <v>410.79999999999973</v>
      </c>
      <c r="M63" s="10">
        <f t="shared" si="5"/>
        <v>5648.4999999999964</v>
      </c>
    </row>
    <row r="64" spans="1:13" x14ac:dyDescent="0.35">
      <c r="A64" s="17">
        <v>46054</v>
      </c>
      <c r="B64" s="16" t="s">
        <v>14</v>
      </c>
      <c r="C64" t="s">
        <v>135</v>
      </c>
      <c r="D64" s="16">
        <v>19899</v>
      </c>
      <c r="E64" s="18">
        <v>42748938000134</v>
      </c>
      <c r="F64" t="s">
        <v>136</v>
      </c>
      <c r="G64" s="19">
        <v>1171</v>
      </c>
      <c r="H64" s="19">
        <v>523</v>
      </c>
      <c r="I64" s="15">
        <f t="shared" si="3"/>
        <v>0.44662681468830062</v>
      </c>
      <c r="J64" s="1">
        <v>0.7</v>
      </c>
      <c r="K64" s="12">
        <v>13.75</v>
      </c>
      <c r="L64" s="3">
        <f t="shared" si="4"/>
        <v>296.69999999999993</v>
      </c>
      <c r="M64" s="10">
        <f t="shared" si="5"/>
        <v>4079.6249999999991</v>
      </c>
    </row>
    <row r="65" spans="1:13" x14ac:dyDescent="0.35">
      <c r="A65" s="17">
        <v>46054</v>
      </c>
      <c r="B65" s="16" t="s">
        <v>14</v>
      </c>
      <c r="C65" t="s">
        <v>271</v>
      </c>
      <c r="D65" s="16">
        <v>19937</v>
      </c>
      <c r="E65" s="18">
        <v>46670594000149</v>
      </c>
      <c r="F65" t="s">
        <v>272</v>
      </c>
      <c r="G65" s="19">
        <v>268</v>
      </c>
      <c r="H65" s="19">
        <v>125</v>
      </c>
      <c r="I65" s="15">
        <f t="shared" si="3"/>
        <v>0.46641791044776121</v>
      </c>
      <c r="J65" s="1">
        <v>0.7</v>
      </c>
      <c r="K65" s="12">
        <v>13.75</v>
      </c>
      <c r="L65" s="3">
        <f t="shared" si="4"/>
        <v>62.599999999999994</v>
      </c>
      <c r="M65" s="10">
        <f t="shared" si="5"/>
        <v>860.74999999999989</v>
      </c>
    </row>
    <row r="66" spans="1:13" x14ac:dyDescent="0.35">
      <c r="A66" s="17">
        <v>46054</v>
      </c>
      <c r="B66" s="16" t="s">
        <v>14</v>
      </c>
      <c r="C66" t="s">
        <v>281</v>
      </c>
      <c r="D66" s="16">
        <v>19912</v>
      </c>
      <c r="E66" s="18">
        <v>60794397000162</v>
      </c>
      <c r="F66" t="s">
        <v>282</v>
      </c>
      <c r="G66" s="19">
        <v>1329</v>
      </c>
      <c r="H66" s="19">
        <v>645</v>
      </c>
      <c r="I66" s="15">
        <f t="shared" si="3"/>
        <v>0.48532731376975169</v>
      </c>
      <c r="J66" s="1">
        <v>0.7</v>
      </c>
      <c r="K66" s="12">
        <v>13.75</v>
      </c>
      <c r="L66" s="3">
        <f t="shared" si="4"/>
        <v>285.29999999999984</v>
      </c>
      <c r="M66" s="10">
        <f t="shared" si="5"/>
        <v>3922.8749999999977</v>
      </c>
    </row>
    <row r="67" spans="1:13" x14ac:dyDescent="0.35">
      <c r="A67" s="17">
        <v>46054</v>
      </c>
      <c r="B67" s="16" t="s">
        <v>14</v>
      </c>
      <c r="C67" t="s">
        <v>283</v>
      </c>
      <c r="D67" s="16">
        <v>19563</v>
      </c>
      <c r="E67" s="18">
        <v>13012013000122</v>
      </c>
      <c r="F67" t="s">
        <v>284</v>
      </c>
      <c r="G67" s="19">
        <v>2679</v>
      </c>
      <c r="H67" s="19">
        <v>869</v>
      </c>
      <c r="I67" s="15">
        <f t="shared" si="3"/>
        <v>0.32437476670399401</v>
      </c>
      <c r="J67" s="1">
        <v>0.7</v>
      </c>
      <c r="K67" s="12">
        <v>13.75</v>
      </c>
      <c r="L67" s="3">
        <f t="shared" si="4"/>
        <v>1006.3</v>
      </c>
      <c r="M67" s="10">
        <f t="shared" si="5"/>
        <v>13836.625</v>
      </c>
    </row>
    <row r="68" spans="1:13" x14ac:dyDescent="0.35">
      <c r="A68" s="17">
        <v>46054</v>
      </c>
      <c r="B68" s="16" t="s">
        <v>14</v>
      </c>
      <c r="C68" t="s">
        <v>283</v>
      </c>
      <c r="D68" s="16">
        <v>19698</v>
      </c>
      <c r="E68" s="18">
        <v>24897078000119</v>
      </c>
      <c r="F68" t="s">
        <v>328</v>
      </c>
      <c r="G68" s="19">
        <v>1887</v>
      </c>
      <c r="H68" s="19">
        <v>689</v>
      </c>
      <c r="I68" s="15">
        <f t="shared" si="3"/>
        <v>0.36512983571807101</v>
      </c>
      <c r="J68" s="1">
        <v>0.7</v>
      </c>
      <c r="K68" s="12">
        <v>13.75</v>
      </c>
      <c r="L68" s="3">
        <f t="shared" si="4"/>
        <v>631.89999999999986</v>
      </c>
      <c r="M68" s="10">
        <f t="shared" si="5"/>
        <v>8688.6249999999982</v>
      </c>
    </row>
    <row r="69" spans="1:13" x14ac:dyDescent="0.35">
      <c r="A69" s="17">
        <v>46054</v>
      </c>
      <c r="B69" s="16" t="s">
        <v>14</v>
      </c>
      <c r="C69" t="s">
        <v>285</v>
      </c>
      <c r="D69" s="16">
        <v>19905</v>
      </c>
      <c r="E69" s="18">
        <v>42352151000159</v>
      </c>
      <c r="F69" t="s">
        <v>286</v>
      </c>
      <c r="G69" s="19">
        <v>965</v>
      </c>
      <c r="H69" s="19">
        <v>453</v>
      </c>
      <c r="I69" s="15">
        <f t="shared" si="3"/>
        <v>0.46943005181347153</v>
      </c>
      <c r="J69" s="1">
        <v>0.7</v>
      </c>
      <c r="K69" s="12">
        <v>13.75</v>
      </c>
      <c r="L69" s="3">
        <f t="shared" si="4"/>
        <v>222.49999999999989</v>
      </c>
      <c r="M69" s="10">
        <f t="shared" si="5"/>
        <v>3059.3749999999986</v>
      </c>
    </row>
    <row r="70" spans="1:13" x14ac:dyDescent="0.35">
      <c r="A70" s="17">
        <v>46054</v>
      </c>
      <c r="B70" s="16" t="s">
        <v>66</v>
      </c>
      <c r="C70" t="s">
        <v>67</v>
      </c>
      <c r="D70" s="16">
        <v>19602</v>
      </c>
      <c r="E70" s="18">
        <v>53715406000117</v>
      </c>
      <c r="F70" t="s">
        <v>68</v>
      </c>
      <c r="G70" s="19">
        <v>220</v>
      </c>
      <c r="H70" s="19">
        <v>36</v>
      </c>
      <c r="I70" s="15">
        <f t="shared" si="3"/>
        <v>0.16363636363636364</v>
      </c>
      <c r="J70" s="1">
        <v>0.7</v>
      </c>
      <c r="K70" s="12">
        <v>13.75</v>
      </c>
      <c r="L70" s="3">
        <f t="shared" si="4"/>
        <v>118</v>
      </c>
      <c r="M70" s="10">
        <f t="shared" si="5"/>
        <v>1622.5</v>
      </c>
    </row>
    <row r="71" spans="1:13" x14ac:dyDescent="0.35">
      <c r="A71" s="17">
        <v>46054</v>
      </c>
      <c r="B71" s="16" t="s">
        <v>76</v>
      </c>
      <c r="C71" t="s">
        <v>77</v>
      </c>
      <c r="D71" s="16">
        <v>19730</v>
      </c>
      <c r="E71" s="18">
        <v>24454462000147</v>
      </c>
      <c r="F71" t="s">
        <v>78</v>
      </c>
      <c r="G71" s="19">
        <v>2487</v>
      </c>
      <c r="H71" s="19">
        <v>1129</v>
      </c>
      <c r="I71" s="15">
        <f t="shared" si="3"/>
        <v>0.45396059509449138</v>
      </c>
      <c r="J71" s="1">
        <v>0.7</v>
      </c>
      <c r="K71" s="12">
        <v>13.75</v>
      </c>
      <c r="L71" s="3">
        <f t="shared" si="4"/>
        <v>611.89999999999986</v>
      </c>
      <c r="M71" s="10">
        <f t="shared" si="5"/>
        <v>8413.6249999999982</v>
      </c>
    </row>
    <row r="72" spans="1:13" x14ac:dyDescent="0.35">
      <c r="A72" s="17">
        <v>46054</v>
      </c>
      <c r="B72" s="16" t="s">
        <v>76</v>
      </c>
      <c r="C72" t="s">
        <v>77</v>
      </c>
      <c r="D72" s="16">
        <v>19794</v>
      </c>
      <c r="E72" s="18">
        <v>24454462000228</v>
      </c>
      <c r="F72" t="s">
        <v>79</v>
      </c>
      <c r="G72" s="19">
        <v>2307</v>
      </c>
      <c r="H72" s="19">
        <v>931</v>
      </c>
      <c r="I72" s="15">
        <f t="shared" si="3"/>
        <v>0.40355439965322931</v>
      </c>
      <c r="J72" s="1">
        <v>0.7</v>
      </c>
      <c r="K72" s="12">
        <v>13.75</v>
      </c>
      <c r="L72" s="3">
        <f t="shared" si="4"/>
        <v>683.89999999999986</v>
      </c>
      <c r="M72" s="10">
        <f t="shared" si="5"/>
        <v>9403.6249999999982</v>
      </c>
    </row>
    <row r="73" spans="1:13" x14ac:dyDescent="0.35">
      <c r="A73" s="17">
        <v>46054</v>
      </c>
      <c r="B73" s="16" t="s">
        <v>76</v>
      </c>
      <c r="C73" t="s">
        <v>275</v>
      </c>
      <c r="D73" s="16">
        <v>19896</v>
      </c>
      <c r="E73" s="18">
        <v>41911650000176</v>
      </c>
      <c r="F73" t="s">
        <v>276</v>
      </c>
      <c r="G73" s="19">
        <v>1184</v>
      </c>
      <c r="H73" s="19">
        <v>510</v>
      </c>
      <c r="I73" s="15">
        <f t="shared" si="3"/>
        <v>0.43074324324324326</v>
      </c>
      <c r="J73" s="1">
        <v>0.7</v>
      </c>
      <c r="K73" s="12">
        <v>13.75</v>
      </c>
      <c r="L73" s="3">
        <f t="shared" si="4"/>
        <v>318.79999999999995</v>
      </c>
      <c r="M73" s="10">
        <f t="shared" si="5"/>
        <v>4383.4999999999991</v>
      </c>
    </row>
    <row r="74" spans="1:13" x14ac:dyDescent="0.35">
      <c r="A74" s="17">
        <v>46054</v>
      </c>
      <c r="B74" s="16" t="s">
        <v>76</v>
      </c>
      <c r="C74" t="s">
        <v>322</v>
      </c>
      <c r="D74" s="16">
        <v>19958</v>
      </c>
      <c r="E74" s="18">
        <v>60219392000106</v>
      </c>
      <c r="F74" t="s">
        <v>308</v>
      </c>
      <c r="G74" s="19">
        <v>1490</v>
      </c>
      <c r="H74" s="19">
        <v>800</v>
      </c>
      <c r="I74" s="15">
        <f t="shared" si="3"/>
        <v>0.53691275167785235</v>
      </c>
      <c r="J74" s="1">
        <v>0.7</v>
      </c>
      <c r="K74" s="12">
        <v>13.75</v>
      </c>
      <c r="L74" s="3">
        <f t="shared" si="4"/>
        <v>243</v>
      </c>
      <c r="M74" s="10">
        <f t="shared" si="5"/>
        <v>3341.25</v>
      </c>
    </row>
    <row r="75" spans="1:13" x14ac:dyDescent="0.35">
      <c r="A75" s="17">
        <v>46054</v>
      </c>
      <c r="B75" s="16" t="s">
        <v>6</v>
      </c>
      <c r="C75" t="s">
        <v>26</v>
      </c>
      <c r="D75" s="16">
        <v>19597</v>
      </c>
      <c r="E75" s="18">
        <v>13466829000126</v>
      </c>
      <c r="F75" t="s">
        <v>27</v>
      </c>
      <c r="G75" s="19">
        <v>2927</v>
      </c>
      <c r="H75" s="19">
        <v>1542</v>
      </c>
      <c r="I75" s="15">
        <f t="shared" si="3"/>
        <v>0.52681926887598218</v>
      </c>
      <c r="J75" s="1">
        <v>0.7</v>
      </c>
      <c r="K75" s="12">
        <v>13.75</v>
      </c>
      <c r="L75" s="3">
        <f t="shared" si="4"/>
        <v>506.90000000000009</v>
      </c>
      <c r="M75" s="10">
        <f t="shared" si="5"/>
        <v>6969.8750000000009</v>
      </c>
    </row>
    <row r="76" spans="1:13" x14ac:dyDescent="0.35">
      <c r="A76" s="17">
        <v>46054</v>
      </c>
      <c r="B76" s="16" t="s">
        <v>6</v>
      </c>
      <c r="C76" t="s">
        <v>26</v>
      </c>
      <c r="D76" s="16">
        <v>19622</v>
      </c>
      <c r="E76" s="18">
        <v>19691128000177</v>
      </c>
      <c r="F76" t="s">
        <v>28</v>
      </c>
      <c r="G76" s="19">
        <v>1924</v>
      </c>
      <c r="H76" s="19">
        <v>1003</v>
      </c>
      <c r="I76" s="15">
        <f t="shared" si="3"/>
        <v>0.5213097713097713</v>
      </c>
      <c r="J76" s="1">
        <v>0.7</v>
      </c>
      <c r="K76" s="12">
        <v>13.75</v>
      </c>
      <c r="L76" s="3">
        <f t="shared" si="4"/>
        <v>343.79999999999995</v>
      </c>
      <c r="M76" s="10">
        <f t="shared" si="5"/>
        <v>4727.2499999999991</v>
      </c>
    </row>
    <row r="77" spans="1:13" x14ac:dyDescent="0.35">
      <c r="A77" s="17">
        <v>46054</v>
      </c>
      <c r="B77" s="16" t="s">
        <v>6</v>
      </c>
      <c r="C77" t="s">
        <v>26</v>
      </c>
      <c r="D77" s="16">
        <v>19959</v>
      </c>
      <c r="E77" s="18">
        <v>60914670000145</v>
      </c>
      <c r="F77" t="s">
        <v>326</v>
      </c>
      <c r="G77" s="19">
        <v>669</v>
      </c>
      <c r="H77" s="19">
        <v>392</v>
      </c>
      <c r="I77" s="15">
        <f t="shared" si="3"/>
        <v>0.58594917787742895</v>
      </c>
      <c r="J77" s="1">
        <v>0.7</v>
      </c>
      <c r="K77" s="12">
        <v>13.75</v>
      </c>
      <c r="L77" s="3">
        <f t="shared" si="4"/>
        <v>76.300000000000011</v>
      </c>
      <c r="M77" s="10">
        <f t="shared" si="5"/>
        <v>1049.1250000000002</v>
      </c>
    </row>
    <row r="78" spans="1:13" x14ac:dyDescent="0.35">
      <c r="A78" s="17">
        <v>46054</v>
      </c>
      <c r="B78" s="16" t="s">
        <v>6</v>
      </c>
      <c r="C78" t="s">
        <v>156</v>
      </c>
      <c r="D78" s="16">
        <v>19914</v>
      </c>
      <c r="E78" s="18">
        <v>43315062000103</v>
      </c>
      <c r="F78" t="s">
        <v>157</v>
      </c>
      <c r="G78" s="19">
        <v>2267</v>
      </c>
      <c r="H78" s="19">
        <v>1341</v>
      </c>
      <c r="I78" s="15">
        <f t="shared" si="3"/>
        <v>0.59153065725628584</v>
      </c>
      <c r="J78" s="1">
        <v>0.7</v>
      </c>
      <c r="K78" s="12">
        <v>13.75</v>
      </c>
      <c r="L78" s="3">
        <f t="shared" si="4"/>
        <v>245.89999999999986</v>
      </c>
      <c r="M78" s="10">
        <f t="shared" si="5"/>
        <v>3381.1249999999982</v>
      </c>
    </row>
    <row r="79" spans="1:13" x14ac:dyDescent="0.35">
      <c r="A79" s="17">
        <v>46054</v>
      </c>
      <c r="B79" s="16" t="s">
        <v>6</v>
      </c>
      <c r="C79" t="s">
        <v>234</v>
      </c>
      <c r="D79" s="16">
        <v>19606</v>
      </c>
      <c r="E79" s="18">
        <v>58023296000146</v>
      </c>
      <c r="F79" t="s">
        <v>235</v>
      </c>
      <c r="G79" s="19">
        <v>1771</v>
      </c>
      <c r="H79" s="19">
        <v>897</v>
      </c>
      <c r="I79" s="15">
        <f t="shared" si="3"/>
        <v>0.50649350649350644</v>
      </c>
      <c r="J79" s="1">
        <v>0.7</v>
      </c>
      <c r="K79" s="12">
        <v>13.75</v>
      </c>
      <c r="L79" s="3">
        <f t="shared" si="4"/>
        <v>342.70000000000005</v>
      </c>
      <c r="M79" s="10">
        <f t="shared" si="5"/>
        <v>4712.1250000000009</v>
      </c>
    </row>
    <row r="80" spans="1:13" x14ac:dyDescent="0.35">
      <c r="A80" s="17">
        <v>46054</v>
      </c>
      <c r="B80" s="16" t="s">
        <v>61</v>
      </c>
      <c r="C80" t="s">
        <v>327</v>
      </c>
      <c r="D80" s="16">
        <v>19706</v>
      </c>
      <c r="E80" s="18">
        <v>59449391000179</v>
      </c>
      <c r="F80" t="s">
        <v>75</v>
      </c>
      <c r="G80" s="19">
        <v>2282</v>
      </c>
      <c r="H80" s="19">
        <v>1086</v>
      </c>
      <c r="I80" s="15">
        <f t="shared" si="3"/>
        <v>0.47589833479404031</v>
      </c>
      <c r="J80" s="1">
        <v>0.7</v>
      </c>
      <c r="K80" s="12">
        <v>13.75</v>
      </c>
      <c r="L80" s="3">
        <f t="shared" si="4"/>
        <v>511.39999999999986</v>
      </c>
      <c r="M80" s="10">
        <f t="shared" si="5"/>
        <v>7031.7499999999982</v>
      </c>
    </row>
    <row r="81" spans="1:13" x14ac:dyDescent="0.35">
      <c r="A81" s="17">
        <v>46054</v>
      </c>
      <c r="B81" s="16" t="s">
        <v>72</v>
      </c>
      <c r="C81" t="s">
        <v>73</v>
      </c>
      <c r="D81" s="16">
        <v>19798</v>
      </c>
      <c r="E81" s="18">
        <v>50724770000155</v>
      </c>
      <c r="F81" t="s">
        <v>74</v>
      </c>
      <c r="G81" s="19">
        <v>2735</v>
      </c>
      <c r="H81" s="19">
        <v>1309</v>
      </c>
      <c r="I81" s="15">
        <f t="shared" si="3"/>
        <v>0.4786106032906764</v>
      </c>
      <c r="J81" s="1">
        <v>0.7</v>
      </c>
      <c r="K81" s="12">
        <v>13.75</v>
      </c>
      <c r="L81" s="3">
        <f t="shared" si="4"/>
        <v>605.5</v>
      </c>
      <c r="M81" s="10">
        <f t="shared" si="5"/>
        <v>8325.625</v>
      </c>
    </row>
    <row r="82" spans="1:13" x14ac:dyDescent="0.35">
      <c r="A82" s="17">
        <v>46054</v>
      </c>
      <c r="B82" s="16" t="s">
        <v>72</v>
      </c>
      <c r="C82" t="s">
        <v>95</v>
      </c>
      <c r="D82" s="16">
        <v>19911</v>
      </c>
      <c r="E82" s="18">
        <v>43675465000155</v>
      </c>
      <c r="F82" t="s">
        <v>96</v>
      </c>
      <c r="G82" s="19">
        <v>1628</v>
      </c>
      <c r="H82" s="19">
        <v>993</v>
      </c>
      <c r="I82" s="15">
        <f t="shared" si="3"/>
        <v>0.60995085995085996</v>
      </c>
      <c r="J82" s="1">
        <v>0.7</v>
      </c>
      <c r="K82" s="12">
        <v>13.75</v>
      </c>
      <c r="L82" s="3">
        <f t="shared" si="4"/>
        <v>146.59999999999991</v>
      </c>
      <c r="M82" s="10">
        <f t="shared" si="5"/>
        <v>2015.7499999999986</v>
      </c>
    </row>
    <row r="83" spans="1:13" x14ac:dyDescent="0.35">
      <c r="A83" s="17">
        <v>46054</v>
      </c>
      <c r="B83" s="16" t="s">
        <v>72</v>
      </c>
      <c r="C83" t="s">
        <v>314</v>
      </c>
      <c r="D83" s="16">
        <v>19624</v>
      </c>
      <c r="E83" s="18">
        <v>20743683000699</v>
      </c>
      <c r="F83" t="s">
        <v>114</v>
      </c>
      <c r="G83" s="19">
        <v>1548</v>
      </c>
      <c r="H83" s="19">
        <v>588</v>
      </c>
      <c r="I83" s="15">
        <f t="shared" si="3"/>
        <v>0.37984496124031009</v>
      </c>
      <c r="J83" s="1">
        <v>0.7</v>
      </c>
      <c r="K83" s="12">
        <v>13.75</v>
      </c>
      <c r="L83" s="3">
        <f t="shared" si="4"/>
        <v>495.59999999999991</v>
      </c>
      <c r="M83" s="10">
        <f t="shared" si="5"/>
        <v>6814.4999999999991</v>
      </c>
    </row>
    <row r="84" spans="1:13" x14ac:dyDescent="0.35">
      <c r="A84" s="17">
        <v>46054</v>
      </c>
      <c r="B84" s="16" t="s">
        <v>72</v>
      </c>
      <c r="C84" t="s">
        <v>167</v>
      </c>
      <c r="D84" s="16">
        <v>19897</v>
      </c>
      <c r="E84" s="18">
        <v>19206298000208</v>
      </c>
      <c r="F84" t="s">
        <v>168</v>
      </c>
      <c r="G84" s="19">
        <v>1693</v>
      </c>
      <c r="H84" s="19">
        <v>779</v>
      </c>
      <c r="I84" s="15">
        <f t="shared" si="3"/>
        <v>0.46012994683992914</v>
      </c>
      <c r="J84" s="1">
        <v>0.7</v>
      </c>
      <c r="K84" s="12">
        <v>13.75</v>
      </c>
      <c r="L84" s="3">
        <f t="shared" si="4"/>
        <v>406.09999999999991</v>
      </c>
      <c r="M84" s="10">
        <f t="shared" si="5"/>
        <v>5583.8749999999991</v>
      </c>
    </row>
    <row r="85" spans="1:13" x14ac:dyDescent="0.35">
      <c r="A85" s="17">
        <v>46054</v>
      </c>
      <c r="B85" s="16" t="s">
        <v>72</v>
      </c>
      <c r="C85" t="s">
        <v>184</v>
      </c>
      <c r="D85" s="16">
        <v>19565</v>
      </c>
      <c r="E85" s="18">
        <v>20743683000427</v>
      </c>
      <c r="F85" t="s">
        <v>187</v>
      </c>
      <c r="G85" s="19">
        <v>2528</v>
      </c>
      <c r="H85" s="19">
        <v>910</v>
      </c>
      <c r="I85" s="15">
        <f t="shared" si="3"/>
        <v>0.35996835443037972</v>
      </c>
      <c r="J85" s="1">
        <v>0.7</v>
      </c>
      <c r="K85" s="12">
        <v>13.75</v>
      </c>
      <c r="L85" s="3">
        <f t="shared" si="4"/>
        <v>859.60000000000014</v>
      </c>
      <c r="M85" s="10">
        <f t="shared" si="5"/>
        <v>11819.500000000002</v>
      </c>
    </row>
    <row r="86" spans="1:13" x14ac:dyDescent="0.35">
      <c r="A86" s="17">
        <v>46054</v>
      </c>
      <c r="B86" s="16" t="s">
        <v>72</v>
      </c>
      <c r="C86" t="s">
        <v>184</v>
      </c>
      <c r="D86" s="16">
        <v>19601</v>
      </c>
      <c r="E86" s="18">
        <v>20743683000346</v>
      </c>
      <c r="F86" t="s">
        <v>186</v>
      </c>
      <c r="G86" s="19">
        <v>2354</v>
      </c>
      <c r="H86" s="19">
        <v>979</v>
      </c>
      <c r="I86" s="15">
        <f t="shared" si="3"/>
        <v>0.41588785046728971</v>
      </c>
      <c r="J86" s="1">
        <v>0.7</v>
      </c>
      <c r="K86" s="12">
        <v>13.75</v>
      </c>
      <c r="L86" s="3">
        <f t="shared" si="4"/>
        <v>668.8</v>
      </c>
      <c r="M86" s="10">
        <f t="shared" si="5"/>
        <v>9196</v>
      </c>
    </row>
    <row r="87" spans="1:13" x14ac:dyDescent="0.35">
      <c r="A87" s="17">
        <v>46054</v>
      </c>
      <c r="B87" s="16" t="s">
        <v>72</v>
      </c>
      <c r="C87" t="s">
        <v>184</v>
      </c>
      <c r="D87" s="16">
        <v>19649</v>
      </c>
      <c r="E87" s="18">
        <v>20743683000184</v>
      </c>
      <c r="F87" t="s">
        <v>185</v>
      </c>
      <c r="G87" s="19">
        <v>1662</v>
      </c>
      <c r="H87" s="19">
        <v>718</v>
      </c>
      <c r="I87" s="15">
        <f t="shared" si="3"/>
        <v>0.43200962695547535</v>
      </c>
      <c r="J87" s="1">
        <v>0.7</v>
      </c>
      <c r="K87" s="12">
        <v>13.75</v>
      </c>
      <c r="L87" s="3">
        <f t="shared" si="4"/>
        <v>445.39999999999986</v>
      </c>
      <c r="M87" s="10">
        <f t="shared" si="5"/>
        <v>6124.2499999999982</v>
      </c>
    </row>
    <row r="88" spans="1:13" x14ac:dyDescent="0.35">
      <c r="A88" s="17">
        <v>46054</v>
      </c>
      <c r="B88" s="16" t="s">
        <v>72</v>
      </c>
      <c r="C88" t="s">
        <v>184</v>
      </c>
      <c r="D88" s="16">
        <v>19654</v>
      </c>
      <c r="E88" s="18">
        <v>20743683000508</v>
      </c>
      <c r="F88" t="s">
        <v>188</v>
      </c>
      <c r="G88" s="19">
        <v>1936</v>
      </c>
      <c r="H88" s="19">
        <v>675</v>
      </c>
      <c r="I88" s="15">
        <f t="shared" si="3"/>
        <v>0.34865702479338845</v>
      </c>
      <c r="J88" s="1">
        <v>0.7</v>
      </c>
      <c r="K88" s="12">
        <v>13.75</v>
      </c>
      <c r="L88" s="3">
        <f t="shared" si="4"/>
        <v>680.19999999999982</v>
      </c>
      <c r="M88" s="10">
        <f t="shared" si="5"/>
        <v>9352.7499999999982</v>
      </c>
    </row>
    <row r="89" spans="1:13" x14ac:dyDescent="0.35">
      <c r="A89" s="17">
        <v>46054</v>
      </c>
      <c r="B89" s="16" t="s">
        <v>158</v>
      </c>
      <c r="C89" t="s">
        <v>159</v>
      </c>
      <c r="D89" s="16">
        <v>19954</v>
      </c>
      <c r="E89" s="18">
        <v>51569934000180</v>
      </c>
      <c r="F89" t="s">
        <v>160</v>
      </c>
      <c r="G89" s="19">
        <v>747</v>
      </c>
      <c r="H89" s="19">
        <v>468</v>
      </c>
      <c r="I89" s="15">
        <f t="shared" si="3"/>
        <v>0.62650602409638556</v>
      </c>
      <c r="J89" s="1">
        <v>0.7</v>
      </c>
      <c r="K89" s="12">
        <v>13.75</v>
      </c>
      <c r="L89" s="3">
        <f t="shared" si="4"/>
        <v>54.899999999999977</v>
      </c>
      <c r="M89" s="10">
        <f t="shared" si="5"/>
        <v>754.87499999999966</v>
      </c>
    </row>
    <row r="90" spans="1:13" x14ac:dyDescent="0.35">
      <c r="A90" s="17">
        <v>46054</v>
      </c>
      <c r="B90" s="16" t="s">
        <v>158</v>
      </c>
      <c r="C90" t="s">
        <v>277</v>
      </c>
      <c r="D90" s="16">
        <v>19564</v>
      </c>
      <c r="E90" s="18">
        <v>14382670000124</v>
      </c>
      <c r="F90" t="s">
        <v>278</v>
      </c>
      <c r="G90" s="19">
        <v>1412</v>
      </c>
      <c r="H90" s="19">
        <v>649</v>
      </c>
      <c r="I90" s="15">
        <f t="shared" si="3"/>
        <v>0.45963172804532576</v>
      </c>
      <c r="J90" s="1">
        <v>0.7</v>
      </c>
      <c r="K90" s="12">
        <v>13.75</v>
      </c>
      <c r="L90" s="3">
        <f t="shared" si="4"/>
        <v>339.4</v>
      </c>
      <c r="M90" s="10">
        <f t="shared" si="5"/>
        <v>4666.75</v>
      </c>
    </row>
    <row r="91" spans="1:13" x14ac:dyDescent="0.35">
      <c r="A91" s="17">
        <v>46054</v>
      </c>
      <c r="B91" s="16" t="s">
        <v>80</v>
      </c>
      <c r="C91" t="s">
        <v>81</v>
      </c>
      <c r="D91" s="16">
        <v>19545</v>
      </c>
      <c r="E91" s="18">
        <v>28376673000160</v>
      </c>
      <c r="F91" t="s">
        <v>82</v>
      </c>
      <c r="G91" s="19">
        <v>1416</v>
      </c>
      <c r="H91" s="19">
        <v>561</v>
      </c>
      <c r="I91" s="15">
        <f t="shared" si="3"/>
        <v>0.3961864406779661</v>
      </c>
      <c r="J91" s="1">
        <v>0.7</v>
      </c>
      <c r="K91" s="12">
        <v>13.75</v>
      </c>
      <c r="L91" s="3">
        <f t="shared" si="4"/>
        <v>430.19999999999993</v>
      </c>
      <c r="M91" s="10">
        <f t="shared" si="5"/>
        <v>5915.2499999999991</v>
      </c>
    </row>
    <row r="92" spans="1:13" x14ac:dyDescent="0.35">
      <c r="A92" s="17">
        <v>46054</v>
      </c>
      <c r="B92" s="16" t="s">
        <v>80</v>
      </c>
      <c r="C92" t="s">
        <v>81</v>
      </c>
      <c r="D92" s="16">
        <v>19546</v>
      </c>
      <c r="E92" s="18">
        <v>28376673000321</v>
      </c>
      <c r="F92" t="s">
        <v>83</v>
      </c>
      <c r="G92" s="19">
        <v>1668</v>
      </c>
      <c r="H92" s="19">
        <v>603</v>
      </c>
      <c r="I92" s="15">
        <f t="shared" si="3"/>
        <v>0.36151079136690645</v>
      </c>
      <c r="J92" s="1">
        <v>0.7</v>
      </c>
      <c r="K92" s="12">
        <v>13.75</v>
      </c>
      <c r="L92" s="3">
        <f t="shared" si="4"/>
        <v>564.59999999999991</v>
      </c>
      <c r="M92" s="10">
        <f t="shared" si="5"/>
        <v>7763.2499999999991</v>
      </c>
    </row>
    <row r="93" spans="1:13" x14ac:dyDescent="0.35">
      <c r="A93" s="17">
        <v>46054</v>
      </c>
      <c r="B93" s="16" t="s">
        <v>80</v>
      </c>
      <c r="C93" t="s">
        <v>81</v>
      </c>
      <c r="D93" s="16">
        <v>19547</v>
      </c>
      <c r="E93" s="18">
        <v>62295143000125</v>
      </c>
      <c r="F93" t="s">
        <v>85</v>
      </c>
      <c r="G93" s="19">
        <v>1470</v>
      </c>
      <c r="H93" s="19">
        <v>400</v>
      </c>
      <c r="I93" s="15">
        <f t="shared" si="3"/>
        <v>0.27210884353741499</v>
      </c>
      <c r="J93" s="1">
        <v>0.7</v>
      </c>
      <c r="K93" s="12">
        <v>13.75</v>
      </c>
      <c r="L93" s="3">
        <f t="shared" si="4"/>
        <v>629</v>
      </c>
      <c r="M93" s="10">
        <f t="shared" si="5"/>
        <v>8648.75</v>
      </c>
    </row>
    <row r="94" spans="1:13" x14ac:dyDescent="0.35">
      <c r="A94" s="17">
        <v>46054</v>
      </c>
      <c r="B94" s="16" t="s">
        <v>80</v>
      </c>
      <c r="C94" t="s">
        <v>81</v>
      </c>
      <c r="D94" s="16">
        <v>19936</v>
      </c>
      <c r="E94" s="18">
        <v>62295143000206</v>
      </c>
      <c r="F94" t="s">
        <v>84</v>
      </c>
      <c r="G94" s="19">
        <v>1189</v>
      </c>
      <c r="H94" s="19">
        <v>316</v>
      </c>
      <c r="I94" s="15">
        <f t="shared" si="3"/>
        <v>0.26576955424726662</v>
      </c>
      <c r="J94" s="1">
        <v>0.7</v>
      </c>
      <c r="K94" s="12">
        <v>13.75</v>
      </c>
      <c r="L94" s="3">
        <f t="shared" si="4"/>
        <v>516.29999999999995</v>
      </c>
      <c r="M94" s="10">
        <f t="shared" si="5"/>
        <v>7099.1249999999991</v>
      </c>
    </row>
    <row r="95" spans="1:13" x14ac:dyDescent="0.35">
      <c r="A95" s="17">
        <v>46054</v>
      </c>
      <c r="B95" s="16" t="s">
        <v>80</v>
      </c>
      <c r="C95" t="s">
        <v>313</v>
      </c>
      <c r="D95" s="16">
        <v>19772</v>
      </c>
      <c r="E95" s="18">
        <v>61944627000195</v>
      </c>
      <c r="F95" t="s">
        <v>94</v>
      </c>
      <c r="G95" s="19">
        <v>1158</v>
      </c>
      <c r="H95" s="19">
        <v>704</v>
      </c>
      <c r="I95" s="15">
        <f t="shared" si="3"/>
        <v>0.60794473229706392</v>
      </c>
      <c r="J95" s="1">
        <v>0.7</v>
      </c>
      <c r="K95" s="12">
        <v>13.75</v>
      </c>
      <c r="L95" s="3">
        <f t="shared" si="4"/>
        <v>106.59999999999991</v>
      </c>
      <c r="M95" s="10">
        <f t="shared" si="5"/>
        <v>1465.7499999999986</v>
      </c>
    </row>
    <row r="96" spans="1:13" x14ac:dyDescent="0.35">
      <c r="A96" s="17">
        <v>46054</v>
      </c>
      <c r="B96" s="16" t="s">
        <v>80</v>
      </c>
      <c r="C96" t="s">
        <v>104</v>
      </c>
      <c r="D96" s="16">
        <v>19927</v>
      </c>
      <c r="E96" s="18">
        <v>44994080000113</v>
      </c>
      <c r="F96" t="s">
        <v>105</v>
      </c>
      <c r="G96" s="19">
        <v>651</v>
      </c>
      <c r="H96" s="19">
        <v>227</v>
      </c>
      <c r="I96" s="15">
        <f t="shared" si="3"/>
        <v>0.34869431643625193</v>
      </c>
      <c r="J96" s="1">
        <v>0.7</v>
      </c>
      <c r="K96" s="12">
        <v>13.75</v>
      </c>
      <c r="L96" s="3">
        <f t="shared" si="4"/>
        <v>228.69999999999993</v>
      </c>
      <c r="M96" s="10">
        <f t="shared" si="5"/>
        <v>3144.6249999999991</v>
      </c>
    </row>
    <row r="97" spans="1:13" x14ac:dyDescent="0.35">
      <c r="A97" s="17">
        <v>46054</v>
      </c>
      <c r="B97" s="16" t="s">
        <v>80</v>
      </c>
      <c r="C97" t="s">
        <v>117</v>
      </c>
      <c r="D97" s="16">
        <v>19661</v>
      </c>
      <c r="E97" s="18">
        <v>21802064000186</v>
      </c>
      <c r="F97" t="s">
        <v>118</v>
      </c>
      <c r="G97" s="19">
        <v>2221</v>
      </c>
      <c r="H97" s="19">
        <v>754</v>
      </c>
      <c r="I97" s="15">
        <f t="shared" si="3"/>
        <v>0.3394867176947321</v>
      </c>
      <c r="J97" s="1">
        <v>0.7</v>
      </c>
      <c r="K97" s="12">
        <v>13.75</v>
      </c>
      <c r="L97" s="3">
        <f t="shared" si="4"/>
        <v>800.69999999999982</v>
      </c>
      <c r="M97" s="10">
        <f t="shared" si="5"/>
        <v>11009.624999999998</v>
      </c>
    </row>
    <row r="98" spans="1:13" x14ac:dyDescent="0.35">
      <c r="A98" s="17">
        <v>46054</v>
      </c>
      <c r="B98" s="16" t="s">
        <v>80</v>
      </c>
      <c r="C98" t="s">
        <v>133</v>
      </c>
      <c r="D98" s="16">
        <v>19749</v>
      </c>
      <c r="E98" s="18">
        <v>28249012000173</v>
      </c>
      <c r="F98" t="s">
        <v>134</v>
      </c>
      <c r="G98" s="19">
        <v>1184</v>
      </c>
      <c r="H98" s="19">
        <v>411</v>
      </c>
      <c r="I98" s="15">
        <f t="shared" si="3"/>
        <v>0.3471283783783784</v>
      </c>
      <c r="J98" s="1">
        <v>0.7</v>
      </c>
      <c r="K98" s="12">
        <v>13.75</v>
      </c>
      <c r="L98" s="3">
        <f t="shared" si="4"/>
        <v>417.79999999999995</v>
      </c>
      <c r="M98" s="10">
        <f t="shared" si="5"/>
        <v>5744.7499999999991</v>
      </c>
    </row>
    <row r="99" spans="1:13" x14ac:dyDescent="0.35">
      <c r="A99" s="17">
        <v>46054</v>
      </c>
      <c r="B99" s="16" t="s">
        <v>80</v>
      </c>
      <c r="C99" t="s">
        <v>171</v>
      </c>
      <c r="D99" s="16">
        <v>19926</v>
      </c>
      <c r="E99" s="18">
        <v>44051871000100</v>
      </c>
      <c r="F99" t="s">
        <v>172</v>
      </c>
      <c r="G99" s="19">
        <v>969</v>
      </c>
      <c r="H99" s="19">
        <v>467</v>
      </c>
      <c r="I99" s="15">
        <f t="shared" si="3"/>
        <v>0.48194014447884415</v>
      </c>
      <c r="J99" s="1">
        <v>0.7</v>
      </c>
      <c r="K99" s="12">
        <v>13.75</v>
      </c>
      <c r="L99" s="3">
        <f t="shared" si="4"/>
        <v>211.29999999999995</v>
      </c>
      <c r="M99" s="10">
        <f t="shared" si="5"/>
        <v>2905.3749999999995</v>
      </c>
    </row>
    <row r="100" spans="1:13" x14ac:dyDescent="0.35">
      <c r="A100" s="17">
        <v>46054</v>
      </c>
      <c r="B100" s="16" t="s">
        <v>15</v>
      </c>
      <c r="C100" t="s">
        <v>309</v>
      </c>
      <c r="D100" s="16">
        <v>19908</v>
      </c>
      <c r="E100" s="18">
        <v>57162882000109</v>
      </c>
      <c r="F100" t="s">
        <v>16</v>
      </c>
      <c r="G100" s="19">
        <v>1981</v>
      </c>
      <c r="H100" s="19">
        <v>1064</v>
      </c>
      <c r="I100" s="15">
        <f t="shared" si="3"/>
        <v>0.53710247349823326</v>
      </c>
      <c r="J100" s="1">
        <v>0.7</v>
      </c>
      <c r="K100" s="12">
        <v>13.75</v>
      </c>
      <c r="L100" s="3">
        <f t="shared" si="4"/>
        <v>322.69999999999982</v>
      </c>
      <c r="M100" s="10">
        <f t="shared" si="5"/>
        <v>4437.1249999999973</v>
      </c>
    </row>
    <row r="101" spans="1:13" x14ac:dyDescent="0.35">
      <c r="A101" s="17">
        <v>46054</v>
      </c>
      <c r="B101" s="16" t="s">
        <v>15</v>
      </c>
      <c r="C101" t="s">
        <v>19</v>
      </c>
      <c r="D101" s="16">
        <v>19694</v>
      </c>
      <c r="E101" s="18">
        <v>50899851000196</v>
      </c>
      <c r="F101" t="s">
        <v>20</v>
      </c>
      <c r="G101" s="19">
        <v>1666</v>
      </c>
      <c r="H101" s="19">
        <v>823</v>
      </c>
      <c r="I101" s="15">
        <f t="shared" si="3"/>
        <v>0.49399759903961582</v>
      </c>
      <c r="J101" s="1">
        <v>0.7</v>
      </c>
      <c r="K101" s="12">
        <v>13.75</v>
      </c>
      <c r="L101" s="3">
        <f t="shared" si="4"/>
        <v>343.19999999999982</v>
      </c>
      <c r="M101" s="10">
        <f t="shared" si="5"/>
        <v>4718.9999999999973</v>
      </c>
    </row>
    <row r="102" spans="1:13" x14ac:dyDescent="0.35">
      <c r="A102" s="17">
        <v>46054</v>
      </c>
      <c r="B102" s="16" t="s">
        <v>15</v>
      </c>
      <c r="C102" t="s">
        <v>57</v>
      </c>
      <c r="D102" s="16">
        <v>19657</v>
      </c>
      <c r="E102" s="18">
        <v>21309900000195</v>
      </c>
      <c r="F102" t="s">
        <v>58</v>
      </c>
      <c r="G102" s="19">
        <v>1833</v>
      </c>
      <c r="H102" s="19">
        <v>805</v>
      </c>
      <c r="I102" s="15">
        <f t="shared" si="3"/>
        <v>0.43917075831969449</v>
      </c>
      <c r="J102" s="1">
        <v>0.7</v>
      </c>
      <c r="K102" s="12">
        <v>13.75</v>
      </c>
      <c r="L102" s="3">
        <f t="shared" si="4"/>
        <v>478.09999999999991</v>
      </c>
      <c r="M102" s="10">
        <f t="shared" si="5"/>
        <v>6573.8749999999991</v>
      </c>
    </row>
    <row r="103" spans="1:13" x14ac:dyDescent="0.35">
      <c r="A103" s="17">
        <v>46054</v>
      </c>
      <c r="B103" s="16" t="s">
        <v>15</v>
      </c>
      <c r="C103" t="s">
        <v>311</v>
      </c>
      <c r="D103" s="16">
        <v>19687</v>
      </c>
      <c r="E103" s="18">
        <v>29683855000146</v>
      </c>
      <c r="F103" t="s">
        <v>86</v>
      </c>
      <c r="G103" s="19">
        <v>1595</v>
      </c>
      <c r="H103" s="19">
        <v>1281</v>
      </c>
      <c r="I103" s="15">
        <f t="shared" si="3"/>
        <v>0.80313479623824446</v>
      </c>
      <c r="J103" s="1">
        <v>0.7</v>
      </c>
      <c r="K103" s="12">
        <v>13.75</v>
      </c>
      <c r="L103" s="3">
        <f t="shared" si="4"/>
        <v>-164.5</v>
      </c>
      <c r="M103" s="10">
        <f t="shared" si="5"/>
        <v>-2261.875</v>
      </c>
    </row>
    <row r="104" spans="1:13" x14ac:dyDescent="0.35">
      <c r="A104" s="17">
        <v>46054</v>
      </c>
      <c r="B104" s="16" t="s">
        <v>15</v>
      </c>
      <c r="C104" t="s">
        <v>329</v>
      </c>
      <c r="D104" s="16">
        <v>19679</v>
      </c>
      <c r="E104" s="18">
        <v>55498474000105</v>
      </c>
      <c r="F104" t="s">
        <v>330</v>
      </c>
      <c r="G104" s="19">
        <v>1876</v>
      </c>
      <c r="H104" s="19">
        <v>889</v>
      </c>
      <c r="I104" s="15">
        <f t="shared" si="3"/>
        <v>0.47388059701492535</v>
      </c>
      <c r="J104" s="1">
        <v>0.7</v>
      </c>
      <c r="K104" s="12">
        <v>13.75</v>
      </c>
      <c r="L104" s="3">
        <f t="shared" si="4"/>
        <v>424.20000000000005</v>
      </c>
      <c r="M104" s="10">
        <f t="shared" si="5"/>
        <v>5832.7500000000009</v>
      </c>
    </row>
    <row r="105" spans="1:13" x14ac:dyDescent="0.35">
      <c r="A105" s="17">
        <v>46054</v>
      </c>
      <c r="B105" s="16" t="s">
        <v>15</v>
      </c>
      <c r="C105" t="s">
        <v>141</v>
      </c>
      <c r="D105" s="16">
        <v>19648</v>
      </c>
      <c r="E105" s="18">
        <v>20792407000106</v>
      </c>
      <c r="F105" t="s">
        <v>142</v>
      </c>
      <c r="G105" s="19">
        <v>1604</v>
      </c>
      <c r="H105" s="19">
        <v>504</v>
      </c>
      <c r="I105" s="15">
        <f t="shared" si="3"/>
        <v>0.31421446384039903</v>
      </c>
      <c r="J105" s="1">
        <v>0.7</v>
      </c>
      <c r="K105" s="12">
        <v>13.75</v>
      </c>
      <c r="L105" s="3">
        <f t="shared" si="4"/>
        <v>618.79999999999973</v>
      </c>
      <c r="M105" s="10">
        <f t="shared" si="5"/>
        <v>8508.4999999999964</v>
      </c>
    </row>
    <row r="106" spans="1:13" x14ac:dyDescent="0.35">
      <c r="A106" s="17">
        <v>46054</v>
      </c>
      <c r="B106" s="16" t="s">
        <v>15</v>
      </c>
      <c r="C106" t="s">
        <v>143</v>
      </c>
      <c r="D106" s="16">
        <v>19513</v>
      </c>
      <c r="E106" s="18">
        <v>55854505000105</v>
      </c>
      <c r="F106" t="s">
        <v>145</v>
      </c>
      <c r="G106" s="19">
        <v>2694</v>
      </c>
      <c r="H106" s="19">
        <v>935</v>
      </c>
      <c r="I106" s="15">
        <f t="shared" si="3"/>
        <v>0.34706755753526353</v>
      </c>
      <c r="J106" s="1">
        <v>0.7</v>
      </c>
      <c r="K106" s="12">
        <v>13.75</v>
      </c>
      <c r="L106" s="3">
        <f t="shared" si="4"/>
        <v>950.80000000000018</v>
      </c>
      <c r="M106" s="10">
        <f t="shared" si="5"/>
        <v>13073.500000000002</v>
      </c>
    </row>
    <row r="107" spans="1:13" x14ac:dyDescent="0.35">
      <c r="A107" s="17">
        <v>46054</v>
      </c>
      <c r="B107" s="16" t="s">
        <v>15</v>
      </c>
      <c r="C107" t="s">
        <v>143</v>
      </c>
      <c r="D107" s="16">
        <v>19525</v>
      </c>
      <c r="E107" s="18">
        <v>55856274000179</v>
      </c>
      <c r="F107" t="s">
        <v>146</v>
      </c>
      <c r="G107" s="19">
        <v>2900</v>
      </c>
      <c r="H107" s="19">
        <v>1136</v>
      </c>
      <c r="I107" s="15">
        <f t="shared" si="3"/>
        <v>0.3917241379310345</v>
      </c>
      <c r="J107" s="1">
        <v>0.7</v>
      </c>
      <c r="K107" s="12">
        <v>13.75</v>
      </c>
      <c r="L107" s="3">
        <f t="shared" si="4"/>
        <v>893.99999999999977</v>
      </c>
      <c r="M107" s="10">
        <f t="shared" si="5"/>
        <v>12292.499999999996</v>
      </c>
    </row>
    <row r="108" spans="1:13" x14ac:dyDescent="0.35">
      <c r="A108" s="17">
        <v>46054</v>
      </c>
      <c r="B108" s="16" t="s">
        <v>15</v>
      </c>
      <c r="C108" t="s">
        <v>143</v>
      </c>
      <c r="D108" s="16">
        <v>19538</v>
      </c>
      <c r="E108" s="18">
        <v>48313972000162</v>
      </c>
      <c r="F108" t="s">
        <v>144</v>
      </c>
      <c r="G108" s="19">
        <v>2716</v>
      </c>
      <c r="H108" s="19">
        <v>1194</v>
      </c>
      <c r="I108" s="15">
        <f t="shared" si="3"/>
        <v>0.43961708394698085</v>
      </c>
      <c r="J108" s="1">
        <v>0.7</v>
      </c>
      <c r="K108" s="12">
        <v>13.75</v>
      </c>
      <c r="L108" s="3">
        <f t="shared" si="4"/>
        <v>707.19999999999982</v>
      </c>
      <c r="M108" s="10">
        <f t="shared" si="5"/>
        <v>9723.9999999999982</v>
      </c>
    </row>
    <row r="109" spans="1:13" x14ac:dyDescent="0.35">
      <c r="A109" s="17">
        <v>46054</v>
      </c>
      <c r="B109" s="16" t="s">
        <v>15</v>
      </c>
      <c r="C109" t="s">
        <v>147</v>
      </c>
      <c r="D109" s="16">
        <v>19746</v>
      </c>
      <c r="E109" s="18">
        <v>46023276000196</v>
      </c>
      <c r="F109" t="s">
        <v>148</v>
      </c>
      <c r="G109" s="19">
        <v>2020</v>
      </c>
      <c r="H109" s="19">
        <v>1173</v>
      </c>
      <c r="I109" s="15">
        <f t="shared" si="3"/>
        <v>0.58069306930693065</v>
      </c>
      <c r="J109" s="1">
        <v>0.7</v>
      </c>
      <c r="K109" s="12">
        <v>13.75</v>
      </c>
      <c r="L109" s="3">
        <f t="shared" si="4"/>
        <v>241</v>
      </c>
      <c r="M109" s="10">
        <f t="shared" si="5"/>
        <v>3313.75</v>
      </c>
    </row>
    <row r="110" spans="1:13" x14ac:dyDescent="0.35">
      <c r="A110" s="17">
        <v>46054</v>
      </c>
      <c r="B110" s="16" t="s">
        <v>15</v>
      </c>
      <c r="C110" t="s">
        <v>149</v>
      </c>
      <c r="D110" s="16">
        <v>19596</v>
      </c>
      <c r="E110" s="18">
        <v>17014738000100</v>
      </c>
      <c r="F110" t="s">
        <v>151</v>
      </c>
      <c r="G110" s="19">
        <v>2017</v>
      </c>
      <c r="H110" s="19">
        <v>815</v>
      </c>
      <c r="I110" s="15">
        <f t="shared" si="3"/>
        <v>0.40406544372830938</v>
      </c>
      <c r="J110" s="1">
        <v>0.7</v>
      </c>
      <c r="K110" s="12">
        <v>13.75</v>
      </c>
      <c r="L110" s="3">
        <f t="shared" si="4"/>
        <v>596.89999999999986</v>
      </c>
      <c r="M110" s="10">
        <f t="shared" si="5"/>
        <v>8207.3749999999982</v>
      </c>
    </row>
    <row r="111" spans="1:13" x14ac:dyDescent="0.35">
      <c r="A111" s="17">
        <v>46054</v>
      </c>
      <c r="B111" s="16" t="s">
        <v>15</v>
      </c>
      <c r="C111" t="s">
        <v>149</v>
      </c>
      <c r="D111" s="16">
        <v>19599</v>
      </c>
      <c r="E111" s="18">
        <v>60449012000120</v>
      </c>
      <c r="F111" t="s">
        <v>150</v>
      </c>
      <c r="G111" s="19">
        <v>2076</v>
      </c>
      <c r="H111" s="19">
        <v>978</v>
      </c>
      <c r="I111" s="15">
        <f t="shared" si="3"/>
        <v>0.47109826589595377</v>
      </c>
      <c r="J111" s="1">
        <v>0.7</v>
      </c>
      <c r="K111" s="12">
        <v>13.75</v>
      </c>
      <c r="L111" s="3">
        <f t="shared" si="4"/>
        <v>475.19999999999982</v>
      </c>
      <c r="M111" s="10">
        <f t="shared" si="5"/>
        <v>6533.9999999999973</v>
      </c>
    </row>
    <row r="112" spans="1:13" x14ac:dyDescent="0.35">
      <c r="A112" s="17">
        <v>46054</v>
      </c>
      <c r="B112" s="16" t="s">
        <v>15</v>
      </c>
      <c r="C112" t="s">
        <v>169</v>
      </c>
      <c r="D112" s="16">
        <v>19520</v>
      </c>
      <c r="E112" s="18">
        <v>59759219000111</v>
      </c>
      <c r="F112" t="s">
        <v>170</v>
      </c>
      <c r="G112" s="19">
        <v>828</v>
      </c>
      <c r="H112" s="19">
        <v>434</v>
      </c>
      <c r="I112" s="15">
        <f t="shared" si="3"/>
        <v>0.52415458937198067</v>
      </c>
      <c r="J112" s="1">
        <v>0.7</v>
      </c>
      <c r="K112" s="12">
        <v>13.75</v>
      </c>
      <c r="L112" s="3">
        <f t="shared" si="4"/>
        <v>145.59999999999991</v>
      </c>
      <c r="M112" s="10">
        <f t="shared" si="5"/>
        <v>2001.9999999999986</v>
      </c>
    </row>
    <row r="113" spans="1:13" x14ac:dyDescent="0.35">
      <c r="A113" s="17">
        <v>46054</v>
      </c>
      <c r="B113" s="16" t="s">
        <v>15</v>
      </c>
      <c r="C113" t="s">
        <v>189</v>
      </c>
      <c r="D113" s="16">
        <v>19636</v>
      </c>
      <c r="E113" s="18">
        <v>20249984000156</v>
      </c>
      <c r="F113" t="s">
        <v>190</v>
      </c>
      <c r="G113" s="19">
        <v>2009</v>
      </c>
      <c r="H113" s="19">
        <v>796</v>
      </c>
      <c r="I113" s="15">
        <f t="shared" ref="I113:I176" si="6">H113/G113</f>
        <v>0.39621702339472376</v>
      </c>
      <c r="J113" s="1">
        <v>0.7</v>
      </c>
      <c r="K113" s="12">
        <v>13.75</v>
      </c>
      <c r="L113" s="3">
        <f t="shared" si="4"/>
        <v>610.29999999999973</v>
      </c>
      <c r="M113" s="10">
        <f t="shared" si="5"/>
        <v>8391.6249999999964</v>
      </c>
    </row>
    <row r="114" spans="1:13" x14ac:dyDescent="0.35">
      <c r="A114" s="17">
        <v>46054</v>
      </c>
      <c r="B114" s="16" t="s">
        <v>15</v>
      </c>
      <c r="C114" t="s">
        <v>318</v>
      </c>
      <c r="D114" s="16">
        <v>19504</v>
      </c>
      <c r="E114" s="18">
        <v>24840166012867</v>
      </c>
      <c r="F114" t="s">
        <v>216</v>
      </c>
      <c r="G114" s="19">
        <v>2966</v>
      </c>
      <c r="H114" s="19">
        <v>1192</v>
      </c>
      <c r="I114" s="15">
        <f t="shared" si="6"/>
        <v>0.40188806473364802</v>
      </c>
      <c r="J114" s="1">
        <v>0.7</v>
      </c>
      <c r="K114" s="12">
        <v>13.75</v>
      </c>
      <c r="L114" s="3">
        <f t="shared" si="4"/>
        <v>884.19999999999982</v>
      </c>
      <c r="M114" s="10">
        <f t="shared" si="5"/>
        <v>12157.749999999998</v>
      </c>
    </row>
    <row r="115" spans="1:13" x14ac:dyDescent="0.35">
      <c r="A115" s="17">
        <v>46054</v>
      </c>
      <c r="B115" s="16" t="s">
        <v>15</v>
      </c>
      <c r="C115" t="s">
        <v>318</v>
      </c>
      <c r="D115" s="16">
        <v>19505</v>
      </c>
      <c r="E115" s="18">
        <v>24840166000346</v>
      </c>
      <c r="F115" t="s">
        <v>202</v>
      </c>
      <c r="G115" s="19">
        <v>2317</v>
      </c>
      <c r="H115" s="19">
        <v>907</v>
      </c>
      <c r="I115" s="15">
        <f t="shared" si="6"/>
        <v>0.39145446698316788</v>
      </c>
      <c r="J115" s="1">
        <v>0.7</v>
      </c>
      <c r="K115" s="12">
        <v>13.75</v>
      </c>
      <c r="L115" s="3">
        <f t="shared" si="4"/>
        <v>714.89999999999986</v>
      </c>
      <c r="M115" s="10">
        <f t="shared" si="5"/>
        <v>9829.8749999999982</v>
      </c>
    </row>
    <row r="116" spans="1:13" x14ac:dyDescent="0.35">
      <c r="A116" s="17">
        <v>46054</v>
      </c>
      <c r="B116" s="16" t="s">
        <v>15</v>
      </c>
      <c r="C116" t="s">
        <v>318</v>
      </c>
      <c r="D116" s="16">
        <v>19506</v>
      </c>
      <c r="E116" s="18">
        <v>24901883000179</v>
      </c>
      <c r="F116" t="s">
        <v>218</v>
      </c>
      <c r="G116" s="19">
        <v>2472</v>
      </c>
      <c r="H116" s="19">
        <v>956</v>
      </c>
      <c r="I116" s="15">
        <f t="shared" si="6"/>
        <v>0.38673139158576053</v>
      </c>
      <c r="J116" s="1">
        <v>0.7</v>
      </c>
      <c r="K116" s="12">
        <v>13.75</v>
      </c>
      <c r="L116" s="3">
        <f t="shared" si="4"/>
        <v>774.39999999999986</v>
      </c>
      <c r="M116" s="10">
        <f t="shared" si="5"/>
        <v>10647.999999999998</v>
      </c>
    </row>
    <row r="117" spans="1:13" x14ac:dyDescent="0.35">
      <c r="A117" s="17">
        <v>46054</v>
      </c>
      <c r="B117" s="16" t="s">
        <v>15</v>
      </c>
      <c r="C117" t="s">
        <v>318</v>
      </c>
      <c r="D117" s="16">
        <v>19507</v>
      </c>
      <c r="E117" s="18">
        <v>24840166000770</v>
      </c>
      <c r="F117" t="s">
        <v>206</v>
      </c>
      <c r="G117" s="19">
        <v>3205</v>
      </c>
      <c r="H117" s="19">
        <v>1187</v>
      </c>
      <c r="I117" s="15">
        <f t="shared" si="6"/>
        <v>0.37035881435257412</v>
      </c>
      <c r="J117" s="1">
        <v>0.7</v>
      </c>
      <c r="K117" s="12">
        <v>13.75</v>
      </c>
      <c r="L117" s="3">
        <f t="shared" si="4"/>
        <v>1056.5</v>
      </c>
      <c r="M117" s="10">
        <f t="shared" si="5"/>
        <v>14526.875</v>
      </c>
    </row>
    <row r="118" spans="1:13" x14ac:dyDescent="0.35">
      <c r="A118" s="17">
        <v>46054</v>
      </c>
      <c r="B118" s="16" t="s">
        <v>15</v>
      </c>
      <c r="C118" t="s">
        <v>318</v>
      </c>
      <c r="D118" s="16">
        <v>19508</v>
      </c>
      <c r="E118" s="18">
        <v>24840166010228</v>
      </c>
      <c r="F118" t="s">
        <v>210</v>
      </c>
      <c r="G118" s="19">
        <v>2352</v>
      </c>
      <c r="H118" s="19">
        <v>984</v>
      </c>
      <c r="I118" s="15">
        <f t="shared" si="6"/>
        <v>0.41836734693877553</v>
      </c>
      <c r="J118" s="1">
        <v>0.7</v>
      </c>
      <c r="K118" s="12">
        <v>13.75</v>
      </c>
      <c r="L118" s="3">
        <f t="shared" si="4"/>
        <v>662.39999999999986</v>
      </c>
      <c r="M118" s="10">
        <f t="shared" si="5"/>
        <v>9107.9999999999982</v>
      </c>
    </row>
    <row r="119" spans="1:13" x14ac:dyDescent="0.35">
      <c r="A119" s="17">
        <v>46054</v>
      </c>
      <c r="B119" s="16" t="s">
        <v>15</v>
      </c>
      <c r="C119" t="s">
        <v>318</v>
      </c>
      <c r="D119" s="16">
        <v>19509</v>
      </c>
      <c r="E119" s="18">
        <v>24840166010813</v>
      </c>
      <c r="F119" t="s">
        <v>213</v>
      </c>
      <c r="G119" s="19">
        <v>1096</v>
      </c>
      <c r="H119" s="19">
        <v>375</v>
      </c>
      <c r="I119" s="15">
        <f t="shared" si="6"/>
        <v>0.34215328467153283</v>
      </c>
      <c r="J119" s="1">
        <v>0.7</v>
      </c>
      <c r="K119" s="12">
        <v>13.75</v>
      </c>
      <c r="L119" s="3">
        <f t="shared" si="4"/>
        <v>392.20000000000005</v>
      </c>
      <c r="M119" s="10">
        <f t="shared" si="5"/>
        <v>5392.7500000000009</v>
      </c>
    </row>
    <row r="120" spans="1:13" x14ac:dyDescent="0.35">
      <c r="A120" s="17">
        <v>46054</v>
      </c>
      <c r="B120" s="16" t="s">
        <v>15</v>
      </c>
      <c r="C120" t="s">
        <v>318</v>
      </c>
      <c r="D120" s="16">
        <v>19511</v>
      </c>
      <c r="E120" s="18">
        <v>24840214000215</v>
      </c>
      <c r="F120" t="s">
        <v>217</v>
      </c>
      <c r="G120" s="19">
        <v>2715</v>
      </c>
      <c r="H120" s="19">
        <v>1109</v>
      </c>
      <c r="I120" s="15">
        <f t="shared" si="6"/>
        <v>0.40847145488029468</v>
      </c>
      <c r="J120" s="1">
        <v>0.7</v>
      </c>
      <c r="K120" s="12">
        <v>13.75</v>
      </c>
      <c r="L120" s="3">
        <f t="shared" si="4"/>
        <v>791.49999999999977</v>
      </c>
      <c r="M120" s="10">
        <f t="shared" si="5"/>
        <v>10883.124999999996</v>
      </c>
    </row>
    <row r="121" spans="1:13" x14ac:dyDescent="0.35">
      <c r="A121" s="17">
        <v>46054</v>
      </c>
      <c r="B121" s="16" t="s">
        <v>15</v>
      </c>
      <c r="C121" t="s">
        <v>318</v>
      </c>
      <c r="D121" s="16">
        <v>19512</v>
      </c>
      <c r="E121" s="18">
        <v>24840166006034</v>
      </c>
      <c r="F121" t="s">
        <v>209</v>
      </c>
      <c r="G121" s="19">
        <v>1709</v>
      </c>
      <c r="H121" s="19">
        <v>684</v>
      </c>
      <c r="I121" s="15">
        <f t="shared" si="6"/>
        <v>0.40023405500292569</v>
      </c>
      <c r="J121" s="1">
        <v>0.7</v>
      </c>
      <c r="K121" s="12">
        <v>13.75</v>
      </c>
      <c r="L121" s="3">
        <f t="shared" si="4"/>
        <v>512.29999999999995</v>
      </c>
      <c r="M121" s="10">
        <f t="shared" si="5"/>
        <v>7044.1249999999991</v>
      </c>
    </row>
    <row r="122" spans="1:13" x14ac:dyDescent="0.35">
      <c r="A122" s="17">
        <v>46054</v>
      </c>
      <c r="B122" s="16" t="s">
        <v>15</v>
      </c>
      <c r="C122" t="s">
        <v>318</v>
      </c>
      <c r="D122" s="16">
        <v>19514</v>
      </c>
      <c r="E122" s="18">
        <v>40448339000170</v>
      </c>
      <c r="F122" t="s">
        <v>219</v>
      </c>
      <c r="G122" s="19">
        <v>2702</v>
      </c>
      <c r="H122" s="19">
        <v>879</v>
      </c>
      <c r="I122" s="15">
        <f t="shared" si="6"/>
        <v>0.32531458179126571</v>
      </c>
      <c r="J122" s="1">
        <v>0.7</v>
      </c>
      <c r="K122" s="12">
        <v>13.75</v>
      </c>
      <c r="L122" s="3">
        <f t="shared" si="4"/>
        <v>1012.3999999999999</v>
      </c>
      <c r="M122" s="10">
        <f t="shared" si="5"/>
        <v>13920.499999999998</v>
      </c>
    </row>
    <row r="123" spans="1:13" x14ac:dyDescent="0.35">
      <c r="A123" s="17">
        <v>46054</v>
      </c>
      <c r="B123" s="16" t="s">
        <v>15</v>
      </c>
      <c r="C123" t="s">
        <v>318</v>
      </c>
      <c r="D123" s="16">
        <v>19515</v>
      </c>
      <c r="E123" s="18">
        <v>24840166000427</v>
      </c>
      <c r="F123" t="s">
        <v>203</v>
      </c>
      <c r="G123" s="19">
        <v>3242</v>
      </c>
      <c r="H123" s="19">
        <v>1240</v>
      </c>
      <c r="I123" s="15">
        <f t="shared" si="6"/>
        <v>0.38247995064774831</v>
      </c>
      <c r="J123" s="1">
        <v>0.7</v>
      </c>
      <c r="K123" s="12">
        <v>13.75</v>
      </c>
      <c r="L123" s="3">
        <f t="shared" ref="L123:L186" si="7">H123*J123/I123-H123</f>
        <v>1029.4000000000001</v>
      </c>
      <c r="M123" s="10">
        <f t="shared" ref="M123:M186" si="8">L123*K123</f>
        <v>14154.250000000002</v>
      </c>
    </row>
    <row r="124" spans="1:13" x14ac:dyDescent="0.35">
      <c r="A124" s="17">
        <v>46054</v>
      </c>
      <c r="B124" s="16" t="s">
        <v>15</v>
      </c>
      <c r="C124" t="s">
        <v>318</v>
      </c>
      <c r="D124" s="16">
        <v>19518</v>
      </c>
      <c r="E124" s="18">
        <v>24840166000699</v>
      </c>
      <c r="F124" t="s">
        <v>205</v>
      </c>
      <c r="G124" s="19">
        <v>4309</v>
      </c>
      <c r="H124" s="19">
        <v>1818</v>
      </c>
      <c r="I124" s="15">
        <f t="shared" si="6"/>
        <v>0.42190763518217683</v>
      </c>
      <c r="J124" s="1">
        <v>0.7</v>
      </c>
      <c r="K124" s="12">
        <v>13.75</v>
      </c>
      <c r="L124" s="3">
        <f t="shared" si="7"/>
        <v>1198.2999999999997</v>
      </c>
      <c r="M124" s="10">
        <f t="shared" si="8"/>
        <v>16476.624999999996</v>
      </c>
    </row>
    <row r="125" spans="1:13" x14ac:dyDescent="0.35">
      <c r="A125" s="17">
        <v>46054</v>
      </c>
      <c r="B125" s="16" t="s">
        <v>15</v>
      </c>
      <c r="C125" t="s">
        <v>318</v>
      </c>
      <c r="D125" s="16">
        <v>19519</v>
      </c>
      <c r="E125" s="18">
        <v>24840166000508</v>
      </c>
      <c r="F125" t="s">
        <v>204</v>
      </c>
      <c r="G125" s="19">
        <v>5969</v>
      </c>
      <c r="H125" s="19">
        <v>2601</v>
      </c>
      <c r="I125" s="15">
        <f t="shared" si="6"/>
        <v>0.43575138214106213</v>
      </c>
      <c r="J125" s="1">
        <v>0.7</v>
      </c>
      <c r="K125" s="12">
        <v>13.75</v>
      </c>
      <c r="L125" s="3">
        <f t="shared" si="7"/>
        <v>1577.3000000000002</v>
      </c>
      <c r="M125" s="10">
        <f t="shared" si="8"/>
        <v>21687.875000000004</v>
      </c>
    </row>
    <row r="126" spans="1:13" x14ac:dyDescent="0.35">
      <c r="A126" s="17">
        <v>46054</v>
      </c>
      <c r="B126" s="16" t="s">
        <v>15</v>
      </c>
      <c r="C126" t="s">
        <v>318</v>
      </c>
      <c r="D126" s="16">
        <v>19521</v>
      </c>
      <c r="E126" s="18">
        <v>10861940000129</v>
      </c>
      <c r="F126" t="s">
        <v>197</v>
      </c>
      <c r="G126" s="19">
        <v>3353</v>
      </c>
      <c r="H126" s="19">
        <v>1707</v>
      </c>
      <c r="I126" s="15">
        <f t="shared" si="6"/>
        <v>0.50909633164330448</v>
      </c>
      <c r="J126" s="1">
        <v>0.7</v>
      </c>
      <c r="K126" s="12">
        <v>13.75</v>
      </c>
      <c r="L126" s="3">
        <f t="shared" si="7"/>
        <v>640.09999999999991</v>
      </c>
      <c r="M126" s="10">
        <f t="shared" si="8"/>
        <v>8801.3749999999982</v>
      </c>
    </row>
    <row r="127" spans="1:13" x14ac:dyDescent="0.35">
      <c r="A127" s="17">
        <v>46054</v>
      </c>
      <c r="B127" s="16" t="s">
        <v>15</v>
      </c>
      <c r="C127" t="s">
        <v>318</v>
      </c>
      <c r="D127" s="16">
        <v>19523</v>
      </c>
      <c r="E127" s="18">
        <v>44620937000135</v>
      </c>
      <c r="F127" t="s">
        <v>222</v>
      </c>
      <c r="G127" s="19">
        <v>2556</v>
      </c>
      <c r="H127" s="19">
        <v>784</v>
      </c>
      <c r="I127" s="15">
        <f t="shared" si="6"/>
        <v>0.30672926447574334</v>
      </c>
      <c r="J127" s="1">
        <v>0.7</v>
      </c>
      <c r="K127" s="12">
        <v>13.75</v>
      </c>
      <c r="L127" s="3">
        <f t="shared" si="7"/>
        <v>1005.2</v>
      </c>
      <c r="M127" s="10">
        <f t="shared" si="8"/>
        <v>13821.5</v>
      </c>
    </row>
    <row r="128" spans="1:13" x14ac:dyDescent="0.35">
      <c r="A128" s="17">
        <v>46054</v>
      </c>
      <c r="B128" s="16" t="s">
        <v>15</v>
      </c>
      <c r="C128" t="s">
        <v>318</v>
      </c>
      <c r="D128" s="16">
        <v>19526</v>
      </c>
      <c r="E128" s="18">
        <v>24840166010570</v>
      </c>
      <c r="F128" t="s">
        <v>212</v>
      </c>
      <c r="G128" s="19">
        <v>1622</v>
      </c>
      <c r="H128" s="19">
        <v>609</v>
      </c>
      <c r="I128" s="15">
        <f t="shared" si="6"/>
        <v>0.37546239210850801</v>
      </c>
      <c r="J128" s="1">
        <v>0.7</v>
      </c>
      <c r="K128" s="12">
        <v>13.75</v>
      </c>
      <c r="L128" s="3">
        <f t="shared" si="7"/>
        <v>526.39999999999986</v>
      </c>
      <c r="M128" s="10">
        <f t="shared" si="8"/>
        <v>7237.9999999999982</v>
      </c>
    </row>
    <row r="129" spans="1:13" x14ac:dyDescent="0.35">
      <c r="A129" s="17">
        <v>46054</v>
      </c>
      <c r="B129" s="16" t="s">
        <v>15</v>
      </c>
      <c r="C129" t="s">
        <v>318</v>
      </c>
      <c r="D129" s="16">
        <v>19528</v>
      </c>
      <c r="E129" s="18">
        <v>42766874000102</v>
      </c>
      <c r="F129" t="s">
        <v>221</v>
      </c>
      <c r="G129" s="19">
        <v>2123</v>
      </c>
      <c r="H129" s="19">
        <v>755</v>
      </c>
      <c r="I129" s="15">
        <f t="shared" si="6"/>
        <v>0.3556288271314178</v>
      </c>
      <c r="J129" s="1">
        <v>0.7</v>
      </c>
      <c r="K129" s="12">
        <v>13.75</v>
      </c>
      <c r="L129" s="3">
        <f t="shared" si="7"/>
        <v>731.09999999999991</v>
      </c>
      <c r="M129" s="10">
        <f t="shared" si="8"/>
        <v>10052.624999999998</v>
      </c>
    </row>
    <row r="130" spans="1:13" x14ac:dyDescent="0.35">
      <c r="A130" s="17">
        <v>46054</v>
      </c>
      <c r="B130" s="16" t="s">
        <v>15</v>
      </c>
      <c r="C130" t="s">
        <v>318</v>
      </c>
      <c r="D130" s="16">
        <v>19529</v>
      </c>
      <c r="E130" s="18">
        <v>44620937000305</v>
      </c>
      <c r="F130" t="s">
        <v>224</v>
      </c>
      <c r="G130" s="19">
        <v>4923</v>
      </c>
      <c r="H130" s="19">
        <v>1671</v>
      </c>
      <c r="I130" s="15">
        <f t="shared" si="6"/>
        <v>0.33942717854966487</v>
      </c>
      <c r="J130" s="1">
        <v>0.7</v>
      </c>
      <c r="K130" s="12">
        <v>13.75</v>
      </c>
      <c r="L130" s="3">
        <f t="shared" si="7"/>
        <v>1775.099999999999</v>
      </c>
      <c r="M130" s="10">
        <f t="shared" si="8"/>
        <v>24407.624999999985</v>
      </c>
    </row>
    <row r="131" spans="1:13" x14ac:dyDescent="0.35">
      <c r="A131" s="17">
        <v>46054</v>
      </c>
      <c r="B131" s="16" t="s">
        <v>15</v>
      </c>
      <c r="C131" t="s">
        <v>318</v>
      </c>
      <c r="D131" s="16">
        <v>19536</v>
      </c>
      <c r="E131" s="18">
        <v>15442958000100</v>
      </c>
      <c r="F131" t="s">
        <v>198</v>
      </c>
      <c r="G131" s="19">
        <v>2197</v>
      </c>
      <c r="H131" s="19">
        <v>826</v>
      </c>
      <c r="I131" s="15">
        <f t="shared" si="6"/>
        <v>0.37596722803823396</v>
      </c>
      <c r="J131" s="1">
        <v>0.7</v>
      </c>
      <c r="K131" s="12">
        <v>13.75</v>
      </c>
      <c r="L131" s="3">
        <f t="shared" si="7"/>
        <v>711.89999999999986</v>
      </c>
      <c r="M131" s="10">
        <f t="shared" si="8"/>
        <v>9788.6249999999982</v>
      </c>
    </row>
    <row r="132" spans="1:13" x14ac:dyDescent="0.35">
      <c r="A132" s="17">
        <v>46054</v>
      </c>
      <c r="B132" s="16" t="s">
        <v>15</v>
      </c>
      <c r="C132" t="s">
        <v>318</v>
      </c>
      <c r="D132" s="16">
        <v>19600</v>
      </c>
      <c r="E132" s="18">
        <v>40448339000250</v>
      </c>
      <c r="F132" t="s">
        <v>220</v>
      </c>
      <c r="G132" s="19">
        <v>2220</v>
      </c>
      <c r="H132" s="19">
        <v>857</v>
      </c>
      <c r="I132" s="15">
        <f t="shared" si="6"/>
        <v>0.38603603603603603</v>
      </c>
      <c r="J132" s="1">
        <v>0.7</v>
      </c>
      <c r="K132" s="12">
        <v>13.75</v>
      </c>
      <c r="L132" s="3">
        <f t="shared" si="7"/>
        <v>697</v>
      </c>
      <c r="M132" s="10">
        <f t="shared" si="8"/>
        <v>9583.75</v>
      </c>
    </row>
    <row r="133" spans="1:13" x14ac:dyDescent="0.35">
      <c r="A133" s="17">
        <v>46054</v>
      </c>
      <c r="B133" s="16" t="s">
        <v>15</v>
      </c>
      <c r="C133" t="s">
        <v>318</v>
      </c>
      <c r="D133" s="16">
        <v>19609</v>
      </c>
      <c r="E133" s="18">
        <v>45858277000198</v>
      </c>
      <c r="F133" t="s">
        <v>225</v>
      </c>
      <c r="G133" s="19">
        <v>1644</v>
      </c>
      <c r="H133" s="19">
        <v>713</v>
      </c>
      <c r="I133" s="15">
        <f t="shared" si="6"/>
        <v>0.43369829683698297</v>
      </c>
      <c r="J133" s="1">
        <v>0.7</v>
      </c>
      <c r="K133" s="12">
        <v>13.75</v>
      </c>
      <c r="L133" s="3">
        <f t="shared" si="7"/>
        <v>437.79999999999995</v>
      </c>
      <c r="M133" s="10">
        <f t="shared" si="8"/>
        <v>6019.7499999999991</v>
      </c>
    </row>
    <row r="134" spans="1:13" x14ac:dyDescent="0.35">
      <c r="A134" s="17">
        <v>46054</v>
      </c>
      <c r="B134" s="16" t="s">
        <v>15</v>
      </c>
      <c r="C134" t="s">
        <v>318</v>
      </c>
      <c r="D134" s="16">
        <v>19618</v>
      </c>
      <c r="E134" s="18">
        <v>18946221000112</v>
      </c>
      <c r="F134" t="s">
        <v>200</v>
      </c>
      <c r="G134" s="19">
        <v>2048</v>
      </c>
      <c r="H134" s="19">
        <v>836</v>
      </c>
      <c r="I134" s="15">
        <f t="shared" si="6"/>
        <v>0.408203125</v>
      </c>
      <c r="J134" s="1">
        <v>0.7</v>
      </c>
      <c r="K134" s="12">
        <v>13.75</v>
      </c>
      <c r="L134" s="3">
        <f t="shared" si="7"/>
        <v>597.59999999999991</v>
      </c>
      <c r="M134" s="10">
        <f t="shared" si="8"/>
        <v>8216.9999999999982</v>
      </c>
    </row>
    <row r="135" spans="1:13" x14ac:dyDescent="0.35">
      <c r="A135" s="17">
        <v>46054</v>
      </c>
      <c r="B135" s="16" t="s">
        <v>15</v>
      </c>
      <c r="C135" t="s">
        <v>318</v>
      </c>
      <c r="D135" s="16">
        <v>19632</v>
      </c>
      <c r="E135" s="18">
        <v>20032392000188</v>
      </c>
      <c r="F135" t="s">
        <v>201</v>
      </c>
      <c r="G135" s="19">
        <v>2412</v>
      </c>
      <c r="H135" s="19">
        <v>1067</v>
      </c>
      <c r="I135" s="15">
        <f t="shared" si="6"/>
        <v>0.44237147595356552</v>
      </c>
      <c r="J135" s="1">
        <v>0.7</v>
      </c>
      <c r="K135" s="12">
        <v>13.75</v>
      </c>
      <c r="L135" s="3">
        <f t="shared" si="7"/>
        <v>621.39999999999986</v>
      </c>
      <c r="M135" s="10">
        <f t="shared" si="8"/>
        <v>8544.2499999999982</v>
      </c>
    </row>
    <row r="136" spans="1:13" x14ac:dyDescent="0.35">
      <c r="A136" s="17">
        <v>46054</v>
      </c>
      <c r="B136" s="16" t="s">
        <v>15</v>
      </c>
      <c r="C136" t="s">
        <v>318</v>
      </c>
      <c r="D136" s="16">
        <v>19635</v>
      </c>
      <c r="E136" s="18">
        <v>24840166012000</v>
      </c>
      <c r="F136" t="s">
        <v>214</v>
      </c>
      <c r="G136" s="19">
        <v>1739</v>
      </c>
      <c r="H136" s="19">
        <v>800</v>
      </c>
      <c r="I136" s="15">
        <f t="shared" si="6"/>
        <v>0.46003450258769407</v>
      </c>
      <c r="J136" s="1">
        <v>0.7</v>
      </c>
      <c r="K136" s="12">
        <v>13.75</v>
      </c>
      <c r="L136" s="3">
        <f t="shared" si="7"/>
        <v>417.29999999999995</v>
      </c>
      <c r="M136" s="10">
        <f t="shared" si="8"/>
        <v>5737.8749999999991</v>
      </c>
    </row>
    <row r="137" spans="1:13" x14ac:dyDescent="0.35">
      <c r="A137" s="17">
        <v>46054</v>
      </c>
      <c r="B137" s="16" t="s">
        <v>15</v>
      </c>
      <c r="C137" t="s">
        <v>318</v>
      </c>
      <c r="D137" s="16">
        <v>19652</v>
      </c>
      <c r="E137" s="18">
        <v>44620937000216</v>
      </c>
      <c r="F137" t="s">
        <v>223</v>
      </c>
      <c r="G137" s="19">
        <v>4200</v>
      </c>
      <c r="H137" s="19">
        <v>1298</v>
      </c>
      <c r="I137" s="15">
        <f t="shared" si="6"/>
        <v>0.30904761904761907</v>
      </c>
      <c r="J137" s="1">
        <v>0.7</v>
      </c>
      <c r="K137" s="12">
        <v>13.75</v>
      </c>
      <c r="L137" s="3">
        <f t="shared" si="7"/>
        <v>1641.9999999999995</v>
      </c>
      <c r="M137" s="10">
        <f t="shared" si="8"/>
        <v>22577.499999999993</v>
      </c>
    </row>
    <row r="138" spans="1:13" x14ac:dyDescent="0.35">
      <c r="A138" s="17">
        <v>46054</v>
      </c>
      <c r="B138" s="16" t="s">
        <v>15</v>
      </c>
      <c r="C138" t="s">
        <v>318</v>
      </c>
      <c r="D138" s="16">
        <v>19665</v>
      </c>
      <c r="E138" s="18">
        <v>24840166012514</v>
      </c>
      <c r="F138" t="s">
        <v>215</v>
      </c>
      <c r="G138" s="19">
        <v>1768</v>
      </c>
      <c r="H138" s="19">
        <v>648</v>
      </c>
      <c r="I138" s="15">
        <f t="shared" si="6"/>
        <v>0.36651583710407237</v>
      </c>
      <c r="J138" s="1">
        <v>0.7</v>
      </c>
      <c r="K138" s="12">
        <v>13.75</v>
      </c>
      <c r="L138" s="3">
        <f t="shared" si="7"/>
        <v>589.59999999999991</v>
      </c>
      <c r="M138" s="10">
        <f t="shared" si="8"/>
        <v>8106.9999999999991</v>
      </c>
    </row>
    <row r="139" spans="1:13" x14ac:dyDescent="0.35">
      <c r="A139" s="17">
        <v>46054</v>
      </c>
      <c r="B139" s="16" t="s">
        <v>15</v>
      </c>
      <c r="C139" t="s">
        <v>318</v>
      </c>
      <c r="D139" s="16">
        <v>19685</v>
      </c>
      <c r="E139" s="18">
        <v>3777902000127</v>
      </c>
      <c r="F139" t="s">
        <v>196</v>
      </c>
      <c r="G139" s="19">
        <v>989</v>
      </c>
      <c r="H139" s="19">
        <v>376</v>
      </c>
      <c r="I139" s="15">
        <f t="shared" si="6"/>
        <v>0.38018200202224467</v>
      </c>
      <c r="J139" s="1">
        <v>0.7</v>
      </c>
      <c r="K139" s="12">
        <v>13.75</v>
      </c>
      <c r="L139" s="3">
        <f t="shared" si="7"/>
        <v>316.29999999999995</v>
      </c>
      <c r="M139" s="10">
        <f t="shared" si="8"/>
        <v>4349.1249999999991</v>
      </c>
    </row>
    <row r="140" spans="1:13" x14ac:dyDescent="0.35">
      <c r="A140" s="17">
        <v>46054</v>
      </c>
      <c r="B140" s="16" t="s">
        <v>15</v>
      </c>
      <c r="C140" t="s">
        <v>318</v>
      </c>
      <c r="D140" s="16">
        <v>19714</v>
      </c>
      <c r="E140" s="18">
        <v>24840166000850</v>
      </c>
      <c r="F140" t="s">
        <v>207</v>
      </c>
      <c r="G140" s="19">
        <v>2377</v>
      </c>
      <c r="H140" s="19">
        <v>878</v>
      </c>
      <c r="I140" s="15">
        <f t="shared" si="6"/>
        <v>0.36937315944467819</v>
      </c>
      <c r="J140" s="1">
        <v>0.7</v>
      </c>
      <c r="K140" s="12">
        <v>13.75</v>
      </c>
      <c r="L140" s="3">
        <f t="shared" si="7"/>
        <v>785.89999999999964</v>
      </c>
      <c r="M140" s="10">
        <f t="shared" si="8"/>
        <v>10806.124999999995</v>
      </c>
    </row>
    <row r="141" spans="1:13" x14ac:dyDescent="0.35">
      <c r="A141" s="17">
        <v>46054</v>
      </c>
      <c r="B141" s="16" t="s">
        <v>15</v>
      </c>
      <c r="C141" t="s">
        <v>318</v>
      </c>
      <c r="D141" s="16">
        <v>19727</v>
      </c>
      <c r="E141" s="18">
        <v>15442958000290</v>
      </c>
      <c r="F141" t="s">
        <v>199</v>
      </c>
      <c r="G141" s="19">
        <v>1351</v>
      </c>
      <c r="H141" s="19">
        <v>590</v>
      </c>
      <c r="I141" s="15">
        <f t="shared" si="6"/>
        <v>0.43671354552183567</v>
      </c>
      <c r="J141" s="1">
        <v>0.7</v>
      </c>
      <c r="K141" s="12">
        <v>13.75</v>
      </c>
      <c r="L141" s="3">
        <f t="shared" si="7"/>
        <v>355.70000000000005</v>
      </c>
      <c r="M141" s="10">
        <f t="shared" si="8"/>
        <v>4890.8750000000009</v>
      </c>
    </row>
    <row r="142" spans="1:13" x14ac:dyDescent="0.35">
      <c r="A142" s="17">
        <v>46054</v>
      </c>
      <c r="B142" s="16" t="s">
        <v>15</v>
      </c>
      <c r="C142" t="s">
        <v>318</v>
      </c>
      <c r="D142" s="16">
        <v>19844</v>
      </c>
      <c r="E142" s="18">
        <v>24840166004171</v>
      </c>
      <c r="F142" t="s">
        <v>208</v>
      </c>
      <c r="G142" s="19">
        <v>2035</v>
      </c>
      <c r="H142" s="19">
        <v>868</v>
      </c>
      <c r="I142" s="15">
        <f t="shared" si="6"/>
        <v>0.42653562653562654</v>
      </c>
      <c r="J142" s="1">
        <v>0.7</v>
      </c>
      <c r="K142" s="12">
        <v>13.75</v>
      </c>
      <c r="L142" s="3">
        <f t="shared" si="7"/>
        <v>556.49999999999977</v>
      </c>
      <c r="M142" s="10">
        <f t="shared" si="8"/>
        <v>7651.8749999999973</v>
      </c>
    </row>
    <row r="143" spans="1:13" x14ac:dyDescent="0.35">
      <c r="A143" s="17">
        <v>46054</v>
      </c>
      <c r="B143" s="16" t="s">
        <v>15</v>
      </c>
      <c r="C143" t="s">
        <v>318</v>
      </c>
      <c r="D143" s="16">
        <v>19894</v>
      </c>
      <c r="E143" s="18">
        <v>24840166010490</v>
      </c>
      <c r="F143" t="s">
        <v>211</v>
      </c>
      <c r="G143" s="19">
        <v>2393</v>
      </c>
      <c r="H143" s="19">
        <v>851</v>
      </c>
      <c r="I143" s="15">
        <f t="shared" si="6"/>
        <v>0.35562055996656916</v>
      </c>
      <c r="J143" s="1">
        <v>0.7</v>
      </c>
      <c r="K143" s="12">
        <v>13.75</v>
      </c>
      <c r="L143" s="3">
        <f t="shared" si="7"/>
        <v>824.09999999999991</v>
      </c>
      <c r="M143" s="10">
        <f t="shared" si="8"/>
        <v>11331.374999999998</v>
      </c>
    </row>
    <row r="144" spans="1:13" x14ac:dyDescent="0.35">
      <c r="A144" s="17">
        <v>46054</v>
      </c>
      <c r="B144" s="16" t="s">
        <v>15</v>
      </c>
      <c r="C144" t="s">
        <v>279</v>
      </c>
      <c r="D144" s="16">
        <v>19671</v>
      </c>
      <c r="E144" s="18">
        <v>23049894000100</v>
      </c>
      <c r="F144" t="s">
        <v>280</v>
      </c>
      <c r="G144" s="19">
        <v>2212</v>
      </c>
      <c r="H144" s="19">
        <v>907</v>
      </c>
      <c r="I144" s="15">
        <f t="shared" si="6"/>
        <v>0.41003616636528029</v>
      </c>
      <c r="J144" s="1">
        <v>0.7</v>
      </c>
      <c r="K144" s="12">
        <v>13.75</v>
      </c>
      <c r="L144" s="3">
        <f t="shared" si="7"/>
        <v>641.39999999999986</v>
      </c>
      <c r="M144" s="10">
        <f t="shared" si="8"/>
        <v>8819.2499999999982</v>
      </c>
    </row>
    <row r="145" spans="1:13" x14ac:dyDescent="0.35">
      <c r="A145" s="17">
        <v>46054</v>
      </c>
      <c r="B145" s="16" t="s">
        <v>15</v>
      </c>
      <c r="C145" t="s">
        <v>294</v>
      </c>
      <c r="D145" s="16">
        <v>19524</v>
      </c>
      <c r="E145" s="18">
        <v>13647401000180</v>
      </c>
      <c r="F145" t="s">
        <v>295</v>
      </c>
      <c r="G145" s="19">
        <v>1883</v>
      </c>
      <c r="H145" s="19">
        <v>831</v>
      </c>
      <c r="I145" s="15">
        <f t="shared" si="6"/>
        <v>0.44131704726500265</v>
      </c>
      <c r="J145" s="1">
        <v>0.7</v>
      </c>
      <c r="K145" s="12">
        <v>13.75</v>
      </c>
      <c r="L145" s="3">
        <f t="shared" si="7"/>
        <v>487.09999999999991</v>
      </c>
      <c r="M145" s="10">
        <f t="shared" si="8"/>
        <v>6697.6249999999991</v>
      </c>
    </row>
    <row r="146" spans="1:13" x14ac:dyDescent="0.35">
      <c r="A146" s="17">
        <v>46054</v>
      </c>
      <c r="B146" s="16" t="s">
        <v>138</v>
      </c>
      <c r="C146" t="s">
        <v>139</v>
      </c>
      <c r="D146" s="16">
        <v>19940</v>
      </c>
      <c r="E146" s="18">
        <v>47677381000101</v>
      </c>
      <c r="F146" t="s">
        <v>140</v>
      </c>
      <c r="G146" s="19">
        <v>1825</v>
      </c>
      <c r="H146" s="19">
        <v>1056</v>
      </c>
      <c r="I146" s="15">
        <f t="shared" si="6"/>
        <v>0.57863013698630139</v>
      </c>
      <c r="J146" s="1">
        <v>0.7</v>
      </c>
      <c r="K146" s="12">
        <v>13.75</v>
      </c>
      <c r="L146" s="3">
        <f t="shared" si="7"/>
        <v>221.49999999999977</v>
      </c>
      <c r="M146" s="10">
        <f t="shared" si="8"/>
        <v>3045.6249999999968</v>
      </c>
    </row>
    <row r="147" spans="1:13" x14ac:dyDescent="0.35">
      <c r="A147" s="17">
        <v>46054</v>
      </c>
      <c r="B147" s="16" t="s">
        <v>181</v>
      </c>
      <c r="C147" t="s">
        <v>182</v>
      </c>
      <c r="D147" s="16">
        <v>19752</v>
      </c>
      <c r="E147" s="18">
        <v>22045671000101</v>
      </c>
      <c r="F147" t="s">
        <v>183</v>
      </c>
      <c r="G147" s="19">
        <v>1006</v>
      </c>
      <c r="H147" s="19">
        <v>530</v>
      </c>
      <c r="I147" s="15">
        <f t="shared" si="6"/>
        <v>0.52683896620278325</v>
      </c>
      <c r="J147" s="1">
        <v>0.7</v>
      </c>
      <c r="K147" s="12">
        <v>13.75</v>
      </c>
      <c r="L147" s="3">
        <f t="shared" si="7"/>
        <v>174.20000000000005</v>
      </c>
      <c r="M147" s="10">
        <f t="shared" si="8"/>
        <v>2395.2500000000005</v>
      </c>
    </row>
    <row r="148" spans="1:13" x14ac:dyDescent="0.35">
      <c r="A148" s="17">
        <v>46054</v>
      </c>
      <c r="B148" s="16" t="s">
        <v>40</v>
      </c>
      <c r="C148" t="s">
        <v>41</v>
      </c>
      <c r="D148" s="16">
        <v>19787</v>
      </c>
      <c r="E148" s="18">
        <v>31010714000104</v>
      </c>
      <c r="F148" t="s">
        <v>42</v>
      </c>
      <c r="G148" s="19">
        <v>804</v>
      </c>
      <c r="H148" s="19">
        <v>474</v>
      </c>
      <c r="I148" s="15">
        <f t="shared" si="6"/>
        <v>0.58955223880597019</v>
      </c>
      <c r="J148" s="1">
        <v>0.7</v>
      </c>
      <c r="K148" s="12">
        <v>13.75</v>
      </c>
      <c r="L148" s="3">
        <f t="shared" si="7"/>
        <v>88.799999999999841</v>
      </c>
      <c r="M148" s="10">
        <f t="shared" si="8"/>
        <v>1220.9999999999977</v>
      </c>
    </row>
    <row r="149" spans="1:13" x14ac:dyDescent="0.35">
      <c r="A149" s="17">
        <v>46054</v>
      </c>
      <c r="B149" s="16" t="s">
        <v>40</v>
      </c>
      <c r="C149" t="s">
        <v>41</v>
      </c>
      <c r="D149" s="16">
        <v>19868</v>
      </c>
      <c r="E149" s="18">
        <v>60067492000164</v>
      </c>
      <c r="F149" t="s">
        <v>43</v>
      </c>
      <c r="G149" s="19">
        <v>1368</v>
      </c>
      <c r="H149" s="19">
        <v>1005</v>
      </c>
      <c r="I149" s="15">
        <f t="shared" si="6"/>
        <v>0.73464912280701755</v>
      </c>
      <c r="J149" s="1">
        <v>0.7</v>
      </c>
      <c r="K149" s="12">
        <v>13.75</v>
      </c>
      <c r="L149" s="3">
        <f t="shared" si="7"/>
        <v>-47.399999999999977</v>
      </c>
      <c r="M149" s="10">
        <f t="shared" si="8"/>
        <v>-651.74999999999966</v>
      </c>
    </row>
    <row r="150" spans="1:13" x14ac:dyDescent="0.35">
      <c r="A150" s="17">
        <v>46054</v>
      </c>
      <c r="B150" s="16" t="s">
        <v>69</v>
      </c>
      <c r="C150" t="s">
        <v>70</v>
      </c>
      <c r="D150" s="16">
        <v>19883</v>
      </c>
      <c r="E150" s="18">
        <v>39935443000100</v>
      </c>
      <c r="F150" t="s">
        <v>71</v>
      </c>
      <c r="G150" s="19">
        <v>1454</v>
      </c>
      <c r="H150" s="19">
        <v>567</v>
      </c>
      <c r="I150" s="15">
        <f t="shared" si="6"/>
        <v>0.38995873452544705</v>
      </c>
      <c r="J150" s="1">
        <v>0.7</v>
      </c>
      <c r="K150" s="12">
        <v>13.75</v>
      </c>
      <c r="L150" s="3">
        <f t="shared" si="7"/>
        <v>450.79999999999995</v>
      </c>
      <c r="M150" s="10">
        <f t="shared" si="8"/>
        <v>6198.4999999999991</v>
      </c>
    </row>
    <row r="151" spans="1:13" x14ac:dyDescent="0.35">
      <c r="A151" s="17">
        <v>46054</v>
      </c>
      <c r="B151" s="16" t="s">
        <v>69</v>
      </c>
      <c r="C151" t="s">
        <v>306</v>
      </c>
      <c r="D151" s="16">
        <v>19956</v>
      </c>
      <c r="E151" s="18">
        <v>56195938000169</v>
      </c>
      <c r="F151" t="s">
        <v>307</v>
      </c>
      <c r="G151" s="19">
        <v>810</v>
      </c>
      <c r="H151" s="19">
        <v>358</v>
      </c>
      <c r="I151" s="15">
        <f t="shared" si="6"/>
        <v>0.44197530864197532</v>
      </c>
      <c r="J151" s="1">
        <v>0.7</v>
      </c>
      <c r="K151" s="12">
        <v>13.75</v>
      </c>
      <c r="L151" s="3">
        <f t="shared" si="7"/>
        <v>209</v>
      </c>
      <c r="M151" s="10">
        <f t="shared" si="8"/>
        <v>2873.75</v>
      </c>
    </row>
    <row r="152" spans="1:13" x14ac:dyDescent="0.35">
      <c r="A152" s="17">
        <v>46054</v>
      </c>
      <c r="B152" s="16" t="s">
        <v>69</v>
      </c>
      <c r="C152" t="s">
        <v>161</v>
      </c>
      <c r="D152" s="16">
        <v>19933</v>
      </c>
      <c r="E152" s="18">
        <v>46091372000171</v>
      </c>
      <c r="F152" t="s">
        <v>162</v>
      </c>
      <c r="G152" s="19">
        <v>451</v>
      </c>
      <c r="H152" s="19">
        <v>119</v>
      </c>
      <c r="I152" s="15">
        <f t="shared" si="6"/>
        <v>0.26385809312638581</v>
      </c>
      <c r="J152" s="1">
        <v>0.7</v>
      </c>
      <c r="K152" s="12">
        <v>13.75</v>
      </c>
      <c r="L152" s="3">
        <f t="shared" si="7"/>
        <v>196.7</v>
      </c>
      <c r="M152" s="10">
        <f t="shared" si="8"/>
        <v>2704.625</v>
      </c>
    </row>
    <row r="153" spans="1:13" x14ac:dyDescent="0.35">
      <c r="A153" s="17">
        <v>46054</v>
      </c>
      <c r="B153" s="16" t="s">
        <v>69</v>
      </c>
      <c r="C153" t="s">
        <v>173</v>
      </c>
      <c r="D153" s="16">
        <v>19540</v>
      </c>
      <c r="E153" s="18">
        <v>10689976000177</v>
      </c>
      <c r="F153" t="s">
        <v>174</v>
      </c>
      <c r="G153" s="19">
        <v>3358</v>
      </c>
      <c r="H153" s="19">
        <v>1372</v>
      </c>
      <c r="I153" s="15">
        <f t="shared" si="6"/>
        <v>0.40857653365098273</v>
      </c>
      <c r="J153" s="1">
        <v>0.7</v>
      </c>
      <c r="K153" s="12">
        <v>13.75</v>
      </c>
      <c r="L153" s="3">
        <f t="shared" si="7"/>
        <v>978.59999999999991</v>
      </c>
      <c r="M153" s="10">
        <f t="shared" si="8"/>
        <v>13455.749999999998</v>
      </c>
    </row>
    <row r="154" spans="1:13" x14ac:dyDescent="0.35">
      <c r="A154" s="17">
        <v>46054</v>
      </c>
      <c r="B154" s="16" t="s">
        <v>69</v>
      </c>
      <c r="C154" t="s">
        <v>173</v>
      </c>
      <c r="D154" s="16">
        <v>19788</v>
      </c>
      <c r="E154" s="18">
        <v>31613281000181</v>
      </c>
      <c r="F154" t="s">
        <v>175</v>
      </c>
      <c r="G154" s="19">
        <v>3511</v>
      </c>
      <c r="H154" s="19">
        <v>1180</v>
      </c>
      <c r="I154" s="15">
        <f t="shared" si="6"/>
        <v>0.33608658501851324</v>
      </c>
      <c r="J154" s="1">
        <v>0.7</v>
      </c>
      <c r="K154" s="12">
        <v>13.75</v>
      </c>
      <c r="L154" s="3">
        <f t="shared" si="7"/>
        <v>1277.6999999999998</v>
      </c>
      <c r="M154" s="10">
        <f t="shared" si="8"/>
        <v>17568.374999999996</v>
      </c>
    </row>
    <row r="155" spans="1:13" x14ac:dyDescent="0.35">
      <c r="A155" s="17">
        <v>46054</v>
      </c>
      <c r="B155" s="16" t="s">
        <v>69</v>
      </c>
      <c r="C155" t="s">
        <v>173</v>
      </c>
      <c r="D155" s="16">
        <v>19842</v>
      </c>
      <c r="E155" s="18">
        <v>34924567000176</v>
      </c>
      <c r="F155" t="s">
        <v>176</v>
      </c>
      <c r="G155" s="19">
        <v>2721</v>
      </c>
      <c r="H155" s="19">
        <v>887</v>
      </c>
      <c r="I155" s="15">
        <f t="shared" si="6"/>
        <v>0.32598309445056967</v>
      </c>
      <c r="J155" s="1">
        <v>0.7</v>
      </c>
      <c r="K155" s="12">
        <v>13.75</v>
      </c>
      <c r="L155" s="3">
        <f t="shared" si="7"/>
        <v>1017.6999999999998</v>
      </c>
      <c r="M155" s="10">
        <f t="shared" si="8"/>
        <v>13993.374999999998</v>
      </c>
    </row>
    <row r="156" spans="1:13" x14ac:dyDescent="0.35">
      <c r="A156" s="17">
        <v>46054</v>
      </c>
      <c r="B156" s="16" t="s">
        <v>69</v>
      </c>
      <c r="C156" t="s">
        <v>173</v>
      </c>
      <c r="D156" s="16">
        <v>19874</v>
      </c>
      <c r="E156" s="18">
        <v>36860191000109</v>
      </c>
      <c r="F156" t="s">
        <v>177</v>
      </c>
      <c r="G156" s="19">
        <v>3005</v>
      </c>
      <c r="H156" s="19">
        <v>1076</v>
      </c>
      <c r="I156" s="15">
        <f t="shared" si="6"/>
        <v>0.35806988352745422</v>
      </c>
      <c r="J156" s="1">
        <v>0.7</v>
      </c>
      <c r="K156" s="12">
        <v>13.75</v>
      </c>
      <c r="L156" s="3">
        <f t="shared" si="7"/>
        <v>1027.5</v>
      </c>
      <c r="M156" s="10">
        <f t="shared" si="8"/>
        <v>14128.125</v>
      </c>
    </row>
    <row r="157" spans="1:13" x14ac:dyDescent="0.35">
      <c r="A157" s="17">
        <v>46054</v>
      </c>
      <c r="B157" s="16" t="s">
        <v>69</v>
      </c>
      <c r="C157" t="s">
        <v>173</v>
      </c>
      <c r="D157" s="16">
        <v>19947</v>
      </c>
      <c r="E157" s="18">
        <v>48557307000114</v>
      </c>
      <c r="F157" t="s">
        <v>178</v>
      </c>
      <c r="G157" s="19">
        <v>2639</v>
      </c>
      <c r="H157" s="19">
        <v>870</v>
      </c>
      <c r="I157" s="15">
        <f t="shared" si="6"/>
        <v>0.32967032967032966</v>
      </c>
      <c r="J157" s="1">
        <v>0.7</v>
      </c>
      <c r="K157" s="12">
        <v>13.75</v>
      </c>
      <c r="L157" s="3">
        <f t="shared" si="7"/>
        <v>977.3</v>
      </c>
      <c r="M157" s="10">
        <f t="shared" si="8"/>
        <v>13437.875</v>
      </c>
    </row>
    <row r="158" spans="1:13" x14ac:dyDescent="0.35">
      <c r="A158" s="17">
        <v>46054</v>
      </c>
      <c r="B158" s="16" t="s">
        <v>3</v>
      </c>
      <c r="C158" t="s">
        <v>4</v>
      </c>
      <c r="D158" s="16">
        <v>19928</v>
      </c>
      <c r="E158" s="18">
        <v>45991327000100</v>
      </c>
      <c r="F158" t="s">
        <v>5</v>
      </c>
      <c r="G158" s="19">
        <v>1549</v>
      </c>
      <c r="H158" s="19">
        <v>798</v>
      </c>
      <c r="I158" s="15">
        <f t="shared" si="6"/>
        <v>0.51517107811491281</v>
      </c>
      <c r="J158" s="1">
        <v>0.7</v>
      </c>
      <c r="K158" s="12">
        <v>13.75</v>
      </c>
      <c r="L158" s="3">
        <f t="shared" si="7"/>
        <v>286.29999999999995</v>
      </c>
      <c r="M158" s="10">
        <f t="shared" si="8"/>
        <v>3936.6249999999995</v>
      </c>
    </row>
    <row r="159" spans="1:13" x14ac:dyDescent="0.35">
      <c r="A159" s="17">
        <v>46054</v>
      </c>
      <c r="B159" s="16" t="s">
        <v>3</v>
      </c>
      <c r="C159" t="s">
        <v>10</v>
      </c>
      <c r="D159" s="16">
        <v>19948</v>
      </c>
      <c r="E159" s="18">
        <v>50668787000132</v>
      </c>
      <c r="F159" t="s">
        <v>11</v>
      </c>
      <c r="G159" s="19">
        <v>1221</v>
      </c>
      <c r="H159" s="19">
        <v>471</v>
      </c>
      <c r="I159" s="15">
        <f t="shared" si="6"/>
        <v>0.38574938574938578</v>
      </c>
      <c r="J159" s="1">
        <v>0.7</v>
      </c>
      <c r="K159" s="12">
        <v>13.75</v>
      </c>
      <c r="L159" s="3">
        <f t="shared" si="7"/>
        <v>383.69999999999993</v>
      </c>
      <c r="M159" s="10">
        <f t="shared" si="8"/>
        <v>5275.8749999999991</v>
      </c>
    </row>
    <row r="160" spans="1:13" x14ac:dyDescent="0.35">
      <c r="A160" s="17">
        <v>46054</v>
      </c>
      <c r="B160" s="16" t="s">
        <v>3</v>
      </c>
      <c r="C160" t="s">
        <v>12</v>
      </c>
      <c r="D160" s="16">
        <v>19901</v>
      </c>
      <c r="E160" s="18">
        <v>42741697000100</v>
      </c>
      <c r="F160" t="s">
        <v>13</v>
      </c>
      <c r="G160" s="19">
        <v>825</v>
      </c>
      <c r="H160" s="19">
        <v>275</v>
      </c>
      <c r="I160" s="15">
        <f t="shared" si="6"/>
        <v>0.33333333333333331</v>
      </c>
      <c r="J160" s="1">
        <v>0.7</v>
      </c>
      <c r="K160" s="12">
        <v>13.75</v>
      </c>
      <c r="L160" s="3">
        <f t="shared" si="7"/>
        <v>302.5</v>
      </c>
      <c r="M160" s="10">
        <f t="shared" si="8"/>
        <v>4159.375</v>
      </c>
    </row>
    <row r="161" spans="1:13" x14ac:dyDescent="0.35">
      <c r="A161" s="17">
        <v>46054</v>
      </c>
      <c r="B161" s="16" t="s">
        <v>3</v>
      </c>
      <c r="C161" t="s">
        <v>17</v>
      </c>
      <c r="D161" s="16">
        <v>19715</v>
      </c>
      <c r="E161" s="18">
        <v>26174368000160</v>
      </c>
      <c r="F161" t="s">
        <v>18</v>
      </c>
      <c r="G161" s="19">
        <v>1723</v>
      </c>
      <c r="H161" s="19">
        <v>933</v>
      </c>
      <c r="I161" s="15">
        <f t="shared" si="6"/>
        <v>0.54149738827626237</v>
      </c>
      <c r="J161" s="1">
        <v>0.7</v>
      </c>
      <c r="K161" s="12">
        <v>13.75</v>
      </c>
      <c r="L161" s="3">
        <f t="shared" si="7"/>
        <v>273.09999999999968</v>
      </c>
      <c r="M161" s="10">
        <f t="shared" si="8"/>
        <v>3755.1249999999955</v>
      </c>
    </row>
    <row r="162" spans="1:13" x14ac:dyDescent="0.35">
      <c r="A162" s="17">
        <v>46054</v>
      </c>
      <c r="B162" s="16" t="s">
        <v>3</v>
      </c>
      <c r="C162" t="s">
        <v>24</v>
      </c>
      <c r="D162" s="16">
        <v>19805</v>
      </c>
      <c r="E162" s="18">
        <v>55056005001280</v>
      </c>
      <c r="F162" t="s">
        <v>25</v>
      </c>
      <c r="G162" s="19">
        <v>1413</v>
      </c>
      <c r="H162" s="19">
        <v>682</v>
      </c>
      <c r="I162" s="15">
        <f t="shared" si="6"/>
        <v>0.48266100495399861</v>
      </c>
      <c r="J162" s="1">
        <v>0.7</v>
      </c>
      <c r="K162" s="12">
        <v>13.75</v>
      </c>
      <c r="L162" s="3">
        <f t="shared" si="7"/>
        <v>307.09999999999991</v>
      </c>
      <c r="M162" s="10">
        <f t="shared" si="8"/>
        <v>4222.6249999999991</v>
      </c>
    </row>
    <row r="163" spans="1:13" x14ac:dyDescent="0.35">
      <c r="A163" s="17">
        <v>46054</v>
      </c>
      <c r="B163" s="16" t="s">
        <v>3</v>
      </c>
      <c r="C163" t="s">
        <v>44</v>
      </c>
      <c r="D163" s="16">
        <v>19930</v>
      </c>
      <c r="E163" s="18">
        <v>45614459000113</v>
      </c>
      <c r="F163" t="s">
        <v>45</v>
      </c>
      <c r="G163" s="19">
        <v>1950</v>
      </c>
      <c r="H163" s="19">
        <v>919</v>
      </c>
      <c r="I163" s="15">
        <f t="shared" si="6"/>
        <v>0.47128205128205131</v>
      </c>
      <c r="J163" s="1">
        <v>0.7</v>
      </c>
      <c r="K163" s="12">
        <v>13.75</v>
      </c>
      <c r="L163" s="3">
        <f t="shared" si="7"/>
        <v>445.99999999999977</v>
      </c>
      <c r="M163" s="10">
        <f t="shared" si="8"/>
        <v>6132.4999999999973</v>
      </c>
    </row>
    <row r="164" spans="1:13" x14ac:dyDescent="0.35">
      <c r="A164" s="17">
        <v>46054</v>
      </c>
      <c r="B164" s="16" t="s">
        <v>3</v>
      </c>
      <c r="C164" t="s">
        <v>62</v>
      </c>
      <c r="D164" s="16">
        <v>19616</v>
      </c>
      <c r="E164" s="18">
        <v>52739207000186</v>
      </c>
      <c r="F164" t="s">
        <v>64</v>
      </c>
      <c r="G164" s="19">
        <v>3273</v>
      </c>
      <c r="H164" s="19">
        <v>1284</v>
      </c>
      <c r="I164" s="15">
        <f t="shared" si="6"/>
        <v>0.39230064161319889</v>
      </c>
      <c r="J164" s="1">
        <v>0.7</v>
      </c>
      <c r="K164" s="12">
        <v>13.75</v>
      </c>
      <c r="L164" s="3">
        <f t="shared" si="7"/>
        <v>1007.0999999999999</v>
      </c>
      <c r="M164" s="10">
        <f t="shared" si="8"/>
        <v>13847.624999999998</v>
      </c>
    </row>
    <row r="165" spans="1:13" x14ac:dyDescent="0.35">
      <c r="A165" s="17">
        <v>46054</v>
      </c>
      <c r="B165" s="16" t="s">
        <v>3</v>
      </c>
      <c r="C165" t="s">
        <v>62</v>
      </c>
      <c r="D165" s="16">
        <v>19688</v>
      </c>
      <c r="E165" s="18">
        <v>52739920000120</v>
      </c>
      <c r="F165" t="s">
        <v>65</v>
      </c>
      <c r="G165" s="19">
        <v>1566</v>
      </c>
      <c r="H165" s="19">
        <v>548</v>
      </c>
      <c r="I165" s="15">
        <f t="shared" si="6"/>
        <v>0.34993614303959131</v>
      </c>
      <c r="J165" s="1">
        <v>0.7</v>
      </c>
      <c r="K165" s="12">
        <v>13.75</v>
      </c>
      <c r="L165" s="3">
        <f t="shared" si="7"/>
        <v>548.19999999999982</v>
      </c>
      <c r="M165" s="10">
        <f t="shared" si="8"/>
        <v>7537.7499999999973</v>
      </c>
    </row>
    <row r="166" spans="1:13" x14ac:dyDescent="0.35">
      <c r="A166" s="17">
        <v>46054</v>
      </c>
      <c r="B166" s="16" t="s">
        <v>3</v>
      </c>
      <c r="C166" t="s">
        <v>62</v>
      </c>
      <c r="D166" s="16">
        <v>19696</v>
      </c>
      <c r="E166" s="18">
        <v>39735734000154</v>
      </c>
      <c r="F166" t="s">
        <v>63</v>
      </c>
      <c r="G166" s="19">
        <v>873</v>
      </c>
      <c r="H166" s="19">
        <v>266</v>
      </c>
      <c r="I166" s="15">
        <f t="shared" si="6"/>
        <v>0.30469644902634596</v>
      </c>
      <c r="J166" s="1">
        <v>0.7</v>
      </c>
      <c r="K166" s="12">
        <v>13.75</v>
      </c>
      <c r="L166" s="3">
        <f t="shared" si="7"/>
        <v>345.09999999999991</v>
      </c>
      <c r="M166" s="10">
        <f t="shared" si="8"/>
        <v>4745.1249999999991</v>
      </c>
    </row>
    <row r="167" spans="1:13" x14ac:dyDescent="0.35">
      <c r="A167" s="17">
        <v>46054</v>
      </c>
      <c r="B167" s="16" t="s">
        <v>3</v>
      </c>
      <c r="C167" t="s">
        <v>106</v>
      </c>
      <c r="D167" s="16">
        <v>19877</v>
      </c>
      <c r="E167" s="18">
        <v>55056005001442</v>
      </c>
      <c r="F167" t="s">
        <v>107</v>
      </c>
      <c r="G167" s="19">
        <v>1847</v>
      </c>
      <c r="H167" s="19">
        <v>694</v>
      </c>
      <c r="I167" s="15">
        <f t="shared" si="6"/>
        <v>0.37574445046020571</v>
      </c>
      <c r="J167" s="1">
        <v>0.7</v>
      </c>
      <c r="K167" s="12">
        <v>13.75</v>
      </c>
      <c r="L167" s="3">
        <f t="shared" si="7"/>
        <v>598.89999999999986</v>
      </c>
      <c r="M167" s="10">
        <f t="shared" si="8"/>
        <v>8234.8749999999982</v>
      </c>
    </row>
    <row r="168" spans="1:13" x14ac:dyDescent="0.35">
      <c r="A168" s="17">
        <v>46054</v>
      </c>
      <c r="B168" s="16" t="s">
        <v>3</v>
      </c>
      <c r="C168" t="s">
        <v>108</v>
      </c>
      <c r="D168" s="16">
        <v>19884</v>
      </c>
      <c r="E168" s="18">
        <v>52912647000436</v>
      </c>
      <c r="F168" t="s">
        <v>109</v>
      </c>
      <c r="G168" s="19">
        <v>1460</v>
      </c>
      <c r="H168" s="19">
        <v>475</v>
      </c>
      <c r="I168" s="15">
        <f t="shared" si="6"/>
        <v>0.32534246575342468</v>
      </c>
      <c r="J168" s="1">
        <v>0.7</v>
      </c>
      <c r="K168" s="12">
        <v>13.75</v>
      </c>
      <c r="L168" s="3">
        <f t="shared" si="7"/>
        <v>546.99999999999989</v>
      </c>
      <c r="M168" s="10">
        <f t="shared" si="8"/>
        <v>7521.2499999999982</v>
      </c>
    </row>
    <row r="169" spans="1:13" x14ac:dyDescent="0.35">
      <c r="A169" s="17">
        <v>46054</v>
      </c>
      <c r="B169" s="16" t="s">
        <v>3</v>
      </c>
      <c r="C169" t="s">
        <v>317</v>
      </c>
      <c r="D169" s="16">
        <v>19745</v>
      </c>
      <c r="E169" s="18">
        <v>55056005000632</v>
      </c>
      <c r="F169" t="s">
        <v>152</v>
      </c>
      <c r="G169" s="19">
        <v>1431</v>
      </c>
      <c r="H169" s="19">
        <v>606</v>
      </c>
      <c r="I169" s="15">
        <f t="shared" si="6"/>
        <v>0.42348008385744235</v>
      </c>
      <c r="J169" s="1">
        <v>0.7</v>
      </c>
      <c r="K169" s="12">
        <v>13.75</v>
      </c>
      <c r="L169" s="3">
        <f t="shared" si="7"/>
        <v>395.69999999999993</v>
      </c>
      <c r="M169" s="10">
        <f t="shared" si="8"/>
        <v>5440.8749999999991</v>
      </c>
    </row>
    <row r="170" spans="1:13" x14ac:dyDescent="0.35">
      <c r="A170" s="17">
        <v>46054</v>
      </c>
      <c r="B170" s="16" t="s">
        <v>3</v>
      </c>
      <c r="C170" t="s">
        <v>163</v>
      </c>
      <c r="D170" s="16">
        <v>19761</v>
      </c>
      <c r="E170" s="18">
        <v>37557897000169</v>
      </c>
      <c r="F170" t="s">
        <v>164</v>
      </c>
      <c r="G170" s="19">
        <v>1221</v>
      </c>
      <c r="H170" s="19">
        <v>487</v>
      </c>
      <c r="I170" s="15">
        <f t="shared" si="6"/>
        <v>0.39885339885339888</v>
      </c>
      <c r="J170" s="1">
        <v>0.7</v>
      </c>
      <c r="K170" s="12">
        <v>13.75</v>
      </c>
      <c r="L170" s="3">
        <f t="shared" si="7"/>
        <v>367.69999999999993</v>
      </c>
      <c r="M170" s="10">
        <f t="shared" si="8"/>
        <v>5055.8749999999991</v>
      </c>
    </row>
    <row r="171" spans="1:13" x14ac:dyDescent="0.35">
      <c r="A171" s="17">
        <v>46054</v>
      </c>
      <c r="B171" s="16" t="s">
        <v>3</v>
      </c>
      <c r="C171" t="s">
        <v>165</v>
      </c>
      <c r="D171" s="16">
        <v>19578</v>
      </c>
      <c r="E171" s="18">
        <v>15811307000220</v>
      </c>
      <c r="F171" t="s">
        <v>166</v>
      </c>
      <c r="G171" s="19">
        <v>1878</v>
      </c>
      <c r="H171" s="19">
        <v>677</v>
      </c>
      <c r="I171" s="15">
        <f t="shared" si="6"/>
        <v>0.36048988285410011</v>
      </c>
      <c r="J171" s="1">
        <v>0.7</v>
      </c>
      <c r="K171" s="12">
        <v>13.75</v>
      </c>
      <c r="L171" s="3">
        <f t="shared" si="7"/>
        <v>637.59999999999991</v>
      </c>
      <c r="M171" s="10">
        <f t="shared" si="8"/>
        <v>8766.9999999999982</v>
      </c>
    </row>
    <row r="172" spans="1:13" x14ac:dyDescent="0.35">
      <c r="A172" s="17">
        <v>46054</v>
      </c>
      <c r="B172" s="16" t="s">
        <v>3</v>
      </c>
      <c r="C172" t="s">
        <v>191</v>
      </c>
      <c r="D172" s="16">
        <v>19832</v>
      </c>
      <c r="E172" s="18">
        <v>57674702000178</v>
      </c>
      <c r="F172" t="s">
        <v>192</v>
      </c>
      <c r="G172" s="19">
        <v>929</v>
      </c>
      <c r="H172" s="19">
        <v>329</v>
      </c>
      <c r="I172" s="15">
        <f t="shared" si="6"/>
        <v>0.35414424111948334</v>
      </c>
      <c r="J172" s="1">
        <v>0.7</v>
      </c>
      <c r="K172" s="12">
        <v>13.75</v>
      </c>
      <c r="L172" s="3">
        <f t="shared" si="7"/>
        <v>321.29999999999995</v>
      </c>
      <c r="M172" s="10">
        <f t="shared" si="8"/>
        <v>4417.8749999999991</v>
      </c>
    </row>
    <row r="173" spans="1:13" x14ac:dyDescent="0.35">
      <c r="A173" s="17">
        <v>46054</v>
      </c>
      <c r="B173" s="16" t="s">
        <v>3</v>
      </c>
      <c r="C173" t="s">
        <v>319</v>
      </c>
      <c r="D173" s="16">
        <v>19847</v>
      </c>
      <c r="E173" s="18">
        <v>55056005000390</v>
      </c>
      <c r="F173" t="s">
        <v>236</v>
      </c>
      <c r="G173" s="19">
        <v>1229</v>
      </c>
      <c r="H173" s="19">
        <v>390</v>
      </c>
      <c r="I173" s="15">
        <f t="shared" si="6"/>
        <v>0.31733116354759966</v>
      </c>
      <c r="J173" s="1">
        <v>0.7</v>
      </c>
      <c r="K173" s="12">
        <v>13.75</v>
      </c>
      <c r="L173" s="3">
        <f t="shared" si="7"/>
        <v>470.30000000000007</v>
      </c>
      <c r="M173" s="10">
        <f t="shared" si="8"/>
        <v>6466.6250000000009</v>
      </c>
    </row>
    <row r="174" spans="1:13" x14ac:dyDescent="0.35">
      <c r="A174" s="17">
        <v>46054</v>
      </c>
      <c r="B174" s="16" t="s">
        <v>3</v>
      </c>
      <c r="C174" t="s">
        <v>237</v>
      </c>
      <c r="D174" s="16">
        <v>19708</v>
      </c>
      <c r="E174" s="18">
        <v>55056005000551</v>
      </c>
      <c r="F174" t="s">
        <v>238</v>
      </c>
      <c r="G174" s="19">
        <v>2053</v>
      </c>
      <c r="H174" s="19">
        <v>821</v>
      </c>
      <c r="I174" s="15">
        <f t="shared" si="6"/>
        <v>0.39990258158792014</v>
      </c>
      <c r="J174" s="1">
        <v>0.7</v>
      </c>
      <c r="K174" s="12">
        <v>13.75</v>
      </c>
      <c r="L174" s="3">
        <f t="shared" si="7"/>
        <v>616.09999999999968</v>
      </c>
      <c r="M174" s="10">
        <f t="shared" si="8"/>
        <v>8471.3749999999964</v>
      </c>
    </row>
    <row r="175" spans="1:13" x14ac:dyDescent="0.35">
      <c r="A175" s="17">
        <v>46054</v>
      </c>
      <c r="B175" s="16" t="s">
        <v>3</v>
      </c>
      <c r="C175" t="s">
        <v>320</v>
      </c>
      <c r="D175" s="16">
        <v>19820</v>
      </c>
      <c r="E175" s="18">
        <v>55056005001108</v>
      </c>
      <c r="F175" t="s">
        <v>240</v>
      </c>
      <c r="G175" s="19">
        <v>1113</v>
      </c>
      <c r="H175" s="19">
        <v>386</v>
      </c>
      <c r="I175" s="15">
        <f t="shared" si="6"/>
        <v>0.34681042228212039</v>
      </c>
      <c r="J175" s="1">
        <v>0.7</v>
      </c>
      <c r="K175" s="12">
        <v>13.75</v>
      </c>
      <c r="L175" s="3">
        <f t="shared" si="7"/>
        <v>393.1</v>
      </c>
      <c r="M175" s="10">
        <f t="shared" si="8"/>
        <v>5405.125</v>
      </c>
    </row>
    <row r="176" spans="1:13" x14ac:dyDescent="0.35">
      <c r="A176" s="17">
        <v>46054</v>
      </c>
      <c r="B176" s="16" t="s">
        <v>3</v>
      </c>
      <c r="C176" t="s">
        <v>320</v>
      </c>
      <c r="D176" s="16">
        <v>19825</v>
      </c>
      <c r="E176" s="18">
        <v>55056005000209</v>
      </c>
      <c r="F176" t="s">
        <v>239</v>
      </c>
      <c r="G176" s="19">
        <v>1226</v>
      </c>
      <c r="H176" s="19">
        <v>437</v>
      </c>
      <c r="I176" s="15">
        <f t="shared" si="6"/>
        <v>0.35644371941272429</v>
      </c>
      <c r="J176" s="1">
        <v>0.7</v>
      </c>
      <c r="K176" s="12">
        <v>13.75</v>
      </c>
      <c r="L176" s="3">
        <f t="shared" si="7"/>
        <v>421.19999999999993</v>
      </c>
      <c r="M176" s="10">
        <f t="shared" si="8"/>
        <v>5791.4999999999991</v>
      </c>
    </row>
    <row r="177" spans="1:13" x14ac:dyDescent="0.35">
      <c r="A177" s="17">
        <v>46054</v>
      </c>
      <c r="B177" s="16" t="s">
        <v>3</v>
      </c>
      <c r="C177" t="s">
        <v>321</v>
      </c>
      <c r="D177" s="16">
        <v>19808</v>
      </c>
      <c r="E177" s="18">
        <v>55056005000985</v>
      </c>
      <c r="F177" t="s">
        <v>241</v>
      </c>
      <c r="G177" s="19">
        <v>1198</v>
      </c>
      <c r="H177" s="19">
        <v>360</v>
      </c>
      <c r="I177" s="15">
        <f t="shared" ref="I177:I201" si="9">H177/G177</f>
        <v>0.30050083472454092</v>
      </c>
      <c r="J177" s="1">
        <v>0.7</v>
      </c>
      <c r="K177" s="12">
        <v>13.75</v>
      </c>
      <c r="L177" s="3">
        <f t="shared" si="7"/>
        <v>478.5999999999998</v>
      </c>
      <c r="M177" s="10">
        <f t="shared" si="8"/>
        <v>6580.7499999999973</v>
      </c>
    </row>
    <row r="178" spans="1:13" x14ac:dyDescent="0.35">
      <c r="A178" s="17">
        <v>46054</v>
      </c>
      <c r="B178" s="16" t="s">
        <v>3</v>
      </c>
      <c r="C178" t="s">
        <v>246</v>
      </c>
      <c r="D178" s="16">
        <v>19572</v>
      </c>
      <c r="E178" s="18">
        <v>15811307000140</v>
      </c>
      <c r="F178" t="s">
        <v>247</v>
      </c>
      <c r="G178" s="19">
        <v>3981</v>
      </c>
      <c r="H178" s="19">
        <v>1813</v>
      </c>
      <c r="I178" s="15">
        <f t="shared" si="9"/>
        <v>0.45541321276061292</v>
      </c>
      <c r="J178" s="1">
        <v>0.7</v>
      </c>
      <c r="K178" s="12">
        <v>13.75</v>
      </c>
      <c r="L178" s="3">
        <f t="shared" si="7"/>
        <v>973.69999999999982</v>
      </c>
      <c r="M178" s="10">
        <f t="shared" si="8"/>
        <v>13388.374999999998</v>
      </c>
    </row>
    <row r="179" spans="1:13" x14ac:dyDescent="0.35">
      <c r="A179" s="17">
        <v>46054</v>
      </c>
      <c r="B179" s="16" t="s">
        <v>3</v>
      </c>
      <c r="C179" t="s">
        <v>246</v>
      </c>
      <c r="D179" s="16">
        <v>19579</v>
      </c>
      <c r="E179" s="18">
        <v>23104950000757</v>
      </c>
      <c r="F179" t="s">
        <v>252</v>
      </c>
      <c r="G179" s="19">
        <v>1336</v>
      </c>
      <c r="H179" s="19">
        <v>473</v>
      </c>
      <c r="I179" s="15">
        <f t="shared" si="9"/>
        <v>0.35404191616766467</v>
      </c>
      <c r="J179" s="1">
        <v>0.7</v>
      </c>
      <c r="K179" s="12">
        <v>13.75</v>
      </c>
      <c r="L179" s="3">
        <f t="shared" si="7"/>
        <v>462.19999999999993</v>
      </c>
      <c r="M179" s="10">
        <f t="shared" si="8"/>
        <v>6355.2499999999991</v>
      </c>
    </row>
    <row r="180" spans="1:13" x14ac:dyDescent="0.35">
      <c r="A180" s="17">
        <v>46054</v>
      </c>
      <c r="B180" s="16" t="s">
        <v>3</v>
      </c>
      <c r="C180" t="s">
        <v>246</v>
      </c>
      <c r="D180" s="16">
        <v>19674</v>
      </c>
      <c r="E180" s="18">
        <v>23104950000161</v>
      </c>
      <c r="F180" t="s">
        <v>249</v>
      </c>
      <c r="G180" s="19">
        <v>1790</v>
      </c>
      <c r="H180" s="19">
        <v>619</v>
      </c>
      <c r="I180" s="15">
        <f t="shared" si="9"/>
        <v>0.34581005586592178</v>
      </c>
      <c r="J180" s="1">
        <v>0.7</v>
      </c>
      <c r="K180" s="12">
        <v>13.75</v>
      </c>
      <c r="L180" s="3">
        <f t="shared" si="7"/>
        <v>633.99999999999977</v>
      </c>
      <c r="M180" s="10">
        <f t="shared" si="8"/>
        <v>8717.4999999999964</v>
      </c>
    </row>
    <row r="181" spans="1:13" x14ac:dyDescent="0.35">
      <c r="A181" s="17">
        <v>46054</v>
      </c>
      <c r="B181" s="16" t="s">
        <v>3</v>
      </c>
      <c r="C181" t="s">
        <v>246</v>
      </c>
      <c r="D181" s="16">
        <v>19710</v>
      </c>
      <c r="E181" s="18">
        <v>55056005000713</v>
      </c>
      <c r="F181" t="s">
        <v>259</v>
      </c>
      <c r="G181" s="19">
        <v>1540</v>
      </c>
      <c r="H181" s="19">
        <v>688</v>
      </c>
      <c r="I181" s="15">
        <f t="shared" si="9"/>
        <v>0.44675324675324674</v>
      </c>
      <c r="J181" s="1">
        <v>0.7</v>
      </c>
      <c r="K181" s="12">
        <v>13.75</v>
      </c>
      <c r="L181" s="3">
        <f t="shared" si="7"/>
        <v>390</v>
      </c>
      <c r="M181" s="10">
        <f t="shared" si="8"/>
        <v>5362.5</v>
      </c>
    </row>
    <row r="182" spans="1:13" x14ac:dyDescent="0.35">
      <c r="A182" s="17">
        <v>46054</v>
      </c>
      <c r="B182" s="16" t="s">
        <v>3</v>
      </c>
      <c r="C182" t="s">
        <v>246</v>
      </c>
      <c r="D182" s="16">
        <v>19711</v>
      </c>
      <c r="E182" s="18">
        <v>52912647000860</v>
      </c>
      <c r="F182" t="s">
        <v>262</v>
      </c>
      <c r="G182" s="19">
        <v>1231</v>
      </c>
      <c r="H182" s="19">
        <v>462</v>
      </c>
      <c r="I182" s="15">
        <f t="shared" si="9"/>
        <v>0.37530463038180339</v>
      </c>
      <c r="J182" s="1">
        <v>0.7</v>
      </c>
      <c r="K182" s="12">
        <v>13.75</v>
      </c>
      <c r="L182" s="3">
        <f t="shared" si="7"/>
        <v>399.69999999999993</v>
      </c>
      <c r="M182" s="10">
        <f t="shared" si="8"/>
        <v>5495.8749999999991</v>
      </c>
    </row>
    <row r="183" spans="1:13" x14ac:dyDescent="0.35">
      <c r="A183" s="17">
        <v>46054</v>
      </c>
      <c r="B183" s="16" t="s">
        <v>3</v>
      </c>
      <c r="C183" t="s">
        <v>246</v>
      </c>
      <c r="D183" s="16">
        <v>19716</v>
      </c>
      <c r="E183" s="18">
        <v>26128584000179</v>
      </c>
      <c r="F183" t="s">
        <v>260</v>
      </c>
      <c r="G183" s="19">
        <v>1506</v>
      </c>
      <c r="H183" s="19">
        <v>690</v>
      </c>
      <c r="I183" s="15">
        <f t="shared" si="9"/>
        <v>0.45816733067729082</v>
      </c>
      <c r="J183" s="1">
        <v>0.7</v>
      </c>
      <c r="K183" s="12">
        <v>13.75</v>
      </c>
      <c r="L183" s="3">
        <f t="shared" si="7"/>
        <v>364.19999999999982</v>
      </c>
      <c r="M183" s="10">
        <f t="shared" si="8"/>
        <v>5007.7499999999973</v>
      </c>
    </row>
    <row r="184" spans="1:13" x14ac:dyDescent="0.35">
      <c r="A184" s="17">
        <v>46054</v>
      </c>
      <c r="B184" s="16" t="s">
        <v>3</v>
      </c>
      <c r="C184" t="s">
        <v>246</v>
      </c>
      <c r="D184" s="16">
        <v>19753</v>
      </c>
      <c r="E184" s="18">
        <v>28835850000129</v>
      </c>
      <c r="F184" t="s">
        <v>263</v>
      </c>
      <c r="G184" s="19">
        <v>1846</v>
      </c>
      <c r="H184" s="19">
        <v>762</v>
      </c>
      <c r="I184" s="15">
        <f t="shared" si="9"/>
        <v>0.41278439869989164</v>
      </c>
      <c r="J184" s="1">
        <v>0.7</v>
      </c>
      <c r="K184" s="12">
        <v>13.75</v>
      </c>
      <c r="L184" s="3">
        <f t="shared" si="7"/>
        <v>530.20000000000005</v>
      </c>
      <c r="M184" s="10">
        <f t="shared" si="8"/>
        <v>7290.2500000000009</v>
      </c>
    </row>
    <row r="185" spans="1:13" x14ac:dyDescent="0.35">
      <c r="A185" s="17">
        <v>46054</v>
      </c>
      <c r="B185" s="16" t="s">
        <v>3</v>
      </c>
      <c r="C185" t="s">
        <v>246</v>
      </c>
      <c r="D185" s="16">
        <v>19756</v>
      </c>
      <c r="E185" s="18">
        <v>23104950000242</v>
      </c>
      <c r="F185" t="s">
        <v>250</v>
      </c>
      <c r="G185" s="19">
        <v>206</v>
      </c>
      <c r="H185" s="19">
        <v>74</v>
      </c>
      <c r="I185" s="15">
        <f t="shared" si="9"/>
        <v>0.35922330097087379</v>
      </c>
      <c r="J185" s="1">
        <v>0.7</v>
      </c>
      <c r="K185" s="12">
        <v>13.75</v>
      </c>
      <c r="L185" s="3">
        <f t="shared" si="7"/>
        <v>70.199999999999989</v>
      </c>
      <c r="M185" s="10">
        <f t="shared" si="8"/>
        <v>965.24999999999989</v>
      </c>
    </row>
    <row r="186" spans="1:13" x14ac:dyDescent="0.35">
      <c r="A186" s="17">
        <v>46054</v>
      </c>
      <c r="B186" s="16" t="s">
        <v>3</v>
      </c>
      <c r="C186" t="s">
        <v>246</v>
      </c>
      <c r="D186" s="16">
        <v>19763</v>
      </c>
      <c r="E186" s="18">
        <v>52912647000940</v>
      </c>
      <c r="F186" t="s">
        <v>261</v>
      </c>
      <c r="G186" s="19">
        <v>1192</v>
      </c>
      <c r="H186" s="19">
        <v>440</v>
      </c>
      <c r="I186" s="15">
        <f t="shared" si="9"/>
        <v>0.36912751677852351</v>
      </c>
      <c r="J186" s="1">
        <v>0.7</v>
      </c>
      <c r="K186" s="12">
        <v>13.75</v>
      </c>
      <c r="L186" s="3">
        <f t="shared" si="7"/>
        <v>394.4</v>
      </c>
      <c r="M186" s="10">
        <f t="shared" si="8"/>
        <v>5423</v>
      </c>
    </row>
    <row r="187" spans="1:13" x14ac:dyDescent="0.35">
      <c r="A187" s="17">
        <v>46054</v>
      </c>
      <c r="B187" s="16" t="s">
        <v>3</v>
      </c>
      <c r="C187" t="s">
        <v>246</v>
      </c>
      <c r="D187" s="16">
        <v>19774</v>
      </c>
      <c r="E187" s="18">
        <v>15811307000654</v>
      </c>
      <c r="F187" t="s">
        <v>248</v>
      </c>
      <c r="G187" s="19">
        <v>1990</v>
      </c>
      <c r="H187" s="19">
        <v>810</v>
      </c>
      <c r="I187" s="15">
        <f t="shared" si="9"/>
        <v>0.40703517587939697</v>
      </c>
      <c r="J187" s="1">
        <v>0.7</v>
      </c>
      <c r="K187" s="12">
        <v>13.75</v>
      </c>
      <c r="L187" s="3">
        <f t="shared" ref="L187:L201" si="10">H187*J187/I187-H187</f>
        <v>583</v>
      </c>
      <c r="M187" s="10">
        <f t="shared" ref="M187:M201" si="11">L187*K187</f>
        <v>8016.25</v>
      </c>
    </row>
    <row r="188" spans="1:13" x14ac:dyDescent="0.35">
      <c r="A188" s="17">
        <v>46054</v>
      </c>
      <c r="B188" s="16" t="s">
        <v>3</v>
      </c>
      <c r="C188" t="s">
        <v>246</v>
      </c>
      <c r="D188" s="16">
        <v>19804</v>
      </c>
      <c r="E188" s="18">
        <v>55056005001019</v>
      </c>
      <c r="F188" t="s">
        <v>253</v>
      </c>
      <c r="G188" s="19">
        <v>1207</v>
      </c>
      <c r="H188" s="19">
        <v>433</v>
      </c>
      <c r="I188" s="15">
        <f t="shared" si="9"/>
        <v>0.35874067937033971</v>
      </c>
      <c r="J188" s="1">
        <v>0.7</v>
      </c>
      <c r="K188" s="12">
        <v>13.75</v>
      </c>
      <c r="L188" s="3">
        <f t="shared" si="10"/>
        <v>411.89999999999986</v>
      </c>
      <c r="M188" s="10">
        <f t="shared" si="11"/>
        <v>5663.6249999999982</v>
      </c>
    </row>
    <row r="189" spans="1:13" x14ac:dyDescent="0.35">
      <c r="A189" s="17">
        <v>46054</v>
      </c>
      <c r="B189" s="16" t="s">
        <v>3</v>
      </c>
      <c r="C189" t="s">
        <v>246</v>
      </c>
      <c r="D189" s="16">
        <v>19809</v>
      </c>
      <c r="E189" s="18">
        <v>23104950000595</v>
      </c>
      <c r="F189" t="s">
        <v>251</v>
      </c>
      <c r="G189" s="19">
        <v>1735</v>
      </c>
      <c r="H189" s="19">
        <v>664</v>
      </c>
      <c r="I189" s="15">
        <f t="shared" si="9"/>
        <v>0.38270893371757925</v>
      </c>
      <c r="J189" s="1">
        <v>0.7</v>
      </c>
      <c r="K189" s="12">
        <v>13.75</v>
      </c>
      <c r="L189" s="3">
        <f t="shared" si="10"/>
        <v>550.5</v>
      </c>
      <c r="M189" s="10">
        <f t="shared" si="11"/>
        <v>7569.375</v>
      </c>
    </row>
    <row r="190" spans="1:13" x14ac:dyDescent="0.35">
      <c r="A190" s="17">
        <v>46054</v>
      </c>
      <c r="B190" s="16" t="s">
        <v>3</v>
      </c>
      <c r="C190" t="s">
        <v>246</v>
      </c>
      <c r="D190" s="16">
        <v>19817</v>
      </c>
      <c r="E190" s="18">
        <v>52912647000274</v>
      </c>
      <c r="F190" t="s">
        <v>267</v>
      </c>
      <c r="G190" s="19">
        <v>1117</v>
      </c>
      <c r="H190" s="19">
        <v>425</v>
      </c>
      <c r="I190" s="15">
        <f t="shared" si="9"/>
        <v>0.38048343777976723</v>
      </c>
      <c r="J190" s="1">
        <v>0.7</v>
      </c>
      <c r="K190" s="12">
        <v>13.75</v>
      </c>
      <c r="L190" s="3">
        <f t="shared" si="10"/>
        <v>356.9</v>
      </c>
      <c r="M190" s="10">
        <f t="shared" si="11"/>
        <v>4907.375</v>
      </c>
    </row>
    <row r="191" spans="1:13" x14ac:dyDescent="0.35">
      <c r="A191" s="17">
        <v>46054</v>
      </c>
      <c r="B191" s="16" t="s">
        <v>3</v>
      </c>
      <c r="C191" t="s">
        <v>246</v>
      </c>
      <c r="D191" s="16">
        <v>19821</v>
      </c>
      <c r="E191" s="18">
        <v>60667414000109</v>
      </c>
      <c r="F191" t="s">
        <v>254</v>
      </c>
      <c r="G191" s="19">
        <v>1138</v>
      </c>
      <c r="H191" s="19">
        <v>415</v>
      </c>
      <c r="I191" s="15">
        <f t="shared" si="9"/>
        <v>0.36467486818980666</v>
      </c>
      <c r="J191" s="1">
        <v>0.7</v>
      </c>
      <c r="K191" s="12">
        <v>13.75</v>
      </c>
      <c r="L191" s="3">
        <f t="shared" si="10"/>
        <v>381.6</v>
      </c>
      <c r="M191" s="10">
        <f t="shared" si="11"/>
        <v>5247</v>
      </c>
    </row>
    <row r="192" spans="1:13" x14ac:dyDescent="0.35">
      <c r="A192" s="17">
        <v>46054</v>
      </c>
      <c r="B192" s="16" t="s">
        <v>3</v>
      </c>
      <c r="C192" t="s">
        <v>246</v>
      </c>
      <c r="D192" s="16">
        <v>19855</v>
      </c>
      <c r="E192" s="18">
        <v>60482492000120</v>
      </c>
      <c r="F192" t="s">
        <v>255</v>
      </c>
      <c r="G192" s="19">
        <v>1033</v>
      </c>
      <c r="H192" s="19">
        <v>301</v>
      </c>
      <c r="I192" s="15">
        <f t="shared" si="9"/>
        <v>0.29138431752178123</v>
      </c>
      <c r="J192" s="1">
        <v>0.7</v>
      </c>
      <c r="K192" s="12">
        <v>13.75</v>
      </c>
      <c r="L192" s="3">
        <f t="shared" si="10"/>
        <v>422.09999999999991</v>
      </c>
      <c r="M192" s="10">
        <f t="shared" si="11"/>
        <v>5803.8749999999991</v>
      </c>
    </row>
    <row r="193" spans="1:13" x14ac:dyDescent="0.35">
      <c r="A193" s="17">
        <v>46054</v>
      </c>
      <c r="B193" s="16" t="s">
        <v>3</v>
      </c>
      <c r="C193" t="s">
        <v>246</v>
      </c>
      <c r="D193" s="16">
        <v>19859</v>
      </c>
      <c r="E193" s="18">
        <v>52912647000517</v>
      </c>
      <c r="F193" t="s">
        <v>256</v>
      </c>
      <c r="G193" s="19">
        <v>991</v>
      </c>
      <c r="H193" s="19">
        <v>341</v>
      </c>
      <c r="I193" s="15">
        <f t="shared" si="9"/>
        <v>0.34409687184661958</v>
      </c>
      <c r="J193" s="1">
        <v>0.7</v>
      </c>
      <c r="K193" s="12">
        <v>13.75</v>
      </c>
      <c r="L193" s="3">
        <f t="shared" si="10"/>
        <v>352.69999999999993</v>
      </c>
      <c r="M193" s="10">
        <f t="shared" si="11"/>
        <v>4849.6249999999991</v>
      </c>
    </row>
    <row r="194" spans="1:13" x14ac:dyDescent="0.35">
      <c r="A194" s="17">
        <v>46054</v>
      </c>
      <c r="B194" s="16" t="s">
        <v>3</v>
      </c>
      <c r="C194" t="s">
        <v>246</v>
      </c>
      <c r="D194" s="16">
        <v>19863</v>
      </c>
      <c r="E194" s="18">
        <v>52912647000193</v>
      </c>
      <c r="F194" t="s">
        <v>266</v>
      </c>
      <c r="G194" s="19">
        <v>2158</v>
      </c>
      <c r="H194" s="19">
        <v>732</v>
      </c>
      <c r="I194" s="15">
        <f t="shared" si="9"/>
        <v>0.33920296570898978</v>
      </c>
      <c r="J194" s="1">
        <v>0.7</v>
      </c>
      <c r="K194" s="12">
        <v>13.75</v>
      </c>
      <c r="L194" s="3">
        <f t="shared" si="10"/>
        <v>778.60000000000014</v>
      </c>
      <c r="M194" s="10">
        <f t="shared" si="11"/>
        <v>10705.750000000002</v>
      </c>
    </row>
    <row r="195" spans="1:13" x14ac:dyDescent="0.35">
      <c r="A195" s="17">
        <v>46054</v>
      </c>
      <c r="B195" s="16" t="s">
        <v>3</v>
      </c>
      <c r="C195" t="s">
        <v>246</v>
      </c>
      <c r="D195" s="16">
        <v>19866</v>
      </c>
      <c r="E195" s="18">
        <v>52912647000355</v>
      </c>
      <c r="F195" t="s">
        <v>268</v>
      </c>
      <c r="G195" s="19">
        <v>1312</v>
      </c>
      <c r="H195" s="19">
        <v>465</v>
      </c>
      <c r="I195" s="15">
        <f t="shared" si="9"/>
        <v>0.35442073170731708</v>
      </c>
      <c r="J195" s="1">
        <v>0.7</v>
      </c>
      <c r="K195" s="12">
        <v>13.75</v>
      </c>
      <c r="L195" s="3">
        <f t="shared" si="10"/>
        <v>453.4</v>
      </c>
      <c r="M195" s="10">
        <f t="shared" si="11"/>
        <v>6234.25</v>
      </c>
    </row>
    <row r="196" spans="1:13" x14ac:dyDescent="0.35">
      <c r="A196" s="17">
        <v>46054</v>
      </c>
      <c r="B196" s="16" t="s">
        <v>3</v>
      </c>
      <c r="C196" t="s">
        <v>246</v>
      </c>
      <c r="D196" s="16">
        <v>19888</v>
      </c>
      <c r="E196" s="18">
        <v>44980313000200</v>
      </c>
      <c r="F196" t="s">
        <v>265</v>
      </c>
      <c r="G196" s="19">
        <v>1108</v>
      </c>
      <c r="H196" s="19">
        <v>402</v>
      </c>
      <c r="I196" s="15">
        <f t="shared" si="9"/>
        <v>0.36281588447653429</v>
      </c>
      <c r="J196" s="1">
        <v>0.7</v>
      </c>
      <c r="K196" s="12">
        <v>13.75</v>
      </c>
      <c r="L196" s="3">
        <f t="shared" si="10"/>
        <v>373.59999999999991</v>
      </c>
      <c r="M196" s="10">
        <f t="shared" si="11"/>
        <v>5136.9999999999991</v>
      </c>
    </row>
    <row r="197" spans="1:13" x14ac:dyDescent="0.35">
      <c r="A197" s="17">
        <v>46054</v>
      </c>
      <c r="B197" s="16" t="s">
        <v>3</v>
      </c>
      <c r="C197" t="s">
        <v>246</v>
      </c>
      <c r="D197" s="16">
        <v>19889</v>
      </c>
      <c r="E197" s="18">
        <v>44980313000129</v>
      </c>
      <c r="F197" t="s">
        <v>264</v>
      </c>
      <c r="G197" s="19">
        <v>1181</v>
      </c>
      <c r="H197" s="19">
        <v>407</v>
      </c>
      <c r="I197" s="15">
        <f t="shared" si="9"/>
        <v>0.34462320067739205</v>
      </c>
      <c r="J197" s="1">
        <v>0.7</v>
      </c>
      <c r="K197" s="12">
        <v>13.75</v>
      </c>
      <c r="L197" s="3">
        <f t="shared" si="10"/>
        <v>419.69999999999993</v>
      </c>
      <c r="M197" s="10">
        <f t="shared" si="11"/>
        <v>5770.8749999999991</v>
      </c>
    </row>
    <row r="198" spans="1:13" x14ac:dyDescent="0.35">
      <c r="A198" s="17">
        <v>46054</v>
      </c>
      <c r="B198" s="16" t="s">
        <v>3</v>
      </c>
      <c r="C198" t="s">
        <v>246</v>
      </c>
      <c r="D198" s="16">
        <v>19890</v>
      </c>
      <c r="E198" s="18">
        <v>55056005000470</v>
      </c>
      <c r="F198" t="s">
        <v>257</v>
      </c>
      <c r="G198" s="19">
        <v>628</v>
      </c>
      <c r="H198" s="19">
        <v>242</v>
      </c>
      <c r="I198" s="15">
        <f t="shared" si="9"/>
        <v>0.38535031847133761</v>
      </c>
      <c r="J198" s="1">
        <v>0.7</v>
      </c>
      <c r="K198" s="12">
        <v>13.75</v>
      </c>
      <c r="L198" s="3">
        <f t="shared" si="10"/>
        <v>197.59999999999991</v>
      </c>
      <c r="M198" s="10">
        <f t="shared" si="11"/>
        <v>2716.9999999999986</v>
      </c>
    </row>
    <row r="199" spans="1:13" x14ac:dyDescent="0.35">
      <c r="A199" s="17">
        <v>46054</v>
      </c>
      <c r="B199" s="16" t="s">
        <v>3</v>
      </c>
      <c r="C199" t="s">
        <v>246</v>
      </c>
      <c r="D199" s="16">
        <v>19891</v>
      </c>
      <c r="E199" s="18">
        <v>55056005000802</v>
      </c>
      <c r="F199" t="s">
        <v>258</v>
      </c>
      <c r="G199" s="19">
        <v>1390</v>
      </c>
      <c r="H199" s="19">
        <v>709</v>
      </c>
      <c r="I199" s="15">
        <f t="shared" si="9"/>
        <v>0.51007194244604315</v>
      </c>
      <c r="J199" s="1">
        <v>0.7</v>
      </c>
      <c r="K199" s="12">
        <v>13.75</v>
      </c>
      <c r="L199" s="3">
        <f t="shared" si="10"/>
        <v>264</v>
      </c>
      <c r="M199" s="10">
        <f t="shared" si="11"/>
        <v>3630</v>
      </c>
    </row>
    <row r="200" spans="1:13" x14ac:dyDescent="0.35">
      <c r="A200" s="17">
        <v>46054</v>
      </c>
      <c r="B200" s="16" t="s">
        <v>3</v>
      </c>
      <c r="C200" t="s">
        <v>273</v>
      </c>
      <c r="D200" s="16">
        <v>19721</v>
      </c>
      <c r="E200" s="18">
        <v>52755023000100</v>
      </c>
      <c r="F200" t="s">
        <v>274</v>
      </c>
      <c r="G200" s="19">
        <v>1743</v>
      </c>
      <c r="H200" s="19">
        <v>742</v>
      </c>
      <c r="I200" s="15">
        <f t="shared" si="9"/>
        <v>0.42570281124497994</v>
      </c>
      <c r="J200" s="1">
        <v>0.7</v>
      </c>
      <c r="K200" s="12">
        <v>13.75</v>
      </c>
      <c r="L200" s="3">
        <f t="shared" si="10"/>
        <v>478.09999999999991</v>
      </c>
      <c r="M200" s="10">
        <f t="shared" si="11"/>
        <v>6573.8749999999991</v>
      </c>
    </row>
    <row r="201" spans="1:13" x14ac:dyDescent="0.35">
      <c r="A201" s="17">
        <v>46054</v>
      </c>
      <c r="B201" s="16" t="s">
        <v>153</v>
      </c>
      <c r="C201" t="s">
        <v>154</v>
      </c>
      <c r="D201" s="16">
        <v>19916</v>
      </c>
      <c r="E201" s="18">
        <v>43503208000136</v>
      </c>
      <c r="F201" t="s">
        <v>155</v>
      </c>
      <c r="G201" s="19">
        <v>368</v>
      </c>
      <c r="H201" s="19">
        <v>138</v>
      </c>
      <c r="I201" s="15">
        <f t="shared" si="9"/>
        <v>0.375</v>
      </c>
      <c r="J201" s="1">
        <v>0.7</v>
      </c>
      <c r="K201" s="12">
        <v>13.75</v>
      </c>
      <c r="L201" s="3">
        <f t="shared" si="10"/>
        <v>119.59999999999997</v>
      </c>
      <c r="M201" s="10">
        <f t="shared" si="11"/>
        <v>1644.4999999999995</v>
      </c>
    </row>
  </sheetData>
  <autoFilter ref="A1:M201" xr:uid="{7314B8E4-7729-4B64-B4CE-AFAB5F217797}"/>
  <conditionalFormatting sqref="E1">
    <cfRule type="duplicateValues" dxfId="0" priority="4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  <legacyDrawing r:id="rId1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Calculo_Cokenet_Dominos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Grazieli Candido</cp:lastModifiedBy>
  <dcterms:created xsi:type="dcterms:W3CDTF">2024-11-05T14:36:28Z</dcterms:created>
  <dcterms:modified xsi:type="dcterms:W3CDTF">2026-03-11T12:54:45Z</dcterms:modified>
</cp:coreProperties>
</file>