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32085BAE-D977-4C10-AA4B-83258067F69C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China in Box" sheetId="5" r:id="rId1"/>
  </sheets>
  <definedNames>
    <definedName name="_xlnm._FilterDatabase" localSheetId="0" hidden="1">'China in Box'!$A$1:$K$142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5" l="1"/>
  <c r="M3" i="5" s="1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40" i="5"/>
  <c r="M40" i="5" s="1"/>
  <c r="L41" i="5"/>
  <c r="M41" i="5" s="1"/>
  <c r="L42" i="5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M48" i="5" s="1"/>
  <c r="L49" i="5"/>
  <c r="M49" i="5" s="1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M61" i="5" s="1"/>
  <c r="L62" i="5"/>
  <c r="M62" i="5" s="1"/>
  <c r="L63" i="5"/>
  <c r="M63" i="5" s="1"/>
  <c r="L64" i="5"/>
  <c r="M64" i="5" s="1"/>
  <c r="L65" i="5"/>
  <c r="M65" i="5" s="1"/>
  <c r="L66" i="5"/>
  <c r="M66" i="5" s="1"/>
  <c r="L67" i="5"/>
  <c r="M67" i="5" s="1"/>
  <c r="L68" i="5"/>
  <c r="M68" i="5" s="1"/>
  <c r="L69" i="5"/>
  <c r="M69" i="5" s="1"/>
  <c r="L70" i="5"/>
  <c r="M70" i="5" s="1"/>
  <c r="L71" i="5"/>
  <c r="M71" i="5" s="1"/>
  <c r="L72" i="5"/>
  <c r="M72" i="5" s="1"/>
  <c r="L73" i="5"/>
  <c r="M73" i="5" s="1"/>
  <c r="L74" i="5"/>
  <c r="M74" i="5" s="1"/>
  <c r="L75" i="5"/>
  <c r="M75" i="5" s="1"/>
  <c r="L76" i="5"/>
  <c r="M76" i="5" s="1"/>
  <c r="L77" i="5"/>
  <c r="M77" i="5" s="1"/>
  <c r="L78" i="5"/>
  <c r="M78" i="5" s="1"/>
  <c r="L79" i="5"/>
  <c r="M79" i="5" s="1"/>
  <c r="L80" i="5"/>
  <c r="M80" i="5" s="1"/>
  <c r="L81" i="5"/>
  <c r="M81" i="5" s="1"/>
  <c r="L82" i="5"/>
  <c r="M82" i="5" s="1"/>
  <c r="L83" i="5"/>
  <c r="M83" i="5" s="1"/>
  <c r="L84" i="5"/>
  <c r="M84" i="5" s="1"/>
  <c r="L85" i="5"/>
  <c r="M85" i="5" s="1"/>
  <c r="L86" i="5"/>
  <c r="M86" i="5" s="1"/>
  <c r="L87" i="5"/>
  <c r="M87" i="5" s="1"/>
  <c r="L88" i="5"/>
  <c r="M88" i="5" s="1"/>
  <c r="L89" i="5"/>
  <c r="M89" i="5" s="1"/>
  <c r="L90" i="5"/>
  <c r="M90" i="5" s="1"/>
  <c r="L91" i="5"/>
  <c r="M91" i="5" s="1"/>
  <c r="L92" i="5"/>
  <c r="M92" i="5" s="1"/>
  <c r="L93" i="5"/>
  <c r="M93" i="5" s="1"/>
  <c r="L94" i="5"/>
  <c r="M94" i="5" s="1"/>
  <c r="L95" i="5"/>
  <c r="M95" i="5" s="1"/>
  <c r="L96" i="5"/>
  <c r="M96" i="5" s="1"/>
  <c r="L97" i="5"/>
  <c r="M97" i="5" s="1"/>
  <c r="L98" i="5"/>
  <c r="M98" i="5" s="1"/>
  <c r="L99" i="5"/>
  <c r="M99" i="5" s="1"/>
  <c r="L100" i="5"/>
  <c r="M100" i="5" s="1"/>
  <c r="L101" i="5"/>
  <c r="M101" i="5" s="1"/>
  <c r="L102" i="5"/>
  <c r="M102" i="5" s="1"/>
  <c r="L103" i="5"/>
  <c r="M103" i="5" s="1"/>
  <c r="L104" i="5"/>
  <c r="M104" i="5" s="1"/>
  <c r="L105" i="5"/>
  <c r="M105" i="5" s="1"/>
  <c r="L106" i="5"/>
  <c r="M106" i="5" s="1"/>
  <c r="L107" i="5"/>
  <c r="M107" i="5" s="1"/>
  <c r="L108" i="5"/>
  <c r="M108" i="5" s="1"/>
  <c r="L109" i="5"/>
  <c r="M109" i="5" s="1"/>
  <c r="L110" i="5"/>
  <c r="M110" i="5" s="1"/>
  <c r="L111" i="5"/>
  <c r="M111" i="5" s="1"/>
  <c r="L112" i="5"/>
  <c r="M112" i="5" s="1"/>
  <c r="L113" i="5"/>
  <c r="M113" i="5" s="1"/>
  <c r="L114" i="5"/>
  <c r="M114" i="5" s="1"/>
  <c r="L115" i="5"/>
  <c r="M115" i="5" s="1"/>
  <c r="L116" i="5"/>
  <c r="M116" i="5" s="1"/>
  <c r="L117" i="5"/>
  <c r="M117" i="5" s="1"/>
  <c r="L118" i="5"/>
  <c r="M118" i="5" s="1"/>
  <c r="L119" i="5"/>
  <c r="M119" i="5" s="1"/>
  <c r="L120" i="5"/>
  <c r="M120" i="5" s="1"/>
  <c r="L121" i="5"/>
  <c r="M121" i="5" s="1"/>
  <c r="L122" i="5"/>
  <c r="M122" i="5" s="1"/>
  <c r="L123" i="5"/>
  <c r="M123" i="5" s="1"/>
  <c r="L124" i="5"/>
  <c r="M124" i="5" s="1"/>
  <c r="L125" i="5"/>
  <c r="M125" i="5" s="1"/>
  <c r="L126" i="5"/>
  <c r="M126" i="5" s="1"/>
  <c r="L127" i="5"/>
  <c r="M127" i="5" s="1"/>
  <c r="L128" i="5"/>
  <c r="M128" i="5" s="1"/>
  <c r="L129" i="5"/>
  <c r="M129" i="5" s="1"/>
  <c r="L130" i="5"/>
  <c r="M130" i="5" s="1"/>
  <c r="L131" i="5"/>
  <c r="M131" i="5" s="1"/>
  <c r="L132" i="5"/>
  <c r="M132" i="5" s="1"/>
  <c r="L133" i="5"/>
  <c r="M133" i="5" s="1"/>
  <c r="L134" i="5"/>
  <c r="M134" i="5" s="1"/>
  <c r="L135" i="5"/>
  <c r="M135" i="5" s="1"/>
  <c r="L136" i="5"/>
  <c r="M136" i="5" s="1"/>
  <c r="L137" i="5"/>
  <c r="M137" i="5" s="1"/>
  <c r="L138" i="5"/>
  <c r="M138" i="5" s="1"/>
  <c r="L139" i="5"/>
  <c r="M139" i="5" s="1"/>
  <c r="L140" i="5"/>
  <c r="M140" i="5" s="1"/>
  <c r="L141" i="5"/>
  <c r="M141" i="5" s="1"/>
  <c r="L142" i="5"/>
  <c r="M142" i="5" s="1"/>
  <c r="L2" i="5"/>
  <c r="M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2" i="5"/>
</calcChain>
</file>

<file path=xl/sharedStrings.xml><?xml version="1.0" encoding="utf-8"?>
<sst xmlns="http://schemas.openxmlformats.org/spreadsheetml/2006/main" count="860" uniqueCount="401">
  <si>
    <t>2026-06</t>
  </si>
  <si>
    <t>SP</t>
  </si>
  <si>
    <t>São Paulo</t>
  </si>
  <si>
    <t>GO</t>
  </si>
  <si>
    <t>Goiânia</t>
  </si>
  <si>
    <t>CHINA IN BOX</t>
  </si>
  <si>
    <t>Campinas</t>
  </si>
  <si>
    <t>00017594000143</t>
  </si>
  <si>
    <t>CHINA IN BOX RUA CAMBUI</t>
  </si>
  <si>
    <t>PB</t>
  </si>
  <si>
    <t>João Pessoa</t>
  </si>
  <si>
    <t>01115099000130</t>
  </si>
  <si>
    <t>RJ</t>
  </si>
  <si>
    <t>Rio de Janeiro</t>
  </si>
  <si>
    <t>MG</t>
  </si>
  <si>
    <t>Belo Horizonte</t>
  </si>
  <si>
    <t>Barueri</t>
  </si>
  <si>
    <t>Mogi das Cruzes</t>
  </si>
  <si>
    <t>Niterói</t>
  </si>
  <si>
    <t>01518248000101</t>
  </si>
  <si>
    <t>00557999000174</t>
  </si>
  <si>
    <t>CHINA IN BOX RUA MOGI DAS CRUZES</t>
  </si>
  <si>
    <t>ES</t>
  </si>
  <si>
    <t>DF</t>
  </si>
  <si>
    <t>Brasília</t>
  </si>
  <si>
    <t>Piracicaba</t>
  </si>
  <si>
    <t>00353032000170</t>
  </si>
  <si>
    <t>CIB - POMPÉIA</t>
  </si>
  <si>
    <t>01722196000190</t>
  </si>
  <si>
    <t>CIB - BOTAFOGO</t>
  </si>
  <si>
    <t>Guarujá</t>
  </si>
  <si>
    <t>Araxá</t>
  </si>
  <si>
    <t>51560583000146</t>
  </si>
  <si>
    <t>CIB - ARAXÁ</t>
  </si>
  <si>
    <t>Americana</t>
  </si>
  <si>
    <t>00855603000175</t>
  </si>
  <si>
    <t>CHINA IN BOX RUA AMERICANA</t>
  </si>
  <si>
    <t>Guarulhos</t>
  </si>
  <si>
    <t>Praia Grande</t>
  </si>
  <si>
    <t>AM</t>
  </si>
  <si>
    <t>Manaus</t>
  </si>
  <si>
    <t>PR</t>
  </si>
  <si>
    <t>Ponta Grossa</t>
  </si>
  <si>
    <t>54874022000100</t>
  </si>
  <si>
    <t>CIB - PONTA GROSSA</t>
  </si>
  <si>
    <t>MS</t>
  </si>
  <si>
    <t>São José dos Campos</t>
  </si>
  <si>
    <t>SC</t>
  </si>
  <si>
    <t>Joinville</t>
  </si>
  <si>
    <t>32289486000116</t>
  </si>
  <si>
    <t>CIB - JOINVILLE</t>
  </si>
  <si>
    <t>BRASILIA</t>
  </si>
  <si>
    <t>RO</t>
  </si>
  <si>
    <t>Porto Velho</t>
  </si>
  <si>
    <t>00874830001110</t>
  </si>
  <si>
    <t>CHINA IN BOX RUA BIXIGA</t>
  </si>
  <si>
    <t>50142842000156</t>
  </si>
  <si>
    <t>CIB - TIJUCA II</t>
  </si>
  <si>
    <t>Ribeirão Preto</t>
  </si>
  <si>
    <t>CE</t>
  </si>
  <si>
    <t>Fortaleza</t>
  </si>
  <si>
    <t>Contagem</t>
  </si>
  <si>
    <t>Diadema</t>
  </si>
  <si>
    <t>Curitiba</t>
  </si>
  <si>
    <t>São Bernardo do Campo</t>
  </si>
  <si>
    <t>00874830000814</t>
  </si>
  <si>
    <t>CHINA IN BOX RUA SAO BERNARDO</t>
  </si>
  <si>
    <t>40955431000126</t>
  </si>
  <si>
    <t>CIB - JACAREPAGUÁ</t>
  </si>
  <si>
    <t>04755459000156</t>
  </si>
  <si>
    <t>CHINA IN BOX RUA VILA MARIA</t>
  </si>
  <si>
    <t>01159209000165</t>
  </si>
  <si>
    <t>CIB - FÁTIMA</t>
  </si>
  <si>
    <t>Vitória</t>
  </si>
  <si>
    <t>50264982000105</t>
  </si>
  <si>
    <t>CHINA IN BOX GALERIA PARQUE PRADO SP</t>
  </si>
  <si>
    <t>18237300000154</t>
  </si>
  <si>
    <t>CHINA IN BOX RUA PRAIA GRANDE</t>
  </si>
  <si>
    <t>RN</t>
  </si>
  <si>
    <t>Natal</t>
  </si>
  <si>
    <t>AC</t>
  </si>
  <si>
    <t>Rio Branco</t>
  </si>
  <si>
    <t>00783849000189</t>
  </si>
  <si>
    <t>CHINA IN BOX RUA GUARULHOS</t>
  </si>
  <si>
    <t>Itajaí</t>
  </si>
  <si>
    <t>Carapicuíba</t>
  </si>
  <si>
    <t>13841339000162</t>
  </si>
  <si>
    <t>CIB - CARAPICUÍBA PLAZA</t>
  </si>
  <si>
    <t>Juazeiro do Norte</t>
  </si>
  <si>
    <t>52508458000150</t>
  </si>
  <si>
    <t>CIB - JUAZEIRO DO NORTE MM</t>
  </si>
  <si>
    <t>00840300000189</t>
  </si>
  <si>
    <t>CIB - SAVASSI</t>
  </si>
  <si>
    <t>PA</t>
  </si>
  <si>
    <t>Belém</t>
  </si>
  <si>
    <t>61918204000109</t>
  </si>
  <si>
    <t>CIB PRAIA FORTALEZA</t>
  </si>
  <si>
    <t>Araraquara</t>
  </si>
  <si>
    <t>28094642000116</t>
  </si>
  <si>
    <t>CHINA IN BOX RUA ARARAQUARA</t>
  </si>
  <si>
    <t>49894394000168</t>
  </si>
  <si>
    <t>CIB - LAGOA PAMPULHA</t>
  </si>
  <si>
    <t>Cotia</t>
  </si>
  <si>
    <t>Betim</t>
  </si>
  <si>
    <t>00874830001381</t>
  </si>
  <si>
    <t>CHINA IN BOX RUA CAMPO LIMPO</t>
  </si>
  <si>
    <t>04489256000165</t>
  </si>
  <si>
    <t>CIB - PIRATININGA</t>
  </si>
  <si>
    <t>Campo Grande</t>
  </si>
  <si>
    <t>MA</t>
  </si>
  <si>
    <t>São Luís</t>
  </si>
  <si>
    <t>Taubaté</t>
  </si>
  <si>
    <t>04719251000181</t>
  </si>
  <si>
    <t>CIB - VILA MARIANA</t>
  </si>
  <si>
    <t>PI</t>
  </si>
  <si>
    <t>Teresina</t>
  </si>
  <si>
    <t>59402512000127</t>
  </si>
  <si>
    <t>CIB - SÃO MATEUS</t>
  </si>
  <si>
    <t>Jundiaí</t>
  </si>
  <si>
    <t>Sorocaba</t>
  </si>
  <si>
    <t>MT</t>
  </si>
  <si>
    <t>Sinop</t>
  </si>
  <si>
    <t>São Caetano do Sul</t>
  </si>
  <si>
    <t>00874830000733</t>
  </si>
  <si>
    <t>CHINA IN BOX RUA SAO CAETANO</t>
  </si>
  <si>
    <t>Santana de Parnaíba</t>
  </si>
  <si>
    <t>10262147000103</t>
  </si>
  <si>
    <t>CIB - SANTANA DE PARNAÍBA</t>
  </si>
  <si>
    <t>AL</t>
  </si>
  <si>
    <t>SE</t>
  </si>
  <si>
    <t>Aracaju</t>
  </si>
  <si>
    <t>03010130000101</t>
  </si>
  <si>
    <t>CIB - ARACAJU</t>
  </si>
  <si>
    <t>57525058000176</t>
  </si>
  <si>
    <t>CIB SANTANA - MANDAQUI</t>
  </si>
  <si>
    <t>Londrina</t>
  </si>
  <si>
    <t>00834295000100</t>
  </si>
  <si>
    <t>CHINA IN BOX RUA BANCARIOS</t>
  </si>
  <si>
    <t>RS</t>
  </si>
  <si>
    <t>Porto Alegre</t>
  </si>
  <si>
    <t>17836282000164</t>
  </si>
  <si>
    <t>CIB - RIO PEQUENO</t>
  </si>
  <si>
    <t>07532927000111</t>
  </si>
  <si>
    <t>CIB - LAGO SUL</t>
  </si>
  <si>
    <t>Blumenau</t>
  </si>
  <si>
    <t>00900904000173</t>
  </si>
  <si>
    <t>CIB - FLORESTA</t>
  </si>
  <si>
    <t>13151811000135</t>
  </si>
  <si>
    <t>CIB - ALDEOTA</t>
  </si>
  <si>
    <t>05083226000117</t>
  </si>
  <si>
    <t>CIB - ITAQUERA</t>
  </si>
  <si>
    <t>03938845000110</t>
  </si>
  <si>
    <t>CIB - BURITIS</t>
  </si>
  <si>
    <t>Maceió</t>
  </si>
  <si>
    <t>33623363000132</t>
  </si>
  <si>
    <t>CIB - JATIUCA</t>
  </si>
  <si>
    <t>São José</t>
  </si>
  <si>
    <t>Florianópolis</t>
  </si>
  <si>
    <t>Osasco</t>
  </si>
  <si>
    <t>51003932000129</t>
  </si>
  <si>
    <t>CIB - OSASCO</t>
  </si>
  <si>
    <t>58315956000162</t>
  </si>
  <si>
    <t>CIB - SAO JOSE</t>
  </si>
  <si>
    <t>09140735000195</t>
  </si>
  <si>
    <t>CIB - AGUAS CLARAS</t>
  </si>
  <si>
    <t>JANDIRA</t>
  </si>
  <si>
    <t>45840604000184</t>
  </si>
  <si>
    <t>CIB - JANDIRA</t>
  </si>
  <si>
    <t>Suzano</t>
  </si>
  <si>
    <t>63379185000107</t>
  </si>
  <si>
    <t>CIB - LARANJEIRAS</t>
  </si>
  <si>
    <t>00305020000170</t>
  </si>
  <si>
    <t>CIB - MOOCA</t>
  </si>
  <si>
    <t>48067576000100</t>
  </si>
  <si>
    <t>CIB - SINOP</t>
  </si>
  <si>
    <t>10685792000139</t>
  </si>
  <si>
    <t>CIB - ACLIMAÇÃO</t>
  </si>
  <si>
    <t>Vargem Grande Paulista</t>
  </si>
  <si>
    <t>53795219000190</t>
  </si>
  <si>
    <t>CHINA IN BOX SHOPPING CENTRAL PARK</t>
  </si>
  <si>
    <t>13420222000105</t>
  </si>
  <si>
    <t>CIB - CIDADE NOVA</t>
  </si>
  <si>
    <t>61514722000159</t>
  </si>
  <si>
    <t>CIB - ASA SUL II</t>
  </si>
  <si>
    <t>15105454000102</t>
  </si>
  <si>
    <t>CIB - MANAUARA</t>
  </si>
  <si>
    <t>46815652000185</t>
  </si>
  <si>
    <t>CIB - SAMAMBAIA</t>
  </si>
  <si>
    <t>04716762000140</t>
  </si>
  <si>
    <t>CIB - ALTO DA XV</t>
  </si>
  <si>
    <t>51187345000137</t>
  </si>
  <si>
    <t>CIB - PLANALTO</t>
  </si>
  <si>
    <t>Santo André</t>
  </si>
  <si>
    <t>00874830000903</t>
  </si>
  <si>
    <t>CHINA IN BOX RUA SANTO ANDRE</t>
  </si>
  <si>
    <t>01451953000139</t>
  </si>
  <si>
    <t>CIB - TIROL</t>
  </si>
  <si>
    <t>00830552000127</t>
  </si>
  <si>
    <t>CHINA IN BOX RUA SUZANO</t>
  </si>
  <si>
    <t>00992698000179</t>
  </si>
  <si>
    <t>CIB - SÃO LUÍS</t>
  </si>
  <si>
    <t>01370230000105</t>
  </si>
  <si>
    <t>CIB - BLUMENAU</t>
  </si>
  <si>
    <t>RR</t>
  </si>
  <si>
    <t>Boa Vista</t>
  </si>
  <si>
    <t>31010714000457</t>
  </si>
  <si>
    <t>CIB - BOA VISTA</t>
  </si>
  <si>
    <t>08381892000120</t>
  </si>
  <si>
    <t>CIB - PONTA NEGRA</t>
  </si>
  <si>
    <t>Cuiabá</t>
  </si>
  <si>
    <t>40873067000155</t>
  </si>
  <si>
    <t>CIB - CUIABA</t>
  </si>
  <si>
    <t>59411523000173</t>
  </si>
  <si>
    <t>CIB - VILA CARRÃO</t>
  </si>
  <si>
    <t>20800495001546</t>
  </si>
  <si>
    <t>CIB - LAGO NORTE</t>
  </si>
  <si>
    <t>Várzea Paulista</t>
  </si>
  <si>
    <t>CIB - ICARAÍ</t>
  </si>
  <si>
    <t>00874830001462</t>
  </si>
  <si>
    <t>CHINA IN BOX RUA MOEMA</t>
  </si>
  <si>
    <t>56457769000198</t>
  </si>
  <si>
    <t>CIB - ILHA DO GOVERNADOR</t>
  </si>
  <si>
    <t>15869631000119</t>
  </si>
  <si>
    <t>CIB - VÁRZEA PAULISTA SHOPPING MM</t>
  </si>
  <si>
    <t>03720345000108</t>
  </si>
  <si>
    <t>CIB - GOIANIA</t>
  </si>
  <si>
    <t>60066774000147</t>
  </si>
  <si>
    <t>CIB - BIGORRILHO</t>
  </si>
  <si>
    <t>00874830001209</t>
  </si>
  <si>
    <t>CHINA IN BOX RUA MORUMBI</t>
  </si>
  <si>
    <t>02627530000190</t>
  </si>
  <si>
    <t>CHINA IN BOX RUA ZONA SUL</t>
  </si>
  <si>
    <t>00425927000173</t>
  </si>
  <si>
    <t>CHINA IN BOX RUA TATUAPE</t>
  </si>
  <si>
    <t>05906232000127</t>
  </si>
  <si>
    <t>CIB - CAMPO GRANDE</t>
  </si>
  <si>
    <t>00292662000182</t>
  </si>
  <si>
    <t>CIB - HIGIENÓPOLIS</t>
  </si>
  <si>
    <t>01129293000174</t>
  </si>
  <si>
    <t>CIB - CAIÇARA</t>
  </si>
  <si>
    <t>00478138000109</t>
  </si>
  <si>
    <t>CHINA IN BOX RUA JABAQUARA</t>
  </si>
  <si>
    <t>Valinhos</t>
  </si>
  <si>
    <t>09208103000116</t>
  </si>
  <si>
    <t>CHINA IN BOX RUA VALINHOS</t>
  </si>
  <si>
    <t>00659006000175</t>
  </si>
  <si>
    <t>CIB - AGUA VERDE</t>
  </si>
  <si>
    <t>58315954000173</t>
  </si>
  <si>
    <t>CIB - FLORIPA</t>
  </si>
  <si>
    <t>PE</t>
  </si>
  <si>
    <t>Recife</t>
  </si>
  <si>
    <t>00874830000300</t>
  </si>
  <si>
    <t>CIB - CAXANGÁ</t>
  </si>
  <si>
    <t>AP</t>
  </si>
  <si>
    <t>Macapá</t>
  </si>
  <si>
    <t>47768879000180</t>
  </si>
  <si>
    <t>CIB - MACAPA MM</t>
  </si>
  <si>
    <t>Balneário Camboriú</t>
  </si>
  <si>
    <t>Indaiatuba</t>
  </si>
  <si>
    <t>10535712000169</t>
  </si>
  <si>
    <t>CHINA IN BOX RUA INDAIATUBA</t>
  </si>
  <si>
    <t>04710831000108</t>
  </si>
  <si>
    <t>CIB - PQ. SÃO LUCAS</t>
  </si>
  <si>
    <t>64687657000151</t>
  </si>
  <si>
    <t>CIB - NAZARÉ</t>
  </si>
  <si>
    <t>Limeira</t>
  </si>
  <si>
    <t>04048458000171</t>
  </si>
  <si>
    <t>CHINA IN BOX RUA LIMEIRA</t>
  </si>
  <si>
    <t>08546693000124</t>
  </si>
  <si>
    <t>CHINA IN BOX RUA JARDIM BOTANICO</t>
  </si>
  <si>
    <t>49617932000177</t>
  </si>
  <si>
    <t>CIB - CEASA</t>
  </si>
  <si>
    <t>Juiz de Fora</t>
  </si>
  <si>
    <t>00349755000104</t>
  </si>
  <si>
    <t>CHINA IN BOX RUA RIBEIRAO PRETO</t>
  </si>
  <si>
    <t>08397902000115</t>
  </si>
  <si>
    <t>CHINA IN BOX RUA CHACARA SANTO ANTONIO</t>
  </si>
  <si>
    <t>01145643000196</t>
  </si>
  <si>
    <t>CHINA IN BOX RUA PIRACICABA</t>
  </si>
  <si>
    <t>00874830000652</t>
  </si>
  <si>
    <t>CHINA IN BOX RUA DIADEMA</t>
  </si>
  <si>
    <t>01571591000110</t>
  </si>
  <si>
    <t>CIB - JUIZ DE FORA</t>
  </si>
  <si>
    <t>03605734000192</t>
  </si>
  <si>
    <t>CHINA IN BOX RUA ZONA NORTE</t>
  </si>
  <si>
    <t>00790587000180</t>
  </si>
  <si>
    <t>CHINA IN BOX RUA JUNDIAI</t>
  </si>
  <si>
    <t>04998710000103</t>
  </si>
  <si>
    <t>CIB - SÃO JOSÉ DOS CAMPOS</t>
  </si>
  <si>
    <t>Bauru</t>
  </si>
  <si>
    <t>55228924000131</t>
  </si>
  <si>
    <t>CIB - MEIER</t>
  </si>
  <si>
    <t>74444688000135</t>
  </si>
  <si>
    <t>CHINA IN BOX RUA BROOKLIN</t>
  </si>
  <si>
    <t>46736323000149</t>
  </si>
  <si>
    <t>CIB - JARDIM OCEÂNICO</t>
  </si>
  <si>
    <t>Taboão da Serra</t>
  </si>
  <si>
    <t>19386300000189</t>
  </si>
  <si>
    <t>CHINA IN BOX SHOPPING TABOAO</t>
  </si>
  <si>
    <t>São Carlos</t>
  </si>
  <si>
    <t>05054437000121</t>
  </si>
  <si>
    <t>CHINA IN BOX RUA SAO CARLOS</t>
  </si>
  <si>
    <t>06103369000106</t>
  </si>
  <si>
    <t>CHINA IN BOX RUA SAO MIGUEL</t>
  </si>
  <si>
    <t>São José do Rio Preto</t>
  </si>
  <si>
    <t>00823775000167</t>
  </si>
  <si>
    <t>CHINA IN BOX RUA SAO JOSE DO RIO PRETO</t>
  </si>
  <si>
    <t>Santos</t>
  </si>
  <si>
    <t>20800495001627</t>
  </si>
  <si>
    <t>CIB - ASA NORTE</t>
  </si>
  <si>
    <t>65077580000160</t>
  </si>
  <si>
    <t>CIB - BALNEARIO CAMBORIU</t>
  </si>
  <si>
    <t>00323516000177</t>
  </si>
  <si>
    <t>CIB - GRANJA VIANA</t>
  </si>
  <si>
    <t>00516818000161</t>
  </si>
  <si>
    <t>CIB - BUTANTÃ</t>
  </si>
  <si>
    <t>03825091000192</t>
  </si>
  <si>
    <t>CHINA IN BOX RUA SOROCABA</t>
  </si>
  <si>
    <t>01574491000147</t>
  </si>
  <si>
    <t>CIB - TAUBATÉ</t>
  </si>
  <si>
    <t>34922408000132</t>
  </si>
  <si>
    <t>CIB - CONTAGEM</t>
  </si>
  <si>
    <t>10945148000152</t>
  </si>
  <si>
    <t>CIB - AHU</t>
  </si>
  <si>
    <t>Maringá</t>
  </si>
  <si>
    <t>Divinópolis</t>
  </si>
  <si>
    <t>50045586000189</t>
  </si>
  <si>
    <t>CIB - DIVINÓPOLIS</t>
  </si>
  <si>
    <t>31379759000150</t>
  </si>
  <si>
    <t>CIB - PQ. SÃO DOMINGOS</t>
  </si>
  <si>
    <t>CIB - EPITACIO</t>
  </si>
  <si>
    <t>00662961000161</t>
  </si>
  <si>
    <t>CIB - ALPHAVILLE</t>
  </si>
  <si>
    <t>01476487000146</t>
  </si>
  <si>
    <t>CHINA IN BOX RUA PENHA</t>
  </si>
  <si>
    <t>12011700000160</t>
  </si>
  <si>
    <t>CIB - FREGUESIA DO Ó</t>
  </si>
  <si>
    <t>01271363000124</t>
  </si>
  <si>
    <t>CIB - COPACABANA</t>
  </si>
  <si>
    <t>27654153000109</t>
  </si>
  <si>
    <t>CIB - GRUTA</t>
  </si>
  <si>
    <t>24011367000179</t>
  </si>
  <si>
    <t>CIB - PORTO VELHO</t>
  </si>
  <si>
    <t>58913817000130</t>
  </si>
  <si>
    <t>CHINA IN BOX SHOPPING BOSQUE MAIA</t>
  </si>
  <si>
    <t>00874521000178</t>
  </si>
  <si>
    <t>CHINA IN BOX RUA VILA MASCOTE</t>
  </si>
  <si>
    <t>00874830000571</t>
  </si>
  <si>
    <t>CIB - BOA VIAGEM MM</t>
  </si>
  <si>
    <t>08731011000153</t>
  </si>
  <si>
    <t>CHINA IN BOX RUA GUARUJA</t>
  </si>
  <si>
    <t>00507403000121</t>
  </si>
  <si>
    <t>CHINA IN BOX RUA ITAIM</t>
  </si>
  <si>
    <t>Mauá</t>
  </si>
  <si>
    <t>10283354000144</t>
  </si>
  <si>
    <t>CIB - MAUÁ</t>
  </si>
  <si>
    <t>05063085000170</t>
  </si>
  <si>
    <t>CIB - RECREIO</t>
  </si>
  <si>
    <t>10836574000158</t>
  </si>
  <si>
    <t>CHINA IN BOX RUA OSASCO II</t>
  </si>
  <si>
    <t>57912796000176</t>
  </si>
  <si>
    <t>CIB - VITORIA</t>
  </si>
  <si>
    <t>08089083000149</t>
  </si>
  <si>
    <t>CHINA IN BOX RUA MARINGA</t>
  </si>
  <si>
    <t>52453932000193</t>
  </si>
  <si>
    <t>CIB - RIO BRANCO MM</t>
  </si>
  <si>
    <t>49075694000115</t>
  </si>
  <si>
    <t>CIB - TERESINA</t>
  </si>
  <si>
    <t>Caxias do Sul</t>
  </si>
  <si>
    <t>01018534000108</t>
  </si>
  <si>
    <t>CHINA IN BOX RUA CAXIAS DO SUL</t>
  </si>
  <si>
    <t>00874830000148</t>
  </si>
  <si>
    <t>CIB - FUTURO</t>
  </si>
  <si>
    <t>45260435000103</t>
  </si>
  <si>
    <t>CIB - ITAJAI</t>
  </si>
  <si>
    <t>06996781000100</t>
  </si>
  <si>
    <t>CIB - GUARA</t>
  </si>
  <si>
    <t>52813973000143</t>
  </si>
  <si>
    <t>CIB - BETIM</t>
  </si>
  <si>
    <t>01031785000122</t>
  </si>
  <si>
    <t>CHINA IN BOX RUA BAURU</t>
  </si>
  <si>
    <t>03978240000153</t>
  </si>
  <si>
    <t>CIB - CHAPADA</t>
  </si>
  <si>
    <t>00517012000198</t>
  </si>
  <si>
    <t>CHINA IN BOX RUA SANTOS</t>
  </si>
  <si>
    <t>20810890000104</t>
  </si>
  <si>
    <t>CIB - CACHOEIRINHA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</si>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</sst>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9" fontId="0" fillId="0" borderId="0" xfId="1" applyFont="1"/>
    <xf numFmtId="0" fontId="2" fillId="0" borderId="0" xfId="0" applyFont="1" applyAlignment="1">
      <alignment horizontal="center" vertical="center"/>
    </xf>
    <xf numFmtId="44" fontId="0" fillId="0" borderId="0" xfId="2" applyFont="1" applyBorder="1"/>
    <xf numFmtId="10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</cellXfs>
  <cellStyles count="5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DA68-86EC-4AB4-89EC-9E75A0D04095}">
  <dimension ref="A1:N142"/>
  <sheetViews>
    <sheetView tabSelected="1" zoomScaleNormal="100" workbookViewId="0"/>
  </sheetViews>
  <sheetFormatPr defaultRowHeight="14.4" x14ac:dyDescent="0.3"/>
  <cols>
    <col min="1" max="1" width="13.21875" bestFit="1" customWidth="1"/>
    <col min="2" max="2" width="14.44140625" bestFit="1" customWidth="1"/>
    <col min="3" max="3" width="8.5546875" bestFit="1" customWidth="1"/>
    <col min="4" max="4" width="21.21875" bestFit="1" customWidth="1"/>
    <col min="5" max="5" width="16" bestFit="1" customWidth="1"/>
    <col min="6" max="6" width="40.44140625" bestFit="1" customWidth="1"/>
    <col min="7" max="7" width="20.44140625" bestFit="1" customWidth="1"/>
    <col min="8" max="8" width="18.21875" bestFit="1" customWidth="1"/>
    <col min="9" max="9" width="18.21875" customWidth="1"/>
    <col min="10" max="10" width="11" bestFit="1" customWidth="1"/>
    <col min="11" max="11" width="25" bestFit="1" customWidth="1"/>
    <col min="12" max="12" width="23.44140625" bestFit="1" customWidth="1"/>
    <col min="13" max="13" width="15.6640625" bestFit="1" customWidth="1"/>
    <col min="14" max="14" width="8.33203125" bestFit="1" customWidth="1"/>
  </cols>
  <sheetData>
    <row r="1" spans="1:14" ht="36" customHeight="1" x14ac:dyDescent="0.3">
      <c r="A1" s="3" t="s">
        <v>387</v>
      </c>
      <c r="B1" s="3" t="s">
        <v>388</v>
      </c>
      <c r="C1" s="3" t="s">
        <v>389</v>
      </c>
      <c r="D1" s="3" t="s">
        <v>390</v>
      </c>
      <c r="E1" s="3" t="s">
        <v>391</v>
      </c>
      <c r="F1" s="3" t="s">
        <v>392</v>
      </c>
      <c r="G1" s="3" t="s">
        <v>393</v>
      </c>
      <c r="H1" s="3" t="s">
        <v>394</v>
      </c>
      <c r="I1" s="6" t="s">
        <v>397</v>
      </c>
      <c r="J1" s="3" t="s">
        <v>395</v>
      </c>
      <c r="K1" s="3" t="s">
        <v>396</v>
      </c>
      <c r="L1" s="6" t="s">
        <v>398</v>
      </c>
      <c r="M1" s="6" t="s">
        <v>399</v>
      </c>
      <c r="N1" s="8" t="s">
        <v>400</v>
      </c>
    </row>
    <row r="2" spans="1:14" x14ac:dyDescent="0.3">
      <c r="A2" t="s">
        <v>0</v>
      </c>
      <c r="B2" t="s">
        <v>5</v>
      </c>
      <c r="C2" t="s">
        <v>1</v>
      </c>
      <c r="D2" t="s">
        <v>6</v>
      </c>
      <c r="E2" s="1" t="s">
        <v>7</v>
      </c>
      <c r="F2" t="s">
        <v>8</v>
      </c>
      <c r="G2">
        <v>3977</v>
      </c>
      <c r="H2">
        <v>994</v>
      </c>
      <c r="I2" s="5">
        <f>H2/G2</f>
        <v>0.24993713854664321</v>
      </c>
      <c r="J2" s="2">
        <v>0.7</v>
      </c>
      <c r="K2" s="4">
        <v>7.92</v>
      </c>
      <c r="L2">
        <f>ROUND(G2*J2,0)-H2</f>
        <v>1790</v>
      </c>
      <c r="M2" s="7">
        <f>L2*K2</f>
        <v>14176.8</v>
      </c>
    </row>
    <row r="3" spans="1:14" x14ac:dyDescent="0.3">
      <c r="A3" t="s">
        <v>0</v>
      </c>
      <c r="B3" t="s">
        <v>5</v>
      </c>
      <c r="C3" t="s">
        <v>1</v>
      </c>
      <c r="D3" t="s">
        <v>17</v>
      </c>
      <c r="E3" s="1" t="s">
        <v>20</v>
      </c>
      <c r="F3" t="s">
        <v>21</v>
      </c>
      <c r="G3">
        <v>3170</v>
      </c>
      <c r="H3">
        <v>744</v>
      </c>
      <c r="I3" s="5">
        <f t="shared" ref="I3:I66" si="0">H3/G3</f>
        <v>0.23470031545741324</v>
      </c>
      <c r="J3" s="2">
        <v>0.7</v>
      </c>
      <c r="K3" s="4">
        <v>8.3000000000000007</v>
      </c>
      <c r="L3">
        <f t="shared" ref="L3:L66" si="1">ROUND(G3*J3,0)-H3</f>
        <v>1475</v>
      </c>
      <c r="M3" s="7">
        <f t="shared" ref="M3:M66" si="2">L3*K3</f>
        <v>12242.500000000002</v>
      </c>
    </row>
    <row r="4" spans="1:14" x14ac:dyDescent="0.3">
      <c r="A4" t="s">
        <v>0</v>
      </c>
      <c r="B4" t="s">
        <v>5</v>
      </c>
      <c r="C4" t="s">
        <v>1</v>
      </c>
      <c r="D4" t="s">
        <v>2</v>
      </c>
      <c r="E4" s="1" t="s">
        <v>26</v>
      </c>
      <c r="F4" t="s">
        <v>27</v>
      </c>
      <c r="G4">
        <v>6965</v>
      </c>
      <c r="H4">
        <v>1661</v>
      </c>
      <c r="I4" s="5">
        <f t="shared" si="0"/>
        <v>0.23847810480976311</v>
      </c>
      <c r="J4" s="2">
        <v>0.7</v>
      </c>
      <c r="K4" s="4">
        <v>8.48</v>
      </c>
      <c r="L4">
        <f t="shared" si="1"/>
        <v>3215</v>
      </c>
      <c r="M4" s="7">
        <f t="shared" si="2"/>
        <v>27263.200000000001</v>
      </c>
    </row>
    <row r="5" spans="1:14" x14ac:dyDescent="0.3">
      <c r="A5" t="s">
        <v>0</v>
      </c>
      <c r="B5" t="s">
        <v>5</v>
      </c>
      <c r="C5" t="s">
        <v>12</v>
      </c>
      <c r="D5" t="s">
        <v>13</v>
      </c>
      <c r="E5" s="1" t="s">
        <v>28</v>
      </c>
      <c r="F5" t="s">
        <v>29</v>
      </c>
      <c r="G5">
        <v>3824</v>
      </c>
      <c r="H5">
        <v>1116</v>
      </c>
      <c r="I5" s="5">
        <f t="shared" si="0"/>
        <v>0.29184100418410042</v>
      </c>
      <c r="J5" s="2">
        <v>0.7</v>
      </c>
      <c r="K5" s="4">
        <v>8.1</v>
      </c>
      <c r="L5">
        <f t="shared" si="1"/>
        <v>1561</v>
      </c>
      <c r="M5" s="7">
        <f t="shared" si="2"/>
        <v>12644.099999999999</v>
      </c>
    </row>
    <row r="6" spans="1:14" x14ac:dyDescent="0.3">
      <c r="A6" t="s">
        <v>0</v>
      </c>
      <c r="B6" t="s">
        <v>5</v>
      </c>
      <c r="C6" t="s">
        <v>14</v>
      </c>
      <c r="D6" t="s">
        <v>31</v>
      </c>
      <c r="E6" s="1" t="s">
        <v>32</v>
      </c>
      <c r="F6" t="s">
        <v>33</v>
      </c>
      <c r="G6">
        <v>322</v>
      </c>
      <c r="H6">
        <v>111</v>
      </c>
      <c r="I6" s="5">
        <f t="shared" si="0"/>
        <v>0.34472049689440992</v>
      </c>
      <c r="J6" s="2">
        <v>0.7</v>
      </c>
      <c r="K6" s="4">
        <v>8.85</v>
      </c>
      <c r="L6">
        <f t="shared" si="1"/>
        <v>114</v>
      </c>
      <c r="M6" s="7">
        <f t="shared" si="2"/>
        <v>1008.9</v>
      </c>
    </row>
    <row r="7" spans="1:14" x14ac:dyDescent="0.3">
      <c r="A7" t="s">
        <v>0</v>
      </c>
      <c r="B7" t="s">
        <v>5</v>
      </c>
      <c r="C7" t="s">
        <v>1</v>
      </c>
      <c r="D7" t="s">
        <v>34</v>
      </c>
      <c r="E7" s="1" t="s">
        <v>35</v>
      </c>
      <c r="F7" t="s">
        <v>36</v>
      </c>
      <c r="G7">
        <v>3633</v>
      </c>
      <c r="H7">
        <v>1002</v>
      </c>
      <c r="I7" s="5">
        <f t="shared" si="0"/>
        <v>0.27580511973575556</v>
      </c>
      <c r="J7" s="2">
        <v>0.7</v>
      </c>
      <c r="K7" s="4">
        <v>6.66</v>
      </c>
      <c r="L7">
        <f t="shared" si="1"/>
        <v>1541</v>
      </c>
      <c r="M7" s="7">
        <f t="shared" si="2"/>
        <v>10263.06</v>
      </c>
    </row>
    <row r="8" spans="1:14" x14ac:dyDescent="0.3">
      <c r="A8" t="s">
        <v>0</v>
      </c>
      <c r="B8" t="s">
        <v>5</v>
      </c>
      <c r="C8" t="s">
        <v>41</v>
      </c>
      <c r="D8" t="s">
        <v>42</v>
      </c>
      <c r="E8" s="1" t="s">
        <v>43</v>
      </c>
      <c r="F8" t="s">
        <v>44</v>
      </c>
      <c r="G8">
        <v>2728</v>
      </c>
      <c r="H8">
        <v>776</v>
      </c>
      <c r="I8" s="5">
        <f t="shared" si="0"/>
        <v>0.28445747800586513</v>
      </c>
      <c r="J8" s="2">
        <v>0.7</v>
      </c>
      <c r="K8" s="4">
        <v>8.65</v>
      </c>
      <c r="L8">
        <f t="shared" si="1"/>
        <v>1134</v>
      </c>
      <c r="M8" s="7">
        <f t="shared" si="2"/>
        <v>9809.1</v>
      </c>
    </row>
    <row r="9" spans="1:14" x14ac:dyDescent="0.3">
      <c r="A9" t="s">
        <v>0</v>
      </c>
      <c r="B9" t="s">
        <v>5</v>
      </c>
      <c r="C9" t="s">
        <v>47</v>
      </c>
      <c r="D9" t="s">
        <v>48</v>
      </c>
      <c r="E9" s="1" t="s">
        <v>49</v>
      </c>
      <c r="F9" t="s">
        <v>50</v>
      </c>
      <c r="G9">
        <v>3297</v>
      </c>
      <c r="H9">
        <v>1073</v>
      </c>
      <c r="I9" s="5">
        <f t="shared" si="0"/>
        <v>0.32544737640279042</v>
      </c>
      <c r="J9" s="2">
        <v>0.7</v>
      </c>
      <c r="K9" s="4">
        <v>8.0399999999999991</v>
      </c>
      <c r="L9">
        <f t="shared" si="1"/>
        <v>1235</v>
      </c>
      <c r="M9" s="7">
        <f t="shared" si="2"/>
        <v>9929.4</v>
      </c>
    </row>
    <row r="10" spans="1:14" x14ac:dyDescent="0.3">
      <c r="A10" t="s">
        <v>0</v>
      </c>
      <c r="B10" t="s">
        <v>5</v>
      </c>
      <c r="C10" t="s">
        <v>1</v>
      </c>
      <c r="D10" t="s">
        <v>2</v>
      </c>
      <c r="E10" s="1" t="s">
        <v>54</v>
      </c>
      <c r="F10" t="s">
        <v>55</v>
      </c>
      <c r="G10">
        <v>4334</v>
      </c>
      <c r="H10">
        <v>1466</v>
      </c>
      <c r="I10" s="5">
        <f t="shared" si="0"/>
        <v>0.33825565297646515</v>
      </c>
      <c r="J10" s="2">
        <v>0.7</v>
      </c>
      <c r="K10" s="4">
        <v>8.25</v>
      </c>
      <c r="L10">
        <f t="shared" si="1"/>
        <v>1568</v>
      </c>
      <c r="M10" s="7">
        <f t="shared" si="2"/>
        <v>12936</v>
      </c>
    </row>
    <row r="11" spans="1:14" x14ac:dyDescent="0.3">
      <c r="A11" t="s">
        <v>0</v>
      </c>
      <c r="B11" t="s">
        <v>5</v>
      </c>
      <c r="C11" t="s">
        <v>12</v>
      </c>
      <c r="D11" t="s">
        <v>13</v>
      </c>
      <c r="E11" s="1" t="s">
        <v>56</v>
      </c>
      <c r="F11" t="s">
        <v>57</v>
      </c>
      <c r="G11">
        <v>4781</v>
      </c>
      <c r="H11">
        <v>1003</v>
      </c>
      <c r="I11" s="5">
        <f t="shared" si="0"/>
        <v>0.20978874712403264</v>
      </c>
      <c r="J11" s="2">
        <v>0.7</v>
      </c>
      <c r="K11" s="4">
        <v>8.67</v>
      </c>
      <c r="L11">
        <f t="shared" si="1"/>
        <v>2344</v>
      </c>
      <c r="M11" s="7">
        <f t="shared" si="2"/>
        <v>20322.48</v>
      </c>
    </row>
    <row r="12" spans="1:14" x14ac:dyDescent="0.3">
      <c r="A12" t="s">
        <v>0</v>
      </c>
      <c r="B12" t="s">
        <v>5</v>
      </c>
      <c r="C12" t="s">
        <v>1</v>
      </c>
      <c r="D12" t="s">
        <v>64</v>
      </c>
      <c r="E12" s="1" t="s">
        <v>65</v>
      </c>
      <c r="F12" t="s">
        <v>66</v>
      </c>
      <c r="G12">
        <v>3295</v>
      </c>
      <c r="H12">
        <v>929</v>
      </c>
      <c r="I12" s="5">
        <f t="shared" si="0"/>
        <v>0.28194233687405157</v>
      </c>
      <c r="J12" s="2">
        <v>0.7</v>
      </c>
      <c r="K12" s="4">
        <v>7.92</v>
      </c>
      <c r="L12">
        <f t="shared" si="1"/>
        <v>1378</v>
      </c>
      <c r="M12" s="7">
        <f t="shared" si="2"/>
        <v>10913.76</v>
      </c>
    </row>
    <row r="13" spans="1:14" x14ac:dyDescent="0.3">
      <c r="A13" t="s">
        <v>0</v>
      </c>
      <c r="B13" t="s">
        <v>5</v>
      </c>
      <c r="C13" t="s">
        <v>12</v>
      </c>
      <c r="D13" t="s">
        <v>13</v>
      </c>
      <c r="E13" s="1" t="s">
        <v>67</v>
      </c>
      <c r="F13" t="s">
        <v>68</v>
      </c>
      <c r="G13">
        <v>8198</v>
      </c>
      <c r="H13">
        <v>2034</v>
      </c>
      <c r="I13" s="5">
        <f t="shared" si="0"/>
        <v>0.24810929494998779</v>
      </c>
      <c r="J13" s="2">
        <v>0.7</v>
      </c>
      <c r="K13" s="4">
        <v>8.75</v>
      </c>
      <c r="L13">
        <f t="shared" si="1"/>
        <v>3705</v>
      </c>
      <c r="M13" s="7">
        <f t="shared" si="2"/>
        <v>32418.75</v>
      </c>
    </row>
    <row r="14" spans="1:14" x14ac:dyDescent="0.3">
      <c r="A14" t="s">
        <v>0</v>
      </c>
      <c r="B14" t="s">
        <v>5</v>
      </c>
      <c r="C14" t="s">
        <v>1</v>
      </c>
      <c r="D14" t="s">
        <v>2</v>
      </c>
      <c r="E14" s="1" t="s">
        <v>69</v>
      </c>
      <c r="F14" t="s">
        <v>70</v>
      </c>
      <c r="G14">
        <v>3411</v>
      </c>
      <c r="H14">
        <v>798</v>
      </c>
      <c r="I14" s="5">
        <f t="shared" si="0"/>
        <v>0.23394898856640281</v>
      </c>
      <c r="J14" s="2">
        <v>0.7</v>
      </c>
      <c r="K14" s="4">
        <v>8.4499999999999993</v>
      </c>
      <c r="L14">
        <f t="shared" si="1"/>
        <v>1590</v>
      </c>
      <c r="M14" s="7">
        <f t="shared" si="2"/>
        <v>13435.499999999998</v>
      </c>
    </row>
    <row r="15" spans="1:14" x14ac:dyDescent="0.3">
      <c r="A15" t="s">
        <v>0</v>
      </c>
      <c r="B15" t="s">
        <v>5</v>
      </c>
      <c r="C15" t="s">
        <v>59</v>
      </c>
      <c r="D15" t="s">
        <v>60</v>
      </c>
      <c r="E15" s="1" t="s">
        <v>71</v>
      </c>
      <c r="F15" t="s">
        <v>72</v>
      </c>
      <c r="G15">
        <v>5218</v>
      </c>
      <c r="H15">
        <v>1733</v>
      </c>
      <c r="I15" s="5">
        <f t="shared" si="0"/>
        <v>0.33211958604829439</v>
      </c>
      <c r="J15" s="2">
        <v>0.7</v>
      </c>
      <c r="K15" s="4">
        <v>7.8</v>
      </c>
      <c r="L15">
        <f t="shared" si="1"/>
        <v>1920</v>
      </c>
      <c r="M15" s="7">
        <f t="shared" si="2"/>
        <v>14976</v>
      </c>
    </row>
    <row r="16" spans="1:14" x14ac:dyDescent="0.3">
      <c r="A16" t="s">
        <v>0</v>
      </c>
      <c r="B16" t="s">
        <v>5</v>
      </c>
      <c r="C16" t="s">
        <v>1</v>
      </c>
      <c r="D16" t="s">
        <v>6</v>
      </c>
      <c r="E16" s="1" t="s">
        <v>74</v>
      </c>
      <c r="F16" t="s">
        <v>75</v>
      </c>
      <c r="G16">
        <v>1957</v>
      </c>
      <c r="H16">
        <v>580</v>
      </c>
      <c r="I16" s="5">
        <f t="shared" si="0"/>
        <v>0.29637199795605518</v>
      </c>
      <c r="J16" s="2">
        <v>0.7</v>
      </c>
      <c r="K16" s="4">
        <v>7.82</v>
      </c>
      <c r="L16">
        <f t="shared" si="1"/>
        <v>790</v>
      </c>
      <c r="M16" s="7">
        <f t="shared" si="2"/>
        <v>6177.8</v>
      </c>
    </row>
    <row r="17" spans="1:13" x14ac:dyDescent="0.3">
      <c r="A17" t="s">
        <v>0</v>
      </c>
      <c r="B17" t="s">
        <v>5</v>
      </c>
      <c r="C17" t="s">
        <v>1</v>
      </c>
      <c r="D17" t="s">
        <v>38</v>
      </c>
      <c r="E17" s="1" t="s">
        <v>76</v>
      </c>
      <c r="F17" t="s">
        <v>77</v>
      </c>
      <c r="G17">
        <v>2225</v>
      </c>
      <c r="H17">
        <v>533</v>
      </c>
      <c r="I17" s="5">
        <f t="shared" si="0"/>
        <v>0.2395505617977528</v>
      </c>
      <c r="J17" s="2">
        <v>0.7</v>
      </c>
      <c r="K17" s="4">
        <v>8.74</v>
      </c>
      <c r="L17">
        <f t="shared" si="1"/>
        <v>1025</v>
      </c>
      <c r="M17" s="7">
        <f t="shared" si="2"/>
        <v>8958.5</v>
      </c>
    </row>
    <row r="18" spans="1:13" x14ac:dyDescent="0.3">
      <c r="A18" t="s">
        <v>0</v>
      </c>
      <c r="B18" t="s">
        <v>5</v>
      </c>
      <c r="C18" t="s">
        <v>1</v>
      </c>
      <c r="D18" t="s">
        <v>37</v>
      </c>
      <c r="E18" s="1" t="s">
        <v>82</v>
      </c>
      <c r="F18" t="s">
        <v>83</v>
      </c>
      <c r="G18">
        <v>3039</v>
      </c>
      <c r="H18">
        <v>833</v>
      </c>
      <c r="I18" s="5">
        <f t="shared" si="0"/>
        <v>0.27410332346166499</v>
      </c>
      <c r="J18" s="2">
        <v>0.7</v>
      </c>
      <c r="K18" s="4">
        <v>8.91</v>
      </c>
      <c r="L18">
        <f t="shared" si="1"/>
        <v>1294</v>
      </c>
      <c r="M18" s="7">
        <f t="shared" si="2"/>
        <v>11529.54</v>
      </c>
    </row>
    <row r="19" spans="1:13" x14ac:dyDescent="0.3">
      <c r="A19" t="s">
        <v>0</v>
      </c>
      <c r="B19" t="s">
        <v>5</v>
      </c>
      <c r="C19" t="s">
        <v>1</v>
      </c>
      <c r="D19" t="s">
        <v>85</v>
      </c>
      <c r="E19" s="1" t="s">
        <v>86</v>
      </c>
      <c r="F19" t="s">
        <v>87</v>
      </c>
      <c r="G19">
        <v>2655</v>
      </c>
      <c r="H19">
        <v>898</v>
      </c>
      <c r="I19" s="5">
        <f t="shared" si="0"/>
        <v>0.33822975517890774</v>
      </c>
      <c r="J19" s="2">
        <v>0.7</v>
      </c>
      <c r="K19" s="4">
        <v>8.31</v>
      </c>
      <c r="L19">
        <f t="shared" si="1"/>
        <v>961</v>
      </c>
      <c r="M19" s="7">
        <f t="shared" si="2"/>
        <v>7985.9100000000008</v>
      </c>
    </row>
    <row r="20" spans="1:13" x14ac:dyDescent="0.3">
      <c r="A20" t="s">
        <v>0</v>
      </c>
      <c r="B20" t="s">
        <v>5</v>
      </c>
      <c r="C20" t="s">
        <v>59</v>
      </c>
      <c r="D20" t="s">
        <v>88</v>
      </c>
      <c r="E20" s="1" t="s">
        <v>89</v>
      </c>
      <c r="F20" t="s">
        <v>90</v>
      </c>
      <c r="G20">
        <v>998</v>
      </c>
      <c r="H20">
        <v>423</v>
      </c>
      <c r="I20" s="5">
        <f t="shared" si="0"/>
        <v>0.42384769539078154</v>
      </c>
      <c r="J20" s="2">
        <v>0.7</v>
      </c>
      <c r="K20" s="4">
        <v>7.98</v>
      </c>
      <c r="L20">
        <f t="shared" si="1"/>
        <v>276</v>
      </c>
      <c r="M20" s="7">
        <f t="shared" si="2"/>
        <v>2202.48</v>
      </c>
    </row>
    <row r="21" spans="1:13" x14ac:dyDescent="0.3">
      <c r="A21" t="s">
        <v>0</v>
      </c>
      <c r="B21" t="s">
        <v>5</v>
      </c>
      <c r="C21" t="s">
        <v>14</v>
      </c>
      <c r="D21" t="s">
        <v>15</v>
      </c>
      <c r="E21" s="1" t="s">
        <v>91</v>
      </c>
      <c r="F21" t="s">
        <v>92</v>
      </c>
      <c r="G21">
        <v>10067</v>
      </c>
      <c r="H21">
        <v>3157</v>
      </c>
      <c r="I21" s="5">
        <f t="shared" si="0"/>
        <v>0.31359888745405784</v>
      </c>
      <c r="J21" s="2">
        <v>0.7</v>
      </c>
      <c r="K21" s="4">
        <v>7.81</v>
      </c>
      <c r="L21">
        <f t="shared" si="1"/>
        <v>3890</v>
      </c>
      <c r="M21" s="7">
        <f t="shared" si="2"/>
        <v>30380.899999999998</v>
      </c>
    </row>
    <row r="22" spans="1:13" x14ac:dyDescent="0.3">
      <c r="A22" t="s">
        <v>0</v>
      </c>
      <c r="B22" t="s">
        <v>5</v>
      </c>
      <c r="C22" t="s">
        <v>59</v>
      </c>
      <c r="D22" t="s">
        <v>60</v>
      </c>
      <c r="E22" s="1" t="s">
        <v>95</v>
      </c>
      <c r="F22" t="s">
        <v>96</v>
      </c>
      <c r="G22">
        <v>2175</v>
      </c>
      <c r="H22">
        <v>730</v>
      </c>
      <c r="I22" s="5">
        <f t="shared" si="0"/>
        <v>0.335632183908046</v>
      </c>
      <c r="J22" s="2">
        <v>0.7</v>
      </c>
      <c r="K22" s="4">
        <v>7.73</v>
      </c>
      <c r="L22">
        <f t="shared" si="1"/>
        <v>793</v>
      </c>
      <c r="M22" s="7">
        <f t="shared" si="2"/>
        <v>6129.89</v>
      </c>
    </row>
    <row r="23" spans="1:13" x14ac:dyDescent="0.3">
      <c r="A23" t="s">
        <v>0</v>
      </c>
      <c r="B23" t="s">
        <v>5</v>
      </c>
      <c r="C23" t="s">
        <v>1</v>
      </c>
      <c r="D23" t="s">
        <v>97</v>
      </c>
      <c r="E23" s="1" t="s">
        <v>98</v>
      </c>
      <c r="F23" t="s">
        <v>99</v>
      </c>
      <c r="G23">
        <v>3204</v>
      </c>
      <c r="H23">
        <v>696</v>
      </c>
      <c r="I23" s="5">
        <f t="shared" si="0"/>
        <v>0.21722846441947566</v>
      </c>
      <c r="J23" s="2">
        <v>0.7</v>
      </c>
      <c r="K23" s="4">
        <v>8.5299999999999994</v>
      </c>
      <c r="L23">
        <f t="shared" si="1"/>
        <v>1547</v>
      </c>
      <c r="M23" s="7">
        <f t="shared" si="2"/>
        <v>13195.91</v>
      </c>
    </row>
    <row r="24" spans="1:13" x14ac:dyDescent="0.3">
      <c r="A24" t="s">
        <v>0</v>
      </c>
      <c r="B24" t="s">
        <v>5</v>
      </c>
      <c r="C24" t="s">
        <v>14</v>
      </c>
      <c r="D24" t="s">
        <v>15</v>
      </c>
      <c r="E24" s="1" t="s">
        <v>100</v>
      </c>
      <c r="F24" t="s">
        <v>101</v>
      </c>
      <c r="G24">
        <v>2181</v>
      </c>
      <c r="H24">
        <v>691</v>
      </c>
      <c r="I24" s="5">
        <f t="shared" si="0"/>
        <v>0.31682714351215041</v>
      </c>
      <c r="J24" s="2">
        <v>0.7</v>
      </c>
      <c r="K24" s="4">
        <v>7.82</v>
      </c>
      <c r="L24">
        <f t="shared" si="1"/>
        <v>836</v>
      </c>
      <c r="M24" s="7">
        <f t="shared" si="2"/>
        <v>6537.52</v>
      </c>
    </row>
    <row r="25" spans="1:13" x14ac:dyDescent="0.3">
      <c r="A25" t="s">
        <v>0</v>
      </c>
      <c r="B25" t="s">
        <v>5</v>
      </c>
      <c r="C25" t="s">
        <v>1</v>
      </c>
      <c r="D25" t="s">
        <v>2</v>
      </c>
      <c r="E25" s="1" t="s">
        <v>104</v>
      </c>
      <c r="F25" t="s">
        <v>105</v>
      </c>
      <c r="G25">
        <v>1989</v>
      </c>
      <c r="H25">
        <v>688</v>
      </c>
      <c r="I25" s="5">
        <f t="shared" si="0"/>
        <v>0.34590246354952237</v>
      </c>
      <c r="J25" s="2">
        <v>0.7</v>
      </c>
      <c r="K25" s="4">
        <v>7.97</v>
      </c>
      <c r="L25">
        <f t="shared" si="1"/>
        <v>704</v>
      </c>
      <c r="M25" s="7">
        <f t="shared" si="2"/>
        <v>5610.88</v>
      </c>
    </row>
    <row r="26" spans="1:13" x14ac:dyDescent="0.3">
      <c r="A26" t="s">
        <v>0</v>
      </c>
      <c r="B26" t="s">
        <v>5</v>
      </c>
      <c r="C26" t="s">
        <v>12</v>
      </c>
      <c r="D26" t="s">
        <v>18</v>
      </c>
      <c r="E26" s="1" t="s">
        <v>106</v>
      </c>
      <c r="F26" t="s">
        <v>107</v>
      </c>
      <c r="G26">
        <v>1516</v>
      </c>
      <c r="H26">
        <v>337</v>
      </c>
      <c r="I26" s="5">
        <f t="shared" si="0"/>
        <v>0.22229551451187335</v>
      </c>
      <c r="J26" s="2">
        <v>0.7</v>
      </c>
      <c r="K26" s="4">
        <v>8.0500000000000007</v>
      </c>
      <c r="L26">
        <f t="shared" si="1"/>
        <v>724</v>
      </c>
      <c r="M26" s="7">
        <f t="shared" si="2"/>
        <v>5828.2000000000007</v>
      </c>
    </row>
    <row r="27" spans="1:13" x14ac:dyDescent="0.3">
      <c r="A27" t="s">
        <v>0</v>
      </c>
      <c r="B27" t="s">
        <v>5</v>
      </c>
      <c r="C27" t="s">
        <v>1</v>
      </c>
      <c r="D27" t="s">
        <v>2</v>
      </c>
      <c r="E27" s="1" t="s">
        <v>112</v>
      </c>
      <c r="F27" t="s">
        <v>113</v>
      </c>
      <c r="G27">
        <v>3456</v>
      </c>
      <c r="H27">
        <v>1006</v>
      </c>
      <c r="I27" s="5">
        <f t="shared" si="0"/>
        <v>0.29108796296296297</v>
      </c>
      <c r="J27" s="2">
        <v>0.7</v>
      </c>
      <c r="K27" s="4">
        <v>8.39</v>
      </c>
      <c r="L27">
        <f t="shared" si="1"/>
        <v>1413</v>
      </c>
      <c r="M27" s="7">
        <f t="shared" si="2"/>
        <v>11855.070000000002</v>
      </c>
    </row>
    <row r="28" spans="1:13" x14ac:dyDescent="0.3">
      <c r="A28" t="s">
        <v>0</v>
      </c>
      <c r="B28" t="s">
        <v>5</v>
      </c>
      <c r="C28" t="s">
        <v>1</v>
      </c>
      <c r="D28" t="s">
        <v>2</v>
      </c>
      <c r="E28" s="1" t="s">
        <v>116</v>
      </c>
      <c r="F28" t="s">
        <v>117</v>
      </c>
      <c r="G28">
        <v>3077</v>
      </c>
      <c r="H28">
        <v>865</v>
      </c>
      <c r="I28" s="5">
        <f t="shared" si="0"/>
        <v>0.28111797205069872</v>
      </c>
      <c r="J28" s="2">
        <v>0.7</v>
      </c>
      <c r="K28" s="4">
        <v>8.69</v>
      </c>
      <c r="L28">
        <f t="shared" si="1"/>
        <v>1289</v>
      </c>
      <c r="M28" s="7">
        <f t="shared" si="2"/>
        <v>11201.41</v>
      </c>
    </row>
    <row r="29" spans="1:13" x14ac:dyDescent="0.3">
      <c r="A29" t="s">
        <v>0</v>
      </c>
      <c r="B29" t="s">
        <v>5</v>
      </c>
      <c r="C29" t="s">
        <v>1</v>
      </c>
      <c r="D29" t="s">
        <v>122</v>
      </c>
      <c r="E29" s="1" t="s">
        <v>123</v>
      </c>
      <c r="F29" t="s">
        <v>124</v>
      </c>
      <c r="G29">
        <v>2939</v>
      </c>
      <c r="H29">
        <v>893</v>
      </c>
      <c r="I29" s="5">
        <f t="shared" si="0"/>
        <v>0.30384484518543725</v>
      </c>
      <c r="J29" s="2">
        <v>0.7</v>
      </c>
      <c r="K29" s="4">
        <v>7.64</v>
      </c>
      <c r="L29">
        <f t="shared" si="1"/>
        <v>1164</v>
      </c>
      <c r="M29" s="7">
        <f t="shared" si="2"/>
        <v>8892.9599999999991</v>
      </c>
    </row>
    <row r="30" spans="1:13" x14ac:dyDescent="0.3">
      <c r="A30" t="s">
        <v>0</v>
      </c>
      <c r="B30" t="s">
        <v>5</v>
      </c>
      <c r="C30" t="s">
        <v>1</v>
      </c>
      <c r="D30" t="s">
        <v>125</v>
      </c>
      <c r="E30" s="1" t="s">
        <v>126</v>
      </c>
      <c r="F30" t="s">
        <v>127</v>
      </c>
      <c r="G30">
        <v>2645</v>
      </c>
      <c r="H30">
        <v>737</v>
      </c>
      <c r="I30" s="5">
        <f t="shared" si="0"/>
        <v>0.2786389413988658</v>
      </c>
      <c r="J30" s="2">
        <v>0.7</v>
      </c>
      <c r="K30" s="4">
        <v>7.95</v>
      </c>
      <c r="L30">
        <f t="shared" si="1"/>
        <v>1115</v>
      </c>
      <c r="M30" s="7">
        <f t="shared" si="2"/>
        <v>8864.25</v>
      </c>
    </row>
    <row r="31" spans="1:13" x14ac:dyDescent="0.3">
      <c r="A31" t="s">
        <v>0</v>
      </c>
      <c r="B31" t="s">
        <v>5</v>
      </c>
      <c r="C31" t="s">
        <v>129</v>
      </c>
      <c r="D31" t="s">
        <v>130</v>
      </c>
      <c r="E31" s="1" t="s">
        <v>131</v>
      </c>
      <c r="F31" t="s">
        <v>132</v>
      </c>
      <c r="G31">
        <v>3990</v>
      </c>
      <c r="H31">
        <v>1138</v>
      </c>
      <c r="I31" s="5">
        <f t="shared" si="0"/>
        <v>0.28521303258145364</v>
      </c>
      <c r="J31" s="2">
        <v>0.7</v>
      </c>
      <c r="K31" s="4">
        <v>8.44</v>
      </c>
      <c r="L31">
        <f t="shared" si="1"/>
        <v>1655</v>
      </c>
      <c r="M31" s="7">
        <f t="shared" si="2"/>
        <v>13968.199999999999</v>
      </c>
    </row>
    <row r="32" spans="1:13" x14ac:dyDescent="0.3">
      <c r="A32" t="s">
        <v>0</v>
      </c>
      <c r="B32" t="s">
        <v>5</v>
      </c>
      <c r="C32" t="s">
        <v>1</v>
      </c>
      <c r="D32" t="s">
        <v>2</v>
      </c>
      <c r="E32" s="1" t="s">
        <v>133</v>
      </c>
      <c r="F32" t="s">
        <v>134</v>
      </c>
      <c r="G32">
        <v>4282</v>
      </c>
      <c r="H32">
        <v>691</v>
      </c>
      <c r="I32" s="5">
        <f t="shared" si="0"/>
        <v>0.16137319009808501</v>
      </c>
      <c r="J32" s="2">
        <v>0.7</v>
      </c>
      <c r="K32" s="4">
        <v>9.99</v>
      </c>
      <c r="L32">
        <f t="shared" si="1"/>
        <v>2306</v>
      </c>
      <c r="M32" s="7">
        <f t="shared" si="2"/>
        <v>23036.94</v>
      </c>
    </row>
    <row r="33" spans="1:13" x14ac:dyDescent="0.3">
      <c r="A33" t="s">
        <v>0</v>
      </c>
      <c r="B33" t="s">
        <v>5</v>
      </c>
      <c r="C33" t="s">
        <v>41</v>
      </c>
      <c r="D33" t="s">
        <v>135</v>
      </c>
      <c r="E33" s="1" t="s">
        <v>136</v>
      </c>
      <c r="F33" t="s">
        <v>137</v>
      </c>
      <c r="G33">
        <v>3518</v>
      </c>
      <c r="H33">
        <v>642</v>
      </c>
      <c r="I33" s="5">
        <f t="shared" si="0"/>
        <v>0.1824900511654349</v>
      </c>
      <c r="J33" s="2">
        <v>0.7</v>
      </c>
      <c r="K33" s="4">
        <v>9.08</v>
      </c>
      <c r="L33">
        <f t="shared" si="1"/>
        <v>1821</v>
      </c>
      <c r="M33" s="7">
        <f t="shared" si="2"/>
        <v>16534.68</v>
      </c>
    </row>
    <row r="34" spans="1:13" x14ac:dyDescent="0.3">
      <c r="A34" t="s">
        <v>0</v>
      </c>
      <c r="B34" t="s">
        <v>5</v>
      </c>
      <c r="C34" t="s">
        <v>1</v>
      </c>
      <c r="D34" t="s">
        <v>2</v>
      </c>
      <c r="E34" s="1" t="s">
        <v>140</v>
      </c>
      <c r="F34" t="s">
        <v>141</v>
      </c>
      <c r="G34">
        <v>3985</v>
      </c>
      <c r="H34">
        <v>946</v>
      </c>
      <c r="I34" s="5">
        <f t="shared" si="0"/>
        <v>0.23739021329987453</v>
      </c>
      <c r="J34" s="2">
        <v>0.7</v>
      </c>
      <c r="K34" s="4">
        <v>9.07</v>
      </c>
      <c r="L34">
        <f t="shared" si="1"/>
        <v>1844</v>
      </c>
      <c r="M34" s="7">
        <f t="shared" si="2"/>
        <v>16725.080000000002</v>
      </c>
    </row>
    <row r="35" spans="1:13" x14ac:dyDescent="0.3">
      <c r="A35" t="s">
        <v>0</v>
      </c>
      <c r="B35" t="s">
        <v>5</v>
      </c>
      <c r="C35" t="s">
        <v>23</v>
      </c>
      <c r="D35" t="s">
        <v>24</v>
      </c>
      <c r="E35" s="1" t="s">
        <v>142</v>
      </c>
      <c r="F35" t="s">
        <v>143</v>
      </c>
      <c r="G35">
        <v>1465</v>
      </c>
      <c r="H35">
        <v>354</v>
      </c>
      <c r="I35" s="5">
        <f t="shared" si="0"/>
        <v>0.2416382252559727</v>
      </c>
      <c r="J35" s="2">
        <v>0.7</v>
      </c>
      <c r="K35" s="4">
        <v>10.26</v>
      </c>
      <c r="L35">
        <f t="shared" si="1"/>
        <v>672</v>
      </c>
      <c r="M35" s="7">
        <f t="shared" si="2"/>
        <v>6894.72</v>
      </c>
    </row>
    <row r="36" spans="1:13" x14ac:dyDescent="0.3">
      <c r="A36" t="s">
        <v>0</v>
      </c>
      <c r="B36" t="s">
        <v>5</v>
      </c>
      <c r="C36" t="s">
        <v>14</v>
      </c>
      <c r="D36" t="s">
        <v>15</v>
      </c>
      <c r="E36" s="1" t="s">
        <v>145</v>
      </c>
      <c r="F36" t="s">
        <v>146</v>
      </c>
      <c r="G36">
        <v>5821</v>
      </c>
      <c r="H36">
        <v>2024</v>
      </c>
      <c r="I36" s="5">
        <f t="shared" si="0"/>
        <v>0.34770657962549389</v>
      </c>
      <c r="J36" s="2">
        <v>0.7</v>
      </c>
      <c r="K36" s="4">
        <v>7.98</v>
      </c>
      <c r="L36">
        <f t="shared" si="1"/>
        <v>2051</v>
      </c>
      <c r="M36" s="7">
        <f t="shared" si="2"/>
        <v>16366.980000000001</v>
      </c>
    </row>
    <row r="37" spans="1:13" x14ac:dyDescent="0.3">
      <c r="A37" t="s">
        <v>0</v>
      </c>
      <c r="B37" t="s">
        <v>5</v>
      </c>
      <c r="C37" t="s">
        <v>59</v>
      </c>
      <c r="D37" t="s">
        <v>60</v>
      </c>
      <c r="E37" s="1" t="s">
        <v>147</v>
      </c>
      <c r="F37" t="s">
        <v>148</v>
      </c>
      <c r="G37">
        <v>7566</v>
      </c>
      <c r="H37">
        <v>2594</v>
      </c>
      <c r="I37" s="5">
        <f t="shared" si="0"/>
        <v>0.34284959027227069</v>
      </c>
      <c r="J37" s="2">
        <v>0.7</v>
      </c>
      <c r="K37" s="4">
        <v>7.6</v>
      </c>
      <c r="L37">
        <f t="shared" si="1"/>
        <v>2702</v>
      </c>
      <c r="M37" s="7">
        <f t="shared" si="2"/>
        <v>20535.2</v>
      </c>
    </row>
    <row r="38" spans="1:13" x14ac:dyDescent="0.3">
      <c r="A38" t="s">
        <v>0</v>
      </c>
      <c r="B38" t="s">
        <v>5</v>
      </c>
      <c r="C38" t="s">
        <v>1</v>
      </c>
      <c r="D38" t="s">
        <v>2</v>
      </c>
      <c r="E38" s="1" t="s">
        <v>149</v>
      </c>
      <c r="F38" t="s">
        <v>150</v>
      </c>
      <c r="G38">
        <v>2095</v>
      </c>
      <c r="H38">
        <v>495</v>
      </c>
      <c r="I38" s="5">
        <f t="shared" si="0"/>
        <v>0.23627684964200477</v>
      </c>
      <c r="J38" s="2">
        <v>0.7</v>
      </c>
      <c r="K38" s="4">
        <v>8.76</v>
      </c>
      <c r="L38">
        <f t="shared" si="1"/>
        <v>972</v>
      </c>
      <c r="M38" s="7">
        <f t="shared" si="2"/>
        <v>8514.7199999999993</v>
      </c>
    </row>
    <row r="39" spans="1:13" x14ac:dyDescent="0.3">
      <c r="A39" t="s">
        <v>0</v>
      </c>
      <c r="B39" t="s">
        <v>5</v>
      </c>
      <c r="C39" t="s">
        <v>14</v>
      </c>
      <c r="D39" t="s">
        <v>15</v>
      </c>
      <c r="E39" s="1" t="s">
        <v>151</v>
      </c>
      <c r="F39" t="s">
        <v>152</v>
      </c>
      <c r="G39">
        <v>3793</v>
      </c>
      <c r="H39">
        <v>926</v>
      </c>
      <c r="I39" s="5">
        <f t="shared" si="0"/>
        <v>0.24413393092538888</v>
      </c>
      <c r="J39" s="2">
        <v>0.7</v>
      </c>
      <c r="K39" s="4">
        <v>8.27</v>
      </c>
      <c r="L39">
        <f t="shared" si="1"/>
        <v>1729</v>
      </c>
      <c r="M39" s="7">
        <f t="shared" si="2"/>
        <v>14298.83</v>
      </c>
    </row>
    <row r="40" spans="1:13" x14ac:dyDescent="0.3">
      <c r="A40" t="s">
        <v>0</v>
      </c>
      <c r="B40" t="s">
        <v>5</v>
      </c>
      <c r="C40" t="s">
        <v>128</v>
      </c>
      <c r="D40" t="s">
        <v>153</v>
      </c>
      <c r="E40" s="1" t="s">
        <v>154</v>
      </c>
      <c r="F40" t="s">
        <v>155</v>
      </c>
      <c r="G40">
        <v>3818</v>
      </c>
      <c r="H40">
        <v>1588</v>
      </c>
      <c r="I40" s="5">
        <f t="shared" si="0"/>
        <v>0.41592456783656362</v>
      </c>
      <c r="J40" s="2">
        <v>0.7</v>
      </c>
      <c r="K40" s="4">
        <v>7.36</v>
      </c>
      <c r="L40">
        <f t="shared" si="1"/>
        <v>1085</v>
      </c>
      <c r="M40" s="7">
        <f t="shared" si="2"/>
        <v>7985.6</v>
      </c>
    </row>
    <row r="41" spans="1:13" x14ac:dyDescent="0.3">
      <c r="A41" t="s">
        <v>0</v>
      </c>
      <c r="B41" t="s">
        <v>5</v>
      </c>
      <c r="C41" t="s">
        <v>1</v>
      </c>
      <c r="D41" t="s">
        <v>158</v>
      </c>
      <c r="E41" s="1" t="s">
        <v>159</v>
      </c>
      <c r="F41" t="s">
        <v>160</v>
      </c>
      <c r="G41">
        <v>2253</v>
      </c>
      <c r="H41">
        <v>609</v>
      </c>
      <c r="I41" s="5">
        <f t="shared" si="0"/>
        <v>0.27030625832223704</v>
      </c>
      <c r="J41" s="2">
        <v>0.7</v>
      </c>
      <c r="K41" s="4">
        <v>8.5299999999999994</v>
      </c>
      <c r="L41">
        <f t="shared" si="1"/>
        <v>968</v>
      </c>
      <c r="M41" s="7">
        <f t="shared" si="2"/>
        <v>8257.0399999999991</v>
      </c>
    </row>
    <row r="42" spans="1:13" x14ac:dyDescent="0.3">
      <c r="A42" t="s">
        <v>0</v>
      </c>
      <c r="B42" t="s">
        <v>5</v>
      </c>
      <c r="C42" t="s">
        <v>47</v>
      </c>
      <c r="D42" t="s">
        <v>156</v>
      </c>
      <c r="E42" s="1" t="s">
        <v>161</v>
      </c>
      <c r="F42" t="s">
        <v>162</v>
      </c>
      <c r="G42">
        <v>2249</v>
      </c>
      <c r="H42">
        <v>690</v>
      </c>
      <c r="I42" s="5">
        <f t="shared" si="0"/>
        <v>0.30680302356602934</v>
      </c>
      <c r="J42" s="2">
        <v>0.7</v>
      </c>
      <c r="K42" s="4">
        <v>8.3800000000000008</v>
      </c>
      <c r="L42">
        <f t="shared" si="1"/>
        <v>884</v>
      </c>
      <c r="M42" s="7">
        <f t="shared" si="2"/>
        <v>7407.920000000001</v>
      </c>
    </row>
    <row r="43" spans="1:13" x14ac:dyDescent="0.3">
      <c r="A43" t="s">
        <v>0</v>
      </c>
      <c r="B43" t="s">
        <v>5</v>
      </c>
      <c r="C43" t="s">
        <v>23</v>
      </c>
      <c r="D43" t="s">
        <v>24</v>
      </c>
      <c r="E43" s="1" t="s">
        <v>163</v>
      </c>
      <c r="F43" t="s">
        <v>164</v>
      </c>
      <c r="G43">
        <v>4667</v>
      </c>
      <c r="H43">
        <v>1155</v>
      </c>
      <c r="I43" s="5">
        <f t="shared" si="0"/>
        <v>0.24748232269123635</v>
      </c>
      <c r="J43" s="2">
        <v>0.7</v>
      </c>
      <c r="K43" s="4">
        <v>8.01</v>
      </c>
      <c r="L43">
        <f t="shared" si="1"/>
        <v>2112</v>
      </c>
      <c r="M43" s="7">
        <f t="shared" si="2"/>
        <v>16917.12</v>
      </c>
    </row>
    <row r="44" spans="1:13" x14ac:dyDescent="0.3">
      <c r="A44" t="s">
        <v>0</v>
      </c>
      <c r="B44" t="s">
        <v>5</v>
      </c>
      <c r="C44" t="s">
        <v>1</v>
      </c>
      <c r="D44" t="s">
        <v>165</v>
      </c>
      <c r="E44" s="1" t="s">
        <v>166</v>
      </c>
      <c r="F44" t="s">
        <v>167</v>
      </c>
      <c r="G44">
        <v>2897</v>
      </c>
      <c r="H44">
        <v>990</v>
      </c>
      <c r="I44" s="5">
        <f t="shared" si="0"/>
        <v>0.34173282706247843</v>
      </c>
      <c r="J44" s="2">
        <v>0.7</v>
      </c>
      <c r="K44" s="4">
        <v>7.42</v>
      </c>
      <c r="L44">
        <f t="shared" si="1"/>
        <v>1038</v>
      </c>
      <c r="M44" s="7">
        <f t="shared" si="2"/>
        <v>7701.96</v>
      </c>
    </row>
    <row r="45" spans="1:13" x14ac:dyDescent="0.3">
      <c r="A45" t="s">
        <v>0</v>
      </c>
      <c r="B45" t="s">
        <v>5</v>
      </c>
      <c r="C45" t="s">
        <v>12</v>
      </c>
      <c r="D45" t="s">
        <v>13</v>
      </c>
      <c r="E45" s="1" t="s">
        <v>169</v>
      </c>
      <c r="F45" t="s">
        <v>170</v>
      </c>
      <c r="G45">
        <v>6419</v>
      </c>
      <c r="H45">
        <v>1585</v>
      </c>
      <c r="I45" s="5">
        <f t="shared" si="0"/>
        <v>0.24692319675961988</v>
      </c>
      <c r="J45" s="2">
        <v>0.7</v>
      </c>
      <c r="K45" s="4">
        <v>8.66</v>
      </c>
      <c r="L45">
        <f t="shared" si="1"/>
        <v>2908</v>
      </c>
      <c r="M45" s="7">
        <f t="shared" si="2"/>
        <v>25183.279999999999</v>
      </c>
    </row>
    <row r="46" spans="1:13" x14ac:dyDescent="0.3">
      <c r="A46" t="s">
        <v>0</v>
      </c>
      <c r="B46" t="s">
        <v>5</v>
      </c>
      <c r="C46" t="s">
        <v>1</v>
      </c>
      <c r="D46" t="s">
        <v>2</v>
      </c>
      <c r="E46" s="1" t="s">
        <v>171</v>
      </c>
      <c r="F46" t="s">
        <v>172</v>
      </c>
      <c r="G46">
        <v>2367</v>
      </c>
      <c r="H46">
        <v>635</v>
      </c>
      <c r="I46" s="5">
        <f t="shared" si="0"/>
        <v>0.26827207435572453</v>
      </c>
      <c r="J46" s="2">
        <v>0.7</v>
      </c>
      <c r="K46" s="4">
        <v>7.88</v>
      </c>
      <c r="L46">
        <f t="shared" si="1"/>
        <v>1022</v>
      </c>
      <c r="M46" s="7">
        <f t="shared" si="2"/>
        <v>8053.36</v>
      </c>
    </row>
    <row r="47" spans="1:13" x14ac:dyDescent="0.3">
      <c r="A47" t="s">
        <v>0</v>
      </c>
      <c r="B47" t="s">
        <v>5</v>
      </c>
      <c r="C47" t="s">
        <v>120</v>
      </c>
      <c r="D47" t="s">
        <v>121</v>
      </c>
      <c r="E47" s="1" t="s">
        <v>173</v>
      </c>
      <c r="F47" t="s">
        <v>174</v>
      </c>
      <c r="G47">
        <v>1947</v>
      </c>
      <c r="H47">
        <v>485</v>
      </c>
      <c r="I47" s="5">
        <f t="shared" si="0"/>
        <v>0.24910118130457112</v>
      </c>
      <c r="J47" s="2">
        <v>0.7</v>
      </c>
      <c r="K47" s="4">
        <v>8.73</v>
      </c>
      <c r="L47">
        <f t="shared" si="1"/>
        <v>878</v>
      </c>
      <c r="M47" s="7">
        <f t="shared" si="2"/>
        <v>7664.9400000000005</v>
      </c>
    </row>
    <row r="48" spans="1:13" x14ac:dyDescent="0.3">
      <c r="A48" t="s">
        <v>0</v>
      </c>
      <c r="B48" t="s">
        <v>5</v>
      </c>
      <c r="C48" t="s">
        <v>1</v>
      </c>
      <c r="D48" t="s">
        <v>2</v>
      </c>
      <c r="E48" s="1" t="s">
        <v>175</v>
      </c>
      <c r="F48" t="s">
        <v>176</v>
      </c>
      <c r="G48">
        <v>3689</v>
      </c>
      <c r="H48">
        <v>909</v>
      </c>
      <c r="I48" s="5">
        <f t="shared" si="0"/>
        <v>0.2464082407156411</v>
      </c>
      <c r="J48" s="2">
        <v>0.7</v>
      </c>
      <c r="K48" s="4">
        <v>7.93</v>
      </c>
      <c r="L48">
        <f t="shared" si="1"/>
        <v>1673</v>
      </c>
      <c r="M48" s="7">
        <f t="shared" si="2"/>
        <v>13266.89</v>
      </c>
    </row>
    <row r="49" spans="1:13" x14ac:dyDescent="0.3">
      <c r="A49" t="s">
        <v>0</v>
      </c>
      <c r="B49" t="s">
        <v>5</v>
      </c>
      <c r="C49" t="s">
        <v>1</v>
      </c>
      <c r="D49" t="s">
        <v>177</v>
      </c>
      <c r="E49" s="1" t="s">
        <v>178</v>
      </c>
      <c r="F49" t="s">
        <v>179</v>
      </c>
      <c r="G49">
        <v>1149</v>
      </c>
      <c r="H49">
        <v>515</v>
      </c>
      <c r="I49" s="5">
        <f t="shared" si="0"/>
        <v>0.44821583986074848</v>
      </c>
      <c r="J49" s="2">
        <v>0.7</v>
      </c>
      <c r="K49" s="4">
        <v>8.56</v>
      </c>
      <c r="L49">
        <f t="shared" si="1"/>
        <v>289</v>
      </c>
      <c r="M49" s="7">
        <f t="shared" si="2"/>
        <v>2473.84</v>
      </c>
    </row>
    <row r="50" spans="1:13" x14ac:dyDescent="0.3">
      <c r="A50" t="s">
        <v>0</v>
      </c>
      <c r="B50" t="s">
        <v>5</v>
      </c>
      <c r="C50" t="s">
        <v>14</v>
      </c>
      <c r="D50" t="s">
        <v>15</v>
      </c>
      <c r="E50" s="1" t="s">
        <v>180</v>
      </c>
      <c r="F50" t="s">
        <v>181</v>
      </c>
      <c r="G50">
        <v>4827</v>
      </c>
      <c r="H50">
        <v>1534</v>
      </c>
      <c r="I50" s="5">
        <f t="shared" si="0"/>
        <v>0.31779573233892688</v>
      </c>
      <c r="J50" s="2">
        <v>0.7</v>
      </c>
      <c r="K50" s="4">
        <v>7.62</v>
      </c>
      <c r="L50">
        <f t="shared" si="1"/>
        <v>1845</v>
      </c>
      <c r="M50" s="7">
        <f t="shared" si="2"/>
        <v>14058.9</v>
      </c>
    </row>
    <row r="51" spans="1:13" x14ac:dyDescent="0.3">
      <c r="A51" t="s">
        <v>0</v>
      </c>
      <c r="B51" t="s">
        <v>5</v>
      </c>
      <c r="C51" t="s">
        <v>23</v>
      </c>
      <c r="D51" t="s">
        <v>24</v>
      </c>
      <c r="E51" s="1" t="s">
        <v>182</v>
      </c>
      <c r="F51" t="s">
        <v>183</v>
      </c>
      <c r="G51">
        <v>3443</v>
      </c>
      <c r="H51">
        <v>1296</v>
      </c>
      <c r="I51" s="5">
        <f t="shared" si="0"/>
        <v>0.3764159163520186</v>
      </c>
      <c r="J51" s="2">
        <v>0.7</v>
      </c>
      <c r="K51" s="4">
        <v>8.94</v>
      </c>
      <c r="L51">
        <f t="shared" si="1"/>
        <v>1114</v>
      </c>
      <c r="M51" s="7">
        <f t="shared" si="2"/>
        <v>9959.16</v>
      </c>
    </row>
    <row r="52" spans="1:13" x14ac:dyDescent="0.3">
      <c r="A52" t="s">
        <v>0</v>
      </c>
      <c r="B52" t="s">
        <v>5</v>
      </c>
      <c r="C52" t="s">
        <v>39</v>
      </c>
      <c r="D52" t="s">
        <v>40</v>
      </c>
      <c r="E52" s="1" t="s">
        <v>184</v>
      </c>
      <c r="F52" t="s">
        <v>185</v>
      </c>
      <c r="G52">
        <v>9416</v>
      </c>
      <c r="H52">
        <v>5595</v>
      </c>
      <c r="I52" s="5">
        <f t="shared" si="0"/>
        <v>0.59420135938827523</v>
      </c>
      <c r="J52" s="2">
        <v>0.7</v>
      </c>
      <c r="K52" s="4">
        <v>7.21</v>
      </c>
      <c r="L52">
        <f t="shared" si="1"/>
        <v>996</v>
      </c>
      <c r="M52" s="7">
        <f t="shared" si="2"/>
        <v>7181.16</v>
      </c>
    </row>
    <row r="53" spans="1:13" x14ac:dyDescent="0.3">
      <c r="A53" t="s">
        <v>0</v>
      </c>
      <c r="B53" t="s">
        <v>5</v>
      </c>
      <c r="C53" t="s">
        <v>23</v>
      </c>
      <c r="D53" t="s">
        <v>51</v>
      </c>
      <c r="E53" s="1" t="s">
        <v>186</v>
      </c>
      <c r="F53" t="s">
        <v>187</v>
      </c>
      <c r="G53">
        <v>1980</v>
      </c>
      <c r="H53">
        <v>709</v>
      </c>
      <c r="I53" s="5">
        <f t="shared" si="0"/>
        <v>0.35808080808080806</v>
      </c>
      <c r="J53" s="2">
        <v>0.7</v>
      </c>
      <c r="K53" s="4">
        <v>6.8</v>
      </c>
      <c r="L53">
        <f t="shared" si="1"/>
        <v>677</v>
      </c>
      <c r="M53" s="7">
        <f t="shared" si="2"/>
        <v>4603.5999999999995</v>
      </c>
    </row>
    <row r="54" spans="1:13" x14ac:dyDescent="0.3">
      <c r="A54" t="s">
        <v>0</v>
      </c>
      <c r="B54" t="s">
        <v>5</v>
      </c>
      <c r="C54" t="s">
        <v>41</v>
      </c>
      <c r="D54" t="s">
        <v>63</v>
      </c>
      <c r="E54" s="1" t="s">
        <v>188</v>
      </c>
      <c r="F54" t="s">
        <v>189</v>
      </c>
      <c r="G54">
        <v>4123</v>
      </c>
      <c r="H54">
        <v>1002</v>
      </c>
      <c r="I54" s="5">
        <f t="shared" si="0"/>
        <v>0.24302692214406985</v>
      </c>
      <c r="J54" s="2">
        <v>0.7</v>
      </c>
      <c r="K54" s="4">
        <v>8.49</v>
      </c>
      <c r="L54">
        <f t="shared" si="1"/>
        <v>1884</v>
      </c>
      <c r="M54" s="7">
        <f t="shared" si="2"/>
        <v>15995.16</v>
      </c>
    </row>
    <row r="55" spans="1:13" x14ac:dyDescent="0.3">
      <c r="A55" t="s">
        <v>0</v>
      </c>
      <c r="B55" t="s">
        <v>5</v>
      </c>
      <c r="C55" t="s">
        <v>14</v>
      </c>
      <c r="D55" t="s">
        <v>15</v>
      </c>
      <c r="E55" s="1" t="s">
        <v>190</v>
      </c>
      <c r="F55" t="s">
        <v>191</v>
      </c>
      <c r="G55">
        <v>4715</v>
      </c>
      <c r="H55">
        <v>1363</v>
      </c>
      <c r="I55" s="5">
        <f t="shared" si="0"/>
        <v>0.28907741251325558</v>
      </c>
      <c r="J55" s="2">
        <v>0.7</v>
      </c>
      <c r="K55" s="4">
        <v>8.1199999999999992</v>
      </c>
      <c r="L55">
        <f t="shared" si="1"/>
        <v>1938</v>
      </c>
      <c r="M55" s="7">
        <f t="shared" si="2"/>
        <v>15736.559999999998</v>
      </c>
    </row>
    <row r="56" spans="1:13" x14ac:dyDescent="0.3">
      <c r="A56" t="s">
        <v>0</v>
      </c>
      <c r="B56" t="s">
        <v>5</v>
      </c>
      <c r="C56" t="s">
        <v>1</v>
      </c>
      <c r="D56" t="s">
        <v>192</v>
      </c>
      <c r="E56" s="1" t="s">
        <v>193</v>
      </c>
      <c r="F56" t="s">
        <v>194</v>
      </c>
      <c r="G56">
        <v>3436</v>
      </c>
      <c r="H56">
        <v>948</v>
      </c>
      <c r="I56" s="5">
        <f t="shared" si="0"/>
        <v>0.27590221187427239</v>
      </c>
      <c r="J56" s="2">
        <v>0.7</v>
      </c>
      <c r="K56" s="4">
        <v>8.25</v>
      </c>
      <c r="L56">
        <f t="shared" si="1"/>
        <v>1457</v>
      </c>
      <c r="M56" s="7">
        <f t="shared" si="2"/>
        <v>12020.25</v>
      </c>
    </row>
    <row r="57" spans="1:13" x14ac:dyDescent="0.3">
      <c r="A57" t="s">
        <v>0</v>
      </c>
      <c r="B57" t="s">
        <v>5</v>
      </c>
      <c r="C57" t="s">
        <v>78</v>
      </c>
      <c r="D57" t="s">
        <v>79</v>
      </c>
      <c r="E57" s="1" t="s">
        <v>195</v>
      </c>
      <c r="F57" t="s">
        <v>196</v>
      </c>
      <c r="G57">
        <v>6050</v>
      </c>
      <c r="H57">
        <v>1390</v>
      </c>
      <c r="I57" s="5">
        <f t="shared" si="0"/>
        <v>0.22975206611570248</v>
      </c>
      <c r="J57" s="2">
        <v>0.7</v>
      </c>
      <c r="K57" s="4">
        <v>8.6300000000000008</v>
      </c>
      <c r="L57">
        <f t="shared" si="1"/>
        <v>2845</v>
      </c>
      <c r="M57" s="7">
        <f t="shared" si="2"/>
        <v>24552.350000000002</v>
      </c>
    </row>
    <row r="58" spans="1:13" x14ac:dyDescent="0.3">
      <c r="A58" t="s">
        <v>0</v>
      </c>
      <c r="B58" t="s">
        <v>5</v>
      </c>
      <c r="C58" t="s">
        <v>1</v>
      </c>
      <c r="D58" t="s">
        <v>168</v>
      </c>
      <c r="E58" s="1" t="s">
        <v>197</v>
      </c>
      <c r="F58" t="s">
        <v>198</v>
      </c>
      <c r="G58">
        <v>2859</v>
      </c>
      <c r="H58">
        <v>790</v>
      </c>
      <c r="I58" s="5">
        <f t="shared" si="0"/>
        <v>0.27632039174536549</v>
      </c>
      <c r="J58" s="2">
        <v>0.7</v>
      </c>
      <c r="K58" s="4">
        <v>8.44</v>
      </c>
      <c r="L58">
        <f t="shared" si="1"/>
        <v>1211</v>
      </c>
      <c r="M58" s="7">
        <f t="shared" si="2"/>
        <v>10220.84</v>
      </c>
    </row>
    <row r="59" spans="1:13" x14ac:dyDescent="0.3">
      <c r="A59" t="s">
        <v>0</v>
      </c>
      <c r="B59" t="s">
        <v>5</v>
      </c>
      <c r="C59" t="s">
        <v>109</v>
      </c>
      <c r="D59" t="s">
        <v>110</v>
      </c>
      <c r="E59" s="1" t="s">
        <v>199</v>
      </c>
      <c r="F59" t="s">
        <v>200</v>
      </c>
      <c r="G59">
        <v>5602</v>
      </c>
      <c r="H59">
        <v>1503</v>
      </c>
      <c r="I59" s="5">
        <f t="shared" si="0"/>
        <v>0.26829703677258121</v>
      </c>
      <c r="J59" s="2">
        <v>0.7</v>
      </c>
      <c r="K59" s="4">
        <v>8.2899999999999991</v>
      </c>
      <c r="L59">
        <f t="shared" si="1"/>
        <v>2418</v>
      </c>
      <c r="M59" s="7">
        <f t="shared" si="2"/>
        <v>20045.219999999998</v>
      </c>
    </row>
    <row r="60" spans="1:13" x14ac:dyDescent="0.3">
      <c r="A60" t="s">
        <v>0</v>
      </c>
      <c r="B60" t="s">
        <v>5</v>
      </c>
      <c r="C60" t="s">
        <v>47</v>
      </c>
      <c r="D60" t="s">
        <v>144</v>
      </c>
      <c r="E60" s="1" t="s">
        <v>201</v>
      </c>
      <c r="F60" t="s">
        <v>202</v>
      </c>
      <c r="G60">
        <v>1877</v>
      </c>
      <c r="H60">
        <v>510</v>
      </c>
      <c r="I60" s="5">
        <f t="shared" si="0"/>
        <v>0.2717101758124667</v>
      </c>
      <c r="J60" s="2">
        <v>0.7</v>
      </c>
      <c r="K60" s="4">
        <v>8.5500000000000007</v>
      </c>
      <c r="L60">
        <f t="shared" si="1"/>
        <v>804</v>
      </c>
      <c r="M60" s="7">
        <f t="shared" si="2"/>
        <v>6874.2000000000007</v>
      </c>
    </row>
    <row r="61" spans="1:13" x14ac:dyDescent="0.3">
      <c r="A61" t="s">
        <v>0</v>
      </c>
      <c r="B61" t="s">
        <v>5</v>
      </c>
      <c r="C61" t="s">
        <v>203</v>
      </c>
      <c r="D61" t="s">
        <v>204</v>
      </c>
      <c r="E61" s="1" t="s">
        <v>205</v>
      </c>
      <c r="F61" t="s">
        <v>206</v>
      </c>
      <c r="G61">
        <v>1666</v>
      </c>
      <c r="H61">
        <v>390</v>
      </c>
      <c r="I61" s="5">
        <f t="shared" si="0"/>
        <v>0.23409363745498199</v>
      </c>
      <c r="J61" s="2">
        <v>0.7</v>
      </c>
      <c r="K61" s="4">
        <v>7.77</v>
      </c>
      <c r="L61">
        <f t="shared" si="1"/>
        <v>776</v>
      </c>
      <c r="M61" s="7">
        <f t="shared" si="2"/>
        <v>6029.5199999999995</v>
      </c>
    </row>
    <row r="62" spans="1:13" x14ac:dyDescent="0.3">
      <c r="A62" t="s">
        <v>0</v>
      </c>
      <c r="B62" t="s">
        <v>5</v>
      </c>
      <c r="C62" t="s">
        <v>78</v>
      </c>
      <c r="D62" t="s">
        <v>79</v>
      </c>
      <c r="E62" s="1" t="s">
        <v>207</v>
      </c>
      <c r="F62" t="s">
        <v>208</v>
      </c>
      <c r="G62">
        <v>5104</v>
      </c>
      <c r="H62">
        <v>1465</v>
      </c>
      <c r="I62" s="5">
        <f t="shared" si="0"/>
        <v>0.28702978056426331</v>
      </c>
      <c r="J62" s="2">
        <v>0.7</v>
      </c>
      <c r="K62" s="4">
        <v>8.15</v>
      </c>
      <c r="L62">
        <f t="shared" si="1"/>
        <v>2108</v>
      </c>
      <c r="M62" s="7">
        <f t="shared" si="2"/>
        <v>17180.2</v>
      </c>
    </row>
    <row r="63" spans="1:13" x14ac:dyDescent="0.3">
      <c r="A63" t="s">
        <v>0</v>
      </c>
      <c r="B63" t="s">
        <v>5</v>
      </c>
      <c r="C63" t="s">
        <v>120</v>
      </c>
      <c r="D63" t="s">
        <v>209</v>
      </c>
      <c r="E63" s="1" t="s">
        <v>210</v>
      </c>
      <c r="F63" t="s">
        <v>211</v>
      </c>
      <c r="G63">
        <v>7388</v>
      </c>
      <c r="H63">
        <v>2562</v>
      </c>
      <c r="I63" s="5">
        <f t="shared" si="0"/>
        <v>0.3467785598267461</v>
      </c>
      <c r="J63" s="2">
        <v>0.7</v>
      </c>
      <c r="K63" s="4">
        <v>8.07</v>
      </c>
      <c r="L63">
        <f t="shared" si="1"/>
        <v>2610</v>
      </c>
      <c r="M63" s="7">
        <f t="shared" si="2"/>
        <v>21062.7</v>
      </c>
    </row>
    <row r="64" spans="1:13" x14ac:dyDescent="0.3">
      <c r="A64" t="s">
        <v>0</v>
      </c>
      <c r="B64" t="s">
        <v>5</v>
      </c>
      <c r="C64" t="s">
        <v>1</v>
      </c>
      <c r="D64" t="s">
        <v>2</v>
      </c>
      <c r="E64" s="1" t="s">
        <v>212</v>
      </c>
      <c r="F64" t="s">
        <v>213</v>
      </c>
      <c r="G64">
        <v>2935</v>
      </c>
      <c r="H64">
        <v>838</v>
      </c>
      <c r="I64" s="5">
        <f t="shared" si="0"/>
        <v>0.28551959114139691</v>
      </c>
      <c r="J64" s="2">
        <v>0.7</v>
      </c>
      <c r="K64" s="4">
        <v>8.59</v>
      </c>
      <c r="L64">
        <f t="shared" si="1"/>
        <v>1217</v>
      </c>
      <c r="M64" s="7">
        <f t="shared" si="2"/>
        <v>10454.030000000001</v>
      </c>
    </row>
    <row r="65" spans="1:13" x14ac:dyDescent="0.3">
      <c r="A65" t="s">
        <v>0</v>
      </c>
      <c r="B65" t="s">
        <v>5</v>
      </c>
      <c r="C65" t="s">
        <v>23</v>
      </c>
      <c r="D65" t="s">
        <v>24</v>
      </c>
      <c r="E65" s="1" t="s">
        <v>214</v>
      </c>
      <c r="F65" t="s">
        <v>215</v>
      </c>
      <c r="G65">
        <v>4084</v>
      </c>
      <c r="H65">
        <v>1137</v>
      </c>
      <c r="I65" s="5">
        <f t="shared" si="0"/>
        <v>0.27840352595494611</v>
      </c>
      <c r="J65" s="2">
        <v>0.7</v>
      </c>
      <c r="K65" s="4">
        <v>8.5299999999999994</v>
      </c>
      <c r="L65">
        <f t="shared" si="1"/>
        <v>1722</v>
      </c>
      <c r="M65" s="7">
        <f t="shared" si="2"/>
        <v>14688.659999999998</v>
      </c>
    </row>
    <row r="66" spans="1:13" x14ac:dyDescent="0.3">
      <c r="A66" t="s">
        <v>0</v>
      </c>
      <c r="B66" t="s">
        <v>5</v>
      </c>
      <c r="C66" t="s">
        <v>12</v>
      </c>
      <c r="D66" t="s">
        <v>18</v>
      </c>
      <c r="E66" s="1" t="s">
        <v>19</v>
      </c>
      <c r="F66" t="s">
        <v>217</v>
      </c>
      <c r="G66">
        <v>8991</v>
      </c>
      <c r="H66">
        <v>2298</v>
      </c>
      <c r="I66" s="5">
        <f t="shared" si="0"/>
        <v>0.25558892225558894</v>
      </c>
      <c r="J66" s="2">
        <v>0.7</v>
      </c>
      <c r="K66" s="4">
        <v>8.73</v>
      </c>
      <c r="L66">
        <f t="shared" si="1"/>
        <v>3996</v>
      </c>
      <c r="M66" s="7">
        <f t="shared" si="2"/>
        <v>34885.08</v>
      </c>
    </row>
    <row r="67" spans="1:13" x14ac:dyDescent="0.3">
      <c r="A67" t="s">
        <v>0</v>
      </c>
      <c r="B67" t="s">
        <v>5</v>
      </c>
      <c r="C67" t="s">
        <v>1</v>
      </c>
      <c r="D67" t="s">
        <v>2</v>
      </c>
      <c r="E67" s="1" t="s">
        <v>218</v>
      </c>
      <c r="F67" t="s">
        <v>219</v>
      </c>
      <c r="G67">
        <v>2398</v>
      </c>
      <c r="H67">
        <v>852</v>
      </c>
      <c r="I67" s="5">
        <f t="shared" ref="I67:I130" si="3">H67/G67</f>
        <v>0.35529608006672225</v>
      </c>
      <c r="J67" s="2">
        <v>0.7</v>
      </c>
      <c r="K67" s="4">
        <v>7.61</v>
      </c>
      <c r="L67">
        <f t="shared" ref="L67:L130" si="4">ROUND(G67*J67,0)-H67</f>
        <v>827</v>
      </c>
      <c r="M67" s="7">
        <f t="shared" ref="M67:M130" si="5">L67*K67</f>
        <v>6293.47</v>
      </c>
    </row>
    <row r="68" spans="1:13" x14ac:dyDescent="0.3">
      <c r="A68" t="s">
        <v>0</v>
      </c>
      <c r="B68" t="s">
        <v>5</v>
      </c>
      <c r="C68" t="s">
        <v>12</v>
      </c>
      <c r="D68" t="s">
        <v>13</v>
      </c>
      <c r="E68" s="1" t="s">
        <v>220</v>
      </c>
      <c r="F68" t="s">
        <v>221</v>
      </c>
      <c r="G68">
        <v>2472</v>
      </c>
      <c r="H68">
        <v>726</v>
      </c>
      <c r="I68" s="5">
        <f t="shared" si="3"/>
        <v>0.2936893203883495</v>
      </c>
      <c r="J68" s="2">
        <v>0.7</v>
      </c>
      <c r="K68" s="4">
        <v>7.95</v>
      </c>
      <c r="L68">
        <f t="shared" si="4"/>
        <v>1004</v>
      </c>
      <c r="M68" s="7">
        <f t="shared" si="5"/>
        <v>7981.8</v>
      </c>
    </row>
    <row r="69" spans="1:13" x14ac:dyDescent="0.3">
      <c r="A69" t="s">
        <v>0</v>
      </c>
      <c r="B69" t="s">
        <v>5</v>
      </c>
      <c r="C69" t="s">
        <v>1</v>
      </c>
      <c r="D69" t="s">
        <v>216</v>
      </c>
      <c r="E69" s="1" t="s">
        <v>222</v>
      </c>
      <c r="F69" t="s">
        <v>223</v>
      </c>
      <c r="G69">
        <v>962</v>
      </c>
      <c r="H69">
        <v>356</v>
      </c>
      <c r="I69" s="5">
        <f t="shared" si="3"/>
        <v>0.37006237006237008</v>
      </c>
      <c r="J69" s="2">
        <v>0.7</v>
      </c>
      <c r="K69" s="4">
        <v>8.0299999999999994</v>
      </c>
      <c r="L69">
        <f t="shared" si="4"/>
        <v>317</v>
      </c>
      <c r="M69" s="7">
        <f t="shared" si="5"/>
        <v>2545.5099999999998</v>
      </c>
    </row>
    <row r="70" spans="1:13" x14ac:dyDescent="0.3">
      <c r="A70" t="s">
        <v>0</v>
      </c>
      <c r="B70" t="s">
        <v>5</v>
      </c>
      <c r="C70" t="s">
        <v>3</v>
      </c>
      <c r="D70" t="s">
        <v>4</v>
      </c>
      <c r="E70" s="1" t="s">
        <v>224</v>
      </c>
      <c r="F70" t="s">
        <v>225</v>
      </c>
      <c r="G70">
        <v>3581</v>
      </c>
      <c r="H70">
        <v>1101</v>
      </c>
      <c r="I70" s="5">
        <f t="shared" si="3"/>
        <v>0.30745601787210275</v>
      </c>
      <c r="J70" s="2">
        <v>0.7</v>
      </c>
      <c r="K70" s="4">
        <v>8.5299999999999994</v>
      </c>
      <c r="L70">
        <f t="shared" si="4"/>
        <v>1406</v>
      </c>
      <c r="M70" s="7">
        <f t="shared" si="5"/>
        <v>11993.179999999998</v>
      </c>
    </row>
    <row r="71" spans="1:13" x14ac:dyDescent="0.3">
      <c r="A71" t="s">
        <v>0</v>
      </c>
      <c r="B71" t="s">
        <v>5</v>
      </c>
      <c r="C71" t="s">
        <v>41</v>
      </c>
      <c r="D71" t="s">
        <v>63</v>
      </c>
      <c r="E71" s="1" t="s">
        <v>226</v>
      </c>
      <c r="F71" t="s">
        <v>227</v>
      </c>
      <c r="G71">
        <v>3204</v>
      </c>
      <c r="H71">
        <v>925</v>
      </c>
      <c r="I71" s="5">
        <f t="shared" si="3"/>
        <v>0.28870162297128588</v>
      </c>
      <c r="J71" s="2">
        <v>0.7</v>
      </c>
      <c r="K71" s="4">
        <v>7.99</v>
      </c>
      <c r="L71">
        <f t="shared" si="4"/>
        <v>1318</v>
      </c>
      <c r="M71" s="7">
        <f t="shared" si="5"/>
        <v>10530.82</v>
      </c>
    </row>
    <row r="72" spans="1:13" x14ac:dyDescent="0.3">
      <c r="A72" t="s">
        <v>0</v>
      </c>
      <c r="B72" t="s">
        <v>5</v>
      </c>
      <c r="C72" t="s">
        <v>1</v>
      </c>
      <c r="D72" t="s">
        <v>2</v>
      </c>
      <c r="E72" s="1" t="s">
        <v>228</v>
      </c>
      <c r="F72" t="s">
        <v>229</v>
      </c>
      <c r="G72">
        <v>2736</v>
      </c>
      <c r="H72">
        <v>753</v>
      </c>
      <c r="I72" s="5">
        <f t="shared" si="3"/>
        <v>0.27521929824561403</v>
      </c>
      <c r="J72" s="2">
        <v>0.7</v>
      </c>
      <c r="K72" s="4">
        <v>8.17</v>
      </c>
      <c r="L72">
        <f t="shared" si="4"/>
        <v>1162</v>
      </c>
      <c r="M72" s="7">
        <f t="shared" si="5"/>
        <v>9493.5399999999991</v>
      </c>
    </row>
    <row r="73" spans="1:13" x14ac:dyDescent="0.3">
      <c r="A73" t="s">
        <v>0</v>
      </c>
      <c r="B73" t="s">
        <v>5</v>
      </c>
      <c r="C73" t="s">
        <v>138</v>
      </c>
      <c r="D73" t="s">
        <v>139</v>
      </c>
      <c r="E73" s="1" t="s">
        <v>230</v>
      </c>
      <c r="F73" t="s">
        <v>231</v>
      </c>
      <c r="G73">
        <v>2022</v>
      </c>
      <c r="H73">
        <v>478</v>
      </c>
      <c r="I73" s="5">
        <f t="shared" si="3"/>
        <v>0.23639960435212662</v>
      </c>
      <c r="J73" s="2">
        <v>0.7</v>
      </c>
      <c r="K73" s="4">
        <v>8.48</v>
      </c>
      <c r="L73">
        <f t="shared" si="4"/>
        <v>937</v>
      </c>
      <c r="M73" s="7">
        <f t="shared" si="5"/>
        <v>7945.76</v>
      </c>
    </row>
    <row r="74" spans="1:13" x14ac:dyDescent="0.3">
      <c r="A74" t="s">
        <v>0</v>
      </c>
      <c r="B74" t="s">
        <v>5</v>
      </c>
      <c r="C74" t="s">
        <v>1</v>
      </c>
      <c r="D74" t="s">
        <v>2</v>
      </c>
      <c r="E74" s="1" t="s">
        <v>232</v>
      </c>
      <c r="F74" t="s">
        <v>233</v>
      </c>
      <c r="G74">
        <v>2601</v>
      </c>
      <c r="H74">
        <v>726</v>
      </c>
      <c r="I74" s="5">
        <f t="shared" si="3"/>
        <v>0.27912341407151098</v>
      </c>
      <c r="J74" s="2">
        <v>0.7</v>
      </c>
      <c r="K74" s="4">
        <v>8.14</v>
      </c>
      <c r="L74">
        <f t="shared" si="4"/>
        <v>1095</v>
      </c>
      <c r="M74" s="7">
        <f t="shared" si="5"/>
        <v>8913.3000000000011</v>
      </c>
    </row>
    <row r="75" spans="1:13" x14ac:dyDescent="0.3">
      <c r="A75" t="s">
        <v>0</v>
      </c>
      <c r="B75" t="s">
        <v>5</v>
      </c>
      <c r="C75" t="s">
        <v>45</v>
      </c>
      <c r="D75" t="s">
        <v>108</v>
      </c>
      <c r="E75" s="1" t="s">
        <v>234</v>
      </c>
      <c r="F75" t="s">
        <v>235</v>
      </c>
      <c r="G75">
        <v>4556</v>
      </c>
      <c r="H75">
        <v>872</v>
      </c>
      <c r="I75" s="5">
        <f t="shared" si="3"/>
        <v>0.19139596136962247</v>
      </c>
      <c r="J75" s="2">
        <v>0.7</v>
      </c>
      <c r="K75" s="4">
        <v>9.75</v>
      </c>
      <c r="L75">
        <f t="shared" si="4"/>
        <v>2317</v>
      </c>
      <c r="M75" s="7">
        <f t="shared" si="5"/>
        <v>22590.75</v>
      </c>
    </row>
    <row r="76" spans="1:13" x14ac:dyDescent="0.3">
      <c r="A76" t="s">
        <v>0</v>
      </c>
      <c r="B76" t="s">
        <v>5</v>
      </c>
      <c r="C76" t="s">
        <v>1</v>
      </c>
      <c r="D76" t="s">
        <v>2</v>
      </c>
      <c r="E76" s="1" t="s">
        <v>236</v>
      </c>
      <c r="F76" t="s">
        <v>237</v>
      </c>
      <c r="G76">
        <v>3734</v>
      </c>
      <c r="H76">
        <v>828</v>
      </c>
      <c r="I76" s="5">
        <f t="shared" si="3"/>
        <v>0.22174611676486342</v>
      </c>
      <c r="J76" s="2">
        <v>0.7</v>
      </c>
      <c r="K76" s="4">
        <v>8.84</v>
      </c>
      <c r="L76">
        <f t="shared" si="4"/>
        <v>1786</v>
      </c>
      <c r="M76" s="7">
        <f t="shared" si="5"/>
        <v>15788.24</v>
      </c>
    </row>
    <row r="77" spans="1:13" x14ac:dyDescent="0.3">
      <c r="A77" t="s">
        <v>0</v>
      </c>
      <c r="B77" t="s">
        <v>5</v>
      </c>
      <c r="C77" t="s">
        <v>14</v>
      </c>
      <c r="D77" t="s">
        <v>15</v>
      </c>
      <c r="E77" s="1" t="s">
        <v>238</v>
      </c>
      <c r="F77" t="s">
        <v>239</v>
      </c>
      <c r="G77">
        <v>5838</v>
      </c>
      <c r="H77">
        <v>1294</v>
      </c>
      <c r="I77" s="5">
        <f t="shared" si="3"/>
        <v>0.22165125042822884</v>
      </c>
      <c r="J77" s="2">
        <v>0.7</v>
      </c>
      <c r="K77" s="4">
        <v>8.18</v>
      </c>
      <c r="L77">
        <f t="shared" si="4"/>
        <v>2793</v>
      </c>
      <c r="M77" s="7">
        <f t="shared" si="5"/>
        <v>22846.739999999998</v>
      </c>
    </row>
    <row r="78" spans="1:13" x14ac:dyDescent="0.3">
      <c r="A78" t="s">
        <v>0</v>
      </c>
      <c r="B78" t="s">
        <v>5</v>
      </c>
      <c r="C78" t="s">
        <v>1</v>
      </c>
      <c r="D78" t="s">
        <v>2</v>
      </c>
      <c r="E78" s="1" t="s">
        <v>240</v>
      </c>
      <c r="F78" t="s">
        <v>241</v>
      </c>
      <c r="G78">
        <v>2755</v>
      </c>
      <c r="H78">
        <v>855</v>
      </c>
      <c r="I78" s="5">
        <f t="shared" si="3"/>
        <v>0.31034482758620691</v>
      </c>
      <c r="J78" s="2">
        <v>0.7</v>
      </c>
      <c r="K78" s="4">
        <v>7.53</v>
      </c>
      <c r="L78">
        <f t="shared" si="4"/>
        <v>1074</v>
      </c>
      <c r="M78" s="7">
        <f t="shared" si="5"/>
        <v>8087.22</v>
      </c>
    </row>
    <row r="79" spans="1:13" x14ac:dyDescent="0.3">
      <c r="A79" t="s">
        <v>0</v>
      </c>
      <c r="B79" t="s">
        <v>5</v>
      </c>
      <c r="C79" t="s">
        <v>1</v>
      </c>
      <c r="D79" t="s">
        <v>242</v>
      </c>
      <c r="E79" s="1" t="s">
        <v>243</v>
      </c>
      <c r="F79" t="s">
        <v>244</v>
      </c>
      <c r="G79">
        <v>3416</v>
      </c>
      <c r="H79">
        <v>382</v>
      </c>
      <c r="I79" s="5">
        <f t="shared" si="3"/>
        <v>0.11182669789227166</v>
      </c>
      <c r="J79" s="2">
        <v>0.7</v>
      </c>
      <c r="K79" s="4">
        <v>8.2899999999999991</v>
      </c>
      <c r="L79">
        <f t="shared" si="4"/>
        <v>2009</v>
      </c>
      <c r="M79" s="7">
        <f t="shared" si="5"/>
        <v>16654.609999999997</v>
      </c>
    </row>
    <row r="80" spans="1:13" x14ac:dyDescent="0.3">
      <c r="A80" t="s">
        <v>0</v>
      </c>
      <c r="B80" t="s">
        <v>5</v>
      </c>
      <c r="C80" t="s">
        <v>41</v>
      </c>
      <c r="D80" t="s">
        <v>63</v>
      </c>
      <c r="E80" s="1" t="s">
        <v>245</v>
      </c>
      <c r="F80" t="s">
        <v>246</v>
      </c>
      <c r="G80">
        <v>2694</v>
      </c>
      <c r="H80">
        <v>431</v>
      </c>
      <c r="I80" s="5">
        <f t="shared" si="3"/>
        <v>0.15998515219005197</v>
      </c>
      <c r="J80" s="2">
        <v>0.7</v>
      </c>
      <c r="K80" s="4">
        <v>8.15</v>
      </c>
      <c r="L80">
        <f t="shared" si="4"/>
        <v>1455</v>
      </c>
      <c r="M80" s="7">
        <f t="shared" si="5"/>
        <v>11858.25</v>
      </c>
    </row>
    <row r="81" spans="1:13" x14ac:dyDescent="0.3">
      <c r="A81" t="s">
        <v>0</v>
      </c>
      <c r="B81" t="s">
        <v>5</v>
      </c>
      <c r="C81" t="s">
        <v>47</v>
      </c>
      <c r="D81" t="s">
        <v>157</v>
      </c>
      <c r="E81" s="1" t="s">
        <v>247</v>
      </c>
      <c r="F81" t="s">
        <v>248</v>
      </c>
      <c r="G81">
        <v>2730</v>
      </c>
      <c r="H81">
        <v>920</v>
      </c>
      <c r="I81" s="5">
        <f t="shared" si="3"/>
        <v>0.33699633699633702</v>
      </c>
      <c r="J81" s="2">
        <v>0.7</v>
      </c>
      <c r="K81" s="4">
        <v>8.06</v>
      </c>
      <c r="L81">
        <f t="shared" si="4"/>
        <v>991</v>
      </c>
      <c r="M81" s="7">
        <f t="shared" si="5"/>
        <v>7987.4600000000009</v>
      </c>
    </row>
    <row r="82" spans="1:13" x14ac:dyDescent="0.3">
      <c r="A82" t="s">
        <v>0</v>
      </c>
      <c r="B82" t="s">
        <v>5</v>
      </c>
      <c r="C82" t="s">
        <v>249</v>
      </c>
      <c r="D82" t="s">
        <v>250</v>
      </c>
      <c r="E82" s="1" t="s">
        <v>251</v>
      </c>
      <c r="F82" t="s">
        <v>252</v>
      </c>
      <c r="G82">
        <v>5133</v>
      </c>
      <c r="H82">
        <v>1590</v>
      </c>
      <c r="I82" s="5">
        <f t="shared" si="3"/>
        <v>0.30976037405026302</v>
      </c>
      <c r="J82" s="2">
        <v>0.7</v>
      </c>
      <c r="K82" s="4">
        <v>7.96</v>
      </c>
      <c r="L82">
        <f t="shared" si="4"/>
        <v>2003</v>
      </c>
      <c r="M82" s="7">
        <f t="shared" si="5"/>
        <v>15943.88</v>
      </c>
    </row>
    <row r="83" spans="1:13" x14ac:dyDescent="0.3">
      <c r="A83" t="s">
        <v>0</v>
      </c>
      <c r="B83" t="s">
        <v>5</v>
      </c>
      <c r="C83" t="s">
        <v>253</v>
      </c>
      <c r="D83" t="s">
        <v>254</v>
      </c>
      <c r="E83" s="1" t="s">
        <v>255</v>
      </c>
      <c r="F83" t="s">
        <v>256</v>
      </c>
      <c r="G83">
        <v>1552</v>
      </c>
      <c r="H83">
        <v>654</v>
      </c>
      <c r="I83" s="5">
        <f t="shared" si="3"/>
        <v>0.42139175257731959</v>
      </c>
      <c r="J83" s="2">
        <v>0.7</v>
      </c>
      <c r="K83" s="4">
        <v>7.59</v>
      </c>
      <c r="L83">
        <f t="shared" si="4"/>
        <v>432</v>
      </c>
      <c r="M83" s="7">
        <f t="shared" si="5"/>
        <v>3278.88</v>
      </c>
    </row>
    <row r="84" spans="1:13" x14ac:dyDescent="0.3">
      <c r="A84" t="s">
        <v>0</v>
      </c>
      <c r="B84" t="s">
        <v>5</v>
      </c>
      <c r="C84" t="s">
        <v>1</v>
      </c>
      <c r="D84" t="s">
        <v>258</v>
      </c>
      <c r="E84" s="1" t="s">
        <v>259</v>
      </c>
      <c r="F84" t="s">
        <v>260</v>
      </c>
      <c r="G84">
        <v>1543</v>
      </c>
      <c r="H84">
        <v>242</v>
      </c>
      <c r="I84" s="5">
        <f t="shared" si="3"/>
        <v>0.15683732987686325</v>
      </c>
      <c r="J84" s="2">
        <v>0.7</v>
      </c>
      <c r="K84" s="4">
        <v>8.34</v>
      </c>
      <c r="L84">
        <f t="shared" si="4"/>
        <v>838</v>
      </c>
      <c r="M84" s="7">
        <f t="shared" si="5"/>
        <v>6988.92</v>
      </c>
    </row>
    <row r="85" spans="1:13" x14ac:dyDescent="0.3">
      <c r="A85" t="s">
        <v>0</v>
      </c>
      <c r="B85" t="s">
        <v>5</v>
      </c>
      <c r="C85" t="s">
        <v>1</v>
      </c>
      <c r="D85" t="s">
        <v>2</v>
      </c>
      <c r="E85" s="1" t="s">
        <v>261</v>
      </c>
      <c r="F85" t="s">
        <v>262</v>
      </c>
      <c r="G85">
        <v>3394</v>
      </c>
      <c r="H85">
        <v>809</v>
      </c>
      <c r="I85" s="5">
        <f t="shared" si="3"/>
        <v>0.23836181496758987</v>
      </c>
      <c r="J85" s="2">
        <v>0.7</v>
      </c>
      <c r="K85" s="4">
        <v>7.39</v>
      </c>
      <c r="L85">
        <f t="shared" si="4"/>
        <v>1567</v>
      </c>
      <c r="M85" s="7">
        <f t="shared" si="5"/>
        <v>11580.13</v>
      </c>
    </row>
    <row r="86" spans="1:13" x14ac:dyDescent="0.3">
      <c r="A86" t="s">
        <v>0</v>
      </c>
      <c r="B86" t="s">
        <v>5</v>
      </c>
      <c r="C86" t="s">
        <v>93</v>
      </c>
      <c r="D86" t="s">
        <v>94</v>
      </c>
      <c r="E86" s="1" t="s">
        <v>263</v>
      </c>
      <c r="F86" t="s">
        <v>264</v>
      </c>
      <c r="G86">
        <v>4216</v>
      </c>
      <c r="H86">
        <v>1379</v>
      </c>
      <c r="I86" s="5">
        <f t="shared" si="3"/>
        <v>0.32708728652751423</v>
      </c>
      <c r="J86" s="2">
        <v>0.7</v>
      </c>
      <c r="K86" s="4">
        <v>8.65</v>
      </c>
      <c r="L86">
        <f t="shared" si="4"/>
        <v>1572</v>
      </c>
      <c r="M86" s="7">
        <f t="shared" si="5"/>
        <v>13597.800000000001</v>
      </c>
    </row>
    <row r="87" spans="1:13" x14ac:dyDescent="0.3">
      <c r="A87" t="s">
        <v>0</v>
      </c>
      <c r="B87" t="s">
        <v>5</v>
      </c>
      <c r="C87" t="s">
        <v>1</v>
      </c>
      <c r="D87" t="s">
        <v>265</v>
      </c>
      <c r="E87" s="1" t="s">
        <v>266</v>
      </c>
      <c r="F87" t="s">
        <v>267</v>
      </c>
      <c r="G87">
        <v>1948</v>
      </c>
      <c r="H87">
        <v>445</v>
      </c>
      <c r="I87" s="5">
        <f t="shared" si="3"/>
        <v>0.22843942505133472</v>
      </c>
      <c r="J87" s="2">
        <v>0.7</v>
      </c>
      <c r="K87" s="4">
        <v>8.51</v>
      </c>
      <c r="L87">
        <f t="shared" si="4"/>
        <v>919</v>
      </c>
      <c r="M87" s="7">
        <f t="shared" si="5"/>
        <v>7820.69</v>
      </c>
    </row>
    <row r="88" spans="1:13" x14ac:dyDescent="0.3">
      <c r="A88" t="s">
        <v>0</v>
      </c>
      <c r="B88" t="s">
        <v>5</v>
      </c>
      <c r="C88" t="s">
        <v>138</v>
      </c>
      <c r="D88" t="s">
        <v>139</v>
      </c>
      <c r="E88" s="1" t="s">
        <v>268</v>
      </c>
      <c r="F88" t="s">
        <v>269</v>
      </c>
      <c r="G88">
        <v>4843</v>
      </c>
      <c r="H88">
        <v>1462</v>
      </c>
      <c r="I88" s="5">
        <f t="shared" si="3"/>
        <v>0.30187900061945078</v>
      </c>
      <c r="J88" s="2">
        <v>0.7</v>
      </c>
      <c r="K88" s="4">
        <v>7.66</v>
      </c>
      <c r="L88">
        <f t="shared" si="4"/>
        <v>1928</v>
      </c>
      <c r="M88" s="7">
        <f t="shared" si="5"/>
        <v>14768.48</v>
      </c>
    </row>
    <row r="89" spans="1:13" x14ac:dyDescent="0.3">
      <c r="A89" t="s">
        <v>0</v>
      </c>
      <c r="B89" t="s">
        <v>5</v>
      </c>
      <c r="C89" t="s">
        <v>1</v>
      </c>
      <c r="D89" t="s">
        <v>2</v>
      </c>
      <c r="E89" s="1" t="s">
        <v>270</v>
      </c>
      <c r="F89" t="s">
        <v>271</v>
      </c>
      <c r="G89">
        <v>4624</v>
      </c>
      <c r="H89">
        <v>1384</v>
      </c>
      <c r="I89" s="5">
        <f t="shared" si="3"/>
        <v>0.29930795847750863</v>
      </c>
      <c r="J89" s="2">
        <v>0.7</v>
      </c>
      <c r="K89" s="4">
        <v>7.87</v>
      </c>
      <c r="L89">
        <f t="shared" si="4"/>
        <v>1853</v>
      </c>
      <c r="M89" s="7">
        <f t="shared" si="5"/>
        <v>14583.11</v>
      </c>
    </row>
    <row r="90" spans="1:13" x14ac:dyDescent="0.3">
      <c r="A90" t="s">
        <v>0</v>
      </c>
      <c r="B90" t="s">
        <v>5</v>
      </c>
      <c r="C90" t="s">
        <v>1</v>
      </c>
      <c r="D90" t="s">
        <v>58</v>
      </c>
      <c r="E90" s="1" t="s">
        <v>273</v>
      </c>
      <c r="F90" t="s">
        <v>274</v>
      </c>
      <c r="G90">
        <v>3007</v>
      </c>
      <c r="H90">
        <v>698</v>
      </c>
      <c r="I90" s="5">
        <f t="shared" si="3"/>
        <v>0.23212504156967076</v>
      </c>
      <c r="J90" s="2">
        <v>0.7</v>
      </c>
      <c r="K90" s="4">
        <v>8.39</v>
      </c>
      <c r="L90">
        <f t="shared" si="4"/>
        <v>1407</v>
      </c>
      <c r="M90" s="7">
        <f t="shared" si="5"/>
        <v>11804.730000000001</v>
      </c>
    </row>
    <row r="91" spans="1:13" x14ac:dyDescent="0.3">
      <c r="A91" t="s">
        <v>0</v>
      </c>
      <c r="B91" t="s">
        <v>5</v>
      </c>
      <c r="C91" t="s">
        <v>1</v>
      </c>
      <c r="D91" t="s">
        <v>2</v>
      </c>
      <c r="E91" s="1" t="s">
        <v>275</v>
      </c>
      <c r="F91" t="s">
        <v>276</v>
      </c>
      <c r="G91">
        <v>3473</v>
      </c>
      <c r="H91">
        <v>1156</v>
      </c>
      <c r="I91" s="5">
        <f t="shared" si="3"/>
        <v>0.33285344082925422</v>
      </c>
      <c r="J91" s="2">
        <v>0.7</v>
      </c>
      <c r="K91" s="4">
        <v>7.18</v>
      </c>
      <c r="L91">
        <f t="shared" si="4"/>
        <v>1275</v>
      </c>
      <c r="M91" s="7">
        <f t="shared" si="5"/>
        <v>9154.5</v>
      </c>
    </row>
    <row r="92" spans="1:13" x14ac:dyDescent="0.3">
      <c r="A92" t="s">
        <v>0</v>
      </c>
      <c r="B92" t="s">
        <v>5</v>
      </c>
      <c r="C92" t="s">
        <v>1</v>
      </c>
      <c r="D92" t="s">
        <v>25</v>
      </c>
      <c r="E92" s="1" t="s">
        <v>277</v>
      </c>
      <c r="F92" t="s">
        <v>278</v>
      </c>
      <c r="G92">
        <v>2315</v>
      </c>
      <c r="H92">
        <v>669</v>
      </c>
      <c r="I92" s="5">
        <f t="shared" si="3"/>
        <v>0.28898488120950322</v>
      </c>
      <c r="J92" s="2">
        <v>0.7</v>
      </c>
      <c r="K92" s="4">
        <v>8.2100000000000009</v>
      </c>
      <c r="L92">
        <f t="shared" si="4"/>
        <v>952</v>
      </c>
      <c r="M92" s="7">
        <f t="shared" si="5"/>
        <v>7815.920000000001</v>
      </c>
    </row>
    <row r="93" spans="1:13" x14ac:dyDescent="0.3">
      <c r="A93" t="s">
        <v>0</v>
      </c>
      <c r="B93" t="s">
        <v>5</v>
      </c>
      <c r="C93" t="s">
        <v>1</v>
      </c>
      <c r="D93" t="s">
        <v>62</v>
      </c>
      <c r="E93" s="1" t="s">
        <v>279</v>
      </c>
      <c r="F93" t="s">
        <v>280</v>
      </c>
      <c r="G93">
        <v>3066</v>
      </c>
      <c r="H93">
        <v>895</v>
      </c>
      <c r="I93" s="5">
        <f t="shared" si="3"/>
        <v>0.29191128506197001</v>
      </c>
      <c r="J93" s="2">
        <v>0.7</v>
      </c>
      <c r="K93" s="4">
        <v>7.99</v>
      </c>
      <c r="L93">
        <f t="shared" si="4"/>
        <v>1251</v>
      </c>
      <c r="M93" s="7">
        <f t="shared" si="5"/>
        <v>9995.49</v>
      </c>
    </row>
    <row r="94" spans="1:13" x14ac:dyDescent="0.3">
      <c r="A94" t="s">
        <v>0</v>
      </c>
      <c r="B94" t="s">
        <v>5</v>
      </c>
      <c r="C94" t="s">
        <v>14</v>
      </c>
      <c r="D94" t="s">
        <v>272</v>
      </c>
      <c r="E94" s="1" t="s">
        <v>281</v>
      </c>
      <c r="F94" t="s">
        <v>282</v>
      </c>
      <c r="G94">
        <v>2843</v>
      </c>
      <c r="H94">
        <v>753</v>
      </c>
      <c r="I94" s="5">
        <f t="shared" si="3"/>
        <v>0.26486106225817796</v>
      </c>
      <c r="J94" s="2">
        <v>0.7</v>
      </c>
      <c r="K94" s="4">
        <v>8.49</v>
      </c>
      <c r="L94">
        <f t="shared" si="4"/>
        <v>1237</v>
      </c>
      <c r="M94" s="7">
        <f t="shared" si="5"/>
        <v>10502.130000000001</v>
      </c>
    </row>
    <row r="95" spans="1:13" x14ac:dyDescent="0.3">
      <c r="A95" t="s">
        <v>0</v>
      </c>
      <c r="B95" t="s">
        <v>5</v>
      </c>
      <c r="C95" t="s">
        <v>138</v>
      </c>
      <c r="D95" t="s">
        <v>139</v>
      </c>
      <c r="E95" s="1" t="s">
        <v>283</v>
      </c>
      <c r="F95" t="s">
        <v>284</v>
      </c>
      <c r="G95">
        <v>2360</v>
      </c>
      <c r="H95">
        <v>766</v>
      </c>
      <c r="I95" s="5">
        <f t="shared" si="3"/>
        <v>0.32457627118644067</v>
      </c>
      <c r="J95" s="2">
        <v>0.7</v>
      </c>
      <c r="K95" s="4">
        <v>7.56</v>
      </c>
      <c r="L95">
        <f t="shared" si="4"/>
        <v>886</v>
      </c>
      <c r="M95" s="7">
        <f t="shared" si="5"/>
        <v>6698.16</v>
      </c>
    </row>
    <row r="96" spans="1:13" x14ac:dyDescent="0.3">
      <c r="A96" t="s">
        <v>0</v>
      </c>
      <c r="B96" t="s">
        <v>5</v>
      </c>
      <c r="C96" t="s">
        <v>1</v>
      </c>
      <c r="D96" t="s">
        <v>118</v>
      </c>
      <c r="E96" s="1" t="s">
        <v>285</v>
      </c>
      <c r="F96" t="s">
        <v>286</v>
      </c>
      <c r="G96">
        <v>6085</v>
      </c>
      <c r="H96">
        <v>1004</v>
      </c>
      <c r="I96" s="5">
        <f t="shared" si="3"/>
        <v>0.16499589153656533</v>
      </c>
      <c r="J96" s="2">
        <v>0.7</v>
      </c>
      <c r="K96" s="4">
        <v>8.8699999999999992</v>
      </c>
      <c r="L96">
        <f t="shared" si="4"/>
        <v>3256</v>
      </c>
      <c r="M96" s="7">
        <f t="shared" si="5"/>
        <v>28880.719999999998</v>
      </c>
    </row>
    <row r="97" spans="1:13" x14ac:dyDescent="0.3">
      <c r="A97" t="s">
        <v>0</v>
      </c>
      <c r="B97" t="s">
        <v>5</v>
      </c>
      <c r="C97" t="s">
        <v>1</v>
      </c>
      <c r="D97" t="s">
        <v>46</v>
      </c>
      <c r="E97" s="1" t="s">
        <v>287</v>
      </c>
      <c r="F97" t="s">
        <v>288</v>
      </c>
      <c r="G97">
        <v>2616</v>
      </c>
      <c r="H97">
        <v>514</v>
      </c>
      <c r="I97" s="5">
        <f t="shared" si="3"/>
        <v>0.19648318042813456</v>
      </c>
      <c r="J97" s="2">
        <v>0.7</v>
      </c>
      <c r="K97" s="4">
        <v>8.44</v>
      </c>
      <c r="L97">
        <f t="shared" si="4"/>
        <v>1317</v>
      </c>
      <c r="M97" s="7">
        <f t="shared" si="5"/>
        <v>11115.48</v>
      </c>
    </row>
    <row r="98" spans="1:13" x14ac:dyDescent="0.3">
      <c r="A98" t="s">
        <v>0</v>
      </c>
      <c r="B98" t="s">
        <v>5</v>
      </c>
      <c r="C98" t="s">
        <v>12</v>
      </c>
      <c r="D98" t="s">
        <v>13</v>
      </c>
      <c r="E98" s="1" t="s">
        <v>290</v>
      </c>
      <c r="F98" t="s">
        <v>291</v>
      </c>
      <c r="G98">
        <v>5008</v>
      </c>
      <c r="H98">
        <v>1015</v>
      </c>
      <c r="I98" s="5">
        <f t="shared" si="3"/>
        <v>0.20267571884984026</v>
      </c>
      <c r="J98" s="2">
        <v>0.7</v>
      </c>
      <c r="K98" s="4">
        <v>8.8000000000000007</v>
      </c>
      <c r="L98">
        <f t="shared" si="4"/>
        <v>2491</v>
      </c>
      <c r="M98" s="7">
        <f t="shared" si="5"/>
        <v>21920.800000000003</v>
      </c>
    </row>
    <row r="99" spans="1:13" x14ac:dyDescent="0.3">
      <c r="A99" t="s">
        <v>0</v>
      </c>
      <c r="B99" t="s">
        <v>5</v>
      </c>
      <c r="C99" t="s">
        <v>1</v>
      </c>
      <c r="D99" t="s">
        <v>2</v>
      </c>
      <c r="E99" s="1" t="s">
        <v>292</v>
      </c>
      <c r="F99" t="s">
        <v>293</v>
      </c>
      <c r="G99">
        <v>3430</v>
      </c>
      <c r="H99">
        <v>967</v>
      </c>
      <c r="I99" s="5">
        <f t="shared" si="3"/>
        <v>0.28192419825072884</v>
      </c>
      <c r="J99" s="2">
        <v>0.7</v>
      </c>
      <c r="K99" s="4">
        <v>8.33</v>
      </c>
      <c r="L99">
        <f t="shared" si="4"/>
        <v>1434</v>
      </c>
      <c r="M99" s="7">
        <f t="shared" si="5"/>
        <v>11945.22</v>
      </c>
    </row>
    <row r="100" spans="1:13" x14ac:dyDescent="0.3">
      <c r="A100" t="s">
        <v>0</v>
      </c>
      <c r="B100" t="s">
        <v>5</v>
      </c>
      <c r="C100" t="s">
        <v>12</v>
      </c>
      <c r="D100" t="s">
        <v>13</v>
      </c>
      <c r="E100" s="1" t="s">
        <v>294</v>
      </c>
      <c r="F100" t="s">
        <v>295</v>
      </c>
      <c r="G100">
        <v>2482</v>
      </c>
      <c r="H100">
        <v>897</v>
      </c>
      <c r="I100" s="5">
        <f t="shared" si="3"/>
        <v>0.36140209508460919</v>
      </c>
      <c r="J100" s="2">
        <v>0.7</v>
      </c>
      <c r="K100" s="4">
        <v>7.23</v>
      </c>
      <c r="L100">
        <f t="shared" si="4"/>
        <v>840</v>
      </c>
      <c r="M100" s="7">
        <f t="shared" si="5"/>
        <v>6073.2000000000007</v>
      </c>
    </row>
    <row r="101" spans="1:13" x14ac:dyDescent="0.3">
      <c r="A101" t="s">
        <v>0</v>
      </c>
      <c r="B101" t="s">
        <v>5</v>
      </c>
      <c r="C101" t="s">
        <v>1</v>
      </c>
      <c r="D101" t="s">
        <v>296</v>
      </c>
      <c r="E101" s="1" t="s">
        <v>297</v>
      </c>
      <c r="F101" t="s">
        <v>298</v>
      </c>
      <c r="G101">
        <v>1378</v>
      </c>
      <c r="H101">
        <v>459</v>
      </c>
      <c r="I101" s="5">
        <f t="shared" si="3"/>
        <v>0.33309143686502179</v>
      </c>
      <c r="J101" s="2">
        <v>0.7</v>
      </c>
      <c r="K101" s="4">
        <v>8.94</v>
      </c>
      <c r="L101">
        <f t="shared" si="4"/>
        <v>506</v>
      </c>
      <c r="M101" s="7">
        <f t="shared" si="5"/>
        <v>4523.6399999999994</v>
      </c>
    </row>
    <row r="102" spans="1:13" x14ac:dyDescent="0.3">
      <c r="A102" t="s">
        <v>0</v>
      </c>
      <c r="B102" t="s">
        <v>5</v>
      </c>
      <c r="C102" t="s">
        <v>1</v>
      </c>
      <c r="D102" t="s">
        <v>299</v>
      </c>
      <c r="E102" s="1" t="s">
        <v>300</v>
      </c>
      <c r="F102" t="s">
        <v>301</v>
      </c>
      <c r="G102">
        <v>3380</v>
      </c>
      <c r="H102">
        <v>960</v>
      </c>
      <c r="I102" s="5">
        <f t="shared" si="3"/>
        <v>0.28402366863905326</v>
      </c>
      <c r="J102" s="2">
        <v>0.7</v>
      </c>
      <c r="K102" s="4">
        <v>7.51</v>
      </c>
      <c r="L102">
        <f t="shared" si="4"/>
        <v>1406</v>
      </c>
      <c r="M102" s="7">
        <f t="shared" si="5"/>
        <v>10559.06</v>
      </c>
    </row>
    <row r="103" spans="1:13" x14ac:dyDescent="0.3">
      <c r="A103" t="s">
        <v>0</v>
      </c>
      <c r="B103" t="s">
        <v>5</v>
      </c>
      <c r="C103" t="s">
        <v>1</v>
      </c>
      <c r="D103" t="s">
        <v>2</v>
      </c>
      <c r="E103" s="1" t="s">
        <v>302</v>
      </c>
      <c r="F103" t="s">
        <v>303</v>
      </c>
      <c r="G103">
        <v>1368</v>
      </c>
      <c r="H103">
        <v>276</v>
      </c>
      <c r="I103" s="5">
        <f t="shared" si="3"/>
        <v>0.20175438596491227</v>
      </c>
      <c r="J103" s="2">
        <v>0.7</v>
      </c>
      <c r="K103" s="4">
        <v>8.0299999999999994</v>
      </c>
      <c r="L103">
        <f t="shared" si="4"/>
        <v>682</v>
      </c>
      <c r="M103" s="7">
        <f t="shared" si="5"/>
        <v>5476.4599999999991</v>
      </c>
    </row>
    <row r="104" spans="1:13" x14ac:dyDescent="0.3">
      <c r="A104" t="s">
        <v>0</v>
      </c>
      <c r="B104" t="s">
        <v>5</v>
      </c>
      <c r="C104" t="s">
        <v>1</v>
      </c>
      <c r="D104" t="s">
        <v>304</v>
      </c>
      <c r="E104" s="1" t="s">
        <v>305</v>
      </c>
      <c r="F104" t="s">
        <v>306</v>
      </c>
      <c r="G104">
        <v>2724</v>
      </c>
      <c r="H104">
        <v>716</v>
      </c>
      <c r="I104" s="5">
        <f t="shared" si="3"/>
        <v>0.26284875183553597</v>
      </c>
      <c r="J104" s="2">
        <v>0.7</v>
      </c>
      <c r="K104" s="4">
        <v>8.51</v>
      </c>
      <c r="L104">
        <f t="shared" si="4"/>
        <v>1191</v>
      </c>
      <c r="M104" s="7">
        <f t="shared" si="5"/>
        <v>10135.41</v>
      </c>
    </row>
    <row r="105" spans="1:13" x14ac:dyDescent="0.3">
      <c r="A105" t="s">
        <v>0</v>
      </c>
      <c r="B105" t="s">
        <v>5</v>
      </c>
      <c r="C105" t="s">
        <v>23</v>
      </c>
      <c r="D105" t="s">
        <v>24</v>
      </c>
      <c r="E105" s="1" t="s">
        <v>308</v>
      </c>
      <c r="F105" t="s">
        <v>309</v>
      </c>
      <c r="G105">
        <v>5708</v>
      </c>
      <c r="H105">
        <v>2015</v>
      </c>
      <c r="I105" s="5">
        <f t="shared" si="3"/>
        <v>0.35301331464611074</v>
      </c>
      <c r="J105" s="2">
        <v>0.7</v>
      </c>
      <c r="K105" s="4">
        <v>7.96</v>
      </c>
      <c r="L105">
        <f t="shared" si="4"/>
        <v>1981</v>
      </c>
      <c r="M105" s="7">
        <f t="shared" si="5"/>
        <v>15768.76</v>
      </c>
    </row>
    <row r="106" spans="1:13" x14ac:dyDescent="0.3">
      <c r="A106" t="s">
        <v>0</v>
      </c>
      <c r="B106" t="s">
        <v>5</v>
      </c>
      <c r="C106" t="s">
        <v>47</v>
      </c>
      <c r="D106" t="s">
        <v>257</v>
      </c>
      <c r="E106" s="1" t="s">
        <v>310</v>
      </c>
      <c r="F106" t="s">
        <v>311</v>
      </c>
      <c r="G106">
        <v>3799</v>
      </c>
      <c r="H106">
        <v>1396</v>
      </c>
      <c r="I106" s="5">
        <f t="shared" si="3"/>
        <v>0.36746512240063173</v>
      </c>
      <c r="J106" s="2">
        <v>0.7</v>
      </c>
      <c r="K106" s="4">
        <v>8.69</v>
      </c>
      <c r="L106">
        <f t="shared" si="4"/>
        <v>1263</v>
      </c>
      <c r="M106" s="7">
        <f t="shared" si="5"/>
        <v>10975.47</v>
      </c>
    </row>
    <row r="107" spans="1:13" x14ac:dyDescent="0.3">
      <c r="A107" t="s">
        <v>0</v>
      </c>
      <c r="B107" t="s">
        <v>5</v>
      </c>
      <c r="C107" t="s">
        <v>1</v>
      </c>
      <c r="D107" t="s">
        <v>102</v>
      </c>
      <c r="E107" s="1" t="s">
        <v>312</v>
      </c>
      <c r="F107" t="s">
        <v>313</v>
      </c>
      <c r="G107">
        <v>2313</v>
      </c>
      <c r="H107">
        <v>858</v>
      </c>
      <c r="I107" s="5">
        <f t="shared" si="3"/>
        <v>0.37094682230869003</v>
      </c>
      <c r="J107" s="2">
        <v>0.7</v>
      </c>
      <c r="K107" s="4">
        <v>8</v>
      </c>
      <c r="L107">
        <f t="shared" si="4"/>
        <v>761</v>
      </c>
      <c r="M107" s="7">
        <f t="shared" si="5"/>
        <v>6088</v>
      </c>
    </row>
    <row r="108" spans="1:13" x14ac:dyDescent="0.3">
      <c r="A108" t="s">
        <v>0</v>
      </c>
      <c r="B108" t="s">
        <v>5</v>
      </c>
      <c r="C108" t="s">
        <v>1</v>
      </c>
      <c r="D108" t="s">
        <v>2</v>
      </c>
      <c r="E108" s="1" t="s">
        <v>314</v>
      </c>
      <c r="F108" t="s">
        <v>315</v>
      </c>
      <c r="G108">
        <v>3007</v>
      </c>
      <c r="H108">
        <v>935</v>
      </c>
      <c r="I108" s="5">
        <f t="shared" si="3"/>
        <v>0.31094113734619222</v>
      </c>
      <c r="J108" s="2">
        <v>0.7</v>
      </c>
      <c r="K108" s="4">
        <v>7.83</v>
      </c>
      <c r="L108">
        <f t="shared" si="4"/>
        <v>1170</v>
      </c>
      <c r="M108" s="7">
        <f t="shared" si="5"/>
        <v>9161.1</v>
      </c>
    </row>
    <row r="109" spans="1:13" x14ac:dyDescent="0.3">
      <c r="A109" t="s">
        <v>0</v>
      </c>
      <c r="B109" t="s">
        <v>5</v>
      </c>
      <c r="C109" t="s">
        <v>1</v>
      </c>
      <c r="D109" t="s">
        <v>119</v>
      </c>
      <c r="E109" s="1" t="s">
        <v>316</v>
      </c>
      <c r="F109" t="s">
        <v>317</v>
      </c>
      <c r="G109">
        <v>2813</v>
      </c>
      <c r="H109">
        <v>792</v>
      </c>
      <c r="I109" s="5">
        <f t="shared" si="3"/>
        <v>0.28154994667614647</v>
      </c>
      <c r="J109" s="2">
        <v>0.7</v>
      </c>
      <c r="K109" s="4">
        <v>8.24</v>
      </c>
      <c r="L109">
        <f t="shared" si="4"/>
        <v>1177</v>
      </c>
      <c r="M109" s="7">
        <f t="shared" si="5"/>
        <v>9698.48</v>
      </c>
    </row>
    <row r="110" spans="1:13" x14ac:dyDescent="0.3">
      <c r="A110" t="s">
        <v>0</v>
      </c>
      <c r="B110" t="s">
        <v>5</v>
      </c>
      <c r="C110" t="s">
        <v>1</v>
      </c>
      <c r="D110" t="s">
        <v>111</v>
      </c>
      <c r="E110" s="1" t="s">
        <v>318</v>
      </c>
      <c r="F110" t="s">
        <v>319</v>
      </c>
      <c r="G110">
        <v>2489</v>
      </c>
      <c r="H110">
        <v>550</v>
      </c>
      <c r="I110" s="5">
        <f t="shared" si="3"/>
        <v>0.22097227802330252</v>
      </c>
      <c r="J110" s="2">
        <v>0.7</v>
      </c>
      <c r="K110" s="4">
        <v>8.7899999999999991</v>
      </c>
      <c r="L110">
        <f t="shared" si="4"/>
        <v>1192</v>
      </c>
      <c r="M110" s="7">
        <f t="shared" si="5"/>
        <v>10477.679999999998</v>
      </c>
    </row>
    <row r="111" spans="1:13" x14ac:dyDescent="0.3">
      <c r="A111" t="s">
        <v>0</v>
      </c>
      <c r="B111" t="s">
        <v>5</v>
      </c>
      <c r="C111" t="s">
        <v>14</v>
      </c>
      <c r="D111" t="s">
        <v>61</v>
      </c>
      <c r="E111" s="1" t="s">
        <v>320</v>
      </c>
      <c r="F111" t="s">
        <v>321</v>
      </c>
      <c r="G111">
        <v>2980</v>
      </c>
      <c r="H111">
        <v>853</v>
      </c>
      <c r="I111" s="5">
        <f t="shared" si="3"/>
        <v>0.28624161073825505</v>
      </c>
      <c r="J111" s="2">
        <v>0.7</v>
      </c>
      <c r="K111" s="4">
        <v>7.92</v>
      </c>
      <c r="L111">
        <f t="shared" si="4"/>
        <v>1233</v>
      </c>
      <c r="M111" s="7">
        <f t="shared" si="5"/>
        <v>9765.36</v>
      </c>
    </row>
    <row r="112" spans="1:13" x14ac:dyDescent="0.3">
      <c r="A112" t="s">
        <v>0</v>
      </c>
      <c r="B112" t="s">
        <v>5</v>
      </c>
      <c r="C112" t="s">
        <v>41</v>
      </c>
      <c r="D112" t="s">
        <v>63</v>
      </c>
      <c r="E112" s="1" t="s">
        <v>322</v>
      </c>
      <c r="F112" t="s">
        <v>323</v>
      </c>
      <c r="G112">
        <v>4800</v>
      </c>
      <c r="H112">
        <v>1078</v>
      </c>
      <c r="I112" s="5">
        <f t="shared" si="3"/>
        <v>0.22458333333333333</v>
      </c>
      <c r="J112" s="2">
        <v>0.7</v>
      </c>
      <c r="K112" s="4">
        <v>8.7100000000000009</v>
      </c>
      <c r="L112">
        <f t="shared" si="4"/>
        <v>2282</v>
      </c>
      <c r="M112" s="7">
        <f t="shared" si="5"/>
        <v>19876.22</v>
      </c>
    </row>
    <row r="113" spans="1:13" x14ac:dyDescent="0.3">
      <c r="A113" t="s">
        <v>0</v>
      </c>
      <c r="B113" t="s">
        <v>5</v>
      </c>
      <c r="C113" t="s">
        <v>14</v>
      </c>
      <c r="D113" t="s">
        <v>325</v>
      </c>
      <c r="E113" s="1" t="s">
        <v>326</v>
      </c>
      <c r="F113" t="s">
        <v>327</v>
      </c>
      <c r="G113">
        <v>1407</v>
      </c>
      <c r="H113">
        <v>225</v>
      </c>
      <c r="I113" s="5">
        <f t="shared" si="3"/>
        <v>0.15991471215351813</v>
      </c>
      <c r="J113" s="2">
        <v>0.7</v>
      </c>
      <c r="K113" s="4">
        <v>10.67</v>
      </c>
      <c r="L113">
        <f t="shared" si="4"/>
        <v>760</v>
      </c>
      <c r="M113" s="7">
        <f t="shared" si="5"/>
        <v>8109.2</v>
      </c>
    </row>
    <row r="114" spans="1:13" x14ac:dyDescent="0.3">
      <c r="A114" t="s">
        <v>0</v>
      </c>
      <c r="B114" t="s">
        <v>5</v>
      </c>
      <c r="C114" t="s">
        <v>1</v>
      </c>
      <c r="D114" t="s">
        <v>2</v>
      </c>
      <c r="E114" s="1" t="s">
        <v>328</v>
      </c>
      <c r="F114" t="s">
        <v>329</v>
      </c>
      <c r="G114">
        <v>3251</v>
      </c>
      <c r="H114">
        <v>805</v>
      </c>
      <c r="I114" s="5">
        <f t="shared" si="3"/>
        <v>0.24761611811750231</v>
      </c>
      <c r="J114" s="2">
        <v>0.7</v>
      </c>
      <c r="K114" s="4">
        <v>7.83</v>
      </c>
      <c r="L114">
        <f t="shared" si="4"/>
        <v>1471</v>
      </c>
      <c r="M114" s="7">
        <f t="shared" si="5"/>
        <v>11517.93</v>
      </c>
    </row>
    <row r="115" spans="1:13" x14ac:dyDescent="0.3">
      <c r="A115" t="s">
        <v>0</v>
      </c>
      <c r="B115" t="s">
        <v>5</v>
      </c>
      <c r="C115" t="s">
        <v>9</v>
      </c>
      <c r="D115" t="s">
        <v>10</v>
      </c>
      <c r="E115" s="1" t="s">
        <v>11</v>
      </c>
      <c r="F115" t="s">
        <v>330</v>
      </c>
      <c r="G115">
        <v>3357</v>
      </c>
      <c r="H115">
        <v>872</v>
      </c>
      <c r="I115" s="5">
        <f t="shared" si="3"/>
        <v>0.2597557342865654</v>
      </c>
      <c r="J115" s="2">
        <v>0.7</v>
      </c>
      <c r="K115" s="4">
        <v>8.6300000000000008</v>
      </c>
      <c r="L115">
        <f t="shared" si="4"/>
        <v>1478</v>
      </c>
      <c r="M115" s="7">
        <f t="shared" si="5"/>
        <v>12755.140000000001</v>
      </c>
    </row>
    <row r="116" spans="1:13" x14ac:dyDescent="0.3">
      <c r="A116" t="s">
        <v>0</v>
      </c>
      <c r="B116" t="s">
        <v>5</v>
      </c>
      <c r="C116" t="s">
        <v>1</v>
      </c>
      <c r="D116" t="s">
        <v>16</v>
      </c>
      <c r="E116" s="1" t="s">
        <v>331</v>
      </c>
      <c r="F116" t="s">
        <v>332</v>
      </c>
      <c r="G116">
        <v>2092</v>
      </c>
      <c r="H116">
        <v>639</v>
      </c>
      <c r="I116" s="5">
        <f t="shared" si="3"/>
        <v>0.30544933078393882</v>
      </c>
      <c r="J116" s="2">
        <v>0.7</v>
      </c>
      <c r="K116" s="4">
        <v>8.5399999999999991</v>
      </c>
      <c r="L116">
        <f t="shared" si="4"/>
        <v>825</v>
      </c>
      <c r="M116" s="7">
        <f t="shared" si="5"/>
        <v>7045.4999999999991</v>
      </c>
    </row>
    <row r="117" spans="1:13" x14ac:dyDescent="0.3">
      <c r="A117" t="s">
        <v>0</v>
      </c>
      <c r="B117" t="s">
        <v>5</v>
      </c>
      <c r="C117" t="s">
        <v>1</v>
      </c>
      <c r="D117" t="s">
        <v>2</v>
      </c>
      <c r="E117" s="1" t="s">
        <v>333</v>
      </c>
      <c r="F117" t="s">
        <v>334</v>
      </c>
      <c r="G117">
        <v>2042</v>
      </c>
      <c r="H117">
        <v>440</v>
      </c>
      <c r="I117" s="5">
        <f t="shared" si="3"/>
        <v>0.21547502448579825</v>
      </c>
      <c r="J117" s="2">
        <v>0.7</v>
      </c>
      <c r="K117" s="4">
        <v>8.7100000000000009</v>
      </c>
      <c r="L117">
        <f t="shared" si="4"/>
        <v>989</v>
      </c>
      <c r="M117" s="7">
        <f t="shared" si="5"/>
        <v>8614.19</v>
      </c>
    </row>
    <row r="118" spans="1:13" x14ac:dyDescent="0.3">
      <c r="A118" t="s">
        <v>0</v>
      </c>
      <c r="B118" t="s">
        <v>5</v>
      </c>
      <c r="C118" t="s">
        <v>1</v>
      </c>
      <c r="D118" t="s">
        <v>2</v>
      </c>
      <c r="E118" s="1" t="s">
        <v>335</v>
      </c>
      <c r="F118" t="s">
        <v>336</v>
      </c>
      <c r="G118">
        <v>6352</v>
      </c>
      <c r="H118">
        <v>890</v>
      </c>
      <c r="I118" s="5">
        <f t="shared" si="3"/>
        <v>0.14011335012594459</v>
      </c>
      <c r="J118" s="2">
        <v>0.7</v>
      </c>
      <c r="K118" s="4">
        <v>10.199999999999999</v>
      </c>
      <c r="L118">
        <f t="shared" si="4"/>
        <v>3556</v>
      </c>
      <c r="M118" s="7">
        <f t="shared" si="5"/>
        <v>36271.199999999997</v>
      </c>
    </row>
    <row r="119" spans="1:13" x14ac:dyDescent="0.3">
      <c r="A119" t="s">
        <v>0</v>
      </c>
      <c r="B119" t="s">
        <v>5</v>
      </c>
      <c r="C119" t="s">
        <v>12</v>
      </c>
      <c r="D119" t="s">
        <v>13</v>
      </c>
      <c r="E119" s="1" t="s">
        <v>337</v>
      </c>
      <c r="F119" t="s">
        <v>338</v>
      </c>
      <c r="G119">
        <v>4964</v>
      </c>
      <c r="H119">
        <v>1358</v>
      </c>
      <c r="I119" s="5">
        <f t="shared" si="3"/>
        <v>0.27356970185334406</v>
      </c>
      <c r="J119" s="2">
        <v>0.7</v>
      </c>
      <c r="K119" s="4">
        <v>7.64</v>
      </c>
      <c r="L119">
        <f t="shared" si="4"/>
        <v>2117</v>
      </c>
      <c r="M119" s="7">
        <f t="shared" si="5"/>
        <v>16173.88</v>
      </c>
    </row>
    <row r="120" spans="1:13" x14ac:dyDescent="0.3">
      <c r="A120" t="s">
        <v>0</v>
      </c>
      <c r="B120" t="s">
        <v>5</v>
      </c>
      <c r="C120" t="s">
        <v>128</v>
      </c>
      <c r="D120" t="s">
        <v>153</v>
      </c>
      <c r="E120" s="1" t="s">
        <v>339</v>
      </c>
      <c r="F120" t="s">
        <v>340</v>
      </c>
      <c r="G120">
        <v>2626</v>
      </c>
      <c r="H120">
        <v>865</v>
      </c>
      <c r="I120" s="5">
        <f t="shared" si="3"/>
        <v>0.3293983244478294</v>
      </c>
      <c r="J120" s="2">
        <v>0.7</v>
      </c>
      <c r="K120" s="4">
        <v>8.76</v>
      </c>
      <c r="L120">
        <f t="shared" si="4"/>
        <v>973</v>
      </c>
      <c r="M120" s="7">
        <f t="shared" si="5"/>
        <v>8523.48</v>
      </c>
    </row>
    <row r="121" spans="1:13" x14ac:dyDescent="0.3">
      <c r="A121" t="s">
        <v>0</v>
      </c>
      <c r="B121" t="s">
        <v>5</v>
      </c>
      <c r="C121" t="s">
        <v>52</v>
      </c>
      <c r="D121" t="s">
        <v>53</v>
      </c>
      <c r="E121" s="1" t="s">
        <v>341</v>
      </c>
      <c r="F121" t="s">
        <v>342</v>
      </c>
      <c r="G121">
        <v>3401</v>
      </c>
      <c r="H121">
        <v>652</v>
      </c>
      <c r="I121" s="5">
        <f t="shared" si="3"/>
        <v>0.1917083210820347</v>
      </c>
      <c r="J121" s="2">
        <v>0.7</v>
      </c>
      <c r="K121" s="4">
        <v>8.91</v>
      </c>
      <c r="L121">
        <f t="shared" si="4"/>
        <v>1729</v>
      </c>
      <c r="M121" s="7">
        <f t="shared" si="5"/>
        <v>15405.39</v>
      </c>
    </row>
    <row r="122" spans="1:13" x14ac:dyDescent="0.3">
      <c r="A122" t="s">
        <v>0</v>
      </c>
      <c r="B122" t="s">
        <v>5</v>
      </c>
      <c r="C122" t="s">
        <v>1</v>
      </c>
      <c r="D122" t="s">
        <v>37</v>
      </c>
      <c r="E122" s="1" t="s">
        <v>343</v>
      </c>
      <c r="F122" t="s">
        <v>344</v>
      </c>
      <c r="G122">
        <v>3058</v>
      </c>
      <c r="H122">
        <v>1147</v>
      </c>
      <c r="I122" s="5">
        <f t="shared" si="3"/>
        <v>0.37508175277959449</v>
      </c>
      <c r="J122" s="2">
        <v>0.7</v>
      </c>
      <c r="K122" s="4">
        <v>6.44</v>
      </c>
      <c r="L122">
        <f t="shared" si="4"/>
        <v>994</v>
      </c>
      <c r="M122" s="7">
        <f t="shared" si="5"/>
        <v>6401.3600000000006</v>
      </c>
    </row>
    <row r="123" spans="1:13" x14ac:dyDescent="0.3">
      <c r="A123" t="s">
        <v>0</v>
      </c>
      <c r="B123" t="s">
        <v>5</v>
      </c>
      <c r="C123" t="s">
        <v>1</v>
      </c>
      <c r="D123" t="s">
        <v>2</v>
      </c>
      <c r="E123" s="1" t="s">
        <v>345</v>
      </c>
      <c r="F123" t="s">
        <v>346</v>
      </c>
      <c r="G123">
        <v>3979</v>
      </c>
      <c r="H123">
        <v>1161</v>
      </c>
      <c r="I123" s="5">
        <f t="shared" si="3"/>
        <v>0.29178185473737117</v>
      </c>
      <c r="J123" s="2">
        <v>0.7</v>
      </c>
      <c r="K123" s="4">
        <v>7.38</v>
      </c>
      <c r="L123">
        <f t="shared" si="4"/>
        <v>1624</v>
      </c>
      <c r="M123" s="7">
        <f t="shared" si="5"/>
        <v>11985.119999999999</v>
      </c>
    </row>
    <row r="124" spans="1:13" x14ac:dyDescent="0.3">
      <c r="A124" t="s">
        <v>0</v>
      </c>
      <c r="B124" t="s">
        <v>5</v>
      </c>
      <c r="C124" t="s">
        <v>249</v>
      </c>
      <c r="D124" t="s">
        <v>250</v>
      </c>
      <c r="E124" s="1" t="s">
        <v>347</v>
      </c>
      <c r="F124" t="s">
        <v>348</v>
      </c>
      <c r="G124">
        <v>5883</v>
      </c>
      <c r="H124">
        <v>1792</v>
      </c>
      <c r="I124" s="5">
        <f t="shared" si="3"/>
        <v>0.30460649328573858</v>
      </c>
      <c r="J124" s="2">
        <v>0.7</v>
      </c>
      <c r="K124" s="4">
        <v>7.59</v>
      </c>
      <c r="L124">
        <f t="shared" si="4"/>
        <v>2326</v>
      </c>
      <c r="M124" s="7">
        <f t="shared" si="5"/>
        <v>17654.34</v>
      </c>
    </row>
    <row r="125" spans="1:13" x14ac:dyDescent="0.3">
      <c r="A125" t="s">
        <v>0</v>
      </c>
      <c r="B125" t="s">
        <v>5</v>
      </c>
      <c r="C125" t="s">
        <v>1</v>
      </c>
      <c r="D125" t="s">
        <v>30</v>
      </c>
      <c r="E125" s="1" t="s">
        <v>349</v>
      </c>
      <c r="F125" t="s">
        <v>350</v>
      </c>
      <c r="G125">
        <v>2654</v>
      </c>
      <c r="H125">
        <v>765</v>
      </c>
      <c r="I125" s="5">
        <f t="shared" si="3"/>
        <v>0.28824415975885453</v>
      </c>
      <c r="J125" s="2">
        <v>0.7</v>
      </c>
      <c r="K125" s="4">
        <v>7.99</v>
      </c>
      <c r="L125">
        <f t="shared" si="4"/>
        <v>1093</v>
      </c>
      <c r="M125" s="7">
        <f t="shared" si="5"/>
        <v>8733.07</v>
      </c>
    </row>
    <row r="126" spans="1:13" x14ac:dyDescent="0.3">
      <c r="A126" t="s">
        <v>0</v>
      </c>
      <c r="B126" t="s">
        <v>5</v>
      </c>
      <c r="C126" t="s">
        <v>1</v>
      </c>
      <c r="D126" t="s">
        <v>2</v>
      </c>
      <c r="E126" s="1" t="s">
        <v>351</v>
      </c>
      <c r="F126" t="s">
        <v>352</v>
      </c>
      <c r="G126">
        <v>4523</v>
      </c>
      <c r="H126">
        <v>1717</v>
      </c>
      <c r="I126" s="5">
        <f t="shared" si="3"/>
        <v>0.37961529957992485</v>
      </c>
      <c r="J126" s="2">
        <v>0.7</v>
      </c>
      <c r="K126" s="4">
        <v>7.58</v>
      </c>
      <c r="L126">
        <f t="shared" si="4"/>
        <v>1449</v>
      </c>
      <c r="M126" s="7">
        <f t="shared" si="5"/>
        <v>10983.42</v>
      </c>
    </row>
    <row r="127" spans="1:13" x14ac:dyDescent="0.3">
      <c r="A127" t="s">
        <v>0</v>
      </c>
      <c r="B127" t="s">
        <v>5</v>
      </c>
      <c r="C127" t="s">
        <v>1</v>
      </c>
      <c r="D127" t="s">
        <v>353</v>
      </c>
      <c r="E127" s="1" t="s">
        <v>354</v>
      </c>
      <c r="F127" t="s">
        <v>355</v>
      </c>
      <c r="G127">
        <v>1407</v>
      </c>
      <c r="H127">
        <v>422</v>
      </c>
      <c r="I127" s="5">
        <f t="shared" si="3"/>
        <v>0.29992892679459843</v>
      </c>
      <c r="J127" s="2">
        <v>0.7</v>
      </c>
      <c r="K127" s="4">
        <v>8.42</v>
      </c>
      <c r="L127">
        <f t="shared" si="4"/>
        <v>563</v>
      </c>
      <c r="M127" s="7">
        <f t="shared" si="5"/>
        <v>4740.46</v>
      </c>
    </row>
    <row r="128" spans="1:13" x14ac:dyDescent="0.3">
      <c r="A128" t="s">
        <v>0</v>
      </c>
      <c r="B128" t="s">
        <v>5</v>
      </c>
      <c r="C128" t="s">
        <v>12</v>
      </c>
      <c r="D128" t="s">
        <v>13</v>
      </c>
      <c r="E128" s="1" t="s">
        <v>356</v>
      </c>
      <c r="F128" t="s">
        <v>357</v>
      </c>
      <c r="G128">
        <v>3371</v>
      </c>
      <c r="H128">
        <v>866</v>
      </c>
      <c r="I128" s="5">
        <f t="shared" si="3"/>
        <v>0.2568970631859982</v>
      </c>
      <c r="J128" s="2">
        <v>0.7</v>
      </c>
      <c r="K128" s="4">
        <v>8.67</v>
      </c>
      <c r="L128">
        <f t="shared" si="4"/>
        <v>1494</v>
      </c>
      <c r="M128" s="7">
        <f t="shared" si="5"/>
        <v>12952.98</v>
      </c>
    </row>
    <row r="129" spans="1:13" x14ac:dyDescent="0.3">
      <c r="A129" t="s">
        <v>0</v>
      </c>
      <c r="B129" t="s">
        <v>5</v>
      </c>
      <c r="C129" t="s">
        <v>1</v>
      </c>
      <c r="D129" t="s">
        <v>158</v>
      </c>
      <c r="E129" s="1" t="s">
        <v>358</v>
      </c>
      <c r="F129" t="s">
        <v>359</v>
      </c>
      <c r="G129">
        <v>1488</v>
      </c>
      <c r="H129">
        <v>354</v>
      </c>
      <c r="I129" s="5">
        <f t="shared" si="3"/>
        <v>0.23790322580645162</v>
      </c>
      <c r="J129" s="2">
        <v>0.7</v>
      </c>
      <c r="K129" s="4">
        <v>8.31</v>
      </c>
      <c r="L129">
        <f t="shared" si="4"/>
        <v>688</v>
      </c>
      <c r="M129" s="7">
        <f t="shared" si="5"/>
        <v>5717.2800000000007</v>
      </c>
    </row>
    <row r="130" spans="1:13" x14ac:dyDescent="0.3">
      <c r="A130" t="s">
        <v>0</v>
      </c>
      <c r="B130" t="s">
        <v>5</v>
      </c>
      <c r="C130" t="s">
        <v>22</v>
      </c>
      <c r="D130" t="s">
        <v>73</v>
      </c>
      <c r="E130" s="1" t="s">
        <v>360</v>
      </c>
      <c r="F130" t="s">
        <v>361</v>
      </c>
      <c r="G130">
        <v>2903</v>
      </c>
      <c r="H130">
        <v>830</v>
      </c>
      <c r="I130" s="5">
        <f t="shared" si="3"/>
        <v>0.28591112642094385</v>
      </c>
      <c r="J130" s="2">
        <v>0.7</v>
      </c>
      <c r="K130" s="4">
        <v>8.06</v>
      </c>
      <c r="L130">
        <f t="shared" si="4"/>
        <v>1202</v>
      </c>
      <c r="M130" s="7">
        <f t="shared" si="5"/>
        <v>9688.1200000000008</v>
      </c>
    </row>
    <row r="131" spans="1:13" x14ac:dyDescent="0.3">
      <c r="A131" t="s">
        <v>0</v>
      </c>
      <c r="B131" t="s">
        <v>5</v>
      </c>
      <c r="C131" t="s">
        <v>41</v>
      </c>
      <c r="D131" t="s">
        <v>324</v>
      </c>
      <c r="E131" s="1" t="s">
        <v>362</v>
      </c>
      <c r="F131" t="s">
        <v>363</v>
      </c>
      <c r="G131">
        <v>2173</v>
      </c>
      <c r="H131">
        <v>384</v>
      </c>
      <c r="I131" s="5">
        <f t="shared" ref="I131:I142" si="6">H131/G131</f>
        <v>0.1767142199723884</v>
      </c>
      <c r="J131" s="2">
        <v>0.7</v>
      </c>
      <c r="K131" s="4">
        <v>8.14</v>
      </c>
      <c r="L131">
        <f t="shared" ref="L131:L142" si="7">ROUND(G131*J131,0)-H131</f>
        <v>1137</v>
      </c>
      <c r="M131" s="7">
        <f t="shared" ref="M131:M142" si="8">L131*K131</f>
        <v>9255.18</v>
      </c>
    </row>
    <row r="132" spans="1:13" x14ac:dyDescent="0.3">
      <c r="A132" t="s">
        <v>0</v>
      </c>
      <c r="B132" t="s">
        <v>5</v>
      </c>
      <c r="C132" t="s">
        <v>80</v>
      </c>
      <c r="D132" t="s">
        <v>81</v>
      </c>
      <c r="E132" s="1" t="s">
        <v>364</v>
      </c>
      <c r="F132" t="s">
        <v>365</v>
      </c>
      <c r="G132">
        <v>1934</v>
      </c>
      <c r="H132">
        <v>668</v>
      </c>
      <c r="I132" s="5">
        <f t="shared" si="6"/>
        <v>0.34539813857290591</v>
      </c>
      <c r="J132" s="2">
        <v>0.7</v>
      </c>
      <c r="K132" s="4">
        <v>8.09</v>
      </c>
      <c r="L132">
        <f t="shared" si="7"/>
        <v>686</v>
      </c>
      <c r="M132" s="7">
        <f t="shared" si="8"/>
        <v>5549.74</v>
      </c>
    </row>
    <row r="133" spans="1:13" x14ac:dyDescent="0.3">
      <c r="A133" t="s">
        <v>0</v>
      </c>
      <c r="B133" t="s">
        <v>5</v>
      </c>
      <c r="C133" t="s">
        <v>114</v>
      </c>
      <c r="D133" t="s">
        <v>115</v>
      </c>
      <c r="E133" s="1" t="s">
        <v>366</v>
      </c>
      <c r="F133" t="s">
        <v>367</v>
      </c>
      <c r="G133">
        <v>7028</v>
      </c>
      <c r="H133">
        <v>1899</v>
      </c>
      <c r="I133" s="5">
        <f t="shared" si="6"/>
        <v>0.27020489470688674</v>
      </c>
      <c r="J133" s="2">
        <v>0.7</v>
      </c>
      <c r="K133" s="4">
        <v>8.24</v>
      </c>
      <c r="L133">
        <f t="shared" si="7"/>
        <v>3021</v>
      </c>
      <c r="M133" s="7">
        <f t="shared" si="8"/>
        <v>24893.040000000001</v>
      </c>
    </row>
    <row r="134" spans="1:13" x14ac:dyDescent="0.3">
      <c r="A134" t="s">
        <v>0</v>
      </c>
      <c r="B134" t="s">
        <v>5</v>
      </c>
      <c r="C134" t="s">
        <v>138</v>
      </c>
      <c r="D134" t="s">
        <v>368</v>
      </c>
      <c r="E134" s="1" t="s">
        <v>369</v>
      </c>
      <c r="F134" t="s">
        <v>370</v>
      </c>
      <c r="G134">
        <v>1889</v>
      </c>
      <c r="H134">
        <v>503</v>
      </c>
      <c r="I134" s="5">
        <f t="shared" si="6"/>
        <v>0.26627845420857599</v>
      </c>
      <c r="J134" s="2">
        <v>0.7</v>
      </c>
      <c r="K134" s="4">
        <v>8.58</v>
      </c>
      <c r="L134">
        <f t="shared" si="7"/>
        <v>819</v>
      </c>
      <c r="M134" s="7">
        <f t="shared" si="8"/>
        <v>7027.02</v>
      </c>
    </row>
    <row r="135" spans="1:13" x14ac:dyDescent="0.3">
      <c r="A135" t="s">
        <v>0</v>
      </c>
      <c r="B135" t="s">
        <v>5</v>
      </c>
      <c r="C135" t="s">
        <v>249</v>
      </c>
      <c r="D135" t="s">
        <v>250</v>
      </c>
      <c r="E135" s="1" t="s">
        <v>371</v>
      </c>
      <c r="F135" t="s">
        <v>372</v>
      </c>
      <c r="G135">
        <v>7041</v>
      </c>
      <c r="H135">
        <v>1802</v>
      </c>
      <c r="I135" s="5">
        <f t="shared" si="6"/>
        <v>0.25592955546087204</v>
      </c>
      <c r="J135" s="2">
        <v>0.7</v>
      </c>
      <c r="K135" s="4">
        <v>7.76</v>
      </c>
      <c r="L135">
        <f t="shared" si="7"/>
        <v>3127</v>
      </c>
      <c r="M135" s="7">
        <f t="shared" si="8"/>
        <v>24265.52</v>
      </c>
    </row>
    <row r="136" spans="1:13" x14ac:dyDescent="0.3">
      <c r="A136" t="s">
        <v>0</v>
      </c>
      <c r="B136" t="s">
        <v>5</v>
      </c>
      <c r="C136" t="s">
        <v>47</v>
      </c>
      <c r="D136" t="s">
        <v>84</v>
      </c>
      <c r="E136" s="1" t="s">
        <v>373</v>
      </c>
      <c r="F136" t="s">
        <v>374</v>
      </c>
      <c r="G136">
        <v>5118</v>
      </c>
      <c r="H136">
        <v>1926</v>
      </c>
      <c r="I136" s="5">
        <f t="shared" si="6"/>
        <v>0.37631887456037516</v>
      </c>
      <c r="J136" s="2">
        <v>0.7</v>
      </c>
      <c r="K136" s="4">
        <v>8.7100000000000009</v>
      </c>
      <c r="L136">
        <f t="shared" si="7"/>
        <v>1657</v>
      </c>
      <c r="M136" s="7">
        <f t="shared" si="8"/>
        <v>14432.470000000001</v>
      </c>
    </row>
    <row r="137" spans="1:13" x14ac:dyDescent="0.3">
      <c r="A137" t="s">
        <v>0</v>
      </c>
      <c r="B137" t="s">
        <v>5</v>
      </c>
      <c r="C137" t="s">
        <v>23</v>
      </c>
      <c r="D137" t="s">
        <v>24</v>
      </c>
      <c r="E137" s="1" t="s">
        <v>375</v>
      </c>
      <c r="F137" t="s">
        <v>376</v>
      </c>
      <c r="G137">
        <v>3535</v>
      </c>
      <c r="H137">
        <v>1141</v>
      </c>
      <c r="I137" s="5">
        <f t="shared" si="6"/>
        <v>0.32277227722772278</v>
      </c>
      <c r="J137" s="2">
        <v>0.7</v>
      </c>
      <c r="K137" s="4">
        <v>8.84</v>
      </c>
      <c r="L137">
        <f t="shared" si="7"/>
        <v>1334</v>
      </c>
      <c r="M137" s="7">
        <f t="shared" si="8"/>
        <v>11792.56</v>
      </c>
    </row>
    <row r="138" spans="1:13" x14ac:dyDescent="0.3">
      <c r="A138" t="s">
        <v>0</v>
      </c>
      <c r="B138" t="s">
        <v>5</v>
      </c>
      <c r="C138" t="s">
        <v>14</v>
      </c>
      <c r="D138" t="s">
        <v>103</v>
      </c>
      <c r="E138" s="1" t="s">
        <v>377</v>
      </c>
      <c r="F138" t="s">
        <v>378</v>
      </c>
      <c r="G138">
        <v>1854</v>
      </c>
      <c r="H138">
        <v>542</v>
      </c>
      <c r="I138" s="5">
        <f t="shared" si="6"/>
        <v>0.29234088457389429</v>
      </c>
      <c r="J138" s="2">
        <v>0.7</v>
      </c>
      <c r="K138" s="4">
        <v>6.63</v>
      </c>
      <c r="L138">
        <f t="shared" si="7"/>
        <v>756</v>
      </c>
      <c r="M138" s="7">
        <f t="shared" si="8"/>
        <v>5012.28</v>
      </c>
    </row>
    <row r="139" spans="1:13" x14ac:dyDescent="0.3">
      <c r="A139" t="s">
        <v>0</v>
      </c>
      <c r="B139" t="s">
        <v>5</v>
      </c>
      <c r="C139" t="s">
        <v>1</v>
      </c>
      <c r="D139" t="s">
        <v>289</v>
      </c>
      <c r="E139" s="1" t="s">
        <v>379</v>
      </c>
      <c r="F139" t="s">
        <v>380</v>
      </c>
      <c r="G139">
        <v>3592</v>
      </c>
      <c r="H139">
        <v>622</v>
      </c>
      <c r="I139" s="5">
        <f t="shared" si="6"/>
        <v>0.17316258351893096</v>
      </c>
      <c r="J139" s="2">
        <v>0.7</v>
      </c>
      <c r="K139" s="4">
        <v>8.6199999999999992</v>
      </c>
      <c r="L139">
        <f t="shared" si="7"/>
        <v>1892</v>
      </c>
      <c r="M139" s="7">
        <f t="shared" si="8"/>
        <v>16309.039999999999</v>
      </c>
    </row>
    <row r="140" spans="1:13" x14ac:dyDescent="0.3">
      <c r="A140" t="s">
        <v>0</v>
      </c>
      <c r="B140" t="s">
        <v>5</v>
      </c>
      <c r="C140" t="s">
        <v>39</v>
      </c>
      <c r="D140" t="s">
        <v>40</v>
      </c>
      <c r="E140" s="1" t="s">
        <v>381</v>
      </c>
      <c r="F140" t="s">
        <v>382</v>
      </c>
      <c r="G140">
        <v>13921</v>
      </c>
      <c r="H140">
        <v>6195</v>
      </c>
      <c r="I140" s="5">
        <f t="shared" si="6"/>
        <v>0.44501113425759642</v>
      </c>
      <c r="J140" s="2">
        <v>0.7</v>
      </c>
      <c r="K140" s="4">
        <v>4.6163344481605284</v>
      </c>
      <c r="L140">
        <f t="shared" si="7"/>
        <v>3550</v>
      </c>
      <c r="M140" s="7">
        <f t="shared" si="8"/>
        <v>16387.987290969875</v>
      </c>
    </row>
    <row r="141" spans="1:13" x14ac:dyDescent="0.3">
      <c r="A141" t="s">
        <v>0</v>
      </c>
      <c r="B141" t="s">
        <v>5</v>
      </c>
      <c r="C141" t="s">
        <v>1</v>
      </c>
      <c r="D141" t="s">
        <v>307</v>
      </c>
      <c r="E141" s="1" t="s">
        <v>383</v>
      </c>
      <c r="F141" t="s">
        <v>384</v>
      </c>
      <c r="G141">
        <v>4443</v>
      </c>
      <c r="H141">
        <v>962</v>
      </c>
      <c r="I141" s="5">
        <f t="shared" si="6"/>
        <v>0.216520369119964</v>
      </c>
      <c r="J141" s="2">
        <v>0.7</v>
      </c>
      <c r="K141" s="4">
        <v>8.6780593772628052</v>
      </c>
      <c r="L141">
        <f t="shared" si="7"/>
        <v>2148</v>
      </c>
      <c r="M141" s="7">
        <f t="shared" si="8"/>
        <v>18640.471542360505</v>
      </c>
    </row>
    <row r="142" spans="1:13" x14ac:dyDescent="0.3">
      <c r="A142" t="s">
        <v>0</v>
      </c>
      <c r="B142" t="s">
        <v>5</v>
      </c>
      <c r="C142" t="s">
        <v>39</v>
      </c>
      <c r="D142" t="s">
        <v>40</v>
      </c>
      <c r="E142" s="1" t="s">
        <v>385</v>
      </c>
      <c r="F142" t="s">
        <v>386</v>
      </c>
      <c r="G142">
        <v>8043</v>
      </c>
      <c r="H142">
        <v>3991</v>
      </c>
      <c r="I142" s="5">
        <f t="shared" si="6"/>
        <v>0.49620788263085913</v>
      </c>
      <c r="J142" s="2">
        <v>0.7</v>
      </c>
      <c r="K142" s="4">
        <v>4.5684413911549164</v>
      </c>
      <c r="L142">
        <f t="shared" si="7"/>
        <v>1639</v>
      </c>
      <c r="M142" s="7">
        <f t="shared" si="8"/>
        <v>7487.6754401029084</v>
      </c>
    </row>
  </sheetData>
  <autoFilter ref="A1:K142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China in 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2026-07-23T00:19:53Z</dcterms:modified>
</cp:coreProperties>
</file>