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F226C9D5-07CA-4532-9DE7-354582267523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Koni" sheetId="2" r:id="rId1"/>
  </sheets>
  <definedNames>
    <definedName name="_xlnm._FilterDatabase" localSheetId="0" hidden="1">Koni!$A$1:$K$53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6" i="2" l="1"/>
  <c r="M41" i="2"/>
  <c r="M45" i="2"/>
  <c r="M48" i="2"/>
  <c r="M53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L37" i="2"/>
  <c r="M37" i="2" s="1"/>
  <c r="L38" i="2"/>
  <c r="M38" i="2" s="1"/>
  <c r="L39" i="2"/>
  <c r="M39" i="2" s="1"/>
  <c r="L40" i="2"/>
  <c r="M40" i="2" s="1"/>
  <c r="L41" i="2"/>
  <c r="L42" i="2"/>
  <c r="M42" i="2" s="1"/>
  <c r="L43" i="2"/>
  <c r="M43" i="2" s="1"/>
  <c r="L44" i="2"/>
  <c r="M44" i="2" s="1"/>
  <c r="L45" i="2"/>
  <c r="L46" i="2"/>
  <c r="M46" i="2" s="1"/>
  <c r="L47" i="2"/>
  <c r="M47" i="2" s="1"/>
  <c r="L48" i="2"/>
  <c r="L49" i="2"/>
  <c r="M49" i="2" s="1"/>
  <c r="L50" i="2"/>
  <c r="M50" i="2" s="1"/>
  <c r="L51" i="2"/>
  <c r="M51" i="2" s="1"/>
  <c r="L52" i="2"/>
  <c r="M52" i="2" s="1"/>
  <c r="L5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L2" i="2"/>
  <c r="M2" i="2" s="1"/>
  <c r="I2" i="2"/>
</calcChain>
</file>

<file path=xl/sharedStrings.xml><?xml version="1.0" encoding="utf-8"?>
<sst xmlns="http://schemas.openxmlformats.org/spreadsheetml/2006/main" count="326" uniqueCount="144">
  <si>
    <t>2026-06</t>
  </si>
  <si>
    <t>SP</t>
  </si>
  <si>
    <t>GO</t>
  </si>
  <si>
    <t>Goiânia</t>
  </si>
  <si>
    <t>RJ</t>
  </si>
  <si>
    <t>Rio de Janeiro</t>
  </si>
  <si>
    <t>KONI</t>
  </si>
  <si>
    <t>Niterói</t>
  </si>
  <si>
    <t>01518248000101</t>
  </si>
  <si>
    <t>KONI ICARAÍ MM</t>
  </si>
  <si>
    <t>ES</t>
  </si>
  <si>
    <t>DF</t>
  </si>
  <si>
    <t>Brasília</t>
  </si>
  <si>
    <t>19355203000129</t>
  </si>
  <si>
    <t>MS</t>
  </si>
  <si>
    <t>DOURADOS</t>
  </si>
  <si>
    <t>23037367000185</t>
  </si>
  <si>
    <t>KONI DOURADOS MS</t>
  </si>
  <si>
    <t>São José dos Campos</t>
  </si>
  <si>
    <t>RIO DE JANEIRO</t>
  </si>
  <si>
    <t>Ribeirão Preto</t>
  </si>
  <si>
    <t>11247351000118</t>
  </si>
  <si>
    <t>KONI GOIÂNIA</t>
  </si>
  <si>
    <t>26751654000140</t>
  </si>
  <si>
    <t>KONI COPACABANA</t>
  </si>
  <si>
    <t>41400146000101</t>
  </si>
  <si>
    <t>KONI SHOPPING QUE GAMA</t>
  </si>
  <si>
    <t>Serra</t>
  </si>
  <si>
    <t>59273034000100</t>
  </si>
  <si>
    <t>17749168000105</t>
  </si>
  <si>
    <t>KONI COLINAS</t>
  </si>
  <si>
    <t>09241434000158</t>
  </si>
  <si>
    <t>KONI DOWNTOWN</t>
  </si>
  <si>
    <t>NITEROI</t>
  </si>
  <si>
    <t>09166081000179</t>
  </si>
  <si>
    <t>KONI PLAZA NITEROI</t>
  </si>
  <si>
    <t>Volta Redonda</t>
  </si>
  <si>
    <t>61548154000298</t>
  </si>
  <si>
    <t>KONI NOVO SUDOESTE</t>
  </si>
  <si>
    <t>MT</t>
  </si>
  <si>
    <t>Sinop</t>
  </si>
  <si>
    <t>59844430000132</t>
  </si>
  <si>
    <t>57929151000146</t>
  </si>
  <si>
    <t>KONI LARANJEIRAS</t>
  </si>
  <si>
    <t>62524828000104</t>
  </si>
  <si>
    <t>KONI ARCOVERDE</t>
  </si>
  <si>
    <t>Duque de Caxias</t>
  </si>
  <si>
    <t>55411716000173</t>
  </si>
  <si>
    <t>KONI CAXIAS SHOPPING MM</t>
  </si>
  <si>
    <t>31597353000144</t>
  </si>
  <si>
    <t>KONI AGUAS CLARAS</t>
  </si>
  <si>
    <t>62760726000180</t>
  </si>
  <si>
    <t>KONI NOROESTE</t>
  </si>
  <si>
    <t>61732229000105</t>
  </si>
  <si>
    <t>KONI ILHA PLAZA</t>
  </si>
  <si>
    <t>53380706000192</t>
  </si>
  <si>
    <t>KONI IPANEMA</t>
  </si>
  <si>
    <t>Macaé</t>
  </si>
  <si>
    <t>56021202000174</t>
  </si>
  <si>
    <t>KONI POSTO ALTANA</t>
  </si>
  <si>
    <t>60506027000182</t>
  </si>
  <si>
    <t>KONI LAGO SUL MM</t>
  </si>
  <si>
    <t>29683855000146</t>
  </si>
  <si>
    <t>KONI OUTLET WASHINGTON LUIZ</t>
  </si>
  <si>
    <t>20749022000166</t>
  </si>
  <si>
    <t>KONI TAGUATINGA PISTÃO SUL</t>
  </si>
  <si>
    <t>Cabo Frio</t>
  </si>
  <si>
    <t>18700235000232</t>
  </si>
  <si>
    <t>KONI PARK LAGOS</t>
  </si>
  <si>
    <t>08984001000120</t>
  </si>
  <si>
    <t>KONI FARME</t>
  </si>
  <si>
    <t>09589501000120</t>
  </si>
  <si>
    <t>KONI LARGO DO MACHADO</t>
  </si>
  <si>
    <t>37982654000178</t>
  </si>
  <si>
    <t>KONI CENTRO</t>
  </si>
  <si>
    <t>28141713000194</t>
  </si>
  <si>
    <t>KONI TAGUATINGA SHOPPING</t>
  </si>
  <si>
    <t>46602315000100</t>
  </si>
  <si>
    <t>KONI NORTE SHOPPING</t>
  </si>
  <si>
    <t>09102271000122</t>
  </si>
  <si>
    <t>KONI BOTAFOGO PRAIA</t>
  </si>
  <si>
    <t>16612995000181</t>
  </si>
  <si>
    <t>KONI VIA PARQUE</t>
  </si>
  <si>
    <t>24910844000138</t>
  </si>
  <si>
    <t>KONI VALE SUL</t>
  </si>
  <si>
    <t>18274230000104</t>
  </si>
  <si>
    <t>KONI SIDER VR MM</t>
  </si>
  <si>
    <t>09308025000121</t>
  </si>
  <si>
    <t>KONI LEBLON II</t>
  </si>
  <si>
    <t>29876993000141</t>
  </si>
  <si>
    <t>KONI PLAZA MACAE</t>
  </si>
  <si>
    <t>KONI ALDEIA DA SERRA</t>
  </si>
  <si>
    <t>NOVA IGUACU</t>
  </si>
  <si>
    <t>48641968000123</t>
  </si>
  <si>
    <t>KONI SHOPPING NOVA IGUAÇU</t>
  </si>
  <si>
    <t>61548154000107</t>
  </si>
  <si>
    <t>KONI ASA SUL</t>
  </si>
  <si>
    <t>41714286000154</t>
  </si>
  <si>
    <t>KONI CONJUNTO NACIONAL DF</t>
  </si>
  <si>
    <t>37883265000195</t>
  </si>
  <si>
    <t>KONI GAVEA</t>
  </si>
  <si>
    <t>19597474000190</t>
  </si>
  <si>
    <t>KONI AMERICAS SHOPPING</t>
  </si>
  <si>
    <t>KONI SINOP MT</t>
  </si>
  <si>
    <t>20049002000182</t>
  </si>
  <si>
    <t>KONI BOTAFOGO RUA</t>
  </si>
  <si>
    <t>33749967000120</t>
  </si>
  <si>
    <t>KONI MEIER</t>
  </si>
  <si>
    <t>40078679000156</t>
  </si>
  <si>
    <t>KONI BOULEVARD NORTE</t>
  </si>
  <si>
    <t>09107651000150</t>
  </si>
  <si>
    <t>KONI RIBEIRAO PRETO</t>
  </si>
  <si>
    <t>11758314000336</t>
  </si>
  <si>
    <t>KONI ASA NORTE</t>
  </si>
  <si>
    <t>Nova Iguaçu</t>
  </si>
  <si>
    <t>52882151000114</t>
  </si>
  <si>
    <t>KONI TOP SHOPPING MM</t>
  </si>
  <si>
    <t>15635107000183</t>
  </si>
  <si>
    <t>KONI CARIOCA SHOPPING MM</t>
  </si>
  <si>
    <t>23365115000185</t>
  </si>
  <si>
    <t>KONI RIBEIRAO SHOPPING</t>
  </si>
  <si>
    <t>24978274000118</t>
  </si>
  <si>
    <t>KONI RIO SUL</t>
  </si>
  <si>
    <t>19098903000185</t>
  </si>
  <si>
    <t>KONI METROPOLITANO</t>
  </si>
  <si>
    <t>KONI MARIZ E BARROS DK</t>
  </si>
  <si>
    <t>61548154000379</t>
  </si>
  <si>
    <t>KONI GUARA</t>
  </si>
  <si>
    <t>40968204000135</t>
  </si>
  <si>
    <t>KONI BRASILIA SHOPPING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</si>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</sst>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F22F-710B-4DC2-B186-4BC22AA86A6D}">
  <dimension ref="A1:N53"/>
  <sheetViews>
    <sheetView tabSelected="1" zoomScaleNormal="100" workbookViewId="0">
      <selection activeCell="E15" sqref="E15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3" max="13" width="16.109375" bestFit="1" customWidth="1"/>
  </cols>
  <sheetData>
    <row r="1" spans="1:14" ht="36" customHeight="1" x14ac:dyDescent="0.3">
      <c r="A1" s="3" t="s">
        <v>130</v>
      </c>
      <c r="B1" s="3" t="s">
        <v>131</v>
      </c>
      <c r="C1" s="3" t="s">
        <v>132</v>
      </c>
      <c r="D1" s="3" t="s">
        <v>133</v>
      </c>
      <c r="E1" s="3" t="s">
        <v>134</v>
      </c>
      <c r="F1" s="3" t="s">
        <v>135</v>
      </c>
      <c r="G1" s="3" t="s">
        <v>136</v>
      </c>
      <c r="H1" s="3" t="s">
        <v>137</v>
      </c>
      <c r="I1" s="6" t="s">
        <v>140</v>
      </c>
      <c r="J1" s="3" t="s">
        <v>138</v>
      </c>
      <c r="K1" s="3" t="s">
        <v>139</v>
      </c>
      <c r="L1" s="6" t="s">
        <v>141</v>
      </c>
      <c r="M1" s="6" t="s">
        <v>142</v>
      </c>
      <c r="N1" s="8" t="s">
        <v>143</v>
      </c>
    </row>
    <row r="2" spans="1:14" x14ac:dyDescent="0.3">
      <c r="A2" t="s">
        <v>0</v>
      </c>
      <c r="B2" t="s">
        <v>6</v>
      </c>
      <c r="C2" t="s">
        <v>4</v>
      </c>
      <c r="D2" t="s">
        <v>7</v>
      </c>
      <c r="E2" s="1" t="s">
        <v>8</v>
      </c>
      <c r="F2" t="s">
        <v>9</v>
      </c>
      <c r="G2">
        <v>2497</v>
      </c>
      <c r="H2">
        <v>815</v>
      </c>
      <c r="I2" s="5">
        <f>H2/G2</f>
        <v>0.32639167000400482</v>
      </c>
      <c r="J2" s="2">
        <v>0.7</v>
      </c>
      <c r="K2" s="4">
        <v>7.55</v>
      </c>
      <c r="L2">
        <f>ROUND(G2*J2,0)-H2</f>
        <v>933</v>
      </c>
      <c r="M2" s="7">
        <f>L2*K2</f>
        <v>7044.15</v>
      </c>
    </row>
    <row r="3" spans="1:14" x14ac:dyDescent="0.3">
      <c r="A3" t="s">
        <v>0</v>
      </c>
      <c r="B3" t="s">
        <v>6</v>
      </c>
      <c r="C3" t="s">
        <v>14</v>
      </c>
      <c r="D3" t="s">
        <v>15</v>
      </c>
      <c r="E3" s="1" t="s">
        <v>16</v>
      </c>
      <c r="F3" t="s">
        <v>17</v>
      </c>
      <c r="G3">
        <v>2016</v>
      </c>
      <c r="H3">
        <v>865</v>
      </c>
      <c r="I3" s="5">
        <f t="shared" ref="I3:I53" si="0">H3/G3</f>
        <v>0.42906746031746029</v>
      </c>
      <c r="J3" s="2">
        <v>0.7</v>
      </c>
      <c r="K3" s="4">
        <v>8.5299999999999994</v>
      </c>
      <c r="L3">
        <f t="shared" ref="L3:L53" si="1">ROUND(G3*J3,0)-H3</f>
        <v>546</v>
      </c>
      <c r="M3" s="7">
        <f t="shared" ref="M3:M53" si="2">L3*K3</f>
        <v>4657.3799999999992</v>
      </c>
    </row>
    <row r="4" spans="1:14" x14ac:dyDescent="0.3">
      <c r="A4" t="s">
        <v>0</v>
      </c>
      <c r="B4" t="s">
        <v>6</v>
      </c>
      <c r="C4" t="s">
        <v>2</v>
      </c>
      <c r="D4" t="s">
        <v>3</v>
      </c>
      <c r="E4" s="1" t="s">
        <v>21</v>
      </c>
      <c r="F4" t="s">
        <v>22</v>
      </c>
      <c r="G4">
        <v>1546</v>
      </c>
      <c r="H4">
        <v>434</v>
      </c>
      <c r="I4" s="5">
        <f t="shared" si="0"/>
        <v>0.28072445019404918</v>
      </c>
      <c r="J4" s="2">
        <v>0.7</v>
      </c>
      <c r="K4" s="4">
        <v>7.89</v>
      </c>
      <c r="L4">
        <f t="shared" si="1"/>
        <v>648</v>
      </c>
      <c r="M4" s="7">
        <f t="shared" si="2"/>
        <v>5112.7199999999993</v>
      </c>
    </row>
    <row r="5" spans="1:14" x14ac:dyDescent="0.3">
      <c r="A5" t="s">
        <v>0</v>
      </c>
      <c r="B5" t="s">
        <v>6</v>
      </c>
      <c r="C5" t="s">
        <v>4</v>
      </c>
      <c r="D5" t="s">
        <v>5</v>
      </c>
      <c r="E5" s="1" t="s">
        <v>23</v>
      </c>
      <c r="F5" t="s">
        <v>24</v>
      </c>
      <c r="G5">
        <v>3533</v>
      </c>
      <c r="H5">
        <v>1168</v>
      </c>
      <c r="I5" s="5">
        <f t="shared" si="0"/>
        <v>0.33059722615341069</v>
      </c>
      <c r="J5" s="2">
        <v>0.7</v>
      </c>
      <c r="K5" s="4">
        <v>7.07</v>
      </c>
      <c r="L5">
        <f t="shared" si="1"/>
        <v>1305</v>
      </c>
      <c r="M5" s="7">
        <f t="shared" si="2"/>
        <v>9226.35</v>
      </c>
    </row>
    <row r="6" spans="1:14" x14ac:dyDescent="0.3">
      <c r="A6" t="s">
        <v>0</v>
      </c>
      <c r="B6" t="s">
        <v>6</v>
      </c>
      <c r="C6" t="s">
        <v>11</v>
      </c>
      <c r="D6" t="s">
        <v>12</v>
      </c>
      <c r="E6" s="1" t="s">
        <v>25</v>
      </c>
      <c r="F6" t="s">
        <v>26</v>
      </c>
      <c r="G6">
        <v>3172</v>
      </c>
      <c r="H6">
        <v>1041</v>
      </c>
      <c r="I6" s="5">
        <f t="shared" si="0"/>
        <v>0.3281841109709962</v>
      </c>
      <c r="J6" s="2">
        <v>0.7</v>
      </c>
      <c r="K6" s="4">
        <v>7.87</v>
      </c>
      <c r="L6">
        <f t="shared" si="1"/>
        <v>1179</v>
      </c>
      <c r="M6" s="7">
        <f t="shared" si="2"/>
        <v>9278.73</v>
      </c>
    </row>
    <row r="7" spans="1:14" x14ac:dyDescent="0.3">
      <c r="A7" t="s">
        <v>0</v>
      </c>
      <c r="B7" t="s">
        <v>6</v>
      </c>
      <c r="C7" t="s">
        <v>1</v>
      </c>
      <c r="D7" t="s">
        <v>18</v>
      </c>
      <c r="E7" s="1" t="s">
        <v>29</v>
      </c>
      <c r="F7" t="s">
        <v>30</v>
      </c>
      <c r="G7">
        <v>3019</v>
      </c>
      <c r="H7">
        <v>1326</v>
      </c>
      <c r="I7" s="5">
        <f t="shared" si="0"/>
        <v>0.43921828420006626</v>
      </c>
      <c r="J7" s="2">
        <v>0.7</v>
      </c>
      <c r="K7" s="4">
        <v>7.34</v>
      </c>
      <c r="L7">
        <f t="shared" si="1"/>
        <v>787</v>
      </c>
      <c r="M7" s="7">
        <f t="shared" si="2"/>
        <v>5776.58</v>
      </c>
    </row>
    <row r="8" spans="1:14" x14ac:dyDescent="0.3">
      <c r="A8" t="s">
        <v>0</v>
      </c>
      <c r="B8" t="s">
        <v>6</v>
      </c>
      <c r="C8" t="s">
        <v>4</v>
      </c>
      <c r="D8" t="s">
        <v>5</v>
      </c>
      <c r="E8" s="1" t="s">
        <v>31</v>
      </c>
      <c r="F8" t="s">
        <v>32</v>
      </c>
      <c r="G8">
        <v>3388</v>
      </c>
      <c r="H8">
        <v>1730</v>
      </c>
      <c r="I8" s="5">
        <f t="shared" si="0"/>
        <v>0.51062573789846522</v>
      </c>
      <c r="J8" s="2">
        <v>0.7</v>
      </c>
      <c r="K8" s="4">
        <v>7.56</v>
      </c>
      <c r="L8">
        <f t="shared" si="1"/>
        <v>642</v>
      </c>
      <c r="M8" s="7">
        <f t="shared" si="2"/>
        <v>4853.5199999999995</v>
      </c>
    </row>
    <row r="9" spans="1:14" x14ac:dyDescent="0.3">
      <c r="A9" t="s">
        <v>0</v>
      </c>
      <c r="B9" t="s">
        <v>6</v>
      </c>
      <c r="C9" t="s">
        <v>4</v>
      </c>
      <c r="D9" t="s">
        <v>33</v>
      </c>
      <c r="E9" s="1" t="s">
        <v>34</v>
      </c>
      <c r="F9" t="s">
        <v>35</v>
      </c>
      <c r="G9">
        <v>6101</v>
      </c>
      <c r="H9">
        <v>3743</v>
      </c>
      <c r="I9" s="5">
        <f t="shared" si="0"/>
        <v>0.61350598262579903</v>
      </c>
      <c r="J9" s="2">
        <v>0.7</v>
      </c>
      <c r="K9" s="4">
        <v>8.48</v>
      </c>
      <c r="L9">
        <f t="shared" si="1"/>
        <v>528</v>
      </c>
      <c r="M9" s="7">
        <f t="shared" si="2"/>
        <v>4477.4400000000005</v>
      </c>
    </row>
    <row r="10" spans="1:14" x14ac:dyDescent="0.3">
      <c r="A10" t="s">
        <v>0</v>
      </c>
      <c r="B10" t="s">
        <v>6</v>
      </c>
      <c r="C10" t="s">
        <v>11</v>
      </c>
      <c r="D10" t="s">
        <v>12</v>
      </c>
      <c r="E10" s="1" t="s">
        <v>37</v>
      </c>
      <c r="F10" t="s">
        <v>38</v>
      </c>
      <c r="G10">
        <v>3734</v>
      </c>
      <c r="H10">
        <v>1280</v>
      </c>
      <c r="I10" s="5">
        <f t="shared" si="0"/>
        <v>0.34279592929833957</v>
      </c>
      <c r="J10" s="2">
        <v>0.7</v>
      </c>
      <c r="K10" s="4">
        <v>6.29</v>
      </c>
      <c r="L10">
        <f t="shared" si="1"/>
        <v>1334</v>
      </c>
      <c r="M10" s="7">
        <f t="shared" si="2"/>
        <v>8390.86</v>
      </c>
    </row>
    <row r="11" spans="1:14" x14ac:dyDescent="0.3">
      <c r="A11" t="s">
        <v>0</v>
      </c>
      <c r="B11" t="s">
        <v>6</v>
      </c>
      <c r="C11" t="s">
        <v>4</v>
      </c>
      <c r="D11" t="s">
        <v>5</v>
      </c>
      <c r="E11" s="1" t="s">
        <v>42</v>
      </c>
      <c r="F11" t="s">
        <v>43</v>
      </c>
      <c r="G11">
        <v>3249</v>
      </c>
      <c r="H11">
        <v>1108</v>
      </c>
      <c r="I11" s="5">
        <f t="shared" si="0"/>
        <v>0.34102800861803634</v>
      </c>
      <c r="J11" s="2">
        <v>0.7</v>
      </c>
      <c r="K11" s="4">
        <v>8.1199999999999992</v>
      </c>
      <c r="L11">
        <f t="shared" si="1"/>
        <v>1166</v>
      </c>
      <c r="M11" s="7">
        <f t="shared" si="2"/>
        <v>9467.9199999999983</v>
      </c>
    </row>
    <row r="12" spans="1:14" x14ac:dyDescent="0.3">
      <c r="A12" t="s">
        <v>0</v>
      </c>
      <c r="B12" t="s">
        <v>6</v>
      </c>
      <c r="C12" t="s">
        <v>4</v>
      </c>
      <c r="D12" t="s">
        <v>19</v>
      </c>
      <c r="E12" s="1" t="s">
        <v>44</v>
      </c>
      <c r="F12" t="s">
        <v>45</v>
      </c>
      <c r="G12">
        <v>2562</v>
      </c>
      <c r="H12">
        <v>748</v>
      </c>
      <c r="I12" s="5">
        <f t="shared" si="0"/>
        <v>0.29195940671350507</v>
      </c>
      <c r="J12" s="2">
        <v>0.7</v>
      </c>
      <c r="K12" s="4">
        <v>7.63</v>
      </c>
      <c r="L12">
        <f t="shared" si="1"/>
        <v>1045</v>
      </c>
      <c r="M12" s="7">
        <f t="shared" si="2"/>
        <v>7973.3499999999995</v>
      </c>
    </row>
    <row r="13" spans="1:14" x14ac:dyDescent="0.3">
      <c r="A13" t="s">
        <v>0</v>
      </c>
      <c r="B13" t="s">
        <v>6</v>
      </c>
      <c r="C13" t="s">
        <v>4</v>
      </c>
      <c r="D13" t="s">
        <v>46</v>
      </c>
      <c r="E13" s="1" t="s">
        <v>47</v>
      </c>
      <c r="F13" t="s">
        <v>48</v>
      </c>
      <c r="G13">
        <v>1705</v>
      </c>
      <c r="H13">
        <v>737</v>
      </c>
      <c r="I13" s="5">
        <f t="shared" si="0"/>
        <v>0.43225806451612903</v>
      </c>
      <c r="J13" s="2">
        <v>0.7</v>
      </c>
      <c r="K13" s="4">
        <v>7.53</v>
      </c>
      <c r="L13">
        <f t="shared" si="1"/>
        <v>457</v>
      </c>
      <c r="M13" s="7">
        <f t="shared" si="2"/>
        <v>3441.21</v>
      </c>
    </row>
    <row r="14" spans="1:14" x14ac:dyDescent="0.3">
      <c r="A14" t="s">
        <v>0</v>
      </c>
      <c r="B14" t="s">
        <v>6</v>
      </c>
      <c r="C14" t="s">
        <v>11</v>
      </c>
      <c r="D14" t="s">
        <v>12</v>
      </c>
      <c r="E14" s="1" t="s">
        <v>49</v>
      </c>
      <c r="F14" t="s">
        <v>50</v>
      </c>
      <c r="G14">
        <v>3737</v>
      </c>
      <c r="H14">
        <v>1244</v>
      </c>
      <c r="I14" s="5">
        <f t="shared" si="0"/>
        <v>0.33288734278833287</v>
      </c>
      <c r="J14" s="2">
        <v>0.7</v>
      </c>
      <c r="K14" s="4">
        <v>10.07</v>
      </c>
      <c r="L14">
        <f t="shared" si="1"/>
        <v>1372</v>
      </c>
      <c r="M14" s="7">
        <f t="shared" si="2"/>
        <v>13816.04</v>
      </c>
    </row>
    <row r="15" spans="1:14" x14ac:dyDescent="0.3">
      <c r="A15" t="s">
        <v>0</v>
      </c>
      <c r="B15" t="s">
        <v>6</v>
      </c>
      <c r="C15" t="s">
        <v>11</v>
      </c>
      <c r="D15" t="s">
        <v>12</v>
      </c>
      <c r="E15" s="1" t="s">
        <v>51</v>
      </c>
      <c r="F15" t="s">
        <v>52</v>
      </c>
      <c r="G15">
        <v>2319</v>
      </c>
      <c r="H15">
        <v>747</v>
      </c>
      <c r="I15" s="5">
        <f t="shared" si="0"/>
        <v>0.32212160413971541</v>
      </c>
      <c r="J15" s="2">
        <v>0.7</v>
      </c>
      <c r="K15" s="4">
        <v>8.4600000000000009</v>
      </c>
      <c r="L15">
        <f t="shared" si="1"/>
        <v>876</v>
      </c>
      <c r="M15" s="7">
        <f t="shared" si="2"/>
        <v>7410.9600000000009</v>
      </c>
    </row>
    <row r="16" spans="1:14" x14ac:dyDescent="0.3">
      <c r="A16" t="s">
        <v>0</v>
      </c>
      <c r="B16" t="s">
        <v>6</v>
      </c>
      <c r="C16" t="s">
        <v>4</v>
      </c>
      <c r="D16" t="s">
        <v>5</v>
      </c>
      <c r="E16" s="1" t="s">
        <v>53</v>
      </c>
      <c r="F16" t="s">
        <v>54</v>
      </c>
      <c r="G16">
        <v>2743</v>
      </c>
      <c r="H16">
        <v>1267</v>
      </c>
      <c r="I16" s="5">
        <f t="shared" si="0"/>
        <v>0.46190302588406856</v>
      </c>
      <c r="J16" s="2">
        <v>0.7</v>
      </c>
      <c r="K16" s="4">
        <v>7.32</v>
      </c>
      <c r="L16">
        <f t="shared" si="1"/>
        <v>653</v>
      </c>
      <c r="M16" s="7">
        <f t="shared" si="2"/>
        <v>4779.96</v>
      </c>
    </row>
    <row r="17" spans="1:13" x14ac:dyDescent="0.3">
      <c r="A17" t="s">
        <v>0</v>
      </c>
      <c r="B17" t="s">
        <v>6</v>
      </c>
      <c r="C17" t="s">
        <v>4</v>
      </c>
      <c r="D17" t="s">
        <v>19</v>
      </c>
      <c r="E17" s="1" t="s">
        <v>55</v>
      </c>
      <c r="F17" t="s">
        <v>56</v>
      </c>
      <c r="G17">
        <v>3553</v>
      </c>
      <c r="H17">
        <v>1836</v>
      </c>
      <c r="I17" s="5">
        <f t="shared" si="0"/>
        <v>0.51674641148325362</v>
      </c>
      <c r="J17" s="2">
        <v>0.7</v>
      </c>
      <c r="K17" s="4">
        <v>7.66</v>
      </c>
      <c r="L17">
        <f t="shared" si="1"/>
        <v>651</v>
      </c>
      <c r="M17" s="7">
        <f t="shared" si="2"/>
        <v>4986.66</v>
      </c>
    </row>
    <row r="18" spans="1:13" x14ac:dyDescent="0.3">
      <c r="A18" t="s">
        <v>0</v>
      </c>
      <c r="B18" t="s">
        <v>6</v>
      </c>
      <c r="C18" t="s">
        <v>11</v>
      </c>
      <c r="D18" t="s">
        <v>12</v>
      </c>
      <c r="E18" s="1" t="s">
        <v>58</v>
      </c>
      <c r="F18" t="s">
        <v>59</v>
      </c>
      <c r="G18">
        <v>1628</v>
      </c>
      <c r="H18">
        <v>634</v>
      </c>
      <c r="I18" s="5">
        <f t="shared" si="0"/>
        <v>0.38943488943488941</v>
      </c>
      <c r="J18" s="2">
        <v>0.7</v>
      </c>
      <c r="K18" s="4">
        <v>8.0399999999999991</v>
      </c>
      <c r="L18">
        <f t="shared" si="1"/>
        <v>506</v>
      </c>
      <c r="M18" s="7">
        <f t="shared" si="2"/>
        <v>4068.24</v>
      </c>
    </row>
    <row r="19" spans="1:13" x14ac:dyDescent="0.3">
      <c r="A19" t="s">
        <v>0</v>
      </c>
      <c r="B19" t="s">
        <v>6</v>
      </c>
      <c r="C19" t="s">
        <v>11</v>
      </c>
      <c r="D19" t="s">
        <v>12</v>
      </c>
      <c r="E19" s="1" t="s">
        <v>60</v>
      </c>
      <c r="F19" t="s">
        <v>61</v>
      </c>
      <c r="G19">
        <v>1561</v>
      </c>
      <c r="H19">
        <v>262</v>
      </c>
      <c r="I19" s="5">
        <f t="shared" si="0"/>
        <v>0.16784112748238308</v>
      </c>
      <c r="J19" s="2">
        <v>0.7</v>
      </c>
      <c r="K19" s="4">
        <v>7.52</v>
      </c>
      <c r="L19">
        <f t="shared" si="1"/>
        <v>831</v>
      </c>
      <c r="M19" s="7">
        <f t="shared" si="2"/>
        <v>6249.12</v>
      </c>
    </row>
    <row r="20" spans="1:13" x14ac:dyDescent="0.3">
      <c r="A20" t="s">
        <v>0</v>
      </c>
      <c r="B20" t="s">
        <v>6</v>
      </c>
      <c r="C20" t="s">
        <v>4</v>
      </c>
      <c r="D20" t="s">
        <v>46</v>
      </c>
      <c r="E20" s="1" t="s">
        <v>62</v>
      </c>
      <c r="F20" t="s">
        <v>63</v>
      </c>
      <c r="G20">
        <v>3093</v>
      </c>
      <c r="H20">
        <v>1409</v>
      </c>
      <c r="I20" s="5">
        <f t="shared" si="0"/>
        <v>0.4555447785321694</v>
      </c>
      <c r="J20" s="2">
        <v>0.7</v>
      </c>
      <c r="K20" s="4">
        <v>7.29</v>
      </c>
      <c r="L20">
        <f t="shared" si="1"/>
        <v>756</v>
      </c>
      <c r="M20" s="7">
        <f t="shared" si="2"/>
        <v>5511.24</v>
      </c>
    </row>
    <row r="21" spans="1:13" x14ac:dyDescent="0.3">
      <c r="A21" t="s">
        <v>0</v>
      </c>
      <c r="B21" t="s">
        <v>6</v>
      </c>
      <c r="C21" t="s">
        <v>11</v>
      </c>
      <c r="D21" t="s">
        <v>12</v>
      </c>
      <c r="E21" s="1" t="s">
        <v>64</v>
      </c>
      <c r="F21" t="s">
        <v>65</v>
      </c>
      <c r="G21">
        <v>2563</v>
      </c>
      <c r="H21">
        <v>737</v>
      </c>
      <c r="I21" s="5">
        <f t="shared" si="0"/>
        <v>0.28755364806866951</v>
      </c>
      <c r="J21" s="2">
        <v>0.7</v>
      </c>
      <c r="K21" s="4">
        <v>7.77</v>
      </c>
      <c r="L21">
        <f t="shared" si="1"/>
        <v>1057</v>
      </c>
      <c r="M21" s="7">
        <f t="shared" si="2"/>
        <v>8212.89</v>
      </c>
    </row>
    <row r="22" spans="1:13" x14ac:dyDescent="0.3">
      <c r="A22" t="s">
        <v>0</v>
      </c>
      <c r="B22" t="s">
        <v>6</v>
      </c>
      <c r="C22" t="s">
        <v>4</v>
      </c>
      <c r="D22" t="s">
        <v>66</v>
      </c>
      <c r="E22" s="1" t="s">
        <v>67</v>
      </c>
      <c r="F22" t="s">
        <v>68</v>
      </c>
      <c r="G22">
        <v>3784</v>
      </c>
      <c r="H22">
        <v>1990</v>
      </c>
      <c r="I22" s="5">
        <f t="shared" si="0"/>
        <v>0.52589852008456661</v>
      </c>
      <c r="J22" s="2">
        <v>0.7</v>
      </c>
      <c r="K22" s="4">
        <v>7.38</v>
      </c>
      <c r="L22">
        <f t="shared" si="1"/>
        <v>659</v>
      </c>
      <c r="M22" s="7">
        <f t="shared" si="2"/>
        <v>4863.42</v>
      </c>
    </row>
    <row r="23" spans="1:13" x14ac:dyDescent="0.3">
      <c r="A23" t="s">
        <v>0</v>
      </c>
      <c r="B23" t="s">
        <v>6</v>
      </c>
      <c r="C23" t="s">
        <v>4</v>
      </c>
      <c r="D23" t="s">
        <v>5</v>
      </c>
      <c r="E23" s="1" t="s">
        <v>69</v>
      </c>
      <c r="F23" t="s">
        <v>70</v>
      </c>
      <c r="G23">
        <v>3832</v>
      </c>
      <c r="H23">
        <v>1532</v>
      </c>
      <c r="I23" s="5">
        <f t="shared" si="0"/>
        <v>0.39979123173277664</v>
      </c>
      <c r="J23" s="2">
        <v>0.7</v>
      </c>
      <c r="K23" s="4">
        <v>7.25</v>
      </c>
      <c r="L23">
        <f t="shared" si="1"/>
        <v>1150</v>
      </c>
      <c r="M23" s="7">
        <f t="shared" si="2"/>
        <v>8337.5</v>
      </c>
    </row>
    <row r="24" spans="1:13" x14ac:dyDescent="0.3">
      <c r="A24" t="s">
        <v>0</v>
      </c>
      <c r="B24" t="s">
        <v>6</v>
      </c>
      <c r="C24" t="s">
        <v>4</v>
      </c>
      <c r="D24" t="s">
        <v>5</v>
      </c>
      <c r="E24" s="1" t="s">
        <v>71</v>
      </c>
      <c r="F24" t="s">
        <v>72</v>
      </c>
      <c r="G24">
        <v>3279</v>
      </c>
      <c r="H24">
        <v>1568</v>
      </c>
      <c r="I24" s="5">
        <f t="shared" si="0"/>
        <v>0.47819457151570599</v>
      </c>
      <c r="J24" s="2">
        <v>0.7</v>
      </c>
      <c r="K24" s="4">
        <v>7.6</v>
      </c>
      <c r="L24">
        <f t="shared" si="1"/>
        <v>727</v>
      </c>
      <c r="M24" s="7">
        <f t="shared" si="2"/>
        <v>5525.2</v>
      </c>
    </row>
    <row r="25" spans="1:13" x14ac:dyDescent="0.3">
      <c r="A25" t="s">
        <v>0</v>
      </c>
      <c r="B25" t="s">
        <v>6</v>
      </c>
      <c r="C25" t="s">
        <v>4</v>
      </c>
      <c r="D25" t="s">
        <v>19</v>
      </c>
      <c r="E25" s="1" t="s">
        <v>73</v>
      </c>
      <c r="F25" t="s">
        <v>74</v>
      </c>
      <c r="G25">
        <v>3233</v>
      </c>
      <c r="H25">
        <v>1760</v>
      </c>
      <c r="I25" s="5">
        <f t="shared" si="0"/>
        <v>0.54438601917723473</v>
      </c>
      <c r="J25" s="2">
        <v>0.7</v>
      </c>
      <c r="K25" s="4">
        <v>8.06</v>
      </c>
      <c r="L25">
        <f t="shared" si="1"/>
        <v>503</v>
      </c>
      <c r="M25" s="7">
        <f t="shared" si="2"/>
        <v>4054.1800000000003</v>
      </c>
    </row>
    <row r="26" spans="1:13" x14ac:dyDescent="0.3">
      <c r="A26" t="s">
        <v>0</v>
      </c>
      <c r="B26" t="s">
        <v>6</v>
      </c>
      <c r="C26" t="s">
        <v>11</v>
      </c>
      <c r="D26" t="s">
        <v>12</v>
      </c>
      <c r="E26" s="1" t="s">
        <v>75</v>
      </c>
      <c r="F26" t="s">
        <v>76</v>
      </c>
      <c r="G26">
        <v>5300</v>
      </c>
      <c r="H26">
        <v>2190</v>
      </c>
      <c r="I26" s="5">
        <f t="shared" si="0"/>
        <v>0.41320754716981134</v>
      </c>
      <c r="J26" s="2">
        <v>0.7</v>
      </c>
      <c r="K26" s="4">
        <v>7.45</v>
      </c>
      <c r="L26">
        <f t="shared" si="1"/>
        <v>1520</v>
      </c>
      <c r="M26" s="7">
        <f t="shared" si="2"/>
        <v>11324</v>
      </c>
    </row>
    <row r="27" spans="1:13" x14ac:dyDescent="0.3">
      <c r="A27" t="s">
        <v>0</v>
      </c>
      <c r="B27" t="s">
        <v>6</v>
      </c>
      <c r="C27" t="s">
        <v>4</v>
      </c>
      <c r="D27" t="s">
        <v>19</v>
      </c>
      <c r="E27" s="1" t="s">
        <v>77</v>
      </c>
      <c r="F27" t="s">
        <v>78</v>
      </c>
      <c r="G27">
        <v>5116</v>
      </c>
      <c r="H27">
        <v>2911</v>
      </c>
      <c r="I27" s="5">
        <f t="shared" si="0"/>
        <v>0.5689992181391712</v>
      </c>
      <c r="J27" s="2">
        <v>0.7</v>
      </c>
      <c r="K27" s="4">
        <v>7.17</v>
      </c>
      <c r="L27">
        <f t="shared" si="1"/>
        <v>670</v>
      </c>
      <c r="M27" s="7">
        <f t="shared" si="2"/>
        <v>4803.8999999999996</v>
      </c>
    </row>
    <row r="28" spans="1:13" x14ac:dyDescent="0.3">
      <c r="A28" t="s">
        <v>0</v>
      </c>
      <c r="B28" t="s">
        <v>6</v>
      </c>
      <c r="C28" t="s">
        <v>4</v>
      </c>
      <c r="D28" t="s">
        <v>5</v>
      </c>
      <c r="E28" s="1" t="s">
        <v>79</v>
      </c>
      <c r="F28" t="s">
        <v>80</v>
      </c>
      <c r="G28">
        <v>4774</v>
      </c>
      <c r="H28">
        <v>2473</v>
      </c>
      <c r="I28" s="5">
        <f t="shared" si="0"/>
        <v>0.51801424382069539</v>
      </c>
      <c r="J28" s="2">
        <v>0.7</v>
      </c>
      <c r="K28" s="4">
        <v>7.57</v>
      </c>
      <c r="L28">
        <f t="shared" si="1"/>
        <v>869</v>
      </c>
      <c r="M28" s="7">
        <f t="shared" si="2"/>
        <v>6578.33</v>
      </c>
    </row>
    <row r="29" spans="1:13" x14ac:dyDescent="0.3">
      <c r="A29" t="s">
        <v>0</v>
      </c>
      <c r="B29" t="s">
        <v>6</v>
      </c>
      <c r="C29" t="s">
        <v>4</v>
      </c>
      <c r="D29" t="s">
        <v>5</v>
      </c>
      <c r="E29" s="1" t="s">
        <v>81</v>
      </c>
      <c r="F29" t="s">
        <v>82</v>
      </c>
      <c r="G29">
        <v>3315</v>
      </c>
      <c r="H29">
        <v>1778</v>
      </c>
      <c r="I29" s="5">
        <f t="shared" si="0"/>
        <v>0.53634992458521868</v>
      </c>
      <c r="J29" s="2">
        <v>0.7</v>
      </c>
      <c r="K29" s="4">
        <v>7.45</v>
      </c>
      <c r="L29">
        <f t="shared" si="1"/>
        <v>543</v>
      </c>
      <c r="M29" s="7">
        <f t="shared" si="2"/>
        <v>4045.35</v>
      </c>
    </row>
    <row r="30" spans="1:13" x14ac:dyDescent="0.3">
      <c r="A30" t="s">
        <v>0</v>
      </c>
      <c r="B30" t="s">
        <v>6</v>
      </c>
      <c r="C30" t="s">
        <v>1</v>
      </c>
      <c r="D30" t="s">
        <v>18</v>
      </c>
      <c r="E30" s="1" t="s">
        <v>83</v>
      </c>
      <c r="F30" t="s">
        <v>84</v>
      </c>
      <c r="G30">
        <v>3320</v>
      </c>
      <c r="H30">
        <v>1399</v>
      </c>
      <c r="I30" s="5">
        <f t="shared" si="0"/>
        <v>0.42138554216867469</v>
      </c>
      <c r="J30" s="2">
        <v>0.7</v>
      </c>
      <c r="K30" s="4">
        <v>8.31</v>
      </c>
      <c r="L30">
        <f t="shared" si="1"/>
        <v>925</v>
      </c>
      <c r="M30" s="7">
        <f t="shared" si="2"/>
        <v>7686.7500000000009</v>
      </c>
    </row>
    <row r="31" spans="1:13" x14ac:dyDescent="0.3">
      <c r="A31" t="s">
        <v>0</v>
      </c>
      <c r="B31" t="s">
        <v>6</v>
      </c>
      <c r="C31" t="s">
        <v>4</v>
      </c>
      <c r="D31" t="s">
        <v>36</v>
      </c>
      <c r="E31" s="1" t="s">
        <v>85</v>
      </c>
      <c r="F31" t="s">
        <v>86</v>
      </c>
      <c r="G31">
        <v>4874</v>
      </c>
      <c r="H31">
        <v>2308</v>
      </c>
      <c r="I31" s="5">
        <f t="shared" si="0"/>
        <v>0.47353303241690603</v>
      </c>
      <c r="J31" s="2">
        <v>0.7</v>
      </c>
      <c r="K31" s="4">
        <v>7.82</v>
      </c>
      <c r="L31">
        <f t="shared" si="1"/>
        <v>1104</v>
      </c>
      <c r="M31" s="7">
        <f t="shared" si="2"/>
        <v>8633.2800000000007</v>
      </c>
    </row>
    <row r="32" spans="1:13" x14ac:dyDescent="0.3">
      <c r="A32" t="s">
        <v>0</v>
      </c>
      <c r="B32" t="s">
        <v>6</v>
      </c>
      <c r="C32" t="s">
        <v>4</v>
      </c>
      <c r="D32" t="s">
        <v>5</v>
      </c>
      <c r="E32" s="1" t="s">
        <v>87</v>
      </c>
      <c r="F32" t="s">
        <v>88</v>
      </c>
      <c r="G32">
        <v>5017</v>
      </c>
      <c r="H32">
        <v>1829</v>
      </c>
      <c r="I32" s="5">
        <f t="shared" si="0"/>
        <v>0.36456049431931431</v>
      </c>
      <c r="J32" s="2">
        <v>0.7</v>
      </c>
      <c r="K32" s="4">
        <v>7.36</v>
      </c>
      <c r="L32">
        <f t="shared" si="1"/>
        <v>1683</v>
      </c>
      <c r="M32" s="7">
        <f t="shared" si="2"/>
        <v>12386.880000000001</v>
      </c>
    </row>
    <row r="33" spans="1:13" x14ac:dyDescent="0.3">
      <c r="A33" t="s">
        <v>0</v>
      </c>
      <c r="B33" t="s">
        <v>6</v>
      </c>
      <c r="C33" t="s">
        <v>4</v>
      </c>
      <c r="D33" t="s">
        <v>57</v>
      </c>
      <c r="E33" s="1" t="s">
        <v>89</v>
      </c>
      <c r="F33" t="s">
        <v>90</v>
      </c>
      <c r="G33">
        <v>3638</v>
      </c>
      <c r="H33">
        <v>1556</v>
      </c>
      <c r="I33" s="5">
        <f t="shared" si="0"/>
        <v>0.42770753161077513</v>
      </c>
      <c r="J33" s="2">
        <v>0.7</v>
      </c>
      <c r="K33" s="4">
        <v>7.45</v>
      </c>
      <c r="L33">
        <f t="shared" si="1"/>
        <v>991</v>
      </c>
      <c r="M33" s="7">
        <f t="shared" si="2"/>
        <v>7382.95</v>
      </c>
    </row>
    <row r="34" spans="1:13" x14ac:dyDescent="0.3">
      <c r="A34" t="s">
        <v>0</v>
      </c>
      <c r="B34" t="s">
        <v>6</v>
      </c>
      <c r="C34" t="s">
        <v>10</v>
      </c>
      <c r="D34" t="s">
        <v>27</v>
      </c>
      <c r="E34" s="1" t="s">
        <v>28</v>
      </c>
      <c r="F34" t="s">
        <v>91</v>
      </c>
      <c r="G34">
        <v>1000</v>
      </c>
      <c r="H34">
        <v>385</v>
      </c>
      <c r="I34" s="5">
        <f t="shared" si="0"/>
        <v>0.38500000000000001</v>
      </c>
      <c r="J34" s="2">
        <v>0.7</v>
      </c>
      <c r="K34" s="4">
        <v>9.0299999999999994</v>
      </c>
      <c r="L34">
        <f t="shared" si="1"/>
        <v>315</v>
      </c>
      <c r="M34" s="7">
        <f t="shared" si="2"/>
        <v>2844.45</v>
      </c>
    </row>
    <row r="35" spans="1:13" x14ac:dyDescent="0.3">
      <c r="A35" t="s">
        <v>0</v>
      </c>
      <c r="B35" t="s">
        <v>6</v>
      </c>
      <c r="C35" t="s">
        <v>4</v>
      </c>
      <c r="D35" t="s">
        <v>92</v>
      </c>
      <c r="E35" s="1" t="s">
        <v>93</v>
      </c>
      <c r="F35" t="s">
        <v>94</v>
      </c>
      <c r="G35">
        <v>3822</v>
      </c>
      <c r="H35">
        <v>1810</v>
      </c>
      <c r="I35" s="5">
        <f t="shared" si="0"/>
        <v>0.47357404500261641</v>
      </c>
      <c r="J35" s="2">
        <v>0.7</v>
      </c>
      <c r="K35" s="4">
        <v>7.53</v>
      </c>
      <c r="L35">
        <f t="shared" si="1"/>
        <v>865</v>
      </c>
      <c r="M35" s="7">
        <f t="shared" si="2"/>
        <v>6513.45</v>
      </c>
    </row>
    <row r="36" spans="1:13" x14ac:dyDescent="0.3">
      <c r="A36" t="s">
        <v>0</v>
      </c>
      <c r="B36" t="s">
        <v>6</v>
      </c>
      <c r="C36" t="s">
        <v>11</v>
      </c>
      <c r="D36" t="s">
        <v>12</v>
      </c>
      <c r="E36" s="1" t="s">
        <v>95</v>
      </c>
      <c r="F36" t="s">
        <v>96</v>
      </c>
      <c r="G36">
        <v>4427</v>
      </c>
      <c r="H36">
        <v>1551</v>
      </c>
      <c r="I36" s="5">
        <f t="shared" si="0"/>
        <v>0.35035012423763273</v>
      </c>
      <c r="J36" s="2">
        <v>0.7</v>
      </c>
      <c r="K36" s="4">
        <v>6.48</v>
      </c>
      <c r="L36">
        <f t="shared" si="1"/>
        <v>1548</v>
      </c>
      <c r="M36" s="7">
        <f t="shared" si="2"/>
        <v>10031.040000000001</v>
      </c>
    </row>
    <row r="37" spans="1:13" x14ac:dyDescent="0.3">
      <c r="A37" t="s">
        <v>0</v>
      </c>
      <c r="B37" t="s">
        <v>6</v>
      </c>
      <c r="C37" t="s">
        <v>11</v>
      </c>
      <c r="D37" t="s">
        <v>12</v>
      </c>
      <c r="E37" s="1" t="s">
        <v>97</v>
      </c>
      <c r="F37" t="s">
        <v>98</v>
      </c>
      <c r="G37">
        <v>5477</v>
      </c>
      <c r="H37">
        <v>2430</v>
      </c>
      <c r="I37" s="5">
        <f t="shared" si="0"/>
        <v>0.44367354391090014</v>
      </c>
      <c r="J37" s="2">
        <v>0.7</v>
      </c>
      <c r="K37" s="4">
        <v>7.36</v>
      </c>
      <c r="L37">
        <f t="shared" si="1"/>
        <v>1404</v>
      </c>
      <c r="M37" s="7">
        <f t="shared" si="2"/>
        <v>10333.44</v>
      </c>
    </row>
    <row r="38" spans="1:13" x14ac:dyDescent="0.3">
      <c r="A38" t="s">
        <v>0</v>
      </c>
      <c r="B38" t="s">
        <v>6</v>
      </c>
      <c r="C38" t="s">
        <v>4</v>
      </c>
      <c r="D38" t="s">
        <v>5</v>
      </c>
      <c r="E38" s="1" t="s">
        <v>99</v>
      </c>
      <c r="F38" t="s">
        <v>100</v>
      </c>
      <c r="G38">
        <v>6102</v>
      </c>
      <c r="H38">
        <v>2962</v>
      </c>
      <c r="I38" s="5">
        <f t="shared" si="0"/>
        <v>0.48541461815798098</v>
      </c>
      <c r="J38" s="2">
        <v>0.7</v>
      </c>
      <c r="K38" s="4">
        <v>7.23</v>
      </c>
      <c r="L38">
        <f t="shared" si="1"/>
        <v>1309</v>
      </c>
      <c r="M38" s="7">
        <f t="shared" si="2"/>
        <v>9464.07</v>
      </c>
    </row>
    <row r="39" spans="1:13" x14ac:dyDescent="0.3">
      <c r="A39" t="s">
        <v>0</v>
      </c>
      <c r="B39" t="s">
        <v>6</v>
      </c>
      <c r="C39" t="s">
        <v>4</v>
      </c>
      <c r="D39" t="s">
        <v>5</v>
      </c>
      <c r="E39" s="1" t="s">
        <v>101</v>
      </c>
      <c r="F39" t="s">
        <v>102</v>
      </c>
      <c r="G39">
        <v>6561</v>
      </c>
      <c r="H39">
        <v>3203</v>
      </c>
      <c r="I39" s="5">
        <f t="shared" si="0"/>
        <v>0.48818777625361987</v>
      </c>
      <c r="J39" s="2">
        <v>0.7</v>
      </c>
      <c r="K39" s="4">
        <v>7.76</v>
      </c>
      <c r="L39">
        <f t="shared" si="1"/>
        <v>1390</v>
      </c>
      <c r="M39" s="7">
        <f t="shared" si="2"/>
        <v>10786.4</v>
      </c>
    </row>
    <row r="40" spans="1:13" x14ac:dyDescent="0.3">
      <c r="A40" t="s">
        <v>0</v>
      </c>
      <c r="B40" t="s">
        <v>6</v>
      </c>
      <c r="C40" t="s">
        <v>39</v>
      </c>
      <c r="D40" t="s">
        <v>40</v>
      </c>
      <c r="E40" s="1" t="s">
        <v>41</v>
      </c>
      <c r="F40" t="s">
        <v>103</v>
      </c>
      <c r="G40">
        <v>3177</v>
      </c>
      <c r="H40">
        <v>1155</v>
      </c>
      <c r="I40" s="5">
        <f t="shared" si="0"/>
        <v>0.36355051935788479</v>
      </c>
      <c r="J40" s="2">
        <v>0.7</v>
      </c>
      <c r="K40" s="4">
        <v>7.39</v>
      </c>
      <c r="L40">
        <f t="shared" si="1"/>
        <v>1069</v>
      </c>
      <c r="M40" s="7">
        <f t="shared" si="2"/>
        <v>7899.91</v>
      </c>
    </row>
    <row r="41" spans="1:13" x14ac:dyDescent="0.3">
      <c r="A41" t="s">
        <v>0</v>
      </c>
      <c r="B41" t="s">
        <v>6</v>
      </c>
      <c r="C41" t="s">
        <v>4</v>
      </c>
      <c r="D41" t="s">
        <v>5</v>
      </c>
      <c r="E41" s="1" t="s">
        <v>104</v>
      </c>
      <c r="F41" t="s">
        <v>105</v>
      </c>
      <c r="G41">
        <v>4844</v>
      </c>
      <c r="H41">
        <v>1838</v>
      </c>
      <c r="I41" s="5">
        <f t="shared" si="0"/>
        <v>0.37943848059454993</v>
      </c>
      <c r="J41" s="2">
        <v>0.7</v>
      </c>
      <c r="K41" s="4">
        <v>7.49</v>
      </c>
      <c r="L41">
        <f t="shared" si="1"/>
        <v>1553</v>
      </c>
      <c r="M41" s="7">
        <f t="shared" si="2"/>
        <v>11631.970000000001</v>
      </c>
    </row>
    <row r="42" spans="1:13" x14ac:dyDescent="0.3">
      <c r="A42" t="s">
        <v>0</v>
      </c>
      <c r="B42" t="s">
        <v>6</v>
      </c>
      <c r="C42" t="s">
        <v>4</v>
      </c>
      <c r="D42" t="s">
        <v>5</v>
      </c>
      <c r="E42" s="1" t="s">
        <v>106</v>
      </c>
      <c r="F42" t="s">
        <v>107</v>
      </c>
      <c r="G42">
        <v>1657</v>
      </c>
      <c r="H42">
        <v>549</v>
      </c>
      <c r="I42" s="5">
        <f t="shared" si="0"/>
        <v>0.33132166566083282</v>
      </c>
      <c r="J42" s="2">
        <v>0.7</v>
      </c>
      <c r="K42" s="4">
        <v>7.13</v>
      </c>
      <c r="L42">
        <f t="shared" si="1"/>
        <v>611</v>
      </c>
      <c r="M42" s="7">
        <f t="shared" si="2"/>
        <v>4356.43</v>
      </c>
    </row>
    <row r="43" spans="1:13" x14ac:dyDescent="0.3">
      <c r="A43" t="s">
        <v>0</v>
      </c>
      <c r="B43" t="s">
        <v>6</v>
      </c>
      <c r="C43" t="s">
        <v>11</v>
      </c>
      <c r="D43" t="s">
        <v>12</v>
      </c>
      <c r="E43" s="1" t="s">
        <v>108</v>
      </c>
      <c r="F43" t="s">
        <v>109</v>
      </c>
      <c r="G43">
        <v>2477</v>
      </c>
      <c r="H43">
        <v>1163</v>
      </c>
      <c r="I43" s="5">
        <f t="shared" si="0"/>
        <v>0.4695195801372628</v>
      </c>
      <c r="J43" s="2">
        <v>0.7</v>
      </c>
      <c r="K43" s="4">
        <v>7.22</v>
      </c>
      <c r="L43">
        <f t="shared" si="1"/>
        <v>571</v>
      </c>
      <c r="M43" s="7">
        <f t="shared" si="2"/>
        <v>4122.62</v>
      </c>
    </row>
    <row r="44" spans="1:13" x14ac:dyDescent="0.3">
      <c r="A44" t="s">
        <v>0</v>
      </c>
      <c r="B44" t="s">
        <v>6</v>
      </c>
      <c r="C44" t="s">
        <v>1</v>
      </c>
      <c r="D44" t="s">
        <v>20</v>
      </c>
      <c r="E44" s="1" t="s">
        <v>110</v>
      </c>
      <c r="F44" t="s">
        <v>111</v>
      </c>
      <c r="G44">
        <v>3872</v>
      </c>
      <c r="H44">
        <v>1636</v>
      </c>
      <c r="I44" s="5">
        <f t="shared" si="0"/>
        <v>0.4225206611570248</v>
      </c>
      <c r="J44" s="2">
        <v>0.7</v>
      </c>
      <c r="K44" s="4">
        <v>6.65</v>
      </c>
      <c r="L44">
        <f t="shared" si="1"/>
        <v>1074</v>
      </c>
      <c r="M44" s="7">
        <f t="shared" si="2"/>
        <v>7142.1</v>
      </c>
    </row>
    <row r="45" spans="1:13" x14ac:dyDescent="0.3">
      <c r="A45" t="s">
        <v>0</v>
      </c>
      <c r="B45" t="s">
        <v>6</v>
      </c>
      <c r="C45" t="s">
        <v>11</v>
      </c>
      <c r="D45" t="s">
        <v>12</v>
      </c>
      <c r="E45" s="1" t="s">
        <v>112</v>
      </c>
      <c r="F45" t="s">
        <v>113</v>
      </c>
      <c r="G45">
        <v>5753</v>
      </c>
      <c r="H45">
        <v>2003</v>
      </c>
      <c r="I45" s="5">
        <f t="shared" si="0"/>
        <v>0.34816617416999829</v>
      </c>
      <c r="J45" s="2">
        <v>0.7</v>
      </c>
      <c r="K45" s="4">
        <v>8.2799999999999994</v>
      </c>
      <c r="L45">
        <f t="shared" si="1"/>
        <v>2024</v>
      </c>
      <c r="M45" s="7">
        <f t="shared" si="2"/>
        <v>16758.719999999998</v>
      </c>
    </row>
    <row r="46" spans="1:13" x14ac:dyDescent="0.3">
      <c r="A46" t="s">
        <v>0</v>
      </c>
      <c r="B46" t="s">
        <v>6</v>
      </c>
      <c r="C46" t="s">
        <v>4</v>
      </c>
      <c r="D46" t="s">
        <v>114</v>
      </c>
      <c r="E46" s="1" t="s">
        <v>115</v>
      </c>
      <c r="F46" t="s">
        <v>116</v>
      </c>
      <c r="G46">
        <v>2134</v>
      </c>
      <c r="H46">
        <v>772</v>
      </c>
      <c r="I46" s="5">
        <f t="shared" si="0"/>
        <v>0.36176194939081535</v>
      </c>
      <c r="J46" s="2">
        <v>0.7</v>
      </c>
      <c r="K46" s="4">
        <v>8.07</v>
      </c>
      <c r="L46">
        <f t="shared" si="1"/>
        <v>722</v>
      </c>
      <c r="M46" s="7">
        <f t="shared" si="2"/>
        <v>5826.54</v>
      </c>
    </row>
    <row r="47" spans="1:13" x14ac:dyDescent="0.3">
      <c r="A47" t="s">
        <v>0</v>
      </c>
      <c r="B47" t="s">
        <v>6</v>
      </c>
      <c r="C47" t="s">
        <v>4</v>
      </c>
      <c r="D47" t="s">
        <v>5</v>
      </c>
      <c r="E47" s="1" t="s">
        <v>117</v>
      </c>
      <c r="F47" t="s">
        <v>118</v>
      </c>
      <c r="G47">
        <v>2184</v>
      </c>
      <c r="H47">
        <v>968</v>
      </c>
      <c r="I47" s="5">
        <f t="shared" si="0"/>
        <v>0.4432234432234432</v>
      </c>
      <c r="J47" s="2">
        <v>0.7</v>
      </c>
      <c r="K47" s="4">
        <v>7.49</v>
      </c>
      <c r="L47">
        <f t="shared" si="1"/>
        <v>561</v>
      </c>
      <c r="M47" s="7">
        <f t="shared" si="2"/>
        <v>4201.8900000000003</v>
      </c>
    </row>
    <row r="48" spans="1:13" x14ac:dyDescent="0.3">
      <c r="A48" t="s">
        <v>0</v>
      </c>
      <c r="B48" t="s">
        <v>6</v>
      </c>
      <c r="C48" t="s">
        <v>1</v>
      </c>
      <c r="D48" t="s">
        <v>20</v>
      </c>
      <c r="E48" s="1" t="s">
        <v>119</v>
      </c>
      <c r="F48" t="s">
        <v>120</v>
      </c>
      <c r="G48">
        <v>7371</v>
      </c>
      <c r="H48">
        <v>4055</v>
      </c>
      <c r="I48" s="5">
        <f t="shared" si="0"/>
        <v>0.55012888346221678</v>
      </c>
      <c r="J48" s="2">
        <v>0.7</v>
      </c>
      <c r="K48" s="4">
        <v>7.45</v>
      </c>
      <c r="L48">
        <f t="shared" si="1"/>
        <v>1105</v>
      </c>
      <c r="M48" s="7">
        <f t="shared" si="2"/>
        <v>8232.25</v>
      </c>
    </row>
    <row r="49" spans="1:13" x14ac:dyDescent="0.3">
      <c r="A49" t="s">
        <v>0</v>
      </c>
      <c r="B49" t="s">
        <v>6</v>
      </c>
      <c r="C49" t="s">
        <v>4</v>
      </c>
      <c r="D49" t="s">
        <v>5</v>
      </c>
      <c r="E49" s="1" t="s">
        <v>121</v>
      </c>
      <c r="F49" t="s">
        <v>122</v>
      </c>
      <c r="G49">
        <v>6493</v>
      </c>
      <c r="H49">
        <v>3591</v>
      </c>
      <c r="I49" s="5">
        <f t="shared" si="0"/>
        <v>0.5530571384567996</v>
      </c>
      <c r="J49" s="2">
        <v>0.7</v>
      </c>
      <c r="K49" s="4">
        <v>7.73</v>
      </c>
      <c r="L49">
        <f t="shared" si="1"/>
        <v>954</v>
      </c>
      <c r="M49" s="7">
        <f t="shared" si="2"/>
        <v>7374.42</v>
      </c>
    </row>
    <row r="50" spans="1:13" x14ac:dyDescent="0.3">
      <c r="A50" t="s">
        <v>0</v>
      </c>
      <c r="B50" t="s">
        <v>6</v>
      </c>
      <c r="C50" t="s">
        <v>4</v>
      </c>
      <c r="D50" t="s">
        <v>19</v>
      </c>
      <c r="E50" s="1" t="s">
        <v>123</v>
      </c>
      <c r="F50" t="s">
        <v>124</v>
      </c>
      <c r="G50">
        <v>4866</v>
      </c>
      <c r="H50">
        <v>2445</v>
      </c>
      <c r="I50" s="5">
        <f t="shared" si="0"/>
        <v>0.50246609124537611</v>
      </c>
      <c r="J50" s="2">
        <v>0.7</v>
      </c>
      <c r="K50" s="4">
        <v>7.49</v>
      </c>
      <c r="L50">
        <f t="shared" si="1"/>
        <v>961</v>
      </c>
      <c r="M50" s="7">
        <f t="shared" si="2"/>
        <v>7197.89</v>
      </c>
    </row>
    <row r="51" spans="1:13" x14ac:dyDescent="0.3">
      <c r="A51" t="s">
        <v>0</v>
      </c>
      <c r="B51" t="s">
        <v>6</v>
      </c>
      <c r="C51" t="s">
        <v>4</v>
      </c>
      <c r="D51" t="s">
        <v>5</v>
      </c>
      <c r="E51" s="1" t="s">
        <v>13</v>
      </c>
      <c r="F51" t="s">
        <v>125</v>
      </c>
      <c r="G51">
        <v>3462</v>
      </c>
      <c r="H51">
        <v>963</v>
      </c>
      <c r="I51" s="5">
        <f t="shared" si="0"/>
        <v>0.27816291161178508</v>
      </c>
      <c r="J51" s="2">
        <v>0.7</v>
      </c>
      <c r="K51" s="4">
        <v>7.7</v>
      </c>
      <c r="L51">
        <f t="shared" si="1"/>
        <v>1460</v>
      </c>
      <c r="M51" s="7">
        <f t="shared" si="2"/>
        <v>11242</v>
      </c>
    </row>
    <row r="52" spans="1:13" x14ac:dyDescent="0.3">
      <c r="A52" t="s">
        <v>0</v>
      </c>
      <c r="B52" t="s">
        <v>6</v>
      </c>
      <c r="C52" t="s">
        <v>11</v>
      </c>
      <c r="D52" t="s">
        <v>12</v>
      </c>
      <c r="E52" s="1" t="s">
        <v>126</v>
      </c>
      <c r="F52" t="s">
        <v>127</v>
      </c>
      <c r="G52">
        <v>3059</v>
      </c>
      <c r="H52">
        <v>833</v>
      </c>
      <c r="I52" s="5">
        <f t="shared" si="0"/>
        <v>0.27231121281464532</v>
      </c>
      <c r="J52" s="2">
        <v>0.7</v>
      </c>
      <c r="K52" s="4">
        <v>7.78</v>
      </c>
      <c r="L52">
        <f t="shared" si="1"/>
        <v>1308</v>
      </c>
      <c r="M52" s="7">
        <f t="shared" si="2"/>
        <v>10176.24</v>
      </c>
    </row>
    <row r="53" spans="1:13" x14ac:dyDescent="0.3">
      <c r="A53" t="s">
        <v>0</v>
      </c>
      <c r="B53" t="s">
        <v>6</v>
      </c>
      <c r="C53" t="s">
        <v>11</v>
      </c>
      <c r="D53" t="s">
        <v>12</v>
      </c>
      <c r="E53" s="1" t="s">
        <v>128</v>
      </c>
      <c r="F53" t="s">
        <v>129</v>
      </c>
      <c r="G53">
        <v>4229</v>
      </c>
      <c r="H53">
        <v>1893</v>
      </c>
      <c r="I53" s="5">
        <f t="shared" si="0"/>
        <v>0.44762355166706075</v>
      </c>
      <c r="J53" s="2">
        <v>0.7</v>
      </c>
      <c r="K53" s="4">
        <v>8.26</v>
      </c>
      <c r="L53">
        <f t="shared" si="1"/>
        <v>1067</v>
      </c>
      <c r="M53" s="7">
        <f t="shared" si="2"/>
        <v>8813.42</v>
      </c>
    </row>
  </sheetData>
  <autoFilter ref="A1:K53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2026-07-23T00:23:37Z</dcterms:modified>
</cp:coreProperties>
</file>