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A829DA5E-E2BE-4AA7-A72A-D3596A18969D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urumê" sheetId="3" r:id="rId1"/>
  </sheets>
  <definedNames>
    <definedName name="_xlnm._FilterDatabase" localSheetId="0" hidden="1">Gurumê!$A$1:$K$12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L3" i="3"/>
  <c r="L4" i="3"/>
  <c r="L5" i="3"/>
  <c r="L6" i="3"/>
  <c r="L7" i="3"/>
  <c r="L8" i="3"/>
  <c r="L9" i="3"/>
  <c r="L10" i="3"/>
  <c r="L11" i="3"/>
  <c r="L12" i="3"/>
  <c r="L2" i="3"/>
  <c r="M2" i="3" s="1"/>
  <c r="I3" i="3"/>
  <c r="I4" i="3"/>
  <c r="I5" i="3"/>
  <c r="I6" i="3"/>
  <c r="I7" i="3"/>
  <c r="I8" i="3"/>
  <c r="I9" i="3"/>
  <c r="I10" i="3"/>
  <c r="I11" i="3"/>
  <c r="I12" i="3"/>
  <c r="I2" i="3"/>
</calcChain>
</file>

<file path=xl/sharedStrings.xml><?xml version="1.0" encoding="utf-8"?>
<sst xmlns="http://schemas.openxmlformats.org/spreadsheetml/2006/main" count="80" uniqueCount="46">
  <si>
    <t>2026-06</t>
  </si>
  <si>
    <t>SP</t>
  </si>
  <si>
    <t>São Paulo</t>
  </si>
  <si>
    <t>RJ</t>
  </si>
  <si>
    <t>Rio de Janeiro</t>
  </si>
  <si>
    <t>Niterói</t>
  </si>
  <si>
    <t>DF</t>
  </si>
  <si>
    <t>Brasília</t>
  </si>
  <si>
    <t>GURUMÊ</t>
  </si>
  <si>
    <t>RIO DE JANEIRO</t>
  </si>
  <si>
    <t>07173309002761</t>
  </si>
  <si>
    <t>GURUMÊ RDB</t>
  </si>
  <si>
    <t>07173309004977</t>
  </si>
  <si>
    <t>GURUME RDL</t>
  </si>
  <si>
    <t>07173309005272</t>
  </si>
  <si>
    <t>GURUMÊ PARK SHOPPING BRASILIA</t>
  </si>
  <si>
    <t>07173309004462</t>
  </si>
  <si>
    <t>GURUMÊ IPANEMA</t>
  </si>
  <si>
    <t>07173309001528</t>
  </si>
  <si>
    <t>GURUMÊ TIJUCA</t>
  </si>
  <si>
    <t>07173309005604</t>
  </si>
  <si>
    <t>GURUMÊ BEYOND SP</t>
  </si>
  <si>
    <t>07173309005434</t>
  </si>
  <si>
    <t>GURUMÊ SP VILA MADALENA</t>
  </si>
  <si>
    <t>07173309000203</t>
  </si>
  <si>
    <t>GURUMÊ BOTAFOGO</t>
  </si>
  <si>
    <t>07173309005000</t>
  </si>
  <si>
    <t>GURUMÊ ICARAI</t>
  </si>
  <si>
    <t>19726452000183</t>
  </si>
  <si>
    <t>GURUMÊ FASHION MALL</t>
  </si>
  <si>
    <t>07173309004543</t>
  </si>
  <si>
    <t>GURUMÊ RIO SUL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</si>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</sst>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9" fontId="0" fillId="0" borderId="0" xfId="1" applyFont="1"/>
    <xf numFmtId="0" fontId="2" fillId="0" borderId="0" xfId="0" applyFont="1" applyAlignment="1">
      <alignment horizontal="center" vertical="center"/>
    </xf>
    <xf numFmtId="44" fontId="0" fillId="0" borderId="0" xfId="2" applyFont="1" applyBorder="1"/>
    <xf numFmtId="10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3" fillId="3" borderId="1" xfId="0" applyFont="1" applyFill="1" applyBorder="1" applyAlignment="1">
      <alignment horizontal="center" vertical="center" wrapText="1"/>
    </xf>
  </cellXfs>
  <cellStyles count="5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2ED38-F164-4BEF-9B07-6E942ADDDD70}">
  <dimension ref="A1:N12"/>
  <sheetViews>
    <sheetView tabSelected="1" zoomScaleNormal="100" workbookViewId="0">
      <selection activeCell="D8" sqref="D8"/>
    </sheetView>
  </sheetViews>
  <sheetFormatPr defaultRowHeight="14.4" x14ac:dyDescent="0.3"/>
  <cols>
    <col min="1" max="1" width="7.44140625" bestFit="1" customWidth="1"/>
    <col min="2" max="2" width="12.109375" bestFit="1" customWidth="1"/>
    <col min="3" max="3" width="3.5546875" bestFit="1" customWidth="1"/>
    <col min="4" max="4" width="20.77734375" bestFit="1" customWidth="1"/>
    <col min="5" max="5" width="14.88671875" bestFit="1" customWidth="1"/>
    <col min="6" max="6" width="41.77734375" bestFit="1" customWidth="1"/>
    <col min="7" max="7" width="15.109375" bestFit="1" customWidth="1"/>
    <col min="8" max="8" width="12.88671875" bestFit="1" customWidth="1"/>
    <col min="9" max="9" width="12.88671875" customWidth="1"/>
    <col min="10" max="10" width="5.6640625" bestFit="1" customWidth="1"/>
    <col min="11" max="11" width="20" bestFit="1" customWidth="1"/>
    <col min="12" max="12" width="23.88671875" bestFit="1" customWidth="1"/>
    <col min="13" max="13" width="16.109375" bestFit="1" customWidth="1"/>
  </cols>
  <sheetData>
    <row r="1" spans="1:14" ht="36" customHeight="1" x14ac:dyDescent="0.3">
      <c r="A1" s="3" t="s">
        <v>32</v>
      </c>
      <c r="B1" s="3" t="s">
        <v>33</v>
      </c>
      <c r="C1" s="3" t="s">
        <v>34</v>
      </c>
      <c r="D1" s="3" t="s">
        <v>35</v>
      </c>
      <c r="E1" s="3" t="s">
        <v>36</v>
      </c>
      <c r="F1" s="3" t="s">
        <v>37</v>
      </c>
      <c r="G1" s="3" t="s">
        <v>38</v>
      </c>
      <c r="H1" s="3" t="s">
        <v>39</v>
      </c>
      <c r="I1" s="6" t="s">
        <v>42</v>
      </c>
      <c r="J1" s="3" t="s">
        <v>40</v>
      </c>
      <c r="K1" s="3" t="s">
        <v>41</v>
      </c>
      <c r="L1" s="6" t="s">
        <v>43</v>
      </c>
      <c r="M1" s="6" t="s">
        <v>44</v>
      </c>
      <c r="N1" s="8" t="s">
        <v>45</v>
      </c>
    </row>
    <row r="2" spans="1:14" x14ac:dyDescent="0.3">
      <c r="A2" t="s">
        <v>0</v>
      </c>
      <c r="B2" t="s">
        <v>8</v>
      </c>
      <c r="C2" t="s">
        <v>3</v>
      </c>
      <c r="D2" t="s">
        <v>9</v>
      </c>
      <c r="E2" s="1" t="s">
        <v>10</v>
      </c>
      <c r="F2" t="s">
        <v>11</v>
      </c>
      <c r="G2">
        <v>13926</v>
      </c>
      <c r="H2">
        <v>5603</v>
      </c>
      <c r="I2" s="5">
        <f>H2/G2</f>
        <v>0.40234094499497342</v>
      </c>
      <c r="J2" s="2">
        <v>0.7</v>
      </c>
      <c r="K2" s="4">
        <v>8.92</v>
      </c>
      <c r="L2">
        <f>ROUND(G2*J2,0)-H2</f>
        <v>4145</v>
      </c>
      <c r="M2" s="7">
        <f>L2*K2</f>
        <v>36973.4</v>
      </c>
    </row>
    <row r="3" spans="1:14" x14ac:dyDescent="0.3">
      <c r="A3" t="s">
        <v>0</v>
      </c>
      <c r="B3" t="s">
        <v>8</v>
      </c>
      <c r="C3" t="s">
        <v>3</v>
      </c>
      <c r="D3" t="s">
        <v>4</v>
      </c>
      <c r="E3" s="1" t="s">
        <v>12</v>
      </c>
      <c r="F3" t="s">
        <v>13</v>
      </c>
      <c r="G3">
        <v>7236</v>
      </c>
      <c r="H3">
        <v>2551</v>
      </c>
      <c r="I3" s="5">
        <f t="shared" ref="I3:I12" si="0">H3/G3</f>
        <v>0.35254284134881148</v>
      </c>
      <c r="J3" s="2">
        <v>0.7</v>
      </c>
      <c r="K3" s="4">
        <v>8.9499999999999993</v>
      </c>
      <c r="L3">
        <f t="shared" ref="L3:L12" si="1">ROUND(G3*J3,0)-H3</f>
        <v>2514</v>
      </c>
      <c r="M3" s="7">
        <f t="shared" ref="M3:M12" si="2">L3*K3</f>
        <v>22500.3</v>
      </c>
    </row>
    <row r="4" spans="1:14" x14ac:dyDescent="0.3">
      <c r="A4" t="s">
        <v>0</v>
      </c>
      <c r="B4" t="s">
        <v>8</v>
      </c>
      <c r="C4" t="s">
        <v>6</v>
      </c>
      <c r="D4" t="s">
        <v>7</v>
      </c>
      <c r="E4" s="1" t="s">
        <v>14</v>
      </c>
      <c r="F4" t="s">
        <v>15</v>
      </c>
      <c r="G4">
        <v>5762</v>
      </c>
      <c r="H4">
        <v>2504</v>
      </c>
      <c r="I4" s="5">
        <f t="shared" si="0"/>
        <v>0.43457132939951404</v>
      </c>
      <c r="J4" s="2">
        <v>0.7</v>
      </c>
      <c r="K4" s="4">
        <v>8.5399999999999991</v>
      </c>
      <c r="L4">
        <f t="shared" si="1"/>
        <v>1529</v>
      </c>
      <c r="M4" s="7">
        <f t="shared" si="2"/>
        <v>13057.659999999998</v>
      </c>
    </row>
    <row r="5" spans="1:14" x14ac:dyDescent="0.3">
      <c r="A5" t="s">
        <v>0</v>
      </c>
      <c r="B5" t="s">
        <v>8</v>
      </c>
      <c r="C5" t="s">
        <v>3</v>
      </c>
      <c r="D5" t="s">
        <v>4</v>
      </c>
      <c r="E5" s="1" t="s">
        <v>16</v>
      </c>
      <c r="F5" t="s">
        <v>17</v>
      </c>
      <c r="G5">
        <v>7949</v>
      </c>
      <c r="H5">
        <v>3152</v>
      </c>
      <c r="I5" s="5">
        <f t="shared" si="0"/>
        <v>0.39652786514026922</v>
      </c>
      <c r="J5" s="2">
        <v>0.7</v>
      </c>
      <c r="K5" s="4">
        <v>8.92</v>
      </c>
      <c r="L5">
        <f t="shared" si="1"/>
        <v>2412</v>
      </c>
      <c r="M5" s="7">
        <f t="shared" si="2"/>
        <v>21515.040000000001</v>
      </c>
    </row>
    <row r="6" spans="1:14" x14ac:dyDescent="0.3">
      <c r="A6" t="s">
        <v>0</v>
      </c>
      <c r="B6" t="s">
        <v>8</v>
      </c>
      <c r="C6" t="s">
        <v>3</v>
      </c>
      <c r="D6" t="s">
        <v>9</v>
      </c>
      <c r="E6" s="1" t="s">
        <v>18</v>
      </c>
      <c r="F6" t="s">
        <v>19</v>
      </c>
      <c r="G6">
        <v>6804</v>
      </c>
      <c r="H6">
        <v>2552</v>
      </c>
      <c r="I6" s="5">
        <f t="shared" si="0"/>
        <v>0.37507348618459729</v>
      </c>
      <c r="J6" s="2">
        <v>0.7</v>
      </c>
      <c r="K6" s="4">
        <v>8.68</v>
      </c>
      <c r="L6">
        <f t="shared" si="1"/>
        <v>2211</v>
      </c>
      <c r="M6" s="7">
        <f t="shared" si="2"/>
        <v>19191.48</v>
      </c>
    </row>
    <row r="7" spans="1:14" x14ac:dyDescent="0.3">
      <c r="A7" t="s">
        <v>0</v>
      </c>
      <c r="B7" t="s">
        <v>8</v>
      </c>
      <c r="C7" t="s">
        <v>1</v>
      </c>
      <c r="D7" t="s">
        <v>2</v>
      </c>
      <c r="E7" s="1" t="s">
        <v>20</v>
      </c>
      <c r="F7" t="s">
        <v>21</v>
      </c>
      <c r="G7">
        <v>1791</v>
      </c>
      <c r="H7">
        <v>1151</v>
      </c>
      <c r="I7" s="5">
        <f t="shared" si="0"/>
        <v>0.64265773310999441</v>
      </c>
      <c r="J7" s="2">
        <v>0.7</v>
      </c>
      <c r="K7" s="4">
        <v>8.65</v>
      </c>
      <c r="L7">
        <f t="shared" si="1"/>
        <v>103</v>
      </c>
      <c r="M7" s="7">
        <f t="shared" si="2"/>
        <v>890.95</v>
      </c>
    </row>
    <row r="8" spans="1:14" x14ac:dyDescent="0.3">
      <c r="A8" t="s">
        <v>0</v>
      </c>
      <c r="B8" t="s">
        <v>8</v>
      </c>
      <c r="C8" t="s">
        <v>1</v>
      </c>
      <c r="D8" t="s">
        <v>2</v>
      </c>
      <c r="E8" s="1" t="s">
        <v>22</v>
      </c>
      <c r="F8" t="s">
        <v>23</v>
      </c>
      <c r="G8">
        <v>3771</v>
      </c>
      <c r="H8">
        <v>1544</v>
      </c>
      <c r="I8" s="5">
        <f t="shared" si="0"/>
        <v>0.40944046671970302</v>
      </c>
      <c r="J8" s="2">
        <v>0.7</v>
      </c>
      <c r="K8" s="4">
        <v>9.42</v>
      </c>
      <c r="L8">
        <f t="shared" si="1"/>
        <v>1096</v>
      </c>
      <c r="M8" s="7">
        <f t="shared" si="2"/>
        <v>10324.32</v>
      </c>
    </row>
    <row r="9" spans="1:14" x14ac:dyDescent="0.3">
      <c r="A9" t="s">
        <v>0</v>
      </c>
      <c r="B9" t="s">
        <v>8</v>
      </c>
      <c r="C9" t="s">
        <v>3</v>
      </c>
      <c r="D9" t="s">
        <v>4</v>
      </c>
      <c r="E9" s="1" t="s">
        <v>24</v>
      </c>
      <c r="F9" t="s">
        <v>25</v>
      </c>
      <c r="G9">
        <v>6213</v>
      </c>
      <c r="H9">
        <v>329</v>
      </c>
      <c r="I9" s="5">
        <f t="shared" si="0"/>
        <v>5.2953484629003705E-2</v>
      </c>
      <c r="J9" s="2">
        <v>0.7</v>
      </c>
      <c r="K9" s="4">
        <v>8.67</v>
      </c>
      <c r="L9">
        <f t="shared" si="1"/>
        <v>4020</v>
      </c>
      <c r="M9" s="7">
        <f t="shared" si="2"/>
        <v>34853.4</v>
      </c>
    </row>
    <row r="10" spans="1:14" x14ac:dyDescent="0.3">
      <c r="A10" t="s">
        <v>0</v>
      </c>
      <c r="B10" t="s">
        <v>8</v>
      </c>
      <c r="C10" t="s">
        <v>3</v>
      </c>
      <c r="D10" t="s">
        <v>5</v>
      </c>
      <c r="E10" s="1" t="s">
        <v>26</v>
      </c>
      <c r="F10" t="s">
        <v>27</v>
      </c>
      <c r="G10">
        <v>6033</v>
      </c>
      <c r="H10">
        <v>2004</v>
      </c>
      <c r="I10" s="5">
        <f t="shared" si="0"/>
        <v>0.33217304823470911</v>
      </c>
      <c r="J10" s="2">
        <v>0.7</v>
      </c>
      <c r="K10" s="4">
        <v>8.9499999999999993</v>
      </c>
      <c r="L10">
        <f t="shared" si="1"/>
        <v>2219</v>
      </c>
      <c r="M10" s="7">
        <f t="shared" si="2"/>
        <v>19860.05</v>
      </c>
    </row>
    <row r="11" spans="1:14" x14ac:dyDescent="0.3">
      <c r="A11" t="s">
        <v>0</v>
      </c>
      <c r="B11" t="s">
        <v>8</v>
      </c>
      <c r="C11" t="s">
        <v>3</v>
      </c>
      <c r="D11" t="s">
        <v>9</v>
      </c>
      <c r="E11" s="1" t="s">
        <v>28</v>
      </c>
      <c r="F11" t="s">
        <v>29</v>
      </c>
      <c r="G11">
        <v>5265</v>
      </c>
      <c r="H11">
        <v>1874</v>
      </c>
      <c r="I11" s="5">
        <f t="shared" si="0"/>
        <v>0.35593542260208927</v>
      </c>
      <c r="J11" s="2">
        <v>0.7</v>
      </c>
      <c r="K11" s="4">
        <v>8.9499999999999993</v>
      </c>
      <c r="L11">
        <f t="shared" si="1"/>
        <v>1812</v>
      </c>
      <c r="M11" s="7">
        <f t="shared" si="2"/>
        <v>16217.399999999998</v>
      </c>
    </row>
    <row r="12" spans="1:14" x14ac:dyDescent="0.3">
      <c r="A12" t="s">
        <v>0</v>
      </c>
      <c r="B12" t="s">
        <v>8</v>
      </c>
      <c r="C12" t="s">
        <v>3</v>
      </c>
      <c r="D12" t="s">
        <v>4</v>
      </c>
      <c r="E12" s="1" t="s">
        <v>30</v>
      </c>
      <c r="F12" t="s">
        <v>31</v>
      </c>
      <c r="G12">
        <v>9539</v>
      </c>
      <c r="H12">
        <v>4549</v>
      </c>
      <c r="I12" s="5">
        <f t="shared" si="0"/>
        <v>0.47688436943075796</v>
      </c>
      <c r="J12" s="2">
        <v>0.7</v>
      </c>
      <c r="K12" s="4">
        <v>8.9499999999999993</v>
      </c>
      <c r="L12">
        <f t="shared" si="1"/>
        <v>2128</v>
      </c>
      <c r="M12" s="7">
        <f t="shared" si="2"/>
        <v>19045.599999999999</v>
      </c>
    </row>
  </sheetData>
  <autoFilter ref="A1:K12" xr:uid="{1C2D17A9-E24C-4072-AA56-EB5611FDC070}"/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Gurumê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2026-07-23T00:21:06Z</dcterms:modified>
</cp:coreProperties>
</file>