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8_{FC69B790-D7F4-4D3E-9091-984815F163B9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ndai" sheetId="4" r:id="rId1"/>
  </sheets>
  <definedNames>
    <definedName name="_xlnm._FilterDatabase" localSheetId="0" hidden="1">Gendai!$A$1:$K$78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2" i="4"/>
  <c r="M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2" i="4"/>
</calcChain>
</file>

<file path=xl/sharedStrings.xml><?xml version="1.0" encoding="utf-8"?>
<sst xmlns="http://schemas.openxmlformats.org/spreadsheetml/2006/main" count="476" uniqueCount="220">
  <si>
    <t>2026-06</t>
  </si>
  <si>
    <t>SP</t>
  </si>
  <si>
    <t>São Paulo</t>
  </si>
  <si>
    <t>Campinas</t>
  </si>
  <si>
    <t>PB</t>
  </si>
  <si>
    <t>João Pessoa</t>
  </si>
  <si>
    <t>01115099000130</t>
  </si>
  <si>
    <t>GENDAI</t>
  </si>
  <si>
    <t>RJ</t>
  </si>
  <si>
    <t>Rio de Janeiro</t>
  </si>
  <si>
    <t>52836703000158</t>
  </si>
  <si>
    <t>GENDAI PARK JACAREPAGUA</t>
  </si>
  <si>
    <t>MG</t>
  </si>
  <si>
    <t>Barueri</t>
  </si>
  <si>
    <t>Mogi das Cruzes</t>
  </si>
  <si>
    <t>17809887000590</t>
  </si>
  <si>
    <t>GENDAI ELDORADO</t>
  </si>
  <si>
    <t>DF</t>
  </si>
  <si>
    <t>Brasília</t>
  </si>
  <si>
    <t>10574502000180</t>
  </si>
  <si>
    <t>GENDAI VILLA LOBOS</t>
  </si>
  <si>
    <t>Piracicaba</t>
  </si>
  <si>
    <t>19077529000131</t>
  </si>
  <si>
    <t>GENDAI - PIRACICABA</t>
  </si>
  <si>
    <t>BA</t>
  </si>
  <si>
    <t>Salvador</t>
  </si>
  <si>
    <t>17809887000670</t>
  </si>
  <si>
    <t>GENDAI METRÔ SANTA CRUZ</t>
  </si>
  <si>
    <t>Araxá</t>
  </si>
  <si>
    <t>Guarulhos</t>
  </si>
  <si>
    <t>23792429000164</t>
  </si>
  <si>
    <t>GENDAI IBIRAPUERA</t>
  </si>
  <si>
    <t>AM</t>
  </si>
  <si>
    <t>Manaus</t>
  </si>
  <si>
    <t>PR</t>
  </si>
  <si>
    <t>MS</t>
  </si>
  <si>
    <t>23792429000598</t>
  </si>
  <si>
    <t>GENDAI TIETE PLAZA</t>
  </si>
  <si>
    <t>Ribeirão Preto</t>
  </si>
  <si>
    <t>17809887000247</t>
  </si>
  <si>
    <t>GENDAI SHOP PAULISTA</t>
  </si>
  <si>
    <t>CE</t>
  </si>
  <si>
    <t>Fortaleza</t>
  </si>
  <si>
    <t>Contagem</t>
  </si>
  <si>
    <t>Diadema</t>
  </si>
  <si>
    <t>Curitiba</t>
  </si>
  <si>
    <t>São Bernardo do Campo</t>
  </si>
  <si>
    <t>SAO PAULO</t>
  </si>
  <si>
    <t>17809887000751</t>
  </si>
  <si>
    <t>GENDAI - MOOCA</t>
  </si>
  <si>
    <t>14188946000138</t>
  </si>
  <si>
    <t>GENDAI - TUCURUVI METRÔ</t>
  </si>
  <si>
    <t>11180640000147</t>
  </si>
  <si>
    <t>GENDAI TAMBORÉ</t>
  </si>
  <si>
    <t>59694801000147</t>
  </si>
  <si>
    <t>GENDAI CONTINENTAL SHOPPING OSASCO</t>
  </si>
  <si>
    <t>EUSEBIO</t>
  </si>
  <si>
    <t>28110832000180</t>
  </si>
  <si>
    <t>GENDAI ROSARIO RUA MM</t>
  </si>
  <si>
    <t>Juazeiro do Norte</t>
  </si>
  <si>
    <t>52508458000150</t>
  </si>
  <si>
    <t>54691984000123</t>
  </si>
  <si>
    <t>GENDAI SHOPPING BARUERI</t>
  </si>
  <si>
    <t>PA</t>
  </si>
  <si>
    <t>Belém</t>
  </si>
  <si>
    <t>Cotia</t>
  </si>
  <si>
    <t>54647344000116</t>
  </si>
  <si>
    <t>GENDAI GRANJA VIANA</t>
  </si>
  <si>
    <t>49325762000157</t>
  </si>
  <si>
    <t>GENDAI TERRAZO SHOPPING</t>
  </si>
  <si>
    <t>54644648000120</t>
  </si>
  <si>
    <t>GENDAI SAMAMBAIA MM</t>
  </si>
  <si>
    <t>Campo Grande</t>
  </si>
  <si>
    <t>MA</t>
  </si>
  <si>
    <t>São Luís</t>
  </si>
  <si>
    <t>29303297000146</t>
  </si>
  <si>
    <t>GENDAI BOURBON</t>
  </si>
  <si>
    <t>PI</t>
  </si>
  <si>
    <t>Teresina</t>
  </si>
  <si>
    <t>51239347000122</t>
  </si>
  <si>
    <t>GENDAI INTERNACIONAL</t>
  </si>
  <si>
    <t>Jundiaí</t>
  </si>
  <si>
    <t>Sorocaba</t>
  </si>
  <si>
    <t>23188521000110</t>
  </si>
  <si>
    <t>GENDAI SOROCABA IGUATEMI ESPLANADA</t>
  </si>
  <si>
    <t>06788563000172</t>
  </si>
  <si>
    <t>GENDAI ARICANDUVA</t>
  </si>
  <si>
    <t>São Caetano do Sul</t>
  </si>
  <si>
    <t>26021470000125</t>
  </si>
  <si>
    <t>GENDAI - TATUAPÉ BOULEVARD</t>
  </si>
  <si>
    <t>51465406000180</t>
  </si>
  <si>
    <t>GENDAI RUA SUDOESTE MM</t>
  </si>
  <si>
    <t>61267422000112</t>
  </si>
  <si>
    <t>GENDAI AMAZONAS SHOPPING</t>
  </si>
  <si>
    <t>22628709000179</t>
  </si>
  <si>
    <t>GENDAI - RIBEIRÃO PRETO IGUATEMI</t>
  </si>
  <si>
    <t>04335510000170</t>
  </si>
  <si>
    <t>Osasco</t>
  </si>
  <si>
    <t>GENDAI NOVA AMERICA</t>
  </si>
  <si>
    <t>60885708000107</t>
  </si>
  <si>
    <t>GENDAI JARDIM SUL</t>
  </si>
  <si>
    <t>GENDAI EPITACIO MM</t>
  </si>
  <si>
    <t>49179164000117</t>
  </si>
  <si>
    <t>GENDAI FÁTIMA</t>
  </si>
  <si>
    <t>57342367000291</t>
  </si>
  <si>
    <t>GENDAI JUNDIAÍ SHOPPING</t>
  </si>
  <si>
    <t>41776263000174</t>
  </si>
  <si>
    <t>GENDAI BONSUCESSO</t>
  </si>
  <si>
    <t>52968422000159</t>
  </si>
  <si>
    <t>GENDAI SHOPPING ESTACAO CURITIBA</t>
  </si>
  <si>
    <t>51854368000158</t>
  </si>
  <si>
    <t>GENDAI NORTE SUL CAMPO GRANDE</t>
  </si>
  <si>
    <t>Santo André</t>
  </si>
  <si>
    <t>25131022000111</t>
  </si>
  <si>
    <t>GENDAI - SÃO CAETANO PARK</t>
  </si>
  <si>
    <t>Várzea Paulista</t>
  </si>
  <si>
    <t>58733332000165</t>
  </si>
  <si>
    <t>GENDAI DOM PEDRO (CAMPINAS I)</t>
  </si>
  <si>
    <t>15869631000119</t>
  </si>
  <si>
    <t>35234195000119</t>
  </si>
  <si>
    <t>GENDAI - COPACABANA MM</t>
  </si>
  <si>
    <t>60203879000109</t>
  </si>
  <si>
    <t>GENDAI SHOPPING RIO POTY</t>
  </si>
  <si>
    <t>GENDAI JUAZEIRO DO NORTE MM</t>
  </si>
  <si>
    <t>AP</t>
  </si>
  <si>
    <t>Macapá</t>
  </si>
  <si>
    <t>47768879000180</t>
  </si>
  <si>
    <t>53541274000154</t>
  </si>
  <si>
    <t>GENDAI - SÃO BERNARDO GOLDEN SQUARE</t>
  </si>
  <si>
    <t>52764547000167</t>
  </si>
  <si>
    <t>GENDAI SÃO LUIS MM</t>
  </si>
  <si>
    <t>23640240000156</t>
  </si>
  <si>
    <t>GENDAI ANALIA FRANCO</t>
  </si>
  <si>
    <t>00525413000190</t>
  </si>
  <si>
    <t>GENDAI - OSASCO PLAZA</t>
  </si>
  <si>
    <t>23203370000121</t>
  </si>
  <si>
    <t>GENDAI - WEST PLAZA</t>
  </si>
  <si>
    <t>26593833000105</t>
  </si>
  <si>
    <t>GENDAI ALPHAVILLE IGUATEMI</t>
  </si>
  <si>
    <t>GENDAI MACAPA MM</t>
  </si>
  <si>
    <t>GENDAI SHOPPING VÁRZEA PAULISTA MM</t>
  </si>
  <si>
    <t>51304975000144</t>
  </si>
  <si>
    <t>GENDAI NORTE SHOPPING</t>
  </si>
  <si>
    <t>23800019000118</t>
  </si>
  <si>
    <t>GENDAI CENTER NORTE</t>
  </si>
  <si>
    <t>21617344000114</t>
  </si>
  <si>
    <t>GENDAI  BOSQUE MAIA SIS</t>
  </si>
  <si>
    <t>SANTOS</t>
  </si>
  <si>
    <t>10400623000296</t>
  </si>
  <si>
    <t>GENDAI - PRAIAMAR</t>
  </si>
  <si>
    <t>50736088000182</t>
  </si>
  <si>
    <t>GENDAI RIOMAR FORTALEZA MM</t>
  </si>
  <si>
    <t>Taboão da Serra</t>
  </si>
  <si>
    <t>19386300000189</t>
  </si>
  <si>
    <t>61330516000199</t>
  </si>
  <si>
    <t>GENDAI MOGI DAS CRUZES</t>
  </si>
  <si>
    <t>55248600000165</t>
  </si>
  <si>
    <t>GENDAI OUTLET SÓ MARCAS MM</t>
  </si>
  <si>
    <t>04938660000179</t>
  </si>
  <si>
    <t>05234347000201</t>
  </si>
  <si>
    <t>GENDAI GRAND PLAZA</t>
  </si>
  <si>
    <t>61297903000170</t>
  </si>
  <si>
    <t>GENDAI PARQUE SHOPPING BELEM</t>
  </si>
  <si>
    <t>23193623000123</t>
  </si>
  <si>
    <t>GENDAI - OSASCO SUPER</t>
  </si>
  <si>
    <t>58581649000123</t>
  </si>
  <si>
    <t>GENDAI D&amp;D</t>
  </si>
  <si>
    <t>41863421000123</t>
  </si>
  <si>
    <t>GENDAI GUARÁ MM</t>
  </si>
  <si>
    <t>56915707000182</t>
  </si>
  <si>
    <t>GENDAI BOULEVARD SHOPPING BELÉM</t>
  </si>
  <si>
    <t>52541338000154</t>
  </si>
  <si>
    <t>GENDAI SANTANA PARQUE SHOPPING MM</t>
  </si>
  <si>
    <t>50826871000137</t>
  </si>
  <si>
    <t>GENDAI AEROPORTO SALVADOR MM</t>
  </si>
  <si>
    <t>16599158000160</t>
  </si>
  <si>
    <t>GENDAI SÃO BERNARDO PLAZA SHOPPING</t>
  </si>
  <si>
    <t>26610924000101</t>
  </si>
  <si>
    <t>GENDAI - VILA OLÍMPIA</t>
  </si>
  <si>
    <t>47116213000147</t>
  </si>
  <si>
    <t>GENDAI SHOPPING TIJUCA</t>
  </si>
  <si>
    <t>17886528000102</t>
  </si>
  <si>
    <t>GENDAI FREI CANECA</t>
  </si>
  <si>
    <t>26590236000119</t>
  </si>
  <si>
    <t>GENDAI - UNIÃO</t>
  </si>
  <si>
    <t>13928950000122</t>
  </si>
  <si>
    <t>GENDAI - PRAÇA DA MOÇA</t>
  </si>
  <si>
    <t>46659037000127</t>
  </si>
  <si>
    <t>GENDAI ARAXÁ</t>
  </si>
  <si>
    <t>SANTO ANDRE</t>
  </si>
  <si>
    <t>05234347000112</t>
  </si>
  <si>
    <t>GENDAI SHOPPING ABC</t>
  </si>
  <si>
    <t>GENDAI TABOÃO DA SERRA</t>
  </si>
  <si>
    <t>23792429000679</t>
  </si>
  <si>
    <t>GENDAI – MAXI JUNDIAI SHOPPING</t>
  </si>
  <si>
    <t>43910234000189</t>
  </si>
  <si>
    <t>GENDAI MORUMBI</t>
  </si>
  <si>
    <t>17809887000409</t>
  </si>
  <si>
    <t>GENDAI HIGIENOPOLIS</t>
  </si>
  <si>
    <t>28474720000108</t>
  </si>
  <si>
    <t>GENDAI - ITAQUERA</t>
  </si>
  <si>
    <t>17809887000328</t>
  </si>
  <si>
    <t>GENDAI CIDADE SAO PAULO</t>
  </si>
  <si>
    <t>GENDAI SHOPPING INTERLAGOS MM</t>
  </si>
  <si>
    <t>00125775000193</t>
  </si>
  <si>
    <t>GENDAI - SP MARKET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</si>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</sst>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2552-BBE0-4681-87BF-4F3BDB19E199}">
  <dimension ref="A1:N78"/>
  <sheetViews>
    <sheetView tabSelected="1" zoomScaleNormal="100" workbookViewId="0">
      <selection activeCell="A5" sqref="A5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2" max="12" width="23.44140625" bestFit="1" customWidth="1"/>
    <col min="13" max="13" width="15.6640625" bestFit="1" customWidth="1"/>
  </cols>
  <sheetData>
    <row r="1" spans="1:14" ht="36" customHeight="1" x14ac:dyDescent="0.3">
      <c r="A1" s="3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  <c r="I1" s="6" t="s">
        <v>216</v>
      </c>
      <c r="J1" s="3" t="s">
        <v>214</v>
      </c>
      <c r="K1" s="3" t="s">
        <v>215</v>
      </c>
      <c r="L1" s="6" t="s">
        <v>217</v>
      </c>
      <c r="M1" s="6" t="s">
        <v>218</v>
      </c>
      <c r="N1" s="8" t="s">
        <v>219</v>
      </c>
    </row>
    <row r="2" spans="1:14" x14ac:dyDescent="0.3">
      <c r="A2" t="s">
        <v>0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>
        <v>4332</v>
      </c>
      <c r="H2">
        <v>1936</v>
      </c>
      <c r="I2" s="5">
        <f>H2/G2</f>
        <v>0.44690674053554941</v>
      </c>
      <c r="J2" s="2">
        <v>0.7</v>
      </c>
      <c r="K2" s="4">
        <v>7.88</v>
      </c>
      <c r="L2">
        <f>ROUND(G2*J2,0)-H2</f>
        <v>1096</v>
      </c>
      <c r="M2" s="7">
        <f>L2*K2</f>
        <v>8636.48</v>
      </c>
    </row>
    <row r="3" spans="1:14" x14ac:dyDescent="0.3">
      <c r="A3" t="s">
        <v>0</v>
      </c>
      <c r="B3" t="s">
        <v>7</v>
      </c>
      <c r="C3" t="s">
        <v>1</v>
      </c>
      <c r="D3" t="s">
        <v>2</v>
      </c>
      <c r="E3" s="1" t="s">
        <v>15</v>
      </c>
      <c r="F3" t="s">
        <v>16</v>
      </c>
      <c r="G3">
        <v>5688</v>
      </c>
      <c r="H3">
        <v>2863</v>
      </c>
      <c r="I3" s="5">
        <f t="shared" ref="I3:I66" si="0">H3/G3</f>
        <v>0.5033403656821378</v>
      </c>
      <c r="J3" s="2">
        <v>0.7</v>
      </c>
      <c r="K3" s="4">
        <v>7.58</v>
      </c>
      <c r="L3">
        <f t="shared" ref="L3:L66" si="1">ROUND(G3*J3,0)-H3</f>
        <v>1119</v>
      </c>
      <c r="M3" s="7">
        <f t="shared" ref="M3:M66" si="2">L3*K3</f>
        <v>8482.02</v>
      </c>
    </row>
    <row r="4" spans="1:14" x14ac:dyDescent="0.3">
      <c r="A4" t="s">
        <v>0</v>
      </c>
      <c r="B4" t="s">
        <v>7</v>
      </c>
      <c r="C4" t="s">
        <v>1</v>
      </c>
      <c r="D4" t="s">
        <v>2</v>
      </c>
      <c r="E4" s="1" t="s">
        <v>19</v>
      </c>
      <c r="F4" t="s">
        <v>20</v>
      </c>
      <c r="G4">
        <v>1937</v>
      </c>
      <c r="H4">
        <v>1112</v>
      </c>
      <c r="I4" s="5">
        <f t="shared" si="0"/>
        <v>0.57408363448631905</v>
      </c>
      <c r="J4" s="2">
        <v>0.7</v>
      </c>
      <c r="K4" s="4">
        <v>9.2899999999999991</v>
      </c>
      <c r="L4">
        <f t="shared" si="1"/>
        <v>244</v>
      </c>
      <c r="M4" s="7">
        <f t="shared" si="2"/>
        <v>2266.7599999999998</v>
      </c>
    </row>
    <row r="5" spans="1:14" x14ac:dyDescent="0.3">
      <c r="A5" t="s">
        <v>0</v>
      </c>
      <c r="B5" t="s">
        <v>7</v>
      </c>
      <c r="C5" t="s">
        <v>1</v>
      </c>
      <c r="D5" t="s">
        <v>21</v>
      </c>
      <c r="E5" s="1" t="s">
        <v>22</v>
      </c>
      <c r="F5" t="s">
        <v>23</v>
      </c>
      <c r="G5">
        <v>3803</v>
      </c>
      <c r="H5">
        <v>1740</v>
      </c>
      <c r="I5" s="5">
        <f t="shared" si="0"/>
        <v>0.45753352616355508</v>
      </c>
      <c r="J5" s="2">
        <v>0.7</v>
      </c>
      <c r="K5" s="4">
        <v>7.48</v>
      </c>
      <c r="L5">
        <f t="shared" si="1"/>
        <v>922</v>
      </c>
      <c r="M5" s="7">
        <f t="shared" si="2"/>
        <v>6896.56</v>
      </c>
    </row>
    <row r="6" spans="1:14" x14ac:dyDescent="0.3">
      <c r="A6" t="s">
        <v>0</v>
      </c>
      <c r="B6" t="s">
        <v>7</v>
      </c>
      <c r="C6" t="s">
        <v>1</v>
      </c>
      <c r="D6" t="s">
        <v>2</v>
      </c>
      <c r="E6" s="1" t="s">
        <v>26</v>
      </c>
      <c r="F6" t="s">
        <v>27</v>
      </c>
      <c r="G6">
        <v>4179</v>
      </c>
      <c r="H6">
        <v>1846</v>
      </c>
      <c r="I6" s="5">
        <f t="shared" si="0"/>
        <v>0.44173247188322567</v>
      </c>
      <c r="J6" s="2">
        <v>0.7</v>
      </c>
      <c r="K6" s="4">
        <v>7.79</v>
      </c>
      <c r="L6">
        <f t="shared" si="1"/>
        <v>1079</v>
      </c>
      <c r="M6" s="7">
        <f t="shared" si="2"/>
        <v>8405.41</v>
      </c>
    </row>
    <row r="7" spans="1:14" x14ac:dyDescent="0.3">
      <c r="A7" t="s">
        <v>0</v>
      </c>
      <c r="B7" t="s">
        <v>7</v>
      </c>
      <c r="C7" t="s">
        <v>1</v>
      </c>
      <c r="D7" t="s">
        <v>2</v>
      </c>
      <c r="E7" s="1" t="s">
        <v>30</v>
      </c>
      <c r="F7" t="s">
        <v>31</v>
      </c>
      <c r="G7">
        <v>5246</v>
      </c>
      <c r="H7">
        <v>2953</v>
      </c>
      <c r="I7" s="5">
        <f t="shared" si="0"/>
        <v>0.56290507052992755</v>
      </c>
      <c r="J7" s="2">
        <v>0.7</v>
      </c>
      <c r="K7" s="4">
        <v>7.42</v>
      </c>
      <c r="L7">
        <f t="shared" si="1"/>
        <v>719</v>
      </c>
      <c r="M7" s="7">
        <f t="shared" si="2"/>
        <v>5334.98</v>
      </c>
    </row>
    <row r="8" spans="1:14" x14ac:dyDescent="0.3">
      <c r="A8" t="s">
        <v>0</v>
      </c>
      <c r="B8" t="s">
        <v>7</v>
      </c>
      <c r="C8" t="s">
        <v>1</v>
      </c>
      <c r="D8" t="s">
        <v>2</v>
      </c>
      <c r="E8" s="1" t="s">
        <v>36</v>
      </c>
      <c r="F8" t="s">
        <v>37</v>
      </c>
      <c r="G8">
        <v>4192</v>
      </c>
      <c r="H8">
        <v>2473</v>
      </c>
      <c r="I8" s="5">
        <f t="shared" si="0"/>
        <v>0.58993320610687028</v>
      </c>
      <c r="J8" s="2">
        <v>0.7</v>
      </c>
      <c r="K8" s="4">
        <v>7.53</v>
      </c>
      <c r="L8">
        <f t="shared" si="1"/>
        <v>461</v>
      </c>
      <c r="M8" s="7">
        <f t="shared" si="2"/>
        <v>3471.33</v>
      </c>
    </row>
    <row r="9" spans="1:14" x14ac:dyDescent="0.3">
      <c r="A9" t="s">
        <v>0</v>
      </c>
      <c r="B9" t="s">
        <v>7</v>
      </c>
      <c r="C9" t="s">
        <v>1</v>
      </c>
      <c r="D9" t="s">
        <v>2</v>
      </c>
      <c r="E9" s="1" t="s">
        <v>39</v>
      </c>
      <c r="F9" t="s">
        <v>40</v>
      </c>
      <c r="G9">
        <v>6263</v>
      </c>
      <c r="H9">
        <v>3793</v>
      </c>
      <c r="I9" s="5">
        <f t="shared" si="0"/>
        <v>0.60562030975570813</v>
      </c>
      <c r="J9" s="2">
        <v>0.7</v>
      </c>
      <c r="K9" s="4">
        <v>7.4</v>
      </c>
      <c r="L9">
        <f t="shared" si="1"/>
        <v>591</v>
      </c>
      <c r="M9" s="7">
        <f t="shared" si="2"/>
        <v>4373.4000000000005</v>
      </c>
    </row>
    <row r="10" spans="1:14" x14ac:dyDescent="0.3">
      <c r="A10" t="s">
        <v>0</v>
      </c>
      <c r="B10" t="s">
        <v>7</v>
      </c>
      <c r="C10" t="s">
        <v>1</v>
      </c>
      <c r="D10" t="s">
        <v>47</v>
      </c>
      <c r="E10" s="1" t="s">
        <v>48</v>
      </c>
      <c r="F10" t="s">
        <v>49</v>
      </c>
      <c r="G10">
        <v>4269</v>
      </c>
      <c r="H10">
        <v>2267</v>
      </c>
      <c r="I10" s="5">
        <f t="shared" si="0"/>
        <v>0.53103771375029285</v>
      </c>
      <c r="J10" s="2">
        <v>0.7</v>
      </c>
      <c r="K10" s="4">
        <v>7.66</v>
      </c>
      <c r="L10">
        <f t="shared" si="1"/>
        <v>721</v>
      </c>
      <c r="M10" s="7">
        <f t="shared" si="2"/>
        <v>5522.86</v>
      </c>
    </row>
    <row r="11" spans="1:14" x14ac:dyDescent="0.3">
      <c r="A11" t="s">
        <v>0</v>
      </c>
      <c r="B11" t="s">
        <v>7</v>
      </c>
      <c r="C11" t="s">
        <v>1</v>
      </c>
      <c r="D11" t="s">
        <v>2</v>
      </c>
      <c r="E11" s="1" t="s">
        <v>50</v>
      </c>
      <c r="F11" t="s">
        <v>51</v>
      </c>
      <c r="G11">
        <v>5241</v>
      </c>
      <c r="H11">
        <v>2125</v>
      </c>
      <c r="I11" s="5">
        <f t="shared" si="0"/>
        <v>0.40545697385995039</v>
      </c>
      <c r="J11" s="2">
        <v>0.7</v>
      </c>
      <c r="K11" s="4">
        <v>7.92</v>
      </c>
      <c r="L11">
        <f t="shared" si="1"/>
        <v>1544</v>
      </c>
      <c r="M11" s="7">
        <f t="shared" si="2"/>
        <v>12228.48</v>
      </c>
    </row>
    <row r="12" spans="1:14" x14ac:dyDescent="0.3">
      <c r="A12" t="s">
        <v>0</v>
      </c>
      <c r="B12" t="s">
        <v>7</v>
      </c>
      <c r="C12" t="s">
        <v>1</v>
      </c>
      <c r="D12" t="s">
        <v>13</v>
      </c>
      <c r="E12" s="1" t="s">
        <v>52</v>
      </c>
      <c r="F12" t="s">
        <v>53</v>
      </c>
      <c r="G12">
        <v>5577</v>
      </c>
      <c r="H12">
        <v>2758</v>
      </c>
      <c r="I12" s="5">
        <f t="shared" si="0"/>
        <v>0.4945311099157253</v>
      </c>
      <c r="J12" s="2">
        <v>0.7</v>
      </c>
      <c r="K12" s="4">
        <v>7.66</v>
      </c>
      <c r="L12">
        <f t="shared" si="1"/>
        <v>1146</v>
      </c>
      <c r="M12" s="7">
        <f t="shared" si="2"/>
        <v>8778.36</v>
      </c>
    </row>
    <row r="13" spans="1:14" x14ac:dyDescent="0.3">
      <c r="A13" t="s">
        <v>0</v>
      </c>
      <c r="B13" t="s">
        <v>7</v>
      </c>
      <c r="C13" t="s">
        <v>1</v>
      </c>
      <c r="D13" t="s">
        <v>2</v>
      </c>
      <c r="E13" s="1" t="s">
        <v>54</v>
      </c>
      <c r="F13" t="s">
        <v>55</v>
      </c>
      <c r="G13">
        <v>2176</v>
      </c>
      <c r="H13">
        <v>1211</v>
      </c>
      <c r="I13" s="5">
        <f t="shared" si="0"/>
        <v>0.55652573529411764</v>
      </c>
      <c r="J13" s="2">
        <v>0.7</v>
      </c>
      <c r="K13" s="4">
        <v>7.44</v>
      </c>
      <c r="L13">
        <f t="shared" si="1"/>
        <v>312</v>
      </c>
      <c r="M13" s="7">
        <f t="shared" si="2"/>
        <v>2321.2800000000002</v>
      </c>
    </row>
    <row r="14" spans="1:14" x14ac:dyDescent="0.3">
      <c r="A14" t="s">
        <v>0</v>
      </c>
      <c r="B14" t="s">
        <v>7</v>
      </c>
      <c r="C14" t="s">
        <v>8</v>
      </c>
      <c r="D14" t="s">
        <v>9</v>
      </c>
      <c r="E14" s="1" t="s">
        <v>57</v>
      </c>
      <c r="F14" t="s">
        <v>58</v>
      </c>
      <c r="G14">
        <v>1043</v>
      </c>
      <c r="H14">
        <v>421</v>
      </c>
      <c r="I14" s="5">
        <f t="shared" si="0"/>
        <v>0.40364333652924256</v>
      </c>
      <c r="J14" s="2">
        <v>0.7</v>
      </c>
      <c r="K14" s="4">
        <v>8.49</v>
      </c>
      <c r="L14">
        <f t="shared" si="1"/>
        <v>309</v>
      </c>
      <c r="M14" s="7">
        <f t="shared" si="2"/>
        <v>2623.41</v>
      </c>
    </row>
    <row r="15" spans="1:14" x14ac:dyDescent="0.3">
      <c r="A15" t="s">
        <v>0</v>
      </c>
      <c r="B15" t="s">
        <v>7</v>
      </c>
      <c r="C15" t="s">
        <v>1</v>
      </c>
      <c r="D15" t="s">
        <v>13</v>
      </c>
      <c r="E15" s="1" t="s">
        <v>61</v>
      </c>
      <c r="F15" t="s">
        <v>62</v>
      </c>
      <c r="G15">
        <v>2964</v>
      </c>
      <c r="H15">
        <v>1654</v>
      </c>
      <c r="I15" s="5">
        <f t="shared" si="0"/>
        <v>0.55802968960863697</v>
      </c>
      <c r="J15" s="2">
        <v>0.7</v>
      </c>
      <c r="K15" s="4">
        <v>7.61</v>
      </c>
      <c r="L15">
        <f t="shared" si="1"/>
        <v>421</v>
      </c>
      <c r="M15" s="7">
        <f t="shared" si="2"/>
        <v>3203.81</v>
      </c>
    </row>
    <row r="16" spans="1:14" x14ac:dyDescent="0.3">
      <c r="A16" t="s">
        <v>0</v>
      </c>
      <c r="B16" t="s">
        <v>7</v>
      </c>
      <c r="C16" t="s">
        <v>1</v>
      </c>
      <c r="D16" t="s">
        <v>65</v>
      </c>
      <c r="E16" s="1" t="s">
        <v>66</v>
      </c>
      <c r="F16" t="s">
        <v>67</v>
      </c>
      <c r="G16">
        <v>2638</v>
      </c>
      <c r="H16">
        <v>1527</v>
      </c>
      <c r="I16" s="5">
        <f t="shared" si="0"/>
        <v>0.57884761182714173</v>
      </c>
      <c r="J16" s="2">
        <v>0.7</v>
      </c>
      <c r="K16" s="4">
        <v>7.65</v>
      </c>
      <c r="L16">
        <f t="shared" si="1"/>
        <v>320</v>
      </c>
      <c r="M16" s="7">
        <f t="shared" si="2"/>
        <v>2448</v>
      </c>
    </row>
    <row r="17" spans="1:13" x14ac:dyDescent="0.3">
      <c r="A17" t="s">
        <v>0</v>
      </c>
      <c r="B17" t="s">
        <v>7</v>
      </c>
      <c r="C17" t="s">
        <v>41</v>
      </c>
      <c r="D17" t="s">
        <v>56</v>
      </c>
      <c r="E17" s="1" t="s">
        <v>68</v>
      </c>
      <c r="F17" t="s">
        <v>69</v>
      </c>
      <c r="G17">
        <v>901</v>
      </c>
      <c r="H17">
        <v>368</v>
      </c>
      <c r="I17" s="5">
        <f t="shared" si="0"/>
        <v>0.40843507214206437</v>
      </c>
      <c r="J17" s="2">
        <v>0.7</v>
      </c>
      <c r="K17" s="4">
        <v>8.32</v>
      </c>
      <c r="L17">
        <f t="shared" si="1"/>
        <v>263</v>
      </c>
      <c r="M17" s="7">
        <f t="shared" si="2"/>
        <v>2188.16</v>
      </c>
    </row>
    <row r="18" spans="1:13" x14ac:dyDescent="0.3">
      <c r="A18" t="s">
        <v>0</v>
      </c>
      <c r="B18" t="s">
        <v>7</v>
      </c>
      <c r="C18" t="s">
        <v>17</v>
      </c>
      <c r="D18" t="s">
        <v>18</v>
      </c>
      <c r="E18" s="1" t="s">
        <v>70</v>
      </c>
      <c r="F18" t="s">
        <v>71</v>
      </c>
      <c r="G18">
        <v>1148</v>
      </c>
      <c r="H18">
        <v>235</v>
      </c>
      <c r="I18" s="5">
        <f t="shared" si="0"/>
        <v>0.20470383275261325</v>
      </c>
      <c r="J18" s="2">
        <v>0.7</v>
      </c>
      <c r="K18" s="4">
        <v>9.89</v>
      </c>
      <c r="L18">
        <f t="shared" si="1"/>
        <v>569</v>
      </c>
      <c r="M18" s="7">
        <f t="shared" si="2"/>
        <v>5627.4100000000008</v>
      </c>
    </row>
    <row r="19" spans="1:13" x14ac:dyDescent="0.3">
      <c r="A19" t="s">
        <v>0</v>
      </c>
      <c r="B19" t="s">
        <v>7</v>
      </c>
      <c r="C19" t="s">
        <v>1</v>
      </c>
      <c r="D19" t="s">
        <v>2</v>
      </c>
      <c r="E19" s="1" t="s">
        <v>75</v>
      </c>
      <c r="F19" t="s">
        <v>76</v>
      </c>
      <c r="G19">
        <v>6098</v>
      </c>
      <c r="H19">
        <v>3790</v>
      </c>
      <c r="I19" s="5">
        <f t="shared" si="0"/>
        <v>0.62151525090193505</v>
      </c>
      <c r="J19" s="2">
        <v>0.7</v>
      </c>
      <c r="K19" s="4">
        <v>7.35</v>
      </c>
      <c r="L19">
        <f t="shared" si="1"/>
        <v>479</v>
      </c>
      <c r="M19" s="7">
        <f t="shared" si="2"/>
        <v>3520.6499999999996</v>
      </c>
    </row>
    <row r="20" spans="1:13" x14ac:dyDescent="0.3">
      <c r="A20" t="s">
        <v>0</v>
      </c>
      <c r="B20" t="s">
        <v>7</v>
      </c>
      <c r="C20" t="s">
        <v>1</v>
      </c>
      <c r="D20" t="s">
        <v>29</v>
      </c>
      <c r="E20" s="1" t="s">
        <v>79</v>
      </c>
      <c r="F20" t="s">
        <v>80</v>
      </c>
      <c r="G20">
        <v>5223</v>
      </c>
      <c r="H20">
        <v>2671</v>
      </c>
      <c r="I20" s="5">
        <f t="shared" si="0"/>
        <v>0.51139192035228798</v>
      </c>
      <c r="J20" s="2">
        <v>0.7</v>
      </c>
      <c r="K20" s="4">
        <v>7.96</v>
      </c>
      <c r="L20">
        <f t="shared" si="1"/>
        <v>985</v>
      </c>
      <c r="M20" s="7">
        <f t="shared" si="2"/>
        <v>7840.6</v>
      </c>
    </row>
    <row r="21" spans="1:13" x14ac:dyDescent="0.3">
      <c r="A21" t="s">
        <v>0</v>
      </c>
      <c r="B21" t="s">
        <v>7</v>
      </c>
      <c r="C21" t="s">
        <v>1</v>
      </c>
      <c r="D21" t="s">
        <v>82</v>
      </c>
      <c r="E21" s="1" t="s">
        <v>83</v>
      </c>
      <c r="F21" t="s">
        <v>84</v>
      </c>
      <c r="G21">
        <v>6227</v>
      </c>
      <c r="H21">
        <v>3303</v>
      </c>
      <c r="I21" s="5">
        <f t="shared" si="0"/>
        <v>0.53043198972217764</v>
      </c>
      <c r="J21" s="2">
        <v>0.7</v>
      </c>
      <c r="K21" s="4">
        <v>7.4</v>
      </c>
      <c r="L21">
        <f t="shared" si="1"/>
        <v>1056</v>
      </c>
      <c r="M21" s="7">
        <f t="shared" si="2"/>
        <v>7814.4000000000005</v>
      </c>
    </row>
    <row r="22" spans="1:13" x14ac:dyDescent="0.3">
      <c r="A22" t="s">
        <v>0</v>
      </c>
      <c r="B22" t="s">
        <v>7</v>
      </c>
      <c r="C22" t="s">
        <v>1</v>
      </c>
      <c r="D22" t="s">
        <v>2</v>
      </c>
      <c r="E22" s="1" t="s">
        <v>85</v>
      </c>
      <c r="F22" t="s">
        <v>86</v>
      </c>
      <c r="G22">
        <v>2865</v>
      </c>
      <c r="H22">
        <v>622</v>
      </c>
      <c r="I22" s="5">
        <f t="shared" si="0"/>
        <v>0.21710296684118674</v>
      </c>
      <c r="J22" s="2">
        <v>0.7</v>
      </c>
      <c r="K22" s="4">
        <v>8.17</v>
      </c>
      <c r="L22">
        <f t="shared" si="1"/>
        <v>1384</v>
      </c>
      <c r="M22" s="7">
        <f t="shared" si="2"/>
        <v>11307.28</v>
      </c>
    </row>
    <row r="23" spans="1:13" x14ac:dyDescent="0.3">
      <c r="A23" t="s">
        <v>0</v>
      </c>
      <c r="B23" t="s">
        <v>7</v>
      </c>
      <c r="C23" t="s">
        <v>1</v>
      </c>
      <c r="D23" t="s">
        <v>2</v>
      </c>
      <c r="E23" s="1" t="s">
        <v>88</v>
      </c>
      <c r="F23" t="s">
        <v>89</v>
      </c>
      <c r="G23">
        <v>5240</v>
      </c>
      <c r="H23">
        <v>2227</v>
      </c>
      <c r="I23" s="5">
        <f t="shared" si="0"/>
        <v>0.42499999999999999</v>
      </c>
      <c r="J23" s="2">
        <v>0.7</v>
      </c>
      <c r="K23" s="4">
        <v>7.73</v>
      </c>
      <c r="L23">
        <f t="shared" si="1"/>
        <v>1441</v>
      </c>
      <c r="M23" s="7">
        <f t="shared" si="2"/>
        <v>11138.93</v>
      </c>
    </row>
    <row r="24" spans="1:13" x14ac:dyDescent="0.3">
      <c r="A24" t="s">
        <v>0</v>
      </c>
      <c r="B24" t="s">
        <v>7</v>
      </c>
      <c r="C24" t="s">
        <v>17</v>
      </c>
      <c r="D24" t="s">
        <v>18</v>
      </c>
      <c r="E24" s="1" t="s">
        <v>90</v>
      </c>
      <c r="F24" t="s">
        <v>91</v>
      </c>
      <c r="G24">
        <v>3854</v>
      </c>
      <c r="H24">
        <v>1096</v>
      </c>
      <c r="I24" s="5">
        <f t="shared" si="0"/>
        <v>0.28437986507524649</v>
      </c>
      <c r="J24" s="2">
        <v>0.7</v>
      </c>
      <c r="K24" s="4">
        <v>9.93</v>
      </c>
      <c r="L24">
        <f t="shared" si="1"/>
        <v>1602</v>
      </c>
      <c r="M24" s="7">
        <f t="shared" si="2"/>
        <v>15907.859999999999</v>
      </c>
    </row>
    <row r="25" spans="1:13" x14ac:dyDescent="0.3">
      <c r="A25" t="s">
        <v>0</v>
      </c>
      <c r="B25" t="s">
        <v>7</v>
      </c>
      <c r="C25" t="s">
        <v>32</v>
      </c>
      <c r="D25" t="s">
        <v>33</v>
      </c>
      <c r="E25" s="1" t="s">
        <v>92</v>
      </c>
      <c r="F25" t="s">
        <v>93</v>
      </c>
      <c r="G25">
        <v>6572</v>
      </c>
      <c r="H25">
        <v>3123</v>
      </c>
      <c r="I25" s="5">
        <f t="shared" si="0"/>
        <v>0.47519780888618379</v>
      </c>
      <c r="J25" s="2">
        <v>0.7</v>
      </c>
      <c r="K25" s="4">
        <v>7.55</v>
      </c>
      <c r="L25">
        <f t="shared" si="1"/>
        <v>1477</v>
      </c>
      <c r="M25" s="7">
        <f t="shared" si="2"/>
        <v>11151.35</v>
      </c>
    </row>
    <row r="26" spans="1:13" x14ac:dyDescent="0.3">
      <c r="A26" t="s">
        <v>0</v>
      </c>
      <c r="B26" t="s">
        <v>7</v>
      </c>
      <c r="C26" t="s">
        <v>1</v>
      </c>
      <c r="D26" t="s">
        <v>38</v>
      </c>
      <c r="E26" s="1" t="s">
        <v>94</v>
      </c>
      <c r="F26" t="s">
        <v>95</v>
      </c>
      <c r="G26">
        <v>4727</v>
      </c>
      <c r="H26">
        <v>2195</v>
      </c>
      <c r="I26" s="5">
        <f t="shared" si="0"/>
        <v>0.46435371271419507</v>
      </c>
      <c r="J26" s="2">
        <v>0.7</v>
      </c>
      <c r="K26" s="4">
        <v>7.21</v>
      </c>
      <c r="L26">
        <f t="shared" si="1"/>
        <v>1114</v>
      </c>
      <c r="M26" s="7">
        <f t="shared" si="2"/>
        <v>8031.94</v>
      </c>
    </row>
    <row r="27" spans="1:13" x14ac:dyDescent="0.3">
      <c r="A27" t="s">
        <v>0</v>
      </c>
      <c r="B27" t="s">
        <v>7</v>
      </c>
      <c r="C27" t="s">
        <v>8</v>
      </c>
      <c r="D27" t="s">
        <v>9</v>
      </c>
      <c r="E27" s="1" t="s">
        <v>96</v>
      </c>
      <c r="F27" t="s">
        <v>98</v>
      </c>
      <c r="G27">
        <v>3380</v>
      </c>
      <c r="H27">
        <v>1855</v>
      </c>
      <c r="I27" s="5">
        <f t="shared" si="0"/>
        <v>0.54881656804733725</v>
      </c>
      <c r="J27" s="2">
        <v>0.7</v>
      </c>
      <c r="K27" s="4">
        <v>8.0500000000000007</v>
      </c>
      <c r="L27">
        <f t="shared" si="1"/>
        <v>511</v>
      </c>
      <c r="M27" s="7">
        <f t="shared" si="2"/>
        <v>4113.55</v>
      </c>
    </row>
    <row r="28" spans="1:13" x14ac:dyDescent="0.3">
      <c r="A28" t="s">
        <v>0</v>
      </c>
      <c r="B28" t="s">
        <v>7</v>
      </c>
      <c r="C28" t="s">
        <v>1</v>
      </c>
      <c r="D28" t="s">
        <v>2</v>
      </c>
      <c r="E28" s="1" t="s">
        <v>99</v>
      </c>
      <c r="F28" t="s">
        <v>100</v>
      </c>
      <c r="G28">
        <v>3291</v>
      </c>
      <c r="H28">
        <v>1614</v>
      </c>
      <c r="I28" s="5">
        <f t="shared" si="0"/>
        <v>0.49042844120328166</v>
      </c>
      <c r="J28" s="2">
        <v>0.7</v>
      </c>
      <c r="K28" s="4">
        <v>7.7</v>
      </c>
      <c r="L28">
        <f t="shared" si="1"/>
        <v>690</v>
      </c>
      <c r="M28" s="7">
        <f t="shared" si="2"/>
        <v>5313</v>
      </c>
    </row>
    <row r="29" spans="1:13" x14ac:dyDescent="0.3">
      <c r="A29" t="s">
        <v>0</v>
      </c>
      <c r="B29" t="s">
        <v>7</v>
      </c>
      <c r="C29" t="s">
        <v>4</v>
      </c>
      <c r="D29" t="s">
        <v>5</v>
      </c>
      <c r="E29" s="1" t="s">
        <v>6</v>
      </c>
      <c r="F29" t="s">
        <v>101</v>
      </c>
      <c r="G29">
        <v>1647</v>
      </c>
      <c r="H29">
        <v>375</v>
      </c>
      <c r="I29" s="5">
        <f t="shared" si="0"/>
        <v>0.22768670309653916</v>
      </c>
      <c r="J29" s="2">
        <v>0.7</v>
      </c>
      <c r="K29" s="4">
        <v>8.57</v>
      </c>
      <c r="L29">
        <f t="shared" si="1"/>
        <v>778</v>
      </c>
      <c r="M29" s="7">
        <f t="shared" si="2"/>
        <v>6667.46</v>
      </c>
    </row>
    <row r="30" spans="1:13" x14ac:dyDescent="0.3">
      <c r="A30" t="s">
        <v>0</v>
      </c>
      <c r="B30" t="s">
        <v>7</v>
      </c>
      <c r="C30" t="s">
        <v>41</v>
      </c>
      <c r="D30" t="s">
        <v>42</v>
      </c>
      <c r="E30" s="1" t="s">
        <v>102</v>
      </c>
      <c r="F30" t="s">
        <v>103</v>
      </c>
      <c r="G30">
        <v>2504</v>
      </c>
      <c r="H30">
        <v>737</v>
      </c>
      <c r="I30" s="5">
        <f t="shared" si="0"/>
        <v>0.29432907348242809</v>
      </c>
      <c r="J30" s="2">
        <v>0.7</v>
      </c>
      <c r="K30" s="4">
        <v>8.08</v>
      </c>
      <c r="L30">
        <f t="shared" si="1"/>
        <v>1016</v>
      </c>
      <c r="M30" s="7">
        <f t="shared" si="2"/>
        <v>8209.2800000000007</v>
      </c>
    </row>
    <row r="31" spans="1:13" x14ac:dyDescent="0.3">
      <c r="A31" t="s">
        <v>0</v>
      </c>
      <c r="B31" t="s">
        <v>7</v>
      </c>
      <c r="C31" t="s">
        <v>1</v>
      </c>
      <c r="D31" t="s">
        <v>81</v>
      </c>
      <c r="E31" s="1" t="s">
        <v>104</v>
      </c>
      <c r="F31" t="s">
        <v>105</v>
      </c>
      <c r="G31">
        <v>3483</v>
      </c>
      <c r="H31">
        <v>2189</v>
      </c>
      <c r="I31" s="5">
        <f t="shared" si="0"/>
        <v>0.62848119437266725</v>
      </c>
      <c r="J31" s="2">
        <v>0.7</v>
      </c>
      <c r="K31" s="4">
        <v>7.45</v>
      </c>
      <c r="L31">
        <f t="shared" si="1"/>
        <v>249</v>
      </c>
      <c r="M31" s="7">
        <f t="shared" si="2"/>
        <v>1855.05</v>
      </c>
    </row>
    <row r="32" spans="1:13" x14ac:dyDescent="0.3">
      <c r="A32" t="s">
        <v>0</v>
      </c>
      <c r="B32" t="s">
        <v>7</v>
      </c>
      <c r="C32" t="s">
        <v>1</v>
      </c>
      <c r="D32" t="s">
        <v>29</v>
      </c>
      <c r="E32" s="1" t="s">
        <v>106</v>
      </c>
      <c r="F32" t="s">
        <v>107</v>
      </c>
      <c r="G32">
        <v>6414</v>
      </c>
      <c r="H32">
        <v>1908</v>
      </c>
      <c r="I32" s="5">
        <f t="shared" si="0"/>
        <v>0.29747427502338636</v>
      </c>
      <c r="J32" s="2">
        <v>0.7</v>
      </c>
      <c r="K32" s="4">
        <v>9.42</v>
      </c>
      <c r="L32">
        <f t="shared" si="1"/>
        <v>2582</v>
      </c>
      <c r="M32" s="7">
        <f t="shared" si="2"/>
        <v>24322.44</v>
      </c>
    </row>
    <row r="33" spans="1:13" x14ac:dyDescent="0.3">
      <c r="A33" t="s">
        <v>0</v>
      </c>
      <c r="B33" t="s">
        <v>7</v>
      </c>
      <c r="C33" t="s">
        <v>34</v>
      </c>
      <c r="D33" t="s">
        <v>45</v>
      </c>
      <c r="E33" s="1" t="s">
        <v>108</v>
      </c>
      <c r="F33" t="s">
        <v>109</v>
      </c>
      <c r="G33">
        <v>4664</v>
      </c>
      <c r="H33">
        <v>1907</v>
      </c>
      <c r="I33" s="5">
        <f t="shared" si="0"/>
        <v>0.40887650085763294</v>
      </c>
      <c r="J33" s="2">
        <v>0.7</v>
      </c>
      <c r="K33" s="4">
        <v>8.43</v>
      </c>
      <c r="L33">
        <f t="shared" si="1"/>
        <v>1358</v>
      </c>
      <c r="M33" s="7">
        <f t="shared" si="2"/>
        <v>11447.94</v>
      </c>
    </row>
    <row r="34" spans="1:13" x14ac:dyDescent="0.3">
      <c r="A34" t="s">
        <v>0</v>
      </c>
      <c r="B34" t="s">
        <v>7</v>
      </c>
      <c r="C34" t="s">
        <v>35</v>
      </c>
      <c r="D34" t="s">
        <v>72</v>
      </c>
      <c r="E34" s="1" t="s">
        <v>110</v>
      </c>
      <c r="F34" t="s">
        <v>111</v>
      </c>
      <c r="G34">
        <v>2870</v>
      </c>
      <c r="H34">
        <v>1052</v>
      </c>
      <c r="I34" s="5">
        <f t="shared" si="0"/>
        <v>0.36655052264808363</v>
      </c>
      <c r="J34" s="2">
        <v>0.7</v>
      </c>
      <c r="K34" s="4">
        <v>7.94</v>
      </c>
      <c r="L34">
        <f t="shared" si="1"/>
        <v>957</v>
      </c>
      <c r="M34" s="7">
        <f t="shared" si="2"/>
        <v>7598.58</v>
      </c>
    </row>
    <row r="35" spans="1:13" x14ac:dyDescent="0.3">
      <c r="A35" t="s">
        <v>0</v>
      </c>
      <c r="B35" t="s">
        <v>7</v>
      </c>
      <c r="C35" t="s">
        <v>1</v>
      </c>
      <c r="D35" t="s">
        <v>87</v>
      </c>
      <c r="E35" s="1" t="s">
        <v>113</v>
      </c>
      <c r="F35" t="s">
        <v>114</v>
      </c>
      <c r="G35">
        <v>3945</v>
      </c>
      <c r="H35">
        <v>1772</v>
      </c>
      <c r="I35" s="5">
        <f t="shared" si="0"/>
        <v>0.44917617237008872</v>
      </c>
      <c r="J35" s="2">
        <v>0.7</v>
      </c>
      <c r="K35" s="4">
        <v>7.57</v>
      </c>
      <c r="L35">
        <f t="shared" si="1"/>
        <v>990</v>
      </c>
      <c r="M35" s="7">
        <f t="shared" si="2"/>
        <v>7494.3</v>
      </c>
    </row>
    <row r="36" spans="1:13" x14ac:dyDescent="0.3">
      <c r="A36" t="s">
        <v>0</v>
      </c>
      <c r="B36" t="s">
        <v>7</v>
      </c>
      <c r="C36" t="s">
        <v>1</v>
      </c>
      <c r="D36" t="s">
        <v>3</v>
      </c>
      <c r="E36" s="1" t="s">
        <v>116</v>
      </c>
      <c r="F36" t="s">
        <v>117</v>
      </c>
      <c r="G36">
        <v>4292</v>
      </c>
      <c r="H36">
        <v>2108</v>
      </c>
      <c r="I36" s="5">
        <f t="shared" si="0"/>
        <v>0.49114631873252562</v>
      </c>
      <c r="J36" s="2">
        <v>0.7</v>
      </c>
      <c r="K36" s="4">
        <v>7.69</v>
      </c>
      <c r="L36">
        <f t="shared" si="1"/>
        <v>896</v>
      </c>
      <c r="M36" s="7">
        <f t="shared" si="2"/>
        <v>6890.2400000000007</v>
      </c>
    </row>
    <row r="37" spans="1:13" x14ac:dyDescent="0.3">
      <c r="A37" t="s">
        <v>0</v>
      </c>
      <c r="B37" t="s">
        <v>7</v>
      </c>
      <c r="C37" t="s">
        <v>8</v>
      </c>
      <c r="D37" t="s">
        <v>9</v>
      </c>
      <c r="E37" s="1" t="s">
        <v>119</v>
      </c>
      <c r="F37" t="s">
        <v>120</v>
      </c>
      <c r="G37">
        <v>917</v>
      </c>
      <c r="H37">
        <v>289</v>
      </c>
      <c r="I37" s="5">
        <f t="shared" si="0"/>
        <v>0.31515812431842966</v>
      </c>
      <c r="J37" s="2">
        <v>0.7</v>
      </c>
      <c r="K37" s="4">
        <v>7.56</v>
      </c>
      <c r="L37">
        <f t="shared" si="1"/>
        <v>353</v>
      </c>
      <c r="M37" s="7">
        <f t="shared" si="2"/>
        <v>2668.68</v>
      </c>
    </row>
    <row r="38" spans="1:13" x14ac:dyDescent="0.3">
      <c r="A38" t="s">
        <v>0</v>
      </c>
      <c r="B38" t="s">
        <v>7</v>
      </c>
      <c r="C38" t="s">
        <v>77</v>
      </c>
      <c r="D38" t="s">
        <v>78</v>
      </c>
      <c r="E38" s="1" t="s">
        <v>121</v>
      </c>
      <c r="F38" t="s">
        <v>122</v>
      </c>
      <c r="G38">
        <v>3864</v>
      </c>
      <c r="H38">
        <v>2152</v>
      </c>
      <c r="I38" s="5">
        <f t="shared" si="0"/>
        <v>0.55693581780538304</v>
      </c>
      <c r="J38" s="2">
        <v>0.7</v>
      </c>
      <c r="K38" s="4">
        <v>7.5</v>
      </c>
      <c r="L38">
        <f t="shared" si="1"/>
        <v>553</v>
      </c>
      <c r="M38" s="7">
        <f t="shared" si="2"/>
        <v>4147.5</v>
      </c>
    </row>
    <row r="39" spans="1:13" x14ac:dyDescent="0.3">
      <c r="A39" t="s">
        <v>0</v>
      </c>
      <c r="B39" t="s">
        <v>7</v>
      </c>
      <c r="C39" t="s">
        <v>41</v>
      </c>
      <c r="D39" t="s">
        <v>59</v>
      </c>
      <c r="E39" s="1" t="s">
        <v>60</v>
      </c>
      <c r="F39" t="s">
        <v>123</v>
      </c>
      <c r="G39">
        <v>1133</v>
      </c>
      <c r="H39">
        <v>404</v>
      </c>
      <c r="I39" s="5">
        <f t="shared" si="0"/>
        <v>0.35657546337157986</v>
      </c>
      <c r="J39" s="2">
        <v>0.7</v>
      </c>
      <c r="K39" s="4">
        <v>8.16</v>
      </c>
      <c r="L39">
        <f t="shared" si="1"/>
        <v>389</v>
      </c>
      <c r="M39" s="7">
        <f t="shared" si="2"/>
        <v>3174.2400000000002</v>
      </c>
    </row>
    <row r="40" spans="1:13" x14ac:dyDescent="0.3">
      <c r="A40" t="s">
        <v>0</v>
      </c>
      <c r="B40" t="s">
        <v>7</v>
      </c>
      <c r="C40" t="s">
        <v>1</v>
      </c>
      <c r="D40" t="s">
        <v>46</v>
      </c>
      <c r="E40" s="1" t="s">
        <v>127</v>
      </c>
      <c r="F40" t="s">
        <v>128</v>
      </c>
      <c r="G40">
        <v>3776</v>
      </c>
      <c r="H40">
        <v>1481</v>
      </c>
      <c r="I40" s="5">
        <f t="shared" si="0"/>
        <v>0.39221398305084748</v>
      </c>
      <c r="J40" s="2">
        <v>0.7</v>
      </c>
      <c r="K40" s="4">
        <v>7.66</v>
      </c>
      <c r="L40">
        <f t="shared" si="1"/>
        <v>1162</v>
      </c>
      <c r="M40" s="7">
        <f t="shared" si="2"/>
        <v>8900.92</v>
      </c>
    </row>
    <row r="41" spans="1:13" x14ac:dyDescent="0.3">
      <c r="A41" t="s">
        <v>0</v>
      </c>
      <c r="B41" t="s">
        <v>7</v>
      </c>
      <c r="C41" t="s">
        <v>73</v>
      </c>
      <c r="D41" t="s">
        <v>74</v>
      </c>
      <c r="E41" s="1" t="s">
        <v>129</v>
      </c>
      <c r="F41" t="s">
        <v>130</v>
      </c>
      <c r="G41">
        <v>769</v>
      </c>
      <c r="H41">
        <v>175</v>
      </c>
      <c r="I41" s="5">
        <f t="shared" si="0"/>
        <v>0.22756827048114434</v>
      </c>
      <c r="J41" s="2">
        <v>0.7</v>
      </c>
      <c r="K41" s="4">
        <v>7.69</v>
      </c>
      <c r="L41">
        <f t="shared" si="1"/>
        <v>363</v>
      </c>
      <c r="M41" s="7">
        <f t="shared" si="2"/>
        <v>2791.4700000000003</v>
      </c>
    </row>
    <row r="42" spans="1:13" x14ac:dyDescent="0.3">
      <c r="A42" t="s">
        <v>0</v>
      </c>
      <c r="B42" t="s">
        <v>7</v>
      </c>
      <c r="C42" t="s">
        <v>1</v>
      </c>
      <c r="D42" t="s">
        <v>2</v>
      </c>
      <c r="E42" s="1" t="s">
        <v>131</v>
      </c>
      <c r="F42" t="s">
        <v>132</v>
      </c>
      <c r="G42">
        <v>9263</v>
      </c>
      <c r="H42">
        <v>5262</v>
      </c>
      <c r="I42" s="5">
        <f t="shared" si="0"/>
        <v>0.56806650113354207</v>
      </c>
      <c r="J42" s="2">
        <v>0.7</v>
      </c>
      <c r="K42" s="4">
        <v>7.45</v>
      </c>
      <c r="L42">
        <f t="shared" si="1"/>
        <v>1222</v>
      </c>
      <c r="M42" s="7">
        <f t="shared" si="2"/>
        <v>9103.9</v>
      </c>
    </row>
    <row r="43" spans="1:13" x14ac:dyDescent="0.3">
      <c r="A43" t="s">
        <v>0</v>
      </c>
      <c r="B43" t="s">
        <v>7</v>
      </c>
      <c r="C43" t="s">
        <v>1</v>
      </c>
      <c r="D43" t="s">
        <v>97</v>
      </c>
      <c r="E43" s="1" t="s">
        <v>133</v>
      </c>
      <c r="F43" t="s">
        <v>134</v>
      </c>
      <c r="G43">
        <v>3299</v>
      </c>
      <c r="H43">
        <v>1642</v>
      </c>
      <c r="I43" s="5">
        <f t="shared" si="0"/>
        <v>0.49772658381327672</v>
      </c>
      <c r="J43" s="2">
        <v>0.7</v>
      </c>
      <c r="K43" s="4">
        <v>7.41</v>
      </c>
      <c r="L43">
        <f t="shared" si="1"/>
        <v>667</v>
      </c>
      <c r="M43" s="7">
        <f t="shared" si="2"/>
        <v>4942.47</v>
      </c>
    </row>
    <row r="44" spans="1:13" x14ac:dyDescent="0.3">
      <c r="A44" t="s">
        <v>0</v>
      </c>
      <c r="B44" t="s">
        <v>7</v>
      </c>
      <c r="C44" t="s">
        <v>1</v>
      </c>
      <c r="D44" t="s">
        <v>2</v>
      </c>
      <c r="E44" s="1" t="s">
        <v>135</v>
      </c>
      <c r="F44" t="s">
        <v>136</v>
      </c>
      <c r="G44">
        <v>5233</v>
      </c>
      <c r="H44">
        <v>2458</v>
      </c>
      <c r="I44" s="5">
        <f t="shared" si="0"/>
        <v>0.4697114465889547</v>
      </c>
      <c r="J44" s="2">
        <v>0.7</v>
      </c>
      <c r="K44" s="4">
        <v>7.5</v>
      </c>
      <c r="L44">
        <f t="shared" si="1"/>
        <v>1205</v>
      </c>
      <c r="M44" s="7">
        <f t="shared" si="2"/>
        <v>9037.5</v>
      </c>
    </row>
    <row r="45" spans="1:13" x14ac:dyDescent="0.3">
      <c r="A45" t="s">
        <v>0</v>
      </c>
      <c r="B45" t="s">
        <v>7</v>
      </c>
      <c r="C45" t="s">
        <v>1</v>
      </c>
      <c r="D45" t="s">
        <v>13</v>
      </c>
      <c r="E45" s="1" t="s">
        <v>137</v>
      </c>
      <c r="F45" t="s">
        <v>138</v>
      </c>
      <c r="G45">
        <v>6174</v>
      </c>
      <c r="H45">
        <v>3580</v>
      </c>
      <c r="I45" s="5">
        <f t="shared" si="0"/>
        <v>0.57985098801425328</v>
      </c>
      <c r="J45" s="2">
        <v>0.7</v>
      </c>
      <c r="K45" s="4">
        <v>7.21</v>
      </c>
      <c r="L45">
        <f t="shared" si="1"/>
        <v>742</v>
      </c>
      <c r="M45" s="7">
        <f t="shared" si="2"/>
        <v>5349.82</v>
      </c>
    </row>
    <row r="46" spans="1:13" x14ac:dyDescent="0.3">
      <c r="A46" t="s">
        <v>0</v>
      </c>
      <c r="B46" t="s">
        <v>7</v>
      </c>
      <c r="C46" t="s">
        <v>124</v>
      </c>
      <c r="D46" t="s">
        <v>125</v>
      </c>
      <c r="E46" s="1" t="s">
        <v>126</v>
      </c>
      <c r="F46" t="s">
        <v>139</v>
      </c>
      <c r="G46">
        <v>2539</v>
      </c>
      <c r="H46">
        <v>927</v>
      </c>
      <c r="I46" s="5">
        <f t="shared" si="0"/>
        <v>0.36510437179992122</v>
      </c>
      <c r="J46" s="2">
        <v>0.7</v>
      </c>
      <c r="K46" s="4">
        <v>10.48</v>
      </c>
      <c r="L46">
        <f t="shared" si="1"/>
        <v>850</v>
      </c>
      <c r="M46" s="7">
        <f t="shared" si="2"/>
        <v>8908</v>
      </c>
    </row>
    <row r="47" spans="1:13" x14ac:dyDescent="0.3">
      <c r="A47" t="s">
        <v>0</v>
      </c>
      <c r="B47" t="s">
        <v>7</v>
      </c>
      <c r="C47" t="s">
        <v>1</v>
      </c>
      <c r="D47" t="s">
        <v>115</v>
      </c>
      <c r="E47" s="1" t="s">
        <v>118</v>
      </c>
      <c r="F47" t="s">
        <v>140</v>
      </c>
      <c r="G47">
        <v>1256</v>
      </c>
      <c r="H47">
        <v>474</v>
      </c>
      <c r="I47" s="5">
        <f t="shared" si="0"/>
        <v>0.37738853503184716</v>
      </c>
      <c r="J47" s="2">
        <v>0.7</v>
      </c>
      <c r="K47" s="4">
        <v>8.16</v>
      </c>
      <c r="L47">
        <f t="shared" si="1"/>
        <v>405</v>
      </c>
      <c r="M47" s="7">
        <f t="shared" si="2"/>
        <v>3304.8</v>
      </c>
    </row>
    <row r="48" spans="1:13" x14ac:dyDescent="0.3">
      <c r="A48" t="s">
        <v>0</v>
      </c>
      <c r="B48" t="s">
        <v>7</v>
      </c>
      <c r="C48" t="s">
        <v>8</v>
      </c>
      <c r="D48" t="s">
        <v>9</v>
      </c>
      <c r="E48" s="1" t="s">
        <v>141</v>
      </c>
      <c r="F48" t="s">
        <v>142</v>
      </c>
      <c r="G48">
        <v>2726</v>
      </c>
      <c r="H48">
        <v>1313</v>
      </c>
      <c r="I48" s="5">
        <f t="shared" si="0"/>
        <v>0.48165810711665447</v>
      </c>
      <c r="J48" s="2">
        <v>0.7</v>
      </c>
      <c r="K48" s="4">
        <v>7.8</v>
      </c>
      <c r="L48">
        <f t="shared" si="1"/>
        <v>595</v>
      </c>
      <c r="M48" s="7">
        <f t="shared" si="2"/>
        <v>4641</v>
      </c>
    </row>
    <row r="49" spans="1:13" x14ac:dyDescent="0.3">
      <c r="A49" t="s">
        <v>0</v>
      </c>
      <c r="B49" t="s">
        <v>7</v>
      </c>
      <c r="C49" t="s">
        <v>1</v>
      </c>
      <c r="D49" t="s">
        <v>2</v>
      </c>
      <c r="E49" s="1" t="s">
        <v>143</v>
      </c>
      <c r="F49" t="s">
        <v>144</v>
      </c>
      <c r="G49">
        <v>5578</v>
      </c>
      <c r="H49">
        <v>3288</v>
      </c>
      <c r="I49" s="5">
        <f t="shared" si="0"/>
        <v>0.58945858730727863</v>
      </c>
      <c r="J49" s="2">
        <v>0.7</v>
      </c>
      <c r="K49" s="4">
        <v>7.21</v>
      </c>
      <c r="L49">
        <f t="shared" si="1"/>
        <v>617</v>
      </c>
      <c r="M49" s="7">
        <f t="shared" si="2"/>
        <v>4448.57</v>
      </c>
    </row>
    <row r="50" spans="1:13" x14ac:dyDescent="0.3">
      <c r="A50" t="s">
        <v>0</v>
      </c>
      <c r="B50" t="s">
        <v>7</v>
      </c>
      <c r="C50" t="s">
        <v>1</v>
      </c>
      <c r="D50" t="s">
        <v>29</v>
      </c>
      <c r="E50" s="1" t="s">
        <v>145</v>
      </c>
      <c r="F50" t="s">
        <v>146</v>
      </c>
      <c r="G50">
        <v>7929</v>
      </c>
      <c r="H50">
        <v>2490</v>
      </c>
      <c r="I50" s="5">
        <f t="shared" si="0"/>
        <v>0.31403707907680667</v>
      </c>
      <c r="J50" s="2">
        <v>0.7</v>
      </c>
      <c r="K50" s="4">
        <v>8.07</v>
      </c>
      <c r="L50">
        <f t="shared" si="1"/>
        <v>3060</v>
      </c>
      <c r="M50" s="7">
        <f t="shared" si="2"/>
        <v>24694.2</v>
      </c>
    </row>
    <row r="51" spans="1:13" x14ac:dyDescent="0.3">
      <c r="A51" t="s">
        <v>0</v>
      </c>
      <c r="B51" t="s">
        <v>7</v>
      </c>
      <c r="C51" t="s">
        <v>1</v>
      </c>
      <c r="D51" t="s">
        <v>147</v>
      </c>
      <c r="E51" s="1" t="s">
        <v>148</v>
      </c>
      <c r="F51" t="s">
        <v>149</v>
      </c>
      <c r="G51">
        <v>6319</v>
      </c>
      <c r="H51">
        <v>3412</v>
      </c>
      <c r="I51" s="5">
        <f t="shared" si="0"/>
        <v>0.53995885424909007</v>
      </c>
      <c r="J51" s="2">
        <v>0.7</v>
      </c>
      <c r="K51" s="4">
        <v>7.35</v>
      </c>
      <c r="L51">
        <f t="shared" si="1"/>
        <v>1011</v>
      </c>
      <c r="M51" s="7">
        <f t="shared" si="2"/>
        <v>7430.8499999999995</v>
      </c>
    </row>
    <row r="52" spans="1:13" x14ac:dyDescent="0.3">
      <c r="A52" t="s">
        <v>0</v>
      </c>
      <c r="B52" t="s">
        <v>7</v>
      </c>
      <c r="C52" t="s">
        <v>41</v>
      </c>
      <c r="D52" t="s">
        <v>42</v>
      </c>
      <c r="E52" s="1" t="s">
        <v>150</v>
      </c>
      <c r="F52" t="s">
        <v>151</v>
      </c>
      <c r="G52">
        <v>3061</v>
      </c>
      <c r="H52">
        <v>1683</v>
      </c>
      <c r="I52" s="5">
        <f t="shared" si="0"/>
        <v>0.54982032015681148</v>
      </c>
      <c r="J52" s="2">
        <v>0.7</v>
      </c>
      <c r="K52" s="4">
        <v>7.7</v>
      </c>
      <c r="L52">
        <f t="shared" si="1"/>
        <v>460</v>
      </c>
      <c r="M52" s="7">
        <f t="shared" si="2"/>
        <v>3542</v>
      </c>
    </row>
    <row r="53" spans="1:13" x14ac:dyDescent="0.3">
      <c r="A53" t="s">
        <v>0</v>
      </c>
      <c r="B53" t="s">
        <v>7</v>
      </c>
      <c r="C53" t="s">
        <v>1</v>
      </c>
      <c r="D53" t="s">
        <v>14</v>
      </c>
      <c r="E53" s="1" t="s">
        <v>154</v>
      </c>
      <c r="F53" t="s">
        <v>155</v>
      </c>
      <c r="G53">
        <v>3695</v>
      </c>
      <c r="H53">
        <v>1391</v>
      </c>
      <c r="I53" s="5">
        <f t="shared" si="0"/>
        <v>0.37645466847090664</v>
      </c>
      <c r="J53" s="2">
        <v>0.7</v>
      </c>
      <c r="K53" s="4">
        <v>8.83</v>
      </c>
      <c r="L53">
        <f t="shared" si="1"/>
        <v>1196</v>
      </c>
      <c r="M53" s="7">
        <f t="shared" si="2"/>
        <v>10560.68</v>
      </c>
    </row>
    <row r="54" spans="1:13" x14ac:dyDescent="0.3">
      <c r="A54" t="s">
        <v>0</v>
      </c>
      <c r="B54" t="s">
        <v>7</v>
      </c>
      <c r="C54" t="s">
        <v>12</v>
      </c>
      <c r="D54" t="s">
        <v>43</v>
      </c>
      <c r="E54" s="1" t="s">
        <v>156</v>
      </c>
      <c r="F54" t="s">
        <v>157</v>
      </c>
      <c r="G54">
        <v>1267</v>
      </c>
      <c r="H54">
        <v>558</v>
      </c>
      <c r="I54" s="5">
        <f t="shared" si="0"/>
        <v>0.44041041831097077</v>
      </c>
      <c r="J54" s="2">
        <v>0.7</v>
      </c>
      <c r="K54" s="4">
        <v>8.9</v>
      </c>
      <c r="L54">
        <f t="shared" si="1"/>
        <v>329</v>
      </c>
      <c r="M54" s="7">
        <f t="shared" si="2"/>
        <v>2928.1</v>
      </c>
    </row>
    <row r="55" spans="1:13" x14ac:dyDescent="0.3">
      <c r="A55" t="s">
        <v>0</v>
      </c>
      <c r="B55" t="s">
        <v>7</v>
      </c>
      <c r="C55" t="s">
        <v>1</v>
      </c>
      <c r="D55" t="s">
        <v>112</v>
      </c>
      <c r="E55" s="1" t="s">
        <v>159</v>
      </c>
      <c r="F55" t="s">
        <v>160</v>
      </c>
      <c r="G55">
        <v>3170</v>
      </c>
      <c r="H55">
        <v>1657</v>
      </c>
      <c r="I55" s="5">
        <f t="shared" si="0"/>
        <v>0.52271293375394323</v>
      </c>
      <c r="J55" s="2">
        <v>0.7</v>
      </c>
      <c r="K55" s="4">
        <v>7.9</v>
      </c>
      <c r="L55">
        <f t="shared" si="1"/>
        <v>562</v>
      </c>
      <c r="M55" s="7">
        <f t="shared" si="2"/>
        <v>4439.8</v>
      </c>
    </row>
    <row r="56" spans="1:13" x14ac:dyDescent="0.3">
      <c r="A56" t="s">
        <v>0</v>
      </c>
      <c r="B56" t="s">
        <v>7</v>
      </c>
      <c r="C56" t="s">
        <v>63</v>
      </c>
      <c r="D56" t="s">
        <v>64</v>
      </c>
      <c r="E56" s="1" t="s">
        <v>161</v>
      </c>
      <c r="F56" t="s">
        <v>162</v>
      </c>
      <c r="G56">
        <v>3784</v>
      </c>
      <c r="H56">
        <v>1429</v>
      </c>
      <c r="I56" s="5">
        <f t="shared" si="0"/>
        <v>0.3776427061310782</v>
      </c>
      <c r="J56" s="2">
        <v>0.7</v>
      </c>
      <c r="K56" s="4">
        <v>9.19</v>
      </c>
      <c r="L56">
        <f t="shared" si="1"/>
        <v>1220</v>
      </c>
      <c r="M56" s="7">
        <f t="shared" si="2"/>
        <v>11211.8</v>
      </c>
    </row>
    <row r="57" spans="1:13" x14ac:dyDescent="0.3">
      <c r="A57" t="s">
        <v>0</v>
      </c>
      <c r="B57" t="s">
        <v>7</v>
      </c>
      <c r="C57" t="s">
        <v>1</v>
      </c>
      <c r="D57" t="s">
        <v>97</v>
      </c>
      <c r="E57" s="1" t="s">
        <v>163</v>
      </c>
      <c r="F57" t="s">
        <v>164</v>
      </c>
      <c r="G57">
        <v>6101</v>
      </c>
      <c r="H57">
        <v>2401</v>
      </c>
      <c r="I57" s="5">
        <f t="shared" si="0"/>
        <v>0.39354204228814949</v>
      </c>
      <c r="J57" s="2">
        <v>0.7</v>
      </c>
      <c r="K57" s="4">
        <v>7.71</v>
      </c>
      <c r="L57">
        <f t="shared" si="1"/>
        <v>1870</v>
      </c>
      <c r="M57" s="7">
        <f t="shared" si="2"/>
        <v>14417.7</v>
      </c>
    </row>
    <row r="58" spans="1:13" x14ac:dyDescent="0.3">
      <c r="A58" t="s">
        <v>0</v>
      </c>
      <c r="B58" t="s">
        <v>7</v>
      </c>
      <c r="C58" t="s">
        <v>1</v>
      </c>
      <c r="D58" t="s">
        <v>2</v>
      </c>
      <c r="E58" s="1" t="s">
        <v>165</v>
      </c>
      <c r="F58" t="s">
        <v>166</v>
      </c>
      <c r="G58">
        <v>4643</v>
      </c>
      <c r="H58">
        <v>2373</v>
      </c>
      <c r="I58" s="5">
        <f t="shared" si="0"/>
        <v>0.51109196640103383</v>
      </c>
      <c r="J58" s="2">
        <v>0.7</v>
      </c>
      <c r="K58" s="4">
        <v>7.38</v>
      </c>
      <c r="L58">
        <f t="shared" si="1"/>
        <v>877</v>
      </c>
      <c r="M58" s="7">
        <f t="shared" si="2"/>
        <v>6472.26</v>
      </c>
    </row>
    <row r="59" spans="1:13" x14ac:dyDescent="0.3">
      <c r="A59" t="s">
        <v>0</v>
      </c>
      <c r="B59" t="s">
        <v>7</v>
      </c>
      <c r="C59" t="s">
        <v>17</v>
      </c>
      <c r="D59" t="s">
        <v>18</v>
      </c>
      <c r="E59" s="1" t="s">
        <v>167</v>
      </c>
      <c r="F59" t="s">
        <v>168</v>
      </c>
      <c r="G59">
        <v>819</v>
      </c>
      <c r="H59">
        <v>114</v>
      </c>
      <c r="I59" s="5">
        <f t="shared" si="0"/>
        <v>0.1391941391941392</v>
      </c>
      <c r="J59" s="2">
        <v>0.7</v>
      </c>
      <c r="K59" s="4">
        <v>9.1999999999999993</v>
      </c>
      <c r="L59">
        <f t="shared" si="1"/>
        <v>459</v>
      </c>
      <c r="M59" s="7">
        <f t="shared" si="2"/>
        <v>4222.7999999999993</v>
      </c>
    </row>
    <row r="60" spans="1:13" x14ac:dyDescent="0.3">
      <c r="A60" t="s">
        <v>0</v>
      </c>
      <c r="B60" t="s">
        <v>7</v>
      </c>
      <c r="C60" t="s">
        <v>63</v>
      </c>
      <c r="D60" t="s">
        <v>64</v>
      </c>
      <c r="E60" s="1" t="s">
        <v>169</v>
      </c>
      <c r="F60" t="s">
        <v>170</v>
      </c>
      <c r="G60">
        <v>4834</v>
      </c>
      <c r="H60">
        <v>2486</v>
      </c>
      <c r="I60" s="5">
        <f t="shared" si="0"/>
        <v>0.51427389325610262</v>
      </c>
      <c r="J60" s="2">
        <v>0.7</v>
      </c>
      <c r="K60" s="4">
        <v>8.59</v>
      </c>
      <c r="L60">
        <f t="shared" si="1"/>
        <v>898</v>
      </c>
      <c r="M60" s="7">
        <f t="shared" si="2"/>
        <v>7713.82</v>
      </c>
    </row>
    <row r="61" spans="1:13" x14ac:dyDescent="0.3">
      <c r="A61" t="s">
        <v>0</v>
      </c>
      <c r="B61" t="s">
        <v>7</v>
      </c>
      <c r="C61" t="s">
        <v>1</v>
      </c>
      <c r="D61" t="s">
        <v>2</v>
      </c>
      <c r="E61" s="1" t="s">
        <v>171</v>
      </c>
      <c r="F61" t="s">
        <v>172</v>
      </c>
      <c r="G61">
        <v>2171</v>
      </c>
      <c r="H61">
        <v>1143</v>
      </c>
      <c r="I61" s="5">
        <f t="shared" si="0"/>
        <v>0.52648549055734684</v>
      </c>
      <c r="J61" s="2">
        <v>0.7</v>
      </c>
      <c r="K61" s="4">
        <v>7.61</v>
      </c>
      <c r="L61">
        <f t="shared" si="1"/>
        <v>377</v>
      </c>
      <c r="M61" s="7">
        <f t="shared" si="2"/>
        <v>2868.9700000000003</v>
      </c>
    </row>
    <row r="62" spans="1:13" x14ac:dyDescent="0.3">
      <c r="A62" t="s">
        <v>0</v>
      </c>
      <c r="B62" t="s">
        <v>7</v>
      </c>
      <c r="C62" t="s">
        <v>24</v>
      </c>
      <c r="D62" t="s">
        <v>25</v>
      </c>
      <c r="E62" s="1" t="s">
        <v>173</v>
      </c>
      <c r="F62" t="s">
        <v>174</v>
      </c>
      <c r="G62">
        <v>1213</v>
      </c>
      <c r="H62">
        <v>444</v>
      </c>
      <c r="I62" s="5">
        <f t="shared" si="0"/>
        <v>0.36603462489694971</v>
      </c>
      <c r="J62" s="2">
        <v>0.7</v>
      </c>
      <c r="K62" s="4">
        <v>13.07</v>
      </c>
      <c r="L62">
        <f t="shared" si="1"/>
        <v>405</v>
      </c>
      <c r="M62" s="7">
        <f t="shared" si="2"/>
        <v>5293.35</v>
      </c>
    </row>
    <row r="63" spans="1:13" x14ac:dyDescent="0.3">
      <c r="A63" t="s">
        <v>0</v>
      </c>
      <c r="B63" t="s">
        <v>7</v>
      </c>
      <c r="C63" t="s">
        <v>1</v>
      </c>
      <c r="D63" t="s">
        <v>46</v>
      </c>
      <c r="E63" s="1" t="s">
        <v>175</v>
      </c>
      <c r="F63" t="s">
        <v>176</v>
      </c>
      <c r="G63">
        <v>3576</v>
      </c>
      <c r="H63">
        <v>1354</v>
      </c>
      <c r="I63" s="5">
        <f t="shared" si="0"/>
        <v>0.37863534675615212</v>
      </c>
      <c r="J63" s="2">
        <v>0.7</v>
      </c>
      <c r="K63" s="4">
        <v>8.2100000000000009</v>
      </c>
      <c r="L63">
        <f t="shared" si="1"/>
        <v>1149</v>
      </c>
      <c r="M63" s="7">
        <f t="shared" si="2"/>
        <v>9433.2900000000009</v>
      </c>
    </row>
    <row r="64" spans="1:13" x14ac:dyDescent="0.3">
      <c r="A64" t="s">
        <v>0</v>
      </c>
      <c r="B64" t="s">
        <v>7</v>
      </c>
      <c r="C64" t="s">
        <v>1</v>
      </c>
      <c r="D64" t="s">
        <v>2</v>
      </c>
      <c r="E64" s="1" t="s">
        <v>177</v>
      </c>
      <c r="F64" t="s">
        <v>178</v>
      </c>
      <c r="G64">
        <v>4009</v>
      </c>
      <c r="H64">
        <v>2132</v>
      </c>
      <c r="I64" s="5">
        <f t="shared" si="0"/>
        <v>0.53180344225492637</v>
      </c>
      <c r="J64" s="2">
        <v>0.7</v>
      </c>
      <c r="K64" s="4">
        <v>7.15</v>
      </c>
      <c r="L64">
        <f t="shared" si="1"/>
        <v>674</v>
      </c>
      <c r="M64" s="7">
        <f t="shared" si="2"/>
        <v>4819.1000000000004</v>
      </c>
    </row>
    <row r="65" spans="1:13" x14ac:dyDescent="0.3">
      <c r="A65" t="s">
        <v>0</v>
      </c>
      <c r="B65" t="s">
        <v>7</v>
      </c>
      <c r="C65" t="s">
        <v>8</v>
      </c>
      <c r="D65" t="s">
        <v>9</v>
      </c>
      <c r="E65" s="1" t="s">
        <v>179</v>
      </c>
      <c r="F65" t="s">
        <v>180</v>
      </c>
      <c r="G65">
        <v>4576</v>
      </c>
      <c r="H65">
        <v>2234</v>
      </c>
      <c r="I65" s="5">
        <f t="shared" si="0"/>
        <v>0.48819930069930068</v>
      </c>
      <c r="J65" s="2">
        <v>0.7</v>
      </c>
      <c r="K65" s="4">
        <v>7.76</v>
      </c>
      <c r="L65">
        <f t="shared" si="1"/>
        <v>969</v>
      </c>
      <c r="M65" s="7">
        <f t="shared" si="2"/>
        <v>7519.44</v>
      </c>
    </row>
    <row r="66" spans="1:13" x14ac:dyDescent="0.3">
      <c r="A66" t="s">
        <v>0</v>
      </c>
      <c r="B66" t="s">
        <v>7</v>
      </c>
      <c r="C66" t="s">
        <v>1</v>
      </c>
      <c r="D66" t="s">
        <v>2</v>
      </c>
      <c r="E66" s="1" t="s">
        <v>181</v>
      </c>
      <c r="F66" t="s">
        <v>182</v>
      </c>
      <c r="G66">
        <v>5154</v>
      </c>
      <c r="H66">
        <v>2403</v>
      </c>
      <c r="I66" s="5">
        <f t="shared" si="0"/>
        <v>0.46623981373690337</v>
      </c>
      <c r="J66" s="2">
        <v>0.7</v>
      </c>
      <c r="K66" s="4">
        <v>7.43</v>
      </c>
      <c r="L66">
        <f t="shared" si="1"/>
        <v>1205</v>
      </c>
      <c r="M66" s="7">
        <f t="shared" si="2"/>
        <v>8953.15</v>
      </c>
    </row>
    <row r="67" spans="1:13" x14ac:dyDescent="0.3">
      <c r="A67" t="s">
        <v>0</v>
      </c>
      <c r="B67" t="s">
        <v>7</v>
      </c>
      <c r="C67" t="s">
        <v>1</v>
      </c>
      <c r="D67" t="s">
        <v>97</v>
      </c>
      <c r="E67" s="1" t="s">
        <v>183</v>
      </c>
      <c r="F67" t="s">
        <v>184</v>
      </c>
      <c r="G67">
        <v>6324</v>
      </c>
      <c r="H67">
        <v>3836</v>
      </c>
      <c r="I67" s="5">
        <f t="shared" ref="I67:I78" si="3">H67/G67</f>
        <v>0.60657811511701454</v>
      </c>
      <c r="J67" s="2">
        <v>0.7</v>
      </c>
      <c r="K67" s="4">
        <v>7.41</v>
      </c>
      <c r="L67">
        <f t="shared" ref="L67:L78" si="4">ROUND(G67*J67,0)-H67</f>
        <v>591</v>
      </c>
      <c r="M67" s="7">
        <f t="shared" ref="M67:M78" si="5">L67*K67</f>
        <v>4379.3100000000004</v>
      </c>
    </row>
    <row r="68" spans="1:13" x14ac:dyDescent="0.3">
      <c r="A68" t="s">
        <v>0</v>
      </c>
      <c r="B68" t="s">
        <v>7</v>
      </c>
      <c r="C68" t="s">
        <v>1</v>
      </c>
      <c r="D68" t="s">
        <v>44</v>
      </c>
      <c r="E68" s="1" t="s">
        <v>185</v>
      </c>
      <c r="F68" t="s">
        <v>186</v>
      </c>
      <c r="G68">
        <v>4828</v>
      </c>
      <c r="H68">
        <v>1912</v>
      </c>
      <c r="I68" s="5">
        <f t="shared" si="3"/>
        <v>0.39602319801159902</v>
      </c>
      <c r="J68" s="2">
        <v>0.7</v>
      </c>
      <c r="K68" s="4">
        <v>8.77</v>
      </c>
      <c r="L68">
        <f t="shared" si="4"/>
        <v>1468</v>
      </c>
      <c r="M68" s="7">
        <f t="shared" si="5"/>
        <v>12874.359999999999</v>
      </c>
    </row>
    <row r="69" spans="1:13" x14ac:dyDescent="0.3">
      <c r="A69" t="s">
        <v>0</v>
      </c>
      <c r="B69" t="s">
        <v>7</v>
      </c>
      <c r="C69" t="s">
        <v>12</v>
      </c>
      <c r="D69" t="s">
        <v>28</v>
      </c>
      <c r="E69" s="1" t="s">
        <v>187</v>
      </c>
      <c r="F69" t="s">
        <v>188</v>
      </c>
      <c r="G69">
        <v>1451</v>
      </c>
      <c r="H69">
        <v>714</v>
      </c>
      <c r="I69" s="5">
        <f t="shared" si="3"/>
        <v>0.49207443142660234</v>
      </c>
      <c r="J69" s="2">
        <v>0.7</v>
      </c>
      <c r="K69" s="4">
        <v>8.1</v>
      </c>
      <c r="L69">
        <f t="shared" si="4"/>
        <v>302</v>
      </c>
      <c r="M69" s="7">
        <f t="shared" si="5"/>
        <v>2446.1999999999998</v>
      </c>
    </row>
    <row r="70" spans="1:13" x14ac:dyDescent="0.3">
      <c r="A70" t="s">
        <v>0</v>
      </c>
      <c r="B70" t="s">
        <v>7</v>
      </c>
      <c r="C70" t="s">
        <v>1</v>
      </c>
      <c r="D70" t="s">
        <v>189</v>
      </c>
      <c r="E70" s="1" t="s">
        <v>190</v>
      </c>
      <c r="F70" t="s">
        <v>191</v>
      </c>
      <c r="G70">
        <v>2669</v>
      </c>
      <c r="H70">
        <v>1331</v>
      </c>
      <c r="I70" s="5">
        <f t="shared" si="3"/>
        <v>0.49868864743349567</v>
      </c>
      <c r="J70" s="2">
        <v>0.7</v>
      </c>
      <c r="K70" s="4">
        <v>7.61</v>
      </c>
      <c r="L70">
        <f t="shared" si="4"/>
        <v>537</v>
      </c>
      <c r="M70" s="7">
        <f t="shared" si="5"/>
        <v>4086.57</v>
      </c>
    </row>
    <row r="71" spans="1:13" x14ac:dyDescent="0.3">
      <c r="A71" t="s">
        <v>0</v>
      </c>
      <c r="B71" t="s">
        <v>7</v>
      </c>
      <c r="C71" t="s">
        <v>1</v>
      </c>
      <c r="D71" t="s">
        <v>152</v>
      </c>
      <c r="E71" s="1" t="s">
        <v>153</v>
      </c>
      <c r="F71" t="s">
        <v>192</v>
      </c>
      <c r="G71">
        <v>3550</v>
      </c>
      <c r="H71">
        <v>1952</v>
      </c>
      <c r="I71" s="5">
        <f t="shared" si="3"/>
        <v>0.54985915492957749</v>
      </c>
      <c r="J71" s="2">
        <v>0.7</v>
      </c>
      <c r="K71" s="4">
        <v>7.73</v>
      </c>
      <c r="L71">
        <f t="shared" si="4"/>
        <v>533</v>
      </c>
      <c r="M71" s="7">
        <f t="shared" si="5"/>
        <v>4120.09</v>
      </c>
    </row>
    <row r="72" spans="1:13" x14ac:dyDescent="0.3">
      <c r="A72" t="s">
        <v>0</v>
      </c>
      <c r="B72" t="s">
        <v>7</v>
      </c>
      <c r="C72" t="s">
        <v>1</v>
      </c>
      <c r="D72" t="s">
        <v>81</v>
      </c>
      <c r="E72" s="1" t="s">
        <v>193</v>
      </c>
      <c r="F72" t="s">
        <v>194</v>
      </c>
      <c r="G72">
        <v>4369</v>
      </c>
      <c r="H72">
        <v>2753</v>
      </c>
      <c r="I72" s="5">
        <f t="shared" si="3"/>
        <v>0.63012130922407872</v>
      </c>
      <c r="J72" s="2">
        <v>0.7</v>
      </c>
      <c r="K72" s="4">
        <v>7.55</v>
      </c>
      <c r="L72">
        <f t="shared" si="4"/>
        <v>305</v>
      </c>
      <c r="M72" s="7">
        <f t="shared" si="5"/>
        <v>2302.75</v>
      </c>
    </row>
    <row r="73" spans="1:13" x14ac:dyDescent="0.3">
      <c r="A73" t="s">
        <v>0</v>
      </c>
      <c r="B73" t="s">
        <v>7</v>
      </c>
      <c r="C73" t="s">
        <v>1</v>
      </c>
      <c r="D73" t="s">
        <v>2</v>
      </c>
      <c r="E73" s="1" t="s">
        <v>195</v>
      </c>
      <c r="F73" t="s">
        <v>196</v>
      </c>
      <c r="G73">
        <v>6843</v>
      </c>
      <c r="H73">
        <v>4170</v>
      </c>
      <c r="I73" s="5">
        <f t="shared" si="3"/>
        <v>0.60938185006576062</v>
      </c>
      <c r="J73" s="2">
        <v>0.7</v>
      </c>
      <c r="K73" s="4">
        <v>7.4</v>
      </c>
      <c r="L73">
        <f t="shared" si="4"/>
        <v>620</v>
      </c>
      <c r="M73" s="7">
        <f t="shared" si="5"/>
        <v>4588</v>
      </c>
    </row>
    <row r="74" spans="1:13" x14ac:dyDescent="0.3">
      <c r="A74" t="s">
        <v>0</v>
      </c>
      <c r="B74" t="s">
        <v>7</v>
      </c>
      <c r="C74" t="s">
        <v>1</v>
      </c>
      <c r="D74" t="s">
        <v>2</v>
      </c>
      <c r="E74" s="1" t="s">
        <v>197</v>
      </c>
      <c r="F74" t="s">
        <v>198</v>
      </c>
      <c r="G74">
        <v>5269</v>
      </c>
      <c r="H74">
        <v>2819</v>
      </c>
      <c r="I74" s="5">
        <f t="shared" si="3"/>
        <v>0.5350161320933764</v>
      </c>
      <c r="J74" s="2">
        <v>0.7</v>
      </c>
      <c r="K74" s="4">
        <v>7.48</v>
      </c>
      <c r="L74">
        <f t="shared" si="4"/>
        <v>869</v>
      </c>
      <c r="M74" s="7">
        <f t="shared" si="5"/>
        <v>6500.1200000000008</v>
      </c>
    </row>
    <row r="75" spans="1:13" x14ac:dyDescent="0.3">
      <c r="A75" t="s">
        <v>0</v>
      </c>
      <c r="B75" t="s">
        <v>7</v>
      </c>
      <c r="C75" t="s">
        <v>1</v>
      </c>
      <c r="D75" t="s">
        <v>2</v>
      </c>
      <c r="E75" s="1" t="s">
        <v>199</v>
      </c>
      <c r="F75" t="s">
        <v>200</v>
      </c>
      <c r="G75">
        <v>3903</v>
      </c>
      <c r="H75">
        <v>1785</v>
      </c>
      <c r="I75" s="5">
        <f t="shared" si="3"/>
        <v>0.45734050730207532</v>
      </c>
      <c r="J75" s="2">
        <v>0.7</v>
      </c>
      <c r="K75" s="4">
        <v>7.71</v>
      </c>
      <c r="L75">
        <f t="shared" si="4"/>
        <v>947</v>
      </c>
      <c r="M75" s="7">
        <f t="shared" si="5"/>
        <v>7301.37</v>
      </c>
    </row>
    <row r="76" spans="1:13" x14ac:dyDescent="0.3">
      <c r="A76" t="s">
        <v>0</v>
      </c>
      <c r="B76" t="s">
        <v>7</v>
      </c>
      <c r="C76" t="s">
        <v>1</v>
      </c>
      <c r="D76" t="s">
        <v>2</v>
      </c>
      <c r="E76" s="1" t="s">
        <v>201</v>
      </c>
      <c r="F76" t="s">
        <v>202</v>
      </c>
      <c r="G76">
        <v>5115</v>
      </c>
      <c r="H76">
        <v>3087</v>
      </c>
      <c r="I76" s="5">
        <f t="shared" si="3"/>
        <v>0.60351906158357771</v>
      </c>
      <c r="J76" s="2">
        <v>0.7</v>
      </c>
      <c r="K76" s="4">
        <v>7.42</v>
      </c>
      <c r="L76">
        <f t="shared" si="4"/>
        <v>494</v>
      </c>
      <c r="M76" s="7">
        <f t="shared" si="5"/>
        <v>3665.48</v>
      </c>
    </row>
    <row r="77" spans="1:13" x14ac:dyDescent="0.3">
      <c r="A77" t="s">
        <v>0</v>
      </c>
      <c r="B77" t="s">
        <v>7</v>
      </c>
      <c r="C77" t="s">
        <v>1</v>
      </c>
      <c r="D77" t="s">
        <v>2</v>
      </c>
      <c r="E77" s="1" t="s">
        <v>158</v>
      </c>
      <c r="F77" t="s">
        <v>203</v>
      </c>
      <c r="G77">
        <v>2202</v>
      </c>
      <c r="H77">
        <v>944</v>
      </c>
      <c r="I77" s="5">
        <f t="shared" si="3"/>
        <v>0.42870118074477748</v>
      </c>
      <c r="J77" s="2">
        <v>0.7</v>
      </c>
      <c r="K77" s="4">
        <v>7.72</v>
      </c>
      <c r="L77">
        <f t="shared" si="4"/>
        <v>597</v>
      </c>
      <c r="M77" s="7">
        <f t="shared" si="5"/>
        <v>4608.84</v>
      </c>
    </row>
    <row r="78" spans="1:13" x14ac:dyDescent="0.3">
      <c r="A78" t="s">
        <v>0</v>
      </c>
      <c r="B78" t="s">
        <v>7</v>
      </c>
      <c r="C78" t="s">
        <v>1</v>
      </c>
      <c r="D78" t="s">
        <v>2</v>
      </c>
      <c r="E78" s="1" t="s">
        <v>204</v>
      </c>
      <c r="F78" t="s">
        <v>205</v>
      </c>
      <c r="G78">
        <v>4707</v>
      </c>
      <c r="H78">
        <v>2193</v>
      </c>
      <c r="I78" s="5">
        <f t="shared" si="3"/>
        <v>0.46590184831102616</v>
      </c>
      <c r="J78" s="2">
        <v>0.7</v>
      </c>
      <c r="K78" s="4">
        <v>7.55</v>
      </c>
      <c r="L78">
        <f t="shared" si="4"/>
        <v>1102</v>
      </c>
      <c r="M78" s="7">
        <f t="shared" si="5"/>
        <v>8320.1</v>
      </c>
    </row>
  </sheetData>
  <autoFilter ref="A1:K78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Gendai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2026-07-23T00:20:21Z</dcterms:modified>
</cp:coreProperties>
</file>