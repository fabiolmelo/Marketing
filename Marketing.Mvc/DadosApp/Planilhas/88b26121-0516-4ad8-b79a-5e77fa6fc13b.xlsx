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2BC70575-1CEB-4804-A9B9-6D0521D7BB67}" xr6:coauthVersionLast="47" xr6:coauthVersionMax="47" xr10:uidLastSave="{00000000-0000-0000-0000-000000000000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Calculo_Cokenet_Dominos!$A$1:$O$3544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44" i="1" l="1"/>
  <c r="M3544" i="1" s="1"/>
  <c r="N1036" i="1"/>
  <c r="O1036" i="1"/>
  <c r="N1037" i="1"/>
  <c r="O1037" i="1"/>
  <c r="N1038" i="1"/>
  <c r="O1038" i="1"/>
  <c r="N1039" i="1"/>
  <c r="O1039" i="1"/>
  <c r="N1040" i="1"/>
  <c r="O1040" i="1"/>
  <c r="N1041" i="1"/>
  <c r="O1041" i="1"/>
  <c r="N1042" i="1"/>
  <c r="O1042" i="1"/>
  <c r="N1043" i="1"/>
  <c r="O1043" i="1"/>
  <c r="N1044" i="1"/>
  <c r="O1044" i="1"/>
  <c r="N1045" i="1"/>
  <c r="O1045" i="1"/>
  <c r="N1046" i="1"/>
  <c r="O1046" i="1"/>
  <c r="N1047" i="1"/>
  <c r="O1047" i="1"/>
  <c r="N1048" i="1"/>
  <c r="O1048" i="1"/>
  <c r="N1049" i="1"/>
  <c r="O1049" i="1"/>
  <c r="N1050" i="1"/>
  <c r="O1050" i="1"/>
  <c r="N1051" i="1"/>
  <c r="O1051" i="1"/>
  <c r="N1052" i="1"/>
  <c r="O1052" i="1"/>
  <c r="N1053" i="1"/>
  <c r="O1053" i="1"/>
  <c r="N1054" i="1"/>
  <c r="O1054" i="1"/>
  <c r="N1055" i="1"/>
  <c r="O1055" i="1"/>
  <c r="N1056" i="1"/>
  <c r="O1056" i="1"/>
  <c r="N1057" i="1"/>
  <c r="O1057" i="1"/>
  <c r="N1058" i="1"/>
  <c r="O1058" i="1"/>
  <c r="N1059" i="1"/>
  <c r="O1059" i="1"/>
  <c r="N1060" i="1"/>
  <c r="O1060" i="1"/>
  <c r="N1061" i="1"/>
  <c r="O1061" i="1"/>
  <c r="N1062" i="1"/>
  <c r="O1062" i="1"/>
  <c r="N1063" i="1"/>
  <c r="O1063" i="1"/>
  <c r="N1064" i="1"/>
  <c r="O1064" i="1"/>
  <c r="N1065" i="1"/>
  <c r="O1065" i="1"/>
  <c r="N1066" i="1"/>
  <c r="O1066" i="1"/>
  <c r="N1067" i="1"/>
  <c r="O1067" i="1"/>
  <c r="N1068" i="1"/>
  <c r="O1068" i="1"/>
  <c r="N1069" i="1"/>
  <c r="O1069" i="1"/>
  <c r="N1070" i="1"/>
  <c r="O1070" i="1"/>
  <c r="N1071" i="1"/>
  <c r="O1071" i="1"/>
  <c r="N1072" i="1"/>
  <c r="O1072" i="1"/>
  <c r="N1073" i="1"/>
  <c r="O1073" i="1"/>
  <c r="N1074" i="1"/>
  <c r="O1074" i="1"/>
  <c r="N1075" i="1"/>
  <c r="O1075" i="1"/>
  <c r="N1076" i="1"/>
  <c r="O1076" i="1"/>
  <c r="N1077" i="1"/>
  <c r="O1077" i="1"/>
  <c r="N1078" i="1"/>
  <c r="O1078" i="1"/>
  <c r="N1079" i="1"/>
  <c r="O1079" i="1"/>
  <c r="N1080" i="1"/>
  <c r="O1080" i="1"/>
  <c r="N1081" i="1"/>
  <c r="O1081" i="1"/>
  <c r="N1082" i="1"/>
  <c r="O1082" i="1"/>
  <c r="N1083" i="1"/>
  <c r="O1083" i="1"/>
  <c r="N1084" i="1"/>
  <c r="O1084" i="1"/>
  <c r="N1085" i="1"/>
  <c r="O1085" i="1"/>
  <c r="N1086" i="1"/>
  <c r="O1086" i="1"/>
  <c r="N1087" i="1"/>
  <c r="O1087" i="1"/>
  <c r="N1088" i="1"/>
  <c r="O1088" i="1"/>
  <c r="N1089" i="1"/>
  <c r="O1089" i="1"/>
  <c r="N1090" i="1"/>
  <c r="O1090" i="1"/>
  <c r="N1091" i="1"/>
  <c r="O1091" i="1"/>
  <c r="N1092" i="1"/>
  <c r="O1092" i="1"/>
  <c r="N1093" i="1"/>
  <c r="O1093" i="1"/>
  <c r="N1094" i="1"/>
  <c r="O1094" i="1"/>
  <c r="N1095" i="1"/>
  <c r="O1095" i="1"/>
  <c r="N1096" i="1"/>
  <c r="O1096" i="1"/>
  <c r="N1097" i="1"/>
  <c r="O1097" i="1"/>
  <c r="N1098" i="1"/>
  <c r="O1098" i="1"/>
  <c r="N1099" i="1"/>
  <c r="O1099" i="1"/>
  <c r="N1100" i="1"/>
  <c r="O1100" i="1"/>
  <c r="N1101" i="1"/>
  <c r="O1101" i="1"/>
  <c r="N1102" i="1"/>
  <c r="O1102" i="1"/>
  <c r="N1103" i="1"/>
  <c r="O1103" i="1"/>
  <c r="N1104" i="1"/>
  <c r="O1104" i="1"/>
  <c r="N1105" i="1"/>
  <c r="O1105" i="1"/>
  <c r="N1106" i="1"/>
  <c r="O1106" i="1"/>
  <c r="N1107" i="1"/>
  <c r="O1107" i="1"/>
  <c r="N1108" i="1"/>
  <c r="O1108" i="1"/>
  <c r="N1109" i="1"/>
  <c r="O1109" i="1"/>
  <c r="N1110" i="1"/>
  <c r="O1110" i="1"/>
  <c r="N1111" i="1"/>
  <c r="O1111" i="1"/>
  <c r="N1112" i="1"/>
  <c r="O1112" i="1"/>
  <c r="N1113" i="1"/>
  <c r="O1113" i="1"/>
  <c r="N1114" i="1"/>
  <c r="O1114" i="1"/>
  <c r="N1115" i="1"/>
  <c r="O1115" i="1"/>
  <c r="N1116" i="1"/>
  <c r="O1116" i="1"/>
  <c r="N1117" i="1"/>
  <c r="O1117" i="1"/>
  <c r="N1118" i="1"/>
  <c r="O1118" i="1"/>
  <c r="N1119" i="1"/>
  <c r="O1119" i="1"/>
  <c r="N1120" i="1"/>
  <c r="O1120" i="1"/>
  <c r="N1121" i="1"/>
  <c r="O1121" i="1"/>
  <c r="N1122" i="1"/>
  <c r="O1122" i="1"/>
  <c r="N1123" i="1"/>
  <c r="O1123" i="1"/>
  <c r="N1124" i="1"/>
  <c r="O1124" i="1"/>
  <c r="N1125" i="1"/>
  <c r="O1125" i="1"/>
  <c r="N1126" i="1"/>
  <c r="O1126" i="1"/>
  <c r="N1127" i="1"/>
  <c r="O1127" i="1"/>
  <c r="N1128" i="1"/>
  <c r="O1128" i="1"/>
  <c r="N1129" i="1"/>
  <c r="O1129" i="1"/>
  <c r="N1130" i="1"/>
  <c r="O1130" i="1"/>
  <c r="N1131" i="1"/>
  <c r="O1131" i="1"/>
  <c r="N1132" i="1"/>
  <c r="O1132" i="1"/>
  <c r="N1133" i="1"/>
  <c r="O1133" i="1"/>
  <c r="N1134" i="1"/>
  <c r="O1134" i="1"/>
  <c r="N1135" i="1"/>
  <c r="O1135" i="1"/>
  <c r="N1136" i="1"/>
  <c r="O1136" i="1"/>
  <c r="N1137" i="1"/>
  <c r="O1137" i="1"/>
  <c r="N1138" i="1"/>
  <c r="O1138" i="1"/>
  <c r="N1139" i="1"/>
  <c r="O1139" i="1"/>
  <c r="N1140" i="1"/>
  <c r="O1140" i="1"/>
  <c r="N1141" i="1"/>
  <c r="O1141" i="1"/>
  <c r="N1142" i="1"/>
  <c r="O1142" i="1"/>
  <c r="N1143" i="1"/>
  <c r="O1143" i="1"/>
  <c r="N1144" i="1"/>
  <c r="O1144" i="1"/>
  <c r="N1145" i="1"/>
  <c r="O1145" i="1"/>
  <c r="N1146" i="1"/>
  <c r="O1146" i="1"/>
  <c r="N1147" i="1"/>
  <c r="O1147" i="1"/>
  <c r="N1148" i="1"/>
  <c r="O1148" i="1"/>
  <c r="N1149" i="1"/>
  <c r="O1149" i="1"/>
  <c r="N1150" i="1"/>
  <c r="O1150" i="1"/>
  <c r="N1151" i="1"/>
  <c r="O1151" i="1"/>
  <c r="N1152" i="1"/>
  <c r="O1152" i="1"/>
  <c r="N1153" i="1"/>
  <c r="O1153" i="1"/>
  <c r="N1154" i="1"/>
  <c r="O1154" i="1"/>
  <c r="N1155" i="1"/>
  <c r="O1155" i="1"/>
  <c r="N1156" i="1"/>
  <c r="O1156" i="1"/>
  <c r="N1157" i="1"/>
  <c r="O1157" i="1"/>
  <c r="N1158" i="1"/>
  <c r="O1158" i="1"/>
  <c r="N1159" i="1"/>
  <c r="O1159" i="1"/>
  <c r="N1160" i="1"/>
  <c r="O1160" i="1"/>
  <c r="N1161" i="1"/>
  <c r="O1161" i="1"/>
  <c r="N1162" i="1"/>
  <c r="O1162" i="1"/>
  <c r="N1163" i="1"/>
  <c r="O1163" i="1"/>
  <c r="N1164" i="1"/>
  <c r="O1164" i="1"/>
  <c r="N1165" i="1"/>
  <c r="O1165" i="1"/>
  <c r="N1166" i="1"/>
  <c r="O1166" i="1"/>
  <c r="N1167" i="1"/>
  <c r="O1167" i="1"/>
  <c r="N1168" i="1"/>
  <c r="O1168" i="1"/>
  <c r="N1169" i="1"/>
  <c r="O1169" i="1"/>
  <c r="N1170" i="1"/>
  <c r="O1170" i="1"/>
  <c r="N1171" i="1"/>
  <c r="O1171" i="1"/>
  <c r="N1172" i="1"/>
  <c r="O1172" i="1"/>
  <c r="N1173" i="1"/>
  <c r="O1173" i="1"/>
  <c r="N1174" i="1"/>
  <c r="O1174" i="1"/>
  <c r="N1175" i="1"/>
  <c r="O1175" i="1"/>
  <c r="N1176" i="1"/>
  <c r="O1176" i="1"/>
  <c r="N1177" i="1"/>
  <c r="O1177" i="1"/>
  <c r="N1178" i="1"/>
  <c r="O1178" i="1"/>
  <c r="N1179" i="1"/>
  <c r="O1179" i="1"/>
  <c r="N1180" i="1"/>
  <c r="O1180" i="1"/>
  <c r="N1181" i="1"/>
  <c r="O1181" i="1"/>
  <c r="N1182" i="1"/>
  <c r="O1182" i="1"/>
  <c r="N1183" i="1"/>
  <c r="O1183" i="1"/>
  <c r="N1184" i="1"/>
  <c r="O1184" i="1"/>
  <c r="N1185" i="1"/>
  <c r="O1185" i="1"/>
  <c r="N1186" i="1"/>
  <c r="O1186" i="1"/>
  <c r="N1187" i="1"/>
  <c r="O1187" i="1"/>
  <c r="N1188" i="1"/>
  <c r="O1188" i="1"/>
  <c r="N1189" i="1"/>
  <c r="O1189" i="1"/>
  <c r="N1190" i="1"/>
  <c r="O1190" i="1"/>
  <c r="N1191" i="1"/>
  <c r="O1191" i="1"/>
  <c r="N1192" i="1"/>
  <c r="O1192" i="1"/>
  <c r="N1193" i="1"/>
  <c r="O1193" i="1"/>
  <c r="N1194" i="1"/>
  <c r="O1194" i="1"/>
  <c r="N1195" i="1"/>
  <c r="O1195" i="1"/>
  <c r="N1196" i="1"/>
  <c r="O1196" i="1"/>
  <c r="N1197" i="1"/>
  <c r="O1197" i="1"/>
  <c r="N1198" i="1"/>
  <c r="O1198" i="1"/>
  <c r="N1199" i="1"/>
  <c r="O1199" i="1"/>
  <c r="N1200" i="1"/>
  <c r="O1200" i="1"/>
  <c r="N1201" i="1"/>
  <c r="O1201" i="1"/>
  <c r="N1202" i="1"/>
  <c r="O1202" i="1"/>
  <c r="N1203" i="1"/>
  <c r="O1203" i="1"/>
  <c r="N1204" i="1"/>
  <c r="O1204" i="1"/>
  <c r="N1205" i="1"/>
  <c r="O1205" i="1"/>
  <c r="N1206" i="1"/>
  <c r="O1206" i="1"/>
  <c r="N1207" i="1"/>
  <c r="O1207" i="1"/>
  <c r="N1208" i="1"/>
  <c r="O1208" i="1"/>
  <c r="N1209" i="1"/>
  <c r="O1209" i="1"/>
  <c r="N1210" i="1"/>
  <c r="O1210" i="1"/>
  <c r="N1211" i="1"/>
  <c r="O1211" i="1"/>
  <c r="N1212" i="1"/>
  <c r="O1212" i="1"/>
  <c r="N1213" i="1"/>
  <c r="O1213" i="1"/>
  <c r="N1214" i="1"/>
  <c r="O1214" i="1"/>
  <c r="N1215" i="1"/>
  <c r="O1215" i="1"/>
  <c r="N1216" i="1"/>
  <c r="O1216" i="1"/>
  <c r="N1217" i="1"/>
  <c r="O1217" i="1"/>
  <c r="N1218" i="1"/>
  <c r="O1218" i="1"/>
  <c r="N1219" i="1"/>
  <c r="O1219" i="1"/>
  <c r="N1220" i="1"/>
  <c r="O1220" i="1"/>
  <c r="N1221" i="1"/>
  <c r="O1221" i="1"/>
  <c r="N1222" i="1"/>
  <c r="O1222" i="1"/>
  <c r="N1223" i="1"/>
  <c r="O1223" i="1"/>
  <c r="N1224" i="1"/>
  <c r="O1224" i="1"/>
  <c r="N1225" i="1"/>
  <c r="O1225" i="1"/>
  <c r="N1226" i="1"/>
  <c r="O1226" i="1"/>
  <c r="N1227" i="1"/>
  <c r="O1227" i="1"/>
  <c r="N1228" i="1"/>
  <c r="O1228" i="1"/>
  <c r="N1229" i="1"/>
  <c r="O1229" i="1"/>
  <c r="N1230" i="1"/>
  <c r="O1230" i="1"/>
  <c r="N1231" i="1"/>
  <c r="O1231" i="1"/>
  <c r="N1232" i="1"/>
  <c r="O1232" i="1"/>
  <c r="N1233" i="1"/>
  <c r="O1233" i="1"/>
  <c r="N1234" i="1"/>
  <c r="O1234" i="1"/>
  <c r="N1235" i="1"/>
  <c r="O1235" i="1"/>
  <c r="N1236" i="1"/>
  <c r="O1236" i="1"/>
  <c r="N1237" i="1"/>
  <c r="O1237" i="1"/>
  <c r="N1238" i="1"/>
  <c r="O1238" i="1"/>
  <c r="N1239" i="1"/>
  <c r="O1239" i="1"/>
  <c r="N1240" i="1"/>
  <c r="O1240" i="1"/>
  <c r="N1241" i="1"/>
  <c r="O1241" i="1"/>
  <c r="N1242" i="1"/>
  <c r="O1242" i="1"/>
  <c r="N1243" i="1"/>
  <c r="O1243" i="1"/>
  <c r="N1244" i="1"/>
  <c r="O1244" i="1"/>
  <c r="N1245" i="1"/>
  <c r="O1245" i="1"/>
  <c r="N1246" i="1"/>
  <c r="O1246" i="1"/>
  <c r="N1247" i="1"/>
  <c r="O1247" i="1"/>
  <c r="N1248" i="1"/>
  <c r="O1248" i="1"/>
  <c r="N1249" i="1"/>
  <c r="O1249" i="1"/>
  <c r="N1250" i="1"/>
  <c r="O1250" i="1"/>
  <c r="N1251" i="1"/>
  <c r="O1251" i="1"/>
  <c r="N1252" i="1"/>
  <c r="O1252" i="1"/>
  <c r="N1253" i="1"/>
  <c r="O1253" i="1"/>
  <c r="N1254" i="1"/>
  <c r="O1254" i="1"/>
  <c r="N1255" i="1"/>
  <c r="O1255" i="1"/>
  <c r="N1256" i="1"/>
  <c r="O1256" i="1"/>
  <c r="N1257" i="1"/>
  <c r="O1257" i="1"/>
  <c r="N1258" i="1"/>
  <c r="O1258" i="1"/>
  <c r="N1259" i="1"/>
  <c r="O1259" i="1"/>
  <c r="N1260" i="1"/>
  <c r="O1260" i="1"/>
  <c r="N1261" i="1"/>
  <c r="O1261" i="1"/>
  <c r="N1262" i="1"/>
  <c r="O1262" i="1"/>
  <c r="N1263" i="1"/>
  <c r="O1263" i="1"/>
  <c r="N1264" i="1"/>
  <c r="O1264" i="1"/>
  <c r="N1265" i="1"/>
  <c r="O1265" i="1"/>
  <c r="N1266" i="1"/>
  <c r="O1266" i="1"/>
  <c r="N1267" i="1"/>
  <c r="O1267" i="1"/>
  <c r="N1268" i="1"/>
  <c r="O1268" i="1"/>
  <c r="N1269" i="1"/>
  <c r="O1269" i="1"/>
  <c r="N1270" i="1"/>
  <c r="O1270" i="1"/>
  <c r="N1271" i="1"/>
  <c r="O1271" i="1"/>
  <c r="N1272" i="1"/>
  <c r="O1272" i="1"/>
  <c r="N1273" i="1"/>
  <c r="O1273" i="1"/>
  <c r="N1274" i="1"/>
  <c r="O1274" i="1"/>
  <c r="N1275" i="1"/>
  <c r="O1275" i="1"/>
  <c r="N1276" i="1"/>
  <c r="O1276" i="1"/>
  <c r="N1277" i="1"/>
  <c r="O1277" i="1"/>
  <c r="N1278" i="1"/>
  <c r="O1278" i="1"/>
  <c r="N1279" i="1"/>
  <c r="O1279" i="1"/>
  <c r="N1280" i="1"/>
  <c r="O1280" i="1"/>
  <c r="N1281" i="1"/>
  <c r="O1281" i="1"/>
  <c r="N1282" i="1"/>
  <c r="O1282" i="1"/>
  <c r="N1283" i="1"/>
  <c r="O1283" i="1"/>
  <c r="N1284" i="1"/>
  <c r="O1284" i="1"/>
  <c r="N1285" i="1"/>
  <c r="O1285" i="1"/>
  <c r="N1286" i="1"/>
  <c r="O1286" i="1"/>
  <c r="N1287" i="1"/>
  <c r="O1287" i="1"/>
  <c r="N1288" i="1"/>
  <c r="O1288" i="1"/>
  <c r="N1289" i="1"/>
  <c r="O1289" i="1"/>
  <c r="N1290" i="1"/>
  <c r="O1290" i="1"/>
  <c r="N1291" i="1"/>
  <c r="O1291" i="1"/>
  <c r="N1292" i="1"/>
  <c r="O1292" i="1"/>
  <c r="N1293" i="1"/>
  <c r="O1293" i="1"/>
  <c r="N1294" i="1"/>
  <c r="O1294" i="1"/>
  <c r="N1295" i="1"/>
  <c r="O1295" i="1"/>
  <c r="N1296" i="1"/>
  <c r="O1296" i="1"/>
  <c r="N1297" i="1"/>
  <c r="O1297" i="1"/>
  <c r="N1298" i="1"/>
  <c r="O1298" i="1"/>
  <c r="N1299" i="1"/>
  <c r="O1299" i="1"/>
  <c r="N1300" i="1"/>
  <c r="O1300" i="1"/>
  <c r="N1301" i="1"/>
  <c r="O1301" i="1"/>
  <c r="N1302" i="1"/>
  <c r="O1302" i="1"/>
  <c r="N1303" i="1"/>
  <c r="O1303" i="1"/>
  <c r="N1304" i="1"/>
  <c r="O1304" i="1"/>
  <c r="N1305" i="1"/>
  <c r="O1305" i="1"/>
  <c r="N1306" i="1"/>
  <c r="O1306" i="1"/>
  <c r="N1307" i="1"/>
  <c r="O1307" i="1"/>
  <c r="N1308" i="1"/>
  <c r="O1308" i="1"/>
  <c r="N1309" i="1"/>
  <c r="O1309" i="1"/>
  <c r="N1310" i="1"/>
  <c r="O1310" i="1"/>
  <c r="N1311" i="1"/>
  <c r="O1311" i="1"/>
  <c r="N1312" i="1"/>
  <c r="O1312" i="1"/>
  <c r="N1313" i="1"/>
  <c r="O1313" i="1"/>
  <c r="N1314" i="1"/>
  <c r="O1314" i="1"/>
  <c r="N1315" i="1"/>
  <c r="O1315" i="1"/>
  <c r="N1316" i="1"/>
  <c r="O1316" i="1"/>
  <c r="N1317" i="1"/>
  <c r="O1317" i="1"/>
  <c r="N1318" i="1"/>
  <c r="O1318" i="1"/>
  <c r="N1319" i="1"/>
  <c r="O1319" i="1"/>
  <c r="N1320" i="1"/>
  <c r="O1320" i="1"/>
  <c r="N1321" i="1"/>
  <c r="O1321" i="1"/>
  <c r="N1322" i="1"/>
  <c r="O1322" i="1"/>
  <c r="N1323" i="1"/>
  <c r="O1323" i="1"/>
  <c r="N1324" i="1"/>
  <c r="O1324" i="1"/>
  <c r="N1325" i="1"/>
  <c r="O1325" i="1"/>
  <c r="N1326" i="1"/>
  <c r="O1326" i="1"/>
  <c r="N1327" i="1"/>
  <c r="O1327" i="1"/>
  <c r="N1328" i="1"/>
  <c r="O1328" i="1"/>
  <c r="N1329" i="1"/>
  <c r="O1329" i="1"/>
  <c r="N1330" i="1"/>
  <c r="O1330" i="1"/>
  <c r="N1331" i="1"/>
  <c r="O1331" i="1"/>
  <c r="N1332" i="1"/>
  <c r="O1332" i="1"/>
  <c r="N1333" i="1"/>
  <c r="O1333" i="1"/>
  <c r="N1334" i="1"/>
  <c r="O1334" i="1"/>
  <c r="N1335" i="1"/>
  <c r="O1335" i="1"/>
  <c r="N1336" i="1"/>
  <c r="O1336" i="1"/>
  <c r="N1337" i="1"/>
  <c r="O1337" i="1"/>
  <c r="N1338" i="1"/>
  <c r="O1338" i="1"/>
  <c r="N1339" i="1"/>
  <c r="O1339" i="1"/>
  <c r="N1340" i="1"/>
  <c r="O1340" i="1"/>
  <c r="N1341" i="1"/>
  <c r="O1341" i="1"/>
  <c r="N1342" i="1"/>
  <c r="O1342" i="1"/>
  <c r="N1343" i="1"/>
  <c r="O1343" i="1"/>
  <c r="N1344" i="1"/>
  <c r="O1344" i="1"/>
  <c r="N1345" i="1"/>
  <c r="O1345" i="1"/>
  <c r="N1346" i="1"/>
  <c r="O1346" i="1"/>
  <c r="N1347" i="1"/>
  <c r="O1347" i="1"/>
  <c r="N1348" i="1"/>
  <c r="O1348" i="1"/>
  <c r="N1349" i="1"/>
  <c r="O1349" i="1"/>
  <c r="N1350" i="1"/>
  <c r="O1350" i="1"/>
  <c r="N1351" i="1"/>
  <c r="O1351" i="1"/>
  <c r="N1352" i="1"/>
  <c r="O1352" i="1"/>
  <c r="N1353" i="1"/>
  <c r="O1353" i="1"/>
  <c r="N1354" i="1"/>
  <c r="O1354" i="1"/>
  <c r="N1355" i="1"/>
  <c r="O1355" i="1"/>
  <c r="N1356" i="1"/>
  <c r="O1356" i="1"/>
  <c r="N1357" i="1"/>
  <c r="O1357" i="1"/>
  <c r="N1358" i="1"/>
  <c r="O1358" i="1"/>
  <c r="N1359" i="1"/>
  <c r="O1359" i="1"/>
  <c r="N1360" i="1"/>
  <c r="O1360" i="1"/>
  <c r="N1361" i="1"/>
  <c r="O1361" i="1"/>
  <c r="N1362" i="1"/>
  <c r="O1362" i="1"/>
  <c r="N1363" i="1"/>
  <c r="O1363" i="1"/>
  <c r="N1364" i="1"/>
  <c r="O1364" i="1"/>
  <c r="N1365" i="1"/>
  <c r="O1365" i="1"/>
  <c r="N1366" i="1"/>
  <c r="O1366" i="1"/>
  <c r="N1367" i="1"/>
  <c r="O1367" i="1"/>
  <c r="N1368" i="1"/>
  <c r="O1368" i="1"/>
  <c r="N1369" i="1"/>
  <c r="O1369" i="1"/>
  <c r="N1370" i="1"/>
  <c r="O1370" i="1"/>
  <c r="N1371" i="1"/>
  <c r="O1371" i="1"/>
  <c r="N1372" i="1"/>
  <c r="O1372" i="1"/>
  <c r="N1373" i="1"/>
  <c r="O1373" i="1"/>
  <c r="N1374" i="1"/>
  <c r="O1374" i="1"/>
  <c r="N1375" i="1"/>
  <c r="O1375" i="1"/>
  <c r="N1376" i="1"/>
  <c r="O1376" i="1"/>
  <c r="N1377" i="1"/>
  <c r="O1377" i="1"/>
  <c r="N1378" i="1"/>
  <c r="O1378" i="1"/>
  <c r="N1379" i="1"/>
  <c r="O1379" i="1"/>
  <c r="N1380" i="1"/>
  <c r="O1380" i="1"/>
  <c r="N1381" i="1"/>
  <c r="O1381" i="1"/>
  <c r="N1382" i="1"/>
  <c r="O1382" i="1"/>
  <c r="N1383" i="1"/>
  <c r="O1383" i="1"/>
  <c r="N1384" i="1"/>
  <c r="O1384" i="1"/>
  <c r="N1385" i="1"/>
  <c r="O1385" i="1"/>
  <c r="N1386" i="1"/>
  <c r="O1386" i="1"/>
  <c r="N1387" i="1"/>
  <c r="O1387" i="1"/>
  <c r="N1388" i="1"/>
  <c r="O1388" i="1"/>
  <c r="N1389" i="1"/>
  <c r="O1389" i="1"/>
  <c r="N1390" i="1"/>
  <c r="O1390" i="1"/>
  <c r="N1391" i="1"/>
  <c r="O1391" i="1"/>
  <c r="N1392" i="1"/>
  <c r="O1392" i="1"/>
  <c r="N1393" i="1"/>
  <c r="O1393" i="1"/>
  <c r="N1394" i="1"/>
  <c r="O1394" i="1"/>
  <c r="N1395" i="1"/>
  <c r="O1395" i="1"/>
  <c r="N1396" i="1"/>
  <c r="O1396" i="1"/>
  <c r="N1397" i="1"/>
  <c r="O1397" i="1"/>
  <c r="N1398" i="1"/>
  <c r="O1398" i="1"/>
  <c r="N1399" i="1"/>
  <c r="O1399" i="1"/>
  <c r="N1400" i="1"/>
  <c r="O1400" i="1"/>
  <c r="N1401" i="1"/>
  <c r="O1401" i="1"/>
  <c r="N1402" i="1"/>
  <c r="O1402" i="1"/>
  <c r="N1403" i="1"/>
  <c r="O1403" i="1"/>
  <c r="N1404" i="1"/>
  <c r="O1404" i="1"/>
  <c r="N1405" i="1"/>
  <c r="O1405" i="1"/>
  <c r="N1406" i="1"/>
  <c r="O1406" i="1"/>
  <c r="N1407" i="1"/>
  <c r="O1407" i="1"/>
  <c r="N1408" i="1"/>
  <c r="O1408" i="1"/>
  <c r="N1409" i="1"/>
  <c r="O1409" i="1"/>
  <c r="N1410" i="1"/>
  <c r="O1410" i="1"/>
  <c r="N1411" i="1"/>
  <c r="O1411" i="1"/>
  <c r="N1412" i="1"/>
  <c r="O1412" i="1"/>
  <c r="N1413" i="1"/>
  <c r="O1413" i="1"/>
  <c r="N1414" i="1"/>
  <c r="O1414" i="1"/>
  <c r="N1415" i="1"/>
  <c r="O1415" i="1"/>
  <c r="N1416" i="1"/>
  <c r="O1416" i="1"/>
  <c r="N1417" i="1"/>
  <c r="O1417" i="1"/>
  <c r="N1418" i="1"/>
  <c r="O1418" i="1"/>
  <c r="N1419" i="1"/>
  <c r="O1419" i="1"/>
  <c r="N1420" i="1"/>
  <c r="O1420" i="1"/>
  <c r="N1421" i="1"/>
  <c r="O1421" i="1"/>
  <c r="N1422" i="1"/>
  <c r="O1422" i="1"/>
  <c r="N1423" i="1"/>
  <c r="O1423" i="1"/>
  <c r="N1424" i="1"/>
  <c r="O1424" i="1"/>
  <c r="N1425" i="1"/>
  <c r="O1425" i="1"/>
  <c r="N1426" i="1"/>
  <c r="O1426" i="1"/>
  <c r="N1427" i="1"/>
  <c r="O1427" i="1"/>
  <c r="N1428" i="1"/>
  <c r="O1428" i="1"/>
  <c r="N1429" i="1"/>
  <c r="O1429" i="1"/>
  <c r="N1430" i="1"/>
  <c r="O1430" i="1"/>
  <c r="N1431" i="1"/>
  <c r="O1431" i="1"/>
  <c r="N1432" i="1"/>
  <c r="O1432" i="1"/>
  <c r="N1433" i="1"/>
  <c r="O1433" i="1"/>
  <c r="N1434" i="1"/>
  <c r="O1434" i="1"/>
  <c r="N1435" i="1"/>
  <c r="O1435" i="1"/>
  <c r="N1436" i="1"/>
  <c r="O1436" i="1"/>
  <c r="N1437" i="1"/>
  <c r="O1437" i="1"/>
  <c r="N1438" i="1"/>
  <c r="O1438" i="1"/>
  <c r="N1439" i="1"/>
  <c r="O1439" i="1"/>
  <c r="N1440" i="1"/>
  <c r="O1440" i="1"/>
  <c r="N1441" i="1"/>
  <c r="O1441" i="1"/>
  <c r="N1442" i="1"/>
  <c r="O1442" i="1"/>
  <c r="N1443" i="1"/>
  <c r="O1443" i="1"/>
  <c r="N1444" i="1"/>
  <c r="O1444" i="1"/>
  <c r="N1445" i="1"/>
  <c r="O1445" i="1"/>
  <c r="N1446" i="1"/>
  <c r="O1446" i="1"/>
  <c r="N1447" i="1"/>
  <c r="O1447" i="1"/>
  <c r="N1448" i="1"/>
  <c r="O1448" i="1"/>
  <c r="N1449" i="1"/>
  <c r="O1449" i="1"/>
  <c r="N1450" i="1"/>
  <c r="O1450" i="1"/>
  <c r="N1451" i="1"/>
  <c r="O1451" i="1"/>
  <c r="N1452" i="1"/>
  <c r="O1452" i="1"/>
  <c r="N1453" i="1"/>
  <c r="O1453" i="1"/>
  <c r="N1454" i="1"/>
  <c r="O1454" i="1"/>
  <c r="N1455" i="1"/>
  <c r="O1455" i="1"/>
  <c r="N1456" i="1"/>
  <c r="O1456" i="1"/>
  <c r="N1457" i="1"/>
  <c r="O1457" i="1"/>
  <c r="N1458" i="1"/>
  <c r="O1458" i="1"/>
  <c r="N1459" i="1"/>
  <c r="O1459" i="1"/>
  <c r="N1460" i="1"/>
  <c r="O1460" i="1"/>
  <c r="N1461" i="1"/>
  <c r="O1461" i="1"/>
  <c r="N1462" i="1"/>
  <c r="O1462" i="1"/>
  <c r="N1463" i="1"/>
  <c r="O1463" i="1"/>
  <c r="N1464" i="1"/>
  <c r="O1464" i="1"/>
  <c r="N1465" i="1"/>
  <c r="O1465" i="1"/>
  <c r="N1466" i="1"/>
  <c r="O1466" i="1"/>
  <c r="N1467" i="1"/>
  <c r="O1467" i="1"/>
  <c r="N1468" i="1"/>
  <c r="O1468" i="1"/>
  <c r="N1469" i="1"/>
  <c r="O1469" i="1"/>
  <c r="N1470" i="1"/>
  <c r="O1470" i="1"/>
  <c r="N1471" i="1"/>
  <c r="O1471" i="1"/>
  <c r="N1472" i="1"/>
  <c r="O1472" i="1"/>
  <c r="N1473" i="1"/>
  <c r="O1473" i="1"/>
  <c r="N1474" i="1"/>
  <c r="O1474" i="1"/>
  <c r="N1475" i="1"/>
  <c r="O1475" i="1"/>
  <c r="N1476" i="1"/>
  <c r="O1476" i="1"/>
  <c r="N1477" i="1"/>
  <c r="O1477" i="1"/>
  <c r="N1478" i="1"/>
  <c r="O1478" i="1"/>
  <c r="N1479" i="1"/>
  <c r="O1479" i="1"/>
  <c r="N1480" i="1"/>
  <c r="O1480" i="1"/>
  <c r="N1481" i="1"/>
  <c r="O1481" i="1"/>
  <c r="N1482" i="1"/>
  <c r="O1482" i="1"/>
  <c r="N1483" i="1"/>
  <c r="O1483" i="1"/>
  <c r="N1484" i="1"/>
  <c r="O1484" i="1"/>
  <c r="N1485" i="1"/>
  <c r="O1485" i="1"/>
  <c r="N1486" i="1"/>
  <c r="O1486" i="1"/>
  <c r="N1487" i="1"/>
  <c r="O1487" i="1"/>
  <c r="N1488" i="1"/>
  <c r="O1488" i="1"/>
  <c r="N1489" i="1"/>
  <c r="O1489" i="1"/>
  <c r="N1490" i="1"/>
  <c r="O1490" i="1"/>
  <c r="N1491" i="1"/>
  <c r="O1491" i="1"/>
  <c r="N1492" i="1"/>
  <c r="O1492" i="1"/>
  <c r="N1493" i="1"/>
  <c r="O1493" i="1"/>
  <c r="N1494" i="1"/>
  <c r="O1494" i="1"/>
  <c r="N1495" i="1"/>
  <c r="O1495" i="1"/>
  <c r="N1496" i="1"/>
  <c r="O1496" i="1"/>
  <c r="N1497" i="1"/>
  <c r="O1497" i="1"/>
  <c r="N1498" i="1"/>
  <c r="O1498" i="1"/>
  <c r="N1499" i="1"/>
  <c r="O1499" i="1"/>
  <c r="N1500" i="1"/>
  <c r="O1500" i="1"/>
  <c r="N1501" i="1"/>
  <c r="O1501" i="1"/>
  <c r="N1502" i="1"/>
  <c r="O1502" i="1"/>
  <c r="N1503" i="1"/>
  <c r="O1503" i="1"/>
  <c r="N1504" i="1"/>
  <c r="O1504" i="1"/>
  <c r="N1505" i="1"/>
  <c r="O1505" i="1"/>
  <c r="N1506" i="1"/>
  <c r="O1506" i="1"/>
  <c r="N1507" i="1"/>
  <c r="O1507" i="1"/>
  <c r="N1508" i="1"/>
  <c r="O1508" i="1"/>
  <c r="N1509" i="1"/>
  <c r="O1509" i="1"/>
  <c r="N1510" i="1"/>
  <c r="O1510" i="1"/>
  <c r="N1511" i="1"/>
  <c r="O1511" i="1"/>
  <c r="N1512" i="1"/>
  <c r="O1512" i="1"/>
  <c r="N1513" i="1"/>
  <c r="O1513" i="1"/>
  <c r="N1514" i="1"/>
  <c r="O1514" i="1"/>
  <c r="N1515" i="1"/>
  <c r="O1515" i="1"/>
  <c r="N1516" i="1"/>
  <c r="O1516" i="1"/>
  <c r="N1517" i="1"/>
  <c r="O1517" i="1"/>
  <c r="N1518" i="1"/>
  <c r="O1518" i="1"/>
  <c r="N1519" i="1"/>
  <c r="O1519" i="1"/>
  <c r="N1520" i="1"/>
  <c r="O1520" i="1"/>
  <c r="N1521" i="1"/>
  <c r="O1521" i="1"/>
  <c r="N1522" i="1"/>
  <c r="O1522" i="1"/>
  <c r="N1523" i="1"/>
  <c r="O1523" i="1"/>
  <c r="N1524" i="1"/>
  <c r="O1524" i="1"/>
  <c r="N1525" i="1"/>
  <c r="O1525" i="1"/>
  <c r="N1526" i="1"/>
  <c r="O1526" i="1"/>
  <c r="N1527" i="1"/>
  <c r="O1527" i="1"/>
  <c r="N1528" i="1"/>
  <c r="O1528" i="1"/>
  <c r="N1529" i="1"/>
  <c r="O1529" i="1"/>
  <c r="N1530" i="1"/>
  <c r="O1530" i="1"/>
  <c r="N1531" i="1"/>
  <c r="O1531" i="1"/>
  <c r="N1532" i="1"/>
  <c r="O1532" i="1"/>
  <c r="N1533" i="1"/>
  <c r="O1533" i="1"/>
  <c r="N1534" i="1"/>
  <c r="O1534" i="1"/>
  <c r="N1535" i="1"/>
  <c r="O1535" i="1"/>
  <c r="N1536" i="1"/>
  <c r="O1536" i="1"/>
  <c r="N1537" i="1"/>
  <c r="O1537" i="1"/>
  <c r="N1538" i="1"/>
  <c r="O1538" i="1"/>
  <c r="N1539" i="1"/>
  <c r="O1539" i="1"/>
  <c r="N1540" i="1"/>
  <c r="O1540" i="1"/>
  <c r="N1541" i="1"/>
  <c r="O1541" i="1"/>
  <c r="N1542" i="1"/>
  <c r="O1542" i="1"/>
  <c r="N1543" i="1"/>
  <c r="O1543" i="1"/>
  <c r="N1544" i="1"/>
  <c r="O1544" i="1"/>
  <c r="N1545" i="1"/>
  <c r="O1545" i="1"/>
  <c r="N1546" i="1"/>
  <c r="O1546" i="1"/>
  <c r="N1547" i="1"/>
  <c r="O1547" i="1"/>
  <c r="N1548" i="1"/>
  <c r="O1548" i="1"/>
  <c r="N1549" i="1"/>
  <c r="O1549" i="1"/>
  <c r="N1550" i="1"/>
  <c r="O1550" i="1"/>
  <c r="N1551" i="1"/>
  <c r="O1551" i="1"/>
  <c r="N1552" i="1"/>
  <c r="O1552" i="1"/>
  <c r="N1553" i="1"/>
  <c r="O1553" i="1"/>
  <c r="N1554" i="1"/>
  <c r="O1554" i="1"/>
  <c r="N1555" i="1"/>
  <c r="O1555" i="1"/>
  <c r="N1556" i="1"/>
  <c r="O1556" i="1"/>
  <c r="N1557" i="1"/>
  <c r="O1557" i="1"/>
  <c r="N1558" i="1"/>
  <c r="O1558" i="1"/>
  <c r="N1559" i="1"/>
  <c r="O1559" i="1"/>
  <c r="N1560" i="1"/>
  <c r="O1560" i="1"/>
  <c r="N1561" i="1"/>
  <c r="O1561" i="1"/>
  <c r="N1562" i="1"/>
  <c r="O1562" i="1"/>
  <c r="N1563" i="1"/>
  <c r="O1563" i="1"/>
  <c r="N1564" i="1"/>
  <c r="O1564" i="1"/>
  <c r="N1565" i="1"/>
  <c r="O1565" i="1"/>
  <c r="N1566" i="1"/>
  <c r="O1566" i="1"/>
  <c r="N1567" i="1"/>
  <c r="O1567" i="1"/>
  <c r="N1568" i="1"/>
  <c r="O1568" i="1"/>
  <c r="N1569" i="1"/>
  <c r="O1569" i="1"/>
  <c r="N1570" i="1"/>
  <c r="O1570" i="1"/>
  <c r="N1571" i="1"/>
  <c r="O1571" i="1"/>
  <c r="N1572" i="1"/>
  <c r="O1572" i="1"/>
  <c r="N1573" i="1"/>
  <c r="O1573" i="1"/>
  <c r="N1574" i="1"/>
  <c r="O1574" i="1"/>
  <c r="N1575" i="1"/>
  <c r="O1575" i="1"/>
  <c r="N1576" i="1"/>
  <c r="O1576" i="1"/>
  <c r="N1577" i="1"/>
  <c r="O1577" i="1"/>
  <c r="N1578" i="1"/>
  <c r="O1578" i="1"/>
  <c r="N1579" i="1"/>
  <c r="O1579" i="1"/>
  <c r="N1580" i="1"/>
  <c r="O1580" i="1"/>
  <c r="N1581" i="1"/>
  <c r="O1581" i="1"/>
  <c r="N1582" i="1"/>
  <c r="O1582" i="1"/>
  <c r="N1583" i="1"/>
  <c r="O1583" i="1"/>
  <c r="N1584" i="1"/>
  <c r="O1584" i="1"/>
  <c r="N1585" i="1"/>
  <c r="O1585" i="1"/>
  <c r="N1586" i="1"/>
  <c r="O1586" i="1"/>
  <c r="N1587" i="1"/>
  <c r="O1587" i="1"/>
  <c r="N1588" i="1"/>
  <c r="O1588" i="1"/>
  <c r="N1589" i="1"/>
  <c r="O1589" i="1"/>
  <c r="N1590" i="1"/>
  <c r="O1590" i="1"/>
  <c r="N1591" i="1"/>
  <c r="O1591" i="1"/>
  <c r="N1592" i="1"/>
  <c r="O1592" i="1"/>
  <c r="N1593" i="1"/>
  <c r="O1593" i="1"/>
  <c r="N1594" i="1"/>
  <c r="O1594" i="1"/>
  <c r="N1595" i="1"/>
  <c r="O1595" i="1"/>
  <c r="N1596" i="1"/>
  <c r="O1596" i="1"/>
  <c r="N1597" i="1"/>
  <c r="O1597" i="1"/>
  <c r="N1598" i="1"/>
  <c r="O1598" i="1"/>
  <c r="N1599" i="1"/>
  <c r="O1599" i="1"/>
  <c r="N1600" i="1"/>
  <c r="O1600" i="1"/>
  <c r="N1601" i="1"/>
  <c r="O1601" i="1"/>
  <c r="N1602" i="1"/>
  <c r="O1602" i="1"/>
  <c r="N1603" i="1"/>
  <c r="O1603" i="1"/>
  <c r="N1604" i="1"/>
  <c r="O1604" i="1"/>
  <c r="N1605" i="1"/>
  <c r="O1605" i="1"/>
  <c r="N1606" i="1"/>
  <c r="O1606" i="1"/>
  <c r="N1607" i="1"/>
  <c r="O1607" i="1"/>
  <c r="N1608" i="1"/>
  <c r="O1608" i="1"/>
  <c r="N1609" i="1"/>
  <c r="O1609" i="1"/>
  <c r="N1610" i="1"/>
  <c r="O1610" i="1"/>
  <c r="N1611" i="1"/>
  <c r="O1611" i="1"/>
  <c r="N1612" i="1"/>
  <c r="O1612" i="1"/>
  <c r="N1613" i="1"/>
  <c r="O1613" i="1"/>
  <c r="N1614" i="1"/>
  <c r="O1614" i="1"/>
  <c r="N1615" i="1"/>
  <c r="O1615" i="1"/>
  <c r="N1616" i="1"/>
  <c r="O1616" i="1"/>
  <c r="N1617" i="1"/>
  <c r="O1617" i="1"/>
  <c r="N1618" i="1"/>
  <c r="O1618" i="1"/>
  <c r="N1619" i="1"/>
  <c r="O1619" i="1"/>
  <c r="N1620" i="1"/>
  <c r="O1620" i="1"/>
  <c r="N1621" i="1"/>
  <c r="O1621" i="1"/>
  <c r="N1622" i="1"/>
  <c r="O1622" i="1"/>
  <c r="N1623" i="1"/>
  <c r="O1623" i="1"/>
  <c r="N1624" i="1"/>
  <c r="O1624" i="1"/>
  <c r="N1625" i="1"/>
  <c r="O1625" i="1"/>
  <c r="N1626" i="1"/>
  <c r="O1626" i="1"/>
  <c r="N1627" i="1"/>
  <c r="O1627" i="1"/>
  <c r="N1628" i="1"/>
  <c r="O1628" i="1"/>
  <c r="N1629" i="1"/>
  <c r="O1629" i="1"/>
  <c r="N1630" i="1"/>
  <c r="O1630" i="1"/>
  <c r="N1631" i="1"/>
  <c r="O1631" i="1"/>
  <c r="N1632" i="1"/>
  <c r="O1632" i="1"/>
  <c r="N1633" i="1"/>
  <c r="O1633" i="1"/>
  <c r="N1634" i="1"/>
  <c r="O1634" i="1"/>
  <c r="N1635" i="1"/>
  <c r="O1635" i="1"/>
  <c r="N1636" i="1"/>
  <c r="O1636" i="1"/>
  <c r="N1637" i="1"/>
  <c r="O1637" i="1"/>
  <c r="N1638" i="1"/>
  <c r="O1638" i="1"/>
  <c r="N1639" i="1"/>
  <c r="O1639" i="1"/>
  <c r="N1640" i="1"/>
  <c r="O1640" i="1"/>
  <c r="N1641" i="1"/>
  <c r="O1641" i="1"/>
  <c r="N1642" i="1"/>
  <c r="O1642" i="1"/>
  <c r="N1643" i="1"/>
  <c r="O1643" i="1"/>
  <c r="N1644" i="1"/>
  <c r="O1644" i="1"/>
  <c r="N1645" i="1"/>
  <c r="O1645" i="1"/>
  <c r="N1646" i="1"/>
  <c r="O1646" i="1"/>
  <c r="N1647" i="1"/>
  <c r="O1647" i="1"/>
  <c r="N1648" i="1"/>
  <c r="O1648" i="1"/>
  <c r="N1649" i="1"/>
  <c r="O1649" i="1"/>
  <c r="N1650" i="1"/>
  <c r="O1650" i="1"/>
  <c r="N1651" i="1"/>
  <c r="O1651" i="1"/>
  <c r="N1652" i="1"/>
  <c r="O1652" i="1"/>
  <c r="N1653" i="1"/>
  <c r="O1653" i="1"/>
  <c r="N1654" i="1"/>
  <c r="O1654" i="1"/>
  <c r="N1655" i="1"/>
  <c r="O1655" i="1"/>
  <c r="N1656" i="1"/>
  <c r="O1656" i="1"/>
  <c r="N1657" i="1"/>
  <c r="O1657" i="1"/>
  <c r="N1658" i="1"/>
  <c r="O1658" i="1"/>
  <c r="N1659" i="1"/>
  <c r="O1659" i="1"/>
  <c r="N1660" i="1"/>
  <c r="O1660" i="1"/>
  <c r="N1661" i="1"/>
  <c r="O1661" i="1"/>
  <c r="N1662" i="1"/>
  <c r="O1662" i="1"/>
  <c r="N1663" i="1"/>
  <c r="O1663" i="1"/>
  <c r="N1664" i="1"/>
  <c r="O1664" i="1"/>
  <c r="N1665" i="1"/>
  <c r="O1665" i="1"/>
  <c r="N1666" i="1"/>
  <c r="O1666" i="1"/>
  <c r="N1667" i="1"/>
  <c r="O1667" i="1"/>
  <c r="N1668" i="1"/>
  <c r="O1668" i="1"/>
  <c r="N1669" i="1"/>
  <c r="O1669" i="1"/>
  <c r="N1670" i="1"/>
  <c r="O1670" i="1"/>
  <c r="N1671" i="1"/>
  <c r="O1671" i="1"/>
  <c r="N1672" i="1"/>
  <c r="O1672" i="1"/>
  <c r="N1673" i="1"/>
  <c r="O1673" i="1"/>
  <c r="N1674" i="1"/>
  <c r="O1674" i="1"/>
  <c r="N1675" i="1"/>
  <c r="O1675" i="1"/>
  <c r="N1676" i="1"/>
  <c r="O1676" i="1"/>
  <c r="N1677" i="1"/>
  <c r="O1677" i="1"/>
  <c r="N1678" i="1"/>
  <c r="O1678" i="1"/>
  <c r="N1679" i="1"/>
  <c r="O1679" i="1"/>
  <c r="N1680" i="1"/>
  <c r="O1680" i="1"/>
  <c r="N1681" i="1"/>
  <c r="O1681" i="1"/>
  <c r="N1682" i="1"/>
  <c r="O1682" i="1"/>
  <c r="N1683" i="1"/>
  <c r="O1683" i="1"/>
  <c r="N1684" i="1"/>
  <c r="O1684" i="1"/>
  <c r="N1685" i="1"/>
  <c r="O1685" i="1"/>
  <c r="N1686" i="1"/>
  <c r="O1686" i="1"/>
  <c r="N1687" i="1"/>
  <c r="O1687" i="1"/>
  <c r="N1688" i="1"/>
  <c r="O1688" i="1"/>
  <c r="N1689" i="1"/>
  <c r="O1689" i="1"/>
  <c r="N1690" i="1"/>
  <c r="O1690" i="1"/>
  <c r="N1691" i="1"/>
  <c r="O1691" i="1"/>
  <c r="N1692" i="1"/>
  <c r="O1692" i="1"/>
  <c r="N1693" i="1"/>
  <c r="O1693" i="1"/>
  <c r="N1694" i="1"/>
  <c r="O1694" i="1"/>
  <c r="N1695" i="1"/>
  <c r="O1695" i="1"/>
  <c r="N1696" i="1"/>
  <c r="O1696" i="1"/>
  <c r="N1697" i="1"/>
  <c r="O1697" i="1"/>
  <c r="N1698" i="1"/>
  <c r="O1698" i="1"/>
  <c r="N1699" i="1"/>
  <c r="O1699" i="1"/>
  <c r="N1700" i="1"/>
  <c r="O1700" i="1"/>
  <c r="N1701" i="1"/>
  <c r="O1701" i="1"/>
  <c r="N1702" i="1"/>
  <c r="O1702" i="1"/>
  <c r="N1703" i="1"/>
  <c r="O1703" i="1"/>
  <c r="N1704" i="1"/>
  <c r="O1704" i="1"/>
  <c r="N1705" i="1"/>
  <c r="O1705" i="1"/>
  <c r="N1706" i="1"/>
  <c r="O1706" i="1"/>
  <c r="N1707" i="1"/>
  <c r="O1707" i="1"/>
  <c r="N1708" i="1"/>
  <c r="O1708" i="1"/>
  <c r="N1709" i="1"/>
  <c r="O1709" i="1"/>
  <c r="N1710" i="1"/>
  <c r="O1710" i="1"/>
  <c r="N1711" i="1"/>
  <c r="O1711" i="1"/>
  <c r="N1712" i="1"/>
  <c r="O1712" i="1"/>
  <c r="N1713" i="1"/>
  <c r="O1713" i="1"/>
  <c r="N1714" i="1"/>
  <c r="O1714" i="1"/>
  <c r="N1715" i="1"/>
  <c r="O1715" i="1"/>
  <c r="N1716" i="1"/>
  <c r="O1716" i="1"/>
  <c r="N1717" i="1"/>
  <c r="O1717" i="1"/>
  <c r="N1718" i="1"/>
  <c r="O1718" i="1"/>
  <c r="N1719" i="1"/>
  <c r="O1719" i="1"/>
  <c r="N1720" i="1"/>
  <c r="O1720" i="1"/>
  <c r="N1721" i="1"/>
  <c r="O1721" i="1"/>
  <c r="N1722" i="1"/>
  <c r="O1722" i="1"/>
  <c r="N1723" i="1"/>
  <c r="O1723" i="1"/>
  <c r="N1724" i="1"/>
  <c r="O1724" i="1"/>
  <c r="N1725" i="1"/>
  <c r="O1725" i="1"/>
  <c r="N1726" i="1"/>
  <c r="O1726" i="1"/>
  <c r="N1727" i="1"/>
  <c r="O1727" i="1"/>
  <c r="N1728" i="1"/>
  <c r="O1728" i="1"/>
  <c r="N1729" i="1"/>
  <c r="O1729" i="1"/>
  <c r="N1730" i="1"/>
  <c r="O1730" i="1"/>
  <c r="N1731" i="1"/>
  <c r="O1731" i="1"/>
  <c r="N1732" i="1"/>
  <c r="O1732" i="1"/>
  <c r="N1733" i="1"/>
  <c r="O1733" i="1"/>
  <c r="N1734" i="1"/>
  <c r="O1734" i="1"/>
  <c r="N1735" i="1"/>
  <c r="O1735" i="1"/>
  <c r="N1736" i="1"/>
  <c r="O1736" i="1"/>
  <c r="N1737" i="1"/>
  <c r="O1737" i="1"/>
  <c r="N1738" i="1"/>
  <c r="O1738" i="1"/>
  <c r="N1739" i="1"/>
  <c r="O1739" i="1"/>
  <c r="N1740" i="1"/>
  <c r="O1740" i="1"/>
  <c r="N1741" i="1"/>
  <c r="O1741" i="1"/>
  <c r="N1742" i="1"/>
  <c r="O1742" i="1"/>
  <c r="N1743" i="1"/>
  <c r="O1743" i="1"/>
  <c r="N1744" i="1"/>
  <c r="O1744" i="1"/>
  <c r="N1745" i="1"/>
  <c r="O1745" i="1"/>
  <c r="N1746" i="1"/>
  <c r="O1746" i="1"/>
  <c r="N1747" i="1"/>
  <c r="O1747" i="1"/>
  <c r="N1748" i="1"/>
  <c r="O1748" i="1"/>
  <c r="N1749" i="1"/>
  <c r="O1749" i="1"/>
  <c r="N1750" i="1"/>
  <c r="O1750" i="1"/>
  <c r="N1751" i="1"/>
  <c r="O1751" i="1"/>
  <c r="N1752" i="1"/>
  <c r="O1752" i="1"/>
  <c r="N1753" i="1"/>
  <c r="O1753" i="1"/>
  <c r="N1754" i="1"/>
  <c r="O1754" i="1"/>
  <c r="N1755" i="1"/>
  <c r="O1755" i="1"/>
  <c r="N1756" i="1"/>
  <c r="O1756" i="1"/>
  <c r="N1757" i="1"/>
  <c r="O1757" i="1"/>
  <c r="N1758" i="1"/>
  <c r="O1758" i="1"/>
  <c r="N1759" i="1"/>
  <c r="O1759" i="1"/>
  <c r="N1760" i="1"/>
  <c r="O1760" i="1"/>
  <c r="N1761" i="1"/>
  <c r="O1761" i="1"/>
  <c r="N1762" i="1"/>
  <c r="O1762" i="1"/>
  <c r="N1763" i="1"/>
  <c r="O1763" i="1"/>
  <c r="N1764" i="1"/>
  <c r="O1764" i="1"/>
  <c r="N1765" i="1"/>
  <c r="O1765" i="1"/>
  <c r="N1766" i="1"/>
  <c r="O1766" i="1"/>
  <c r="N1767" i="1"/>
  <c r="O1767" i="1"/>
  <c r="N1768" i="1"/>
  <c r="O1768" i="1"/>
  <c r="N1769" i="1"/>
  <c r="O1769" i="1"/>
  <c r="N1770" i="1"/>
  <c r="O1770" i="1"/>
  <c r="N1771" i="1"/>
  <c r="O1771" i="1"/>
  <c r="N1772" i="1"/>
  <c r="O1772" i="1"/>
  <c r="N1773" i="1"/>
  <c r="O1773" i="1"/>
  <c r="N1774" i="1"/>
  <c r="O1774" i="1"/>
  <c r="N1775" i="1"/>
  <c r="O1775" i="1"/>
  <c r="N1776" i="1"/>
  <c r="O1776" i="1"/>
  <c r="N1777" i="1"/>
  <c r="O1777" i="1"/>
  <c r="N1778" i="1"/>
  <c r="O1778" i="1"/>
  <c r="N1779" i="1"/>
  <c r="O1779" i="1"/>
  <c r="N1780" i="1"/>
  <c r="O1780" i="1"/>
  <c r="N1781" i="1"/>
  <c r="O1781" i="1"/>
  <c r="N1782" i="1"/>
  <c r="O1782" i="1"/>
  <c r="N1783" i="1"/>
  <c r="O1783" i="1"/>
  <c r="N1784" i="1"/>
  <c r="O1784" i="1"/>
  <c r="N1785" i="1"/>
  <c r="O1785" i="1"/>
  <c r="N1786" i="1"/>
  <c r="O1786" i="1"/>
  <c r="N1787" i="1"/>
  <c r="O1787" i="1"/>
  <c r="N1788" i="1"/>
  <c r="O1788" i="1"/>
  <c r="N1789" i="1"/>
  <c r="O1789" i="1"/>
  <c r="N1790" i="1"/>
  <c r="O1790" i="1"/>
  <c r="N1791" i="1"/>
  <c r="O1791" i="1"/>
  <c r="N1792" i="1"/>
  <c r="O1792" i="1"/>
  <c r="N1793" i="1"/>
  <c r="O1793" i="1"/>
  <c r="N1794" i="1"/>
  <c r="O1794" i="1"/>
  <c r="N1795" i="1"/>
  <c r="O1795" i="1"/>
  <c r="N1796" i="1"/>
  <c r="O1796" i="1"/>
  <c r="N1797" i="1"/>
  <c r="O1797" i="1"/>
  <c r="N1798" i="1"/>
  <c r="O1798" i="1"/>
  <c r="N1799" i="1"/>
  <c r="O1799" i="1"/>
  <c r="N1800" i="1"/>
  <c r="O1800" i="1"/>
  <c r="N1801" i="1"/>
  <c r="O1801" i="1"/>
  <c r="N1802" i="1"/>
  <c r="O1802" i="1"/>
  <c r="N1803" i="1"/>
  <c r="O1803" i="1"/>
  <c r="N1804" i="1"/>
  <c r="O1804" i="1"/>
  <c r="N1805" i="1"/>
  <c r="O1805" i="1"/>
  <c r="N1806" i="1"/>
  <c r="O1806" i="1"/>
  <c r="N1807" i="1"/>
  <c r="O1807" i="1"/>
  <c r="N1808" i="1"/>
  <c r="O1808" i="1"/>
  <c r="N1809" i="1"/>
  <c r="O1809" i="1"/>
  <c r="N1810" i="1"/>
  <c r="O1810" i="1"/>
  <c r="N1811" i="1"/>
  <c r="O1811" i="1"/>
  <c r="N1812" i="1"/>
  <c r="O1812" i="1"/>
  <c r="N1813" i="1"/>
  <c r="O1813" i="1"/>
  <c r="N1814" i="1"/>
  <c r="O1814" i="1"/>
  <c r="N1815" i="1"/>
  <c r="O1815" i="1"/>
  <c r="N1816" i="1"/>
  <c r="O1816" i="1"/>
  <c r="N1817" i="1"/>
  <c r="O1817" i="1"/>
  <c r="N1818" i="1"/>
  <c r="O1818" i="1"/>
  <c r="N1819" i="1"/>
  <c r="O1819" i="1"/>
  <c r="N1820" i="1"/>
  <c r="O1820" i="1"/>
  <c r="N1821" i="1"/>
  <c r="O1821" i="1"/>
  <c r="N1822" i="1"/>
  <c r="O1822" i="1"/>
  <c r="N1823" i="1"/>
  <c r="O1823" i="1"/>
  <c r="N1824" i="1"/>
  <c r="O1824" i="1"/>
  <c r="N1825" i="1"/>
  <c r="O1825" i="1"/>
  <c r="N1826" i="1"/>
  <c r="O1826" i="1"/>
  <c r="N1827" i="1"/>
  <c r="O1827" i="1"/>
  <c r="N1828" i="1"/>
  <c r="O1828" i="1"/>
  <c r="N1829" i="1"/>
  <c r="O1829" i="1"/>
  <c r="N1830" i="1"/>
  <c r="O1830" i="1"/>
  <c r="N1831" i="1"/>
  <c r="O1831" i="1"/>
  <c r="N1832" i="1"/>
  <c r="O1832" i="1"/>
  <c r="N1833" i="1"/>
  <c r="O1833" i="1"/>
  <c r="N1834" i="1"/>
  <c r="O1834" i="1"/>
  <c r="N1835" i="1"/>
  <c r="O1835" i="1"/>
  <c r="N1836" i="1"/>
  <c r="O1836" i="1"/>
  <c r="N1837" i="1"/>
  <c r="O1837" i="1"/>
  <c r="N1838" i="1"/>
  <c r="O1838" i="1"/>
  <c r="N1839" i="1"/>
  <c r="O1839" i="1"/>
  <c r="N1840" i="1"/>
  <c r="O1840" i="1"/>
  <c r="N1841" i="1"/>
  <c r="O1841" i="1"/>
  <c r="N1842" i="1"/>
  <c r="O1842" i="1"/>
  <c r="N1843" i="1"/>
  <c r="O1843" i="1"/>
  <c r="N1844" i="1"/>
  <c r="O1844" i="1"/>
  <c r="N1845" i="1"/>
  <c r="O1845" i="1"/>
  <c r="N1846" i="1"/>
  <c r="O1846" i="1"/>
  <c r="N1847" i="1"/>
  <c r="O1847" i="1"/>
  <c r="N1848" i="1"/>
  <c r="O1848" i="1"/>
  <c r="N1849" i="1"/>
  <c r="O1849" i="1"/>
  <c r="N1850" i="1"/>
  <c r="O1850" i="1"/>
  <c r="N1851" i="1"/>
  <c r="O1851" i="1"/>
  <c r="N1852" i="1"/>
  <c r="O1852" i="1"/>
  <c r="N1853" i="1"/>
  <c r="O1853" i="1"/>
  <c r="N1854" i="1"/>
  <c r="O1854" i="1"/>
  <c r="N1855" i="1"/>
  <c r="O1855" i="1"/>
  <c r="N1856" i="1"/>
  <c r="O1856" i="1"/>
  <c r="N1857" i="1"/>
  <c r="O1857" i="1"/>
  <c r="N1858" i="1"/>
  <c r="O1858" i="1"/>
  <c r="N1859" i="1"/>
  <c r="O1859" i="1"/>
  <c r="N1860" i="1"/>
  <c r="O1860" i="1"/>
  <c r="N1861" i="1"/>
  <c r="O1861" i="1"/>
  <c r="N1862" i="1"/>
  <c r="O1862" i="1"/>
  <c r="N1863" i="1"/>
  <c r="O1863" i="1"/>
  <c r="N1864" i="1"/>
  <c r="O1864" i="1"/>
  <c r="N1865" i="1"/>
  <c r="O1865" i="1"/>
  <c r="N1866" i="1"/>
  <c r="O1866" i="1"/>
  <c r="N1867" i="1"/>
  <c r="O1867" i="1"/>
  <c r="N1868" i="1"/>
  <c r="O1868" i="1"/>
  <c r="N1869" i="1"/>
  <c r="O1869" i="1"/>
  <c r="N1870" i="1"/>
  <c r="O1870" i="1"/>
  <c r="N1871" i="1"/>
  <c r="O1871" i="1"/>
  <c r="N1872" i="1"/>
  <c r="O1872" i="1"/>
  <c r="N1873" i="1"/>
  <c r="O1873" i="1"/>
  <c r="N1874" i="1"/>
  <c r="O1874" i="1"/>
  <c r="N1875" i="1"/>
  <c r="O1875" i="1"/>
  <c r="N1876" i="1"/>
  <c r="O1876" i="1"/>
  <c r="N1877" i="1"/>
  <c r="O1877" i="1"/>
  <c r="N1878" i="1"/>
  <c r="O1878" i="1"/>
  <c r="N1879" i="1"/>
  <c r="O1879" i="1"/>
  <c r="N1880" i="1"/>
  <c r="O1880" i="1"/>
  <c r="N1881" i="1"/>
  <c r="O1881" i="1"/>
  <c r="N1882" i="1"/>
  <c r="O1882" i="1"/>
  <c r="N1883" i="1"/>
  <c r="O1883" i="1"/>
  <c r="N1884" i="1"/>
  <c r="O1884" i="1"/>
  <c r="N1885" i="1"/>
  <c r="O1885" i="1"/>
  <c r="N1886" i="1"/>
  <c r="O1886" i="1"/>
  <c r="N1887" i="1"/>
  <c r="O1887" i="1"/>
  <c r="N1888" i="1"/>
  <c r="O1888" i="1"/>
  <c r="N1889" i="1"/>
  <c r="O1889" i="1"/>
  <c r="N1890" i="1"/>
  <c r="O1890" i="1"/>
  <c r="N1891" i="1"/>
  <c r="O1891" i="1"/>
  <c r="N1892" i="1"/>
  <c r="O1892" i="1"/>
  <c r="N1893" i="1"/>
  <c r="O1893" i="1"/>
  <c r="N1894" i="1"/>
  <c r="O1894" i="1"/>
  <c r="N1895" i="1"/>
  <c r="O1895" i="1"/>
  <c r="N1896" i="1"/>
  <c r="O1896" i="1"/>
  <c r="N1897" i="1"/>
  <c r="O1897" i="1"/>
  <c r="N1898" i="1"/>
  <c r="O1898" i="1"/>
  <c r="N1899" i="1"/>
  <c r="O1899" i="1"/>
  <c r="N1900" i="1"/>
  <c r="O1900" i="1"/>
  <c r="N1901" i="1"/>
  <c r="O1901" i="1"/>
  <c r="N1902" i="1"/>
  <c r="O1902" i="1"/>
  <c r="N1903" i="1"/>
  <c r="O1903" i="1"/>
  <c r="N1904" i="1"/>
  <c r="O1904" i="1"/>
  <c r="N1905" i="1"/>
  <c r="O1905" i="1"/>
  <c r="N1906" i="1"/>
  <c r="O1906" i="1"/>
  <c r="N1907" i="1"/>
  <c r="O1907" i="1"/>
  <c r="N1908" i="1"/>
  <c r="O1908" i="1"/>
  <c r="N1909" i="1"/>
  <c r="O1909" i="1"/>
  <c r="N1910" i="1"/>
  <c r="O1910" i="1"/>
  <c r="N1911" i="1"/>
  <c r="O1911" i="1"/>
  <c r="N1912" i="1"/>
  <c r="O1912" i="1"/>
  <c r="N1913" i="1"/>
  <c r="O1913" i="1"/>
  <c r="N1914" i="1"/>
  <c r="O1914" i="1"/>
  <c r="N1915" i="1"/>
  <c r="O1915" i="1"/>
  <c r="N1916" i="1"/>
  <c r="O1916" i="1"/>
  <c r="N1917" i="1"/>
  <c r="O1917" i="1"/>
  <c r="N1918" i="1"/>
  <c r="O1918" i="1"/>
  <c r="N1919" i="1"/>
  <c r="O1919" i="1"/>
  <c r="N1920" i="1"/>
  <c r="O1920" i="1"/>
  <c r="N1921" i="1"/>
  <c r="O1921" i="1"/>
  <c r="N1922" i="1"/>
  <c r="O1922" i="1"/>
  <c r="N1923" i="1"/>
  <c r="O1923" i="1"/>
  <c r="N1924" i="1"/>
  <c r="O1924" i="1"/>
  <c r="N1925" i="1"/>
  <c r="O1925" i="1"/>
  <c r="N1926" i="1"/>
  <c r="O1926" i="1"/>
  <c r="N1927" i="1"/>
  <c r="O1927" i="1"/>
  <c r="N1928" i="1"/>
  <c r="O1928" i="1"/>
  <c r="N1929" i="1"/>
  <c r="O1929" i="1"/>
  <c r="N1930" i="1"/>
  <c r="O1930" i="1"/>
  <c r="N1931" i="1"/>
  <c r="O1931" i="1"/>
  <c r="N1932" i="1"/>
  <c r="O1932" i="1"/>
  <c r="N1933" i="1"/>
  <c r="O1933" i="1"/>
  <c r="N1934" i="1"/>
  <c r="O1934" i="1"/>
  <c r="N1935" i="1"/>
  <c r="O1935" i="1"/>
  <c r="N1936" i="1"/>
  <c r="O1936" i="1"/>
  <c r="N1937" i="1"/>
  <c r="O1937" i="1"/>
  <c r="N1938" i="1"/>
  <c r="O1938" i="1"/>
  <c r="N1939" i="1"/>
  <c r="O1939" i="1"/>
  <c r="N1940" i="1"/>
  <c r="O1940" i="1"/>
  <c r="N1941" i="1"/>
  <c r="O1941" i="1"/>
  <c r="N1942" i="1"/>
  <c r="O1942" i="1"/>
  <c r="N1943" i="1"/>
  <c r="O1943" i="1"/>
  <c r="N1944" i="1"/>
  <c r="O1944" i="1"/>
  <c r="N1945" i="1"/>
  <c r="O1945" i="1"/>
  <c r="N1946" i="1"/>
  <c r="O1946" i="1"/>
  <c r="N1947" i="1"/>
  <c r="O1947" i="1"/>
  <c r="N1948" i="1"/>
  <c r="O1948" i="1"/>
  <c r="N1949" i="1"/>
  <c r="O1949" i="1"/>
  <c r="N1950" i="1"/>
  <c r="O1950" i="1"/>
  <c r="N1951" i="1"/>
  <c r="O1951" i="1"/>
  <c r="N1952" i="1"/>
  <c r="O1952" i="1"/>
  <c r="N1953" i="1"/>
  <c r="O1953" i="1"/>
  <c r="N1954" i="1"/>
  <c r="O1954" i="1"/>
  <c r="N1955" i="1"/>
  <c r="O1955" i="1"/>
  <c r="N1956" i="1"/>
  <c r="O1956" i="1"/>
  <c r="N1957" i="1"/>
  <c r="O1957" i="1"/>
  <c r="N1958" i="1"/>
  <c r="O1958" i="1"/>
  <c r="N1959" i="1"/>
  <c r="O1959" i="1"/>
  <c r="N1960" i="1"/>
  <c r="O1960" i="1"/>
  <c r="N1961" i="1"/>
  <c r="O1961" i="1"/>
  <c r="N1962" i="1"/>
  <c r="O1962" i="1"/>
  <c r="N1963" i="1"/>
  <c r="O1963" i="1"/>
  <c r="N1964" i="1"/>
  <c r="O1964" i="1"/>
  <c r="N1965" i="1"/>
  <c r="O1965" i="1"/>
  <c r="N1966" i="1"/>
  <c r="O1966" i="1"/>
  <c r="N1967" i="1"/>
  <c r="O1967" i="1"/>
  <c r="N1968" i="1"/>
  <c r="O1968" i="1"/>
  <c r="N1969" i="1"/>
  <c r="O1969" i="1"/>
  <c r="N1970" i="1"/>
  <c r="O1970" i="1"/>
  <c r="N1971" i="1"/>
  <c r="O1971" i="1"/>
  <c r="N1972" i="1"/>
  <c r="O1972" i="1"/>
  <c r="N1973" i="1"/>
  <c r="O1973" i="1"/>
  <c r="N1974" i="1"/>
  <c r="O1974" i="1"/>
  <c r="N1975" i="1"/>
  <c r="O1975" i="1"/>
  <c r="N1976" i="1"/>
  <c r="O1976" i="1"/>
  <c r="N1977" i="1"/>
  <c r="O1977" i="1"/>
  <c r="N1978" i="1"/>
  <c r="O1978" i="1"/>
  <c r="N1979" i="1"/>
  <c r="O1979" i="1"/>
  <c r="N1980" i="1"/>
  <c r="O1980" i="1"/>
  <c r="N1981" i="1"/>
  <c r="O1981" i="1"/>
  <c r="N1982" i="1"/>
  <c r="O1982" i="1"/>
  <c r="N1983" i="1"/>
  <c r="O1983" i="1"/>
  <c r="N1984" i="1"/>
  <c r="O1984" i="1"/>
  <c r="N1985" i="1"/>
  <c r="O1985" i="1"/>
  <c r="N1986" i="1"/>
  <c r="O1986" i="1"/>
  <c r="N1987" i="1"/>
  <c r="O1987" i="1"/>
  <c r="N1988" i="1"/>
  <c r="O1988" i="1"/>
  <c r="N1989" i="1"/>
  <c r="O1989" i="1"/>
  <c r="N1990" i="1"/>
  <c r="O1990" i="1"/>
  <c r="N1991" i="1"/>
  <c r="O1991" i="1"/>
  <c r="N1992" i="1"/>
  <c r="O1992" i="1"/>
  <c r="N1993" i="1"/>
  <c r="O1993" i="1"/>
  <c r="N1994" i="1"/>
  <c r="O1994" i="1"/>
  <c r="N1995" i="1"/>
  <c r="O1995" i="1"/>
  <c r="N1996" i="1"/>
  <c r="O1996" i="1"/>
  <c r="N1997" i="1"/>
  <c r="O1997" i="1"/>
  <c r="N1998" i="1"/>
  <c r="O1998" i="1"/>
  <c r="N1999" i="1"/>
  <c r="O1999" i="1"/>
  <c r="N2000" i="1"/>
  <c r="O2000" i="1"/>
  <c r="N2001" i="1"/>
  <c r="O2001" i="1"/>
  <c r="N2002" i="1"/>
  <c r="O2002" i="1"/>
  <c r="N2003" i="1"/>
  <c r="O2003" i="1"/>
  <c r="N2004" i="1"/>
  <c r="O2004" i="1"/>
  <c r="N2005" i="1"/>
  <c r="O2005" i="1"/>
  <c r="N2006" i="1"/>
  <c r="O2006" i="1"/>
  <c r="N2007" i="1"/>
  <c r="O2007" i="1"/>
  <c r="N2008" i="1"/>
  <c r="O2008" i="1"/>
  <c r="N2009" i="1"/>
  <c r="O2009" i="1"/>
  <c r="N2010" i="1"/>
  <c r="O2010" i="1"/>
  <c r="N2011" i="1"/>
  <c r="O2011" i="1"/>
  <c r="N2012" i="1"/>
  <c r="O2012" i="1"/>
  <c r="N2013" i="1"/>
  <c r="O2013" i="1"/>
  <c r="N2014" i="1"/>
  <c r="O2014" i="1"/>
  <c r="N2015" i="1"/>
  <c r="O2015" i="1"/>
  <c r="N2016" i="1"/>
  <c r="O2016" i="1"/>
  <c r="N2017" i="1"/>
  <c r="O2017" i="1"/>
  <c r="N2018" i="1"/>
  <c r="O2018" i="1"/>
  <c r="N2019" i="1"/>
  <c r="O2019" i="1"/>
  <c r="N2020" i="1"/>
  <c r="O2020" i="1"/>
  <c r="N2021" i="1"/>
  <c r="O2021" i="1"/>
  <c r="N2022" i="1"/>
  <c r="O2022" i="1"/>
  <c r="N2023" i="1"/>
  <c r="O2023" i="1"/>
  <c r="N2024" i="1"/>
  <c r="O2024" i="1"/>
  <c r="N2025" i="1"/>
  <c r="O2025" i="1"/>
  <c r="N2026" i="1"/>
  <c r="O2026" i="1"/>
  <c r="N2027" i="1"/>
  <c r="O2027" i="1"/>
  <c r="N2028" i="1"/>
  <c r="O2028" i="1"/>
  <c r="N2029" i="1"/>
  <c r="O2029" i="1"/>
  <c r="N2030" i="1"/>
  <c r="O2030" i="1"/>
  <c r="N2031" i="1"/>
  <c r="O2031" i="1"/>
  <c r="N2032" i="1"/>
  <c r="O2032" i="1"/>
  <c r="N2033" i="1"/>
  <c r="O2033" i="1"/>
  <c r="N2034" i="1"/>
  <c r="O2034" i="1"/>
  <c r="N2035" i="1"/>
  <c r="O2035" i="1"/>
  <c r="N2036" i="1"/>
  <c r="O2036" i="1"/>
  <c r="N2037" i="1"/>
  <c r="O2037" i="1"/>
  <c r="N2038" i="1"/>
  <c r="O2038" i="1"/>
  <c r="N2039" i="1"/>
  <c r="O2039" i="1"/>
  <c r="N2040" i="1"/>
  <c r="O2040" i="1"/>
  <c r="N2041" i="1"/>
  <c r="O2041" i="1"/>
  <c r="N2042" i="1"/>
  <c r="O2042" i="1"/>
  <c r="N2043" i="1"/>
  <c r="O2043" i="1"/>
  <c r="N2044" i="1"/>
  <c r="O2044" i="1"/>
  <c r="N2045" i="1"/>
  <c r="O2045" i="1"/>
  <c r="N2046" i="1"/>
  <c r="O2046" i="1"/>
  <c r="N2047" i="1"/>
  <c r="O2047" i="1"/>
  <c r="N2048" i="1"/>
  <c r="O2048" i="1"/>
  <c r="N2049" i="1"/>
  <c r="O2049" i="1"/>
  <c r="N2050" i="1"/>
  <c r="O2050" i="1"/>
  <c r="N2051" i="1"/>
  <c r="O2051" i="1"/>
  <c r="N2052" i="1"/>
  <c r="O2052" i="1"/>
  <c r="N2053" i="1"/>
  <c r="O2053" i="1"/>
  <c r="N2054" i="1"/>
  <c r="O2054" i="1"/>
  <c r="N2055" i="1"/>
  <c r="O2055" i="1"/>
  <c r="N2056" i="1"/>
  <c r="O2056" i="1"/>
  <c r="N2057" i="1"/>
  <c r="O2057" i="1"/>
  <c r="N2058" i="1"/>
  <c r="O2058" i="1"/>
  <c r="N2059" i="1"/>
  <c r="O2059" i="1"/>
  <c r="N2060" i="1"/>
  <c r="O2060" i="1"/>
  <c r="N2061" i="1"/>
  <c r="O2061" i="1"/>
  <c r="N2062" i="1"/>
  <c r="O2062" i="1"/>
  <c r="N2063" i="1"/>
  <c r="O2063" i="1"/>
  <c r="N2064" i="1"/>
  <c r="O2064" i="1"/>
  <c r="N2065" i="1"/>
  <c r="O2065" i="1"/>
  <c r="N2066" i="1"/>
  <c r="O2066" i="1"/>
  <c r="N2067" i="1"/>
  <c r="O2067" i="1"/>
  <c r="N2068" i="1"/>
  <c r="O2068" i="1"/>
  <c r="N2069" i="1"/>
  <c r="O2069" i="1"/>
  <c r="N2070" i="1"/>
  <c r="O2070" i="1"/>
  <c r="N2071" i="1"/>
  <c r="O2071" i="1"/>
  <c r="N2072" i="1"/>
  <c r="O2072" i="1"/>
  <c r="N2073" i="1"/>
  <c r="O2073" i="1"/>
  <c r="N2074" i="1"/>
  <c r="O2074" i="1"/>
  <c r="N2075" i="1"/>
  <c r="O2075" i="1"/>
  <c r="N2076" i="1"/>
  <c r="O2076" i="1"/>
  <c r="N2077" i="1"/>
  <c r="O2077" i="1"/>
  <c r="N2078" i="1"/>
  <c r="O2078" i="1"/>
  <c r="N2079" i="1"/>
  <c r="O2079" i="1"/>
  <c r="N2080" i="1"/>
  <c r="O2080" i="1"/>
  <c r="N2081" i="1"/>
  <c r="O2081" i="1"/>
  <c r="N2082" i="1"/>
  <c r="O2082" i="1"/>
  <c r="N2083" i="1"/>
  <c r="O2083" i="1"/>
  <c r="N2084" i="1"/>
  <c r="O2084" i="1"/>
  <c r="N2085" i="1"/>
  <c r="O2085" i="1"/>
  <c r="N2086" i="1"/>
  <c r="O2086" i="1"/>
  <c r="N2087" i="1"/>
  <c r="O2087" i="1"/>
  <c r="N2088" i="1"/>
  <c r="O2088" i="1"/>
  <c r="N2089" i="1"/>
  <c r="O2089" i="1"/>
  <c r="N2090" i="1"/>
  <c r="O2090" i="1"/>
  <c r="N2091" i="1"/>
  <c r="O2091" i="1"/>
  <c r="N2092" i="1"/>
  <c r="O2092" i="1"/>
  <c r="N2093" i="1"/>
  <c r="O2093" i="1"/>
  <c r="N2094" i="1"/>
  <c r="O2094" i="1"/>
  <c r="N2095" i="1"/>
  <c r="O2095" i="1"/>
  <c r="N2096" i="1"/>
  <c r="O2096" i="1"/>
  <c r="N2097" i="1"/>
  <c r="O2097" i="1"/>
  <c r="N2098" i="1"/>
  <c r="O2098" i="1"/>
  <c r="N2099" i="1"/>
  <c r="O2099" i="1"/>
  <c r="N2100" i="1"/>
  <c r="O2100" i="1"/>
  <c r="N2101" i="1"/>
  <c r="O2101" i="1"/>
  <c r="N2102" i="1"/>
  <c r="O2102" i="1"/>
  <c r="N2103" i="1"/>
  <c r="O2103" i="1"/>
  <c r="N2104" i="1"/>
  <c r="O2104" i="1"/>
  <c r="N2105" i="1"/>
  <c r="O2105" i="1"/>
  <c r="N2106" i="1"/>
  <c r="O2106" i="1"/>
  <c r="N2107" i="1"/>
  <c r="O2107" i="1"/>
  <c r="N2108" i="1"/>
  <c r="O2108" i="1"/>
  <c r="N2109" i="1"/>
  <c r="O2109" i="1"/>
  <c r="N2110" i="1"/>
  <c r="O2110" i="1"/>
  <c r="N2111" i="1"/>
  <c r="O2111" i="1"/>
  <c r="N2112" i="1"/>
  <c r="O2112" i="1"/>
  <c r="N2113" i="1"/>
  <c r="O2113" i="1"/>
  <c r="N2114" i="1"/>
  <c r="O2114" i="1"/>
  <c r="N2115" i="1"/>
  <c r="O2115" i="1"/>
  <c r="N2116" i="1"/>
  <c r="O2116" i="1"/>
  <c r="N2117" i="1"/>
  <c r="O2117" i="1"/>
  <c r="N2118" i="1"/>
  <c r="O2118" i="1"/>
  <c r="N2119" i="1"/>
  <c r="O2119" i="1"/>
  <c r="N2120" i="1"/>
  <c r="O2120" i="1"/>
  <c r="N2121" i="1"/>
  <c r="O2121" i="1"/>
  <c r="N2122" i="1"/>
  <c r="O2122" i="1"/>
  <c r="N2123" i="1"/>
  <c r="O2123" i="1"/>
  <c r="N2124" i="1"/>
  <c r="O2124" i="1"/>
  <c r="N2125" i="1"/>
  <c r="O2125" i="1"/>
  <c r="N2126" i="1"/>
  <c r="O2126" i="1"/>
  <c r="N2127" i="1"/>
  <c r="O2127" i="1"/>
  <c r="N2128" i="1"/>
  <c r="O2128" i="1"/>
  <c r="N2129" i="1"/>
  <c r="O2129" i="1"/>
  <c r="N2130" i="1"/>
  <c r="O2130" i="1"/>
  <c r="N2131" i="1"/>
  <c r="O2131" i="1"/>
  <c r="N2132" i="1"/>
  <c r="O2132" i="1"/>
  <c r="N2133" i="1"/>
  <c r="O2133" i="1"/>
  <c r="N2134" i="1"/>
  <c r="O2134" i="1"/>
  <c r="N2135" i="1"/>
  <c r="O2135" i="1"/>
  <c r="N2136" i="1"/>
  <c r="O2136" i="1"/>
  <c r="N2137" i="1"/>
  <c r="O2137" i="1"/>
  <c r="N2138" i="1"/>
  <c r="O2138" i="1"/>
  <c r="N2139" i="1"/>
  <c r="O2139" i="1"/>
  <c r="N2140" i="1"/>
  <c r="O2140" i="1"/>
  <c r="N2141" i="1"/>
  <c r="O2141" i="1"/>
  <c r="N2142" i="1"/>
  <c r="O2142" i="1"/>
  <c r="N2143" i="1"/>
  <c r="O2143" i="1"/>
  <c r="N2144" i="1"/>
  <c r="O2144" i="1"/>
  <c r="N2145" i="1"/>
  <c r="O2145" i="1"/>
  <c r="N2146" i="1"/>
  <c r="O2146" i="1"/>
  <c r="N2147" i="1"/>
  <c r="O2147" i="1"/>
  <c r="N2148" i="1"/>
  <c r="O2148" i="1"/>
  <c r="N2149" i="1"/>
  <c r="O2149" i="1"/>
  <c r="N2150" i="1"/>
  <c r="O2150" i="1"/>
  <c r="N2151" i="1"/>
  <c r="O2151" i="1"/>
  <c r="N2152" i="1"/>
  <c r="O2152" i="1"/>
  <c r="N2153" i="1"/>
  <c r="O2153" i="1"/>
  <c r="N2154" i="1"/>
  <c r="O2154" i="1"/>
  <c r="N2155" i="1"/>
  <c r="O2155" i="1"/>
  <c r="N2156" i="1"/>
  <c r="O2156" i="1"/>
  <c r="N2157" i="1"/>
  <c r="O2157" i="1"/>
  <c r="N2158" i="1"/>
  <c r="O2158" i="1"/>
  <c r="N2159" i="1"/>
  <c r="O2159" i="1"/>
  <c r="N2160" i="1"/>
  <c r="O2160" i="1"/>
  <c r="N2161" i="1"/>
  <c r="O2161" i="1"/>
  <c r="N2162" i="1"/>
  <c r="O2162" i="1"/>
  <c r="N2163" i="1"/>
  <c r="O2163" i="1"/>
  <c r="N2164" i="1"/>
  <c r="O2164" i="1"/>
  <c r="N2165" i="1"/>
  <c r="O2165" i="1"/>
  <c r="N2166" i="1"/>
  <c r="O2166" i="1"/>
  <c r="N2167" i="1"/>
  <c r="O2167" i="1"/>
  <c r="N2168" i="1"/>
  <c r="O2168" i="1"/>
  <c r="N2169" i="1"/>
  <c r="O2169" i="1"/>
  <c r="N2170" i="1"/>
  <c r="O2170" i="1"/>
  <c r="N2171" i="1"/>
  <c r="O2171" i="1"/>
  <c r="N2172" i="1"/>
  <c r="O2172" i="1"/>
  <c r="N2173" i="1"/>
  <c r="O2173" i="1"/>
  <c r="N2174" i="1"/>
  <c r="O2174" i="1"/>
  <c r="N2175" i="1"/>
  <c r="O2175" i="1"/>
  <c r="N2176" i="1"/>
  <c r="O2176" i="1"/>
  <c r="N2177" i="1"/>
  <c r="O2177" i="1"/>
  <c r="N2178" i="1"/>
  <c r="O2178" i="1"/>
  <c r="N2179" i="1"/>
  <c r="O2179" i="1"/>
  <c r="N2180" i="1"/>
  <c r="O2180" i="1"/>
  <c r="N2181" i="1"/>
  <c r="O2181" i="1"/>
  <c r="N2182" i="1"/>
  <c r="O2182" i="1"/>
  <c r="N2183" i="1"/>
  <c r="O2183" i="1"/>
  <c r="N2184" i="1"/>
  <c r="O2184" i="1"/>
  <c r="N2185" i="1"/>
  <c r="O2185" i="1"/>
  <c r="N2186" i="1"/>
  <c r="O2186" i="1"/>
  <c r="N2187" i="1"/>
  <c r="O2187" i="1"/>
  <c r="N2188" i="1"/>
  <c r="O2188" i="1"/>
  <c r="N2189" i="1"/>
  <c r="O2189" i="1"/>
  <c r="N2190" i="1"/>
  <c r="O2190" i="1"/>
  <c r="N2191" i="1"/>
  <c r="O2191" i="1"/>
  <c r="N2192" i="1"/>
  <c r="O2192" i="1"/>
  <c r="N2193" i="1"/>
  <c r="O2193" i="1"/>
  <c r="N2194" i="1"/>
  <c r="O2194" i="1"/>
  <c r="N2195" i="1"/>
  <c r="O2195" i="1"/>
  <c r="N2196" i="1"/>
  <c r="O2196" i="1"/>
  <c r="N2197" i="1"/>
  <c r="O2197" i="1"/>
  <c r="N2198" i="1"/>
  <c r="O2198" i="1"/>
  <c r="N2199" i="1"/>
  <c r="O2199" i="1"/>
  <c r="N2200" i="1"/>
  <c r="O2200" i="1"/>
  <c r="N2201" i="1"/>
  <c r="O2201" i="1"/>
  <c r="N2202" i="1"/>
  <c r="O2202" i="1"/>
  <c r="N2203" i="1"/>
  <c r="O2203" i="1"/>
  <c r="N2204" i="1"/>
  <c r="O2204" i="1"/>
  <c r="N2205" i="1"/>
  <c r="O2205" i="1"/>
  <c r="N2206" i="1"/>
  <c r="O2206" i="1"/>
  <c r="N2207" i="1"/>
  <c r="O2207" i="1"/>
  <c r="N2208" i="1"/>
  <c r="O2208" i="1"/>
  <c r="N2209" i="1"/>
  <c r="O2209" i="1"/>
  <c r="N2210" i="1"/>
  <c r="O2210" i="1"/>
  <c r="N2211" i="1"/>
  <c r="O2211" i="1"/>
  <c r="N2212" i="1"/>
  <c r="O2212" i="1"/>
  <c r="N2213" i="1"/>
  <c r="O2213" i="1"/>
  <c r="N2214" i="1"/>
  <c r="O2214" i="1"/>
  <c r="N2215" i="1"/>
  <c r="O2215" i="1"/>
  <c r="N2216" i="1"/>
  <c r="O2216" i="1"/>
  <c r="N2217" i="1"/>
  <c r="O2217" i="1"/>
  <c r="N2218" i="1"/>
  <c r="O2218" i="1"/>
  <c r="N2219" i="1"/>
  <c r="O2219" i="1"/>
  <c r="N2220" i="1"/>
  <c r="O2220" i="1"/>
  <c r="N2221" i="1"/>
  <c r="O2221" i="1"/>
  <c r="N2222" i="1"/>
  <c r="O2222" i="1"/>
  <c r="N2223" i="1"/>
  <c r="O2223" i="1"/>
  <c r="N2224" i="1"/>
  <c r="O2224" i="1"/>
  <c r="N2225" i="1"/>
  <c r="O2225" i="1"/>
  <c r="N2226" i="1"/>
  <c r="O2226" i="1"/>
  <c r="N2227" i="1"/>
  <c r="O2227" i="1"/>
  <c r="N2228" i="1"/>
  <c r="O2228" i="1"/>
  <c r="N2229" i="1"/>
  <c r="O2229" i="1"/>
  <c r="N2230" i="1"/>
  <c r="O2230" i="1"/>
  <c r="N2231" i="1"/>
  <c r="O2231" i="1"/>
  <c r="N2232" i="1"/>
  <c r="O2232" i="1"/>
  <c r="N2233" i="1"/>
  <c r="O2233" i="1"/>
  <c r="N2234" i="1"/>
  <c r="O2234" i="1"/>
  <c r="N2235" i="1"/>
  <c r="O2235" i="1"/>
  <c r="N2236" i="1"/>
  <c r="O2236" i="1"/>
  <c r="N2237" i="1"/>
  <c r="O2237" i="1"/>
  <c r="N2238" i="1"/>
  <c r="O2238" i="1"/>
  <c r="N2239" i="1"/>
  <c r="O2239" i="1"/>
  <c r="N2240" i="1"/>
  <c r="O2240" i="1"/>
  <c r="N2241" i="1"/>
  <c r="O2241" i="1"/>
  <c r="N2242" i="1"/>
  <c r="O2242" i="1"/>
  <c r="N2243" i="1"/>
  <c r="O2243" i="1"/>
  <c r="N2244" i="1"/>
  <c r="O2244" i="1"/>
  <c r="N2245" i="1"/>
  <c r="O2245" i="1"/>
  <c r="N2246" i="1"/>
  <c r="O2246" i="1"/>
  <c r="N2247" i="1"/>
  <c r="O2247" i="1"/>
  <c r="N2248" i="1"/>
  <c r="O2248" i="1"/>
  <c r="N2249" i="1"/>
  <c r="O2249" i="1"/>
  <c r="N2250" i="1"/>
  <c r="O2250" i="1"/>
  <c r="N2251" i="1"/>
  <c r="O2251" i="1"/>
  <c r="N2252" i="1"/>
  <c r="O2252" i="1"/>
  <c r="N2253" i="1"/>
  <c r="O2253" i="1"/>
  <c r="N2254" i="1"/>
  <c r="O2254" i="1"/>
  <c r="N2255" i="1"/>
  <c r="O2255" i="1"/>
  <c r="N2256" i="1"/>
  <c r="O2256" i="1"/>
  <c r="N2257" i="1"/>
  <c r="O2257" i="1"/>
  <c r="N2258" i="1"/>
  <c r="O2258" i="1"/>
  <c r="N2259" i="1"/>
  <c r="O2259" i="1"/>
  <c r="N2260" i="1"/>
  <c r="O2260" i="1"/>
  <c r="N2261" i="1"/>
  <c r="O2261" i="1"/>
  <c r="N2262" i="1"/>
  <c r="O2262" i="1"/>
  <c r="N2263" i="1"/>
  <c r="O2263" i="1"/>
  <c r="N2264" i="1"/>
  <c r="O2264" i="1"/>
  <c r="N2265" i="1"/>
  <c r="O2265" i="1"/>
  <c r="N2266" i="1"/>
  <c r="O2266" i="1"/>
  <c r="N2267" i="1"/>
  <c r="O2267" i="1"/>
  <c r="N2268" i="1"/>
  <c r="O2268" i="1"/>
  <c r="N2269" i="1"/>
  <c r="O2269" i="1"/>
  <c r="N2270" i="1"/>
  <c r="O2270" i="1"/>
  <c r="N2271" i="1"/>
  <c r="O2271" i="1"/>
  <c r="N2272" i="1"/>
  <c r="O2272" i="1"/>
  <c r="N2273" i="1"/>
  <c r="O2273" i="1"/>
  <c r="N2274" i="1"/>
  <c r="O2274" i="1"/>
  <c r="N2275" i="1"/>
  <c r="O2275" i="1"/>
  <c r="N2276" i="1"/>
  <c r="O2276" i="1"/>
  <c r="N2277" i="1"/>
  <c r="O2277" i="1"/>
  <c r="N2278" i="1"/>
  <c r="O2278" i="1"/>
  <c r="N2279" i="1"/>
  <c r="O2279" i="1"/>
  <c r="N2280" i="1"/>
  <c r="O2280" i="1"/>
  <c r="N2281" i="1"/>
  <c r="O2281" i="1"/>
  <c r="N2282" i="1"/>
  <c r="O2282" i="1"/>
  <c r="N2283" i="1"/>
  <c r="O2283" i="1"/>
  <c r="N2284" i="1"/>
  <c r="O2284" i="1"/>
  <c r="N2285" i="1"/>
  <c r="O2285" i="1"/>
  <c r="N2286" i="1"/>
  <c r="O2286" i="1"/>
  <c r="N2287" i="1"/>
  <c r="O2287" i="1"/>
  <c r="N2288" i="1"/>
  <c r="O2288" i="1"/>
  <c r="N2289" i="1"/>
  <c r="O2289" i="1"/>
  <c r="N2290" i="1"/>
  <c r="O2290" i="1"/>
  <c r="N2291" i="1"/>
  <c r="O2291" i="1"/>
  <c r="N2292" i="1"/>
  <c r="O2292" i="1"/>
  <c r="N2293" i="1"/>
  <c r="O2293" i="1"/>
  <c r="N2294" i="1"/>
  <c r="O2294" i="1"/>
  <c r="N2295" i="1"/>
  <c r="O2295" i="1"/>
  <c r="N2296" i="1"/>
  <c r="O2296" i="1"/>
  <c r="N2297" i="1"/>
  <c r="O2297" i="1"/>
  <c r="N2298" i="1"/>
  <c r="O2298" i="1"/>
  <c r="N2299" i="1"/>
  <c r="O2299" i="1"/>
  <c r="N2300" i="1"/>
  <c r="O2300" i="1"/>
  <c r="N2301" i="1"/>
  <c r="O2301" i="1"/>
  <c r="N2302" i="1"/>
  <c r="O2302" i="1"/>
  <c r="N2303" i="1"/>
  <c r="O2303" i="1"/>
  <c r="N2304" i="1"/>
  <c r="O2304" i="1"/>
  <c r="N2305" i="1"/>
  <c r="O2305" i="1"/>
  <c r="N2306" i="1"/>
  <c r="O2306" i="1"/>
  <c r="N2307" i="1"/>
  <c r="O2307" i="1"/>
  <c r="N2308" i="1"/>
  <c r="O2308" i="1"/>
  <c r="N2309" i="1"/>
  <c r="O2309" i="1"/>
  <c r="N2310" i="1"/>
  <c r="O2310" i="1"/>
  <c r="N2311" i="1"/>
  <c r="O2311" i="1"/>
  <c r="N2312" i="1"/>
  <c r="O2312" i="1"/>
  <c r="N2313" i="1"/>
  <c r="O2313" i="1"/>
  <c r="N2314" i="1"/>
  <c r="O2314" i="1"/>
  <c r="N2315" i="1"/>
  <c r="O2315" i="1"/>
  <c r="N2316" i="1"/>
  <c r="O2316" i="1"/>
  <c r="N2317" i="1"/>
  <c r="O2317" i="1"/>
  <c r="N2318" i="1"/>
  <c r="O2318" i="1"/>
  <c r="N2319" i="1"/>
  <c r="O2319" i="1"/>
  <c r="N2320" i="1"/>
  <c r="O2320" i="1"/>
  <c r="N2321" i="1"/>
  <c r="O2321" i="1"/>
  <c r="N2322" i="1"/>
  <c r="O2322" i="1"/>
  <c r="N2323" i="1"/>
  <c r="O2323" i="1"/>
  <c r="N2324" i="1"/>
  <c r="O2324" i="1"/>
  <c r="N2325" i="1"/>
  <c r="O2325" i="1"/>
  <c r="N2326" i="1"/>
  <c r="O2326" i="1"/>
  <c r="N2327" i="1"/>
  <c r="O2327" i="1"/>
  <c r="N2328" i="1"/>
  <c r="O2328" i="1"/>
  <c r="N2329" i="1"/>
  <c r="O2329" i="1"/>
  <c r="N2330" i="1"/>
  <c r="O2330" i="1"/>
  <c r="N2331" i="1"/>
  <c r="O2331" i="1"/>
  <c r="N2332" i="1"/>
  <c r="O2332" i="1"/>
  <c r="N2333" i="1"/>
  <c r="O2333" i="1"/>
  <c r="N2334" i="1"/>
  <c r="O2334" i="1"/>
  <c r="N2335" i="1"/>
  <c r="O2335" i="1"/>
  <c r="N2336" i="1"/>
  <c r="O2336" i="1"/>
  <c r="N2337" i="1"/>
  <c r="O2337" i="1"/>
  <c r="N2338" i="1"/>
  <c r="O2338" i="1"/>
  <c r="N2339" i="1"/>
  <c r="O2339" i="1"/>
  <c r="N2340" i="1"/>
  <c r="O2340" i="1"/>
  <c r="N2341" i="1"/>
  <c r="O2341" i="1"/>
  <c r="N2342" i="1"/>
  <c r="O2342" i="1"/>
  <c r="N2343" i="1"/>
  <c r="O2343" i="1"/>
  <c r="N2344" i="1"/>
  <c r="O2344" i="1"/>
  <c r="N2345" i="1"/>
  <c r="O2345" i="1"/>
  <c r="N2346" i="1"/>
  <c r="O2346" i="1"/>
  <c r="N2347" i="1"/>
  <c r="O2347" i="1"/>
  <c r="N2348" i="1"/>
  <c r="O2348" i="1"/>
  <c r="N2349" i="1"/>
  <c r="O2349" i="1"/>
  <c r="N2350" i="1"/>
  <c r="O2350" i="1"/>
  <c r="N2351" i="1"/>
  <c r="O2351" i="1"/>
  <c r="N2352" i="1"/>
  <c r="O2352" i="1"/>
  <c r="N2353" i="1"/>
  <c r="O2353" i="1"/>
  <c r="N2354" i="1"/>
  <c r="O2354" i="1"/>
  <c r="N2355" i="1"/>
  <c r="O2355" i="1"/>
  <c r="N2356" i="1"/>
  <c r="O2356" i="1"/>
  <c r="N2357" i="1"/>
  <c r="O2357" i="1"/>
  <c r="N2358" i="1"/>
  <c r="O2358" i="1"/>
  <c r="N2359" i="1"/>
  <c r="O2359" i="1"/>
  <c r="N2360" i="1"/>
  <c r="O2360" i="1"/>
  <c r="N2361" i="1"/>
  <c r="O2361" i="1"/>
  <c r="N2362" i="1"/>
  <c r="O2362" i="1"/>
  <c r="N2363" i="1"/>
  <c r="O2363" i="1"/>
  <c r="N2364" i="1"/>
  <c r="O2364" i="1"/>
  <c r="N2365" i="1"/>
  <c r="O2365" i="1"/>
  <c r="N2366" i="1"/>
  <c r="O2366" i="1"/>
  <c r="N2367" i="1"/>
  <c r="O2367" i="1"/>
  <c r="N2368" i="1"/>
  <c r="O2368" i="1"/>
  <c r="N2369" i="1"/>
  <c r="O2369" i="1"/>
  <c r="N2370" i="1"/>
  <c r="O2370" i="1"/>
  <c r="N2371" i="1"/>
  <c r="O2371" i="1"/>
  <c r="N2372" i="1"/>
  <c r="O2372" i="1"/>
  <c r="N2373" i="1"/>
  <c r="O2373" i="1"/>
  <c r="N2374" i="1"/>
  <c r="O2374" i="1"/>
  <c r="N2375" i="1"/>
  <c r="O2375" i="1"/>
  <c r="N2376" i="1"/>
  <c r="O2376" i="1"/>
  <c r="N2377" i="1"/>
  <c r="O2377" i="1"/>
  <c r="N2378" i="1"/>
  <c r="O2378" i="1"/>
  <c r="N2379" i="1"/>
  <c r="O2379" i="1"/>
  <c r="N2380" i="1"/>
  <c r="O2380" i="1"/>
  <c r="N2381" i="1"/>
  <c r="O2381" i="1"/>
  <c r="N2382" i="1"/>
  <c r="O2382" i="1"/>
  <c r="N2383" i="1"/>
  <c r="O2383" i="1"/>
  <c r="N2384" i="1"/>
  <c r="O2384" i="1"/>
  <c r="N2385" i="1"/>
  <c r="O2385" i="1"/>
  <c r="N2386" i="1"/>
  <c r="O2386" i="1"/>
  <c r="N2387" i="1"/>
  <c r="O2387" i="1"/>
  <c r="N2388" i="1"/>
  <c r="O2388" i="1"/>
  <c r="N2389" i="1"/>
  <c r="O2389" i="1"/>
  <c r="N2390" i="1"/>
  <c r="O2390" i="1"/>
  <c r="N2391" i="1"/>
  <c r="O2391" i="1"/>
  <c r="N2392" i="1"/>
  <c r="O2392" i="1"/>
  <c r="N2393" i="1"/>
  <c r="O2393" i="1"/>
  <c r="N2394" i="1"/>
  <c r="O2394" i="1"/>
  <c r="N2395" i="1"/>
  <c r="O2395" i="1"/>
  <c r="N2396" i="1"/>
  <c r="O2396" i="1"/>
  <c r="N2397" i="1"/>
  <c r="O2397" i="1"/>
  <c r="N2398" i="1"/>
  <c r="O2398" i="1"/>
  <c r="N2399" i="1"/>
  <c r="O2399" i="1"/>
  <c r="N2400" i="1"/>
  <c r="O2400" i="1"/>
  <c r="N2401" i="1"/>
  <c r="O2401" i="1"/>
  <c r="N2402" i="1"/>
  <c r="O2402" i="1"/>
  <c r="N2403" i="1"/>
  <c r="O2403" i="1"/>
  <c r="N2404" i="1"/>
  <c r="O2404" i="1"/>
  <c r="N2405" i="1"/>
  <c r="O2405" i="1"/>
  <c r="N2406" i="1"/>
  <c r="O2406" i="1"/>
  <c r="N2407" i="1"/>
  <c r="O2407" i="1"/>
  <c r="N2408" i="1"/>
  <c r="O2408" i="1"/>
  <c r="N2409" i="1"/>
  <c r="O2409" i="1"/>
  <c r="N2410" i="1"/>
  <c r="O2410" i="1"/>
  <c r="N2411" i="1"/>
  <c r="O2411" i="1"/>
  <c r="N2412" i="1"/>
  <c r="O2412" i="1"/>
  <c r="N2413" i="1"/>
  <c r="O2413" i="1"/>
  <c r="N2414" i="1"/>
  <c r="O2414" i="1"/>
  <c r="N2415" i="1"/>
  <c r="O2415" i="1"/>
  <c r="N2416" i="1"/>
  <c r="O2416" i="1"/>
  <c r="N2417" i="1"/>
  <c r="O2417" i="1"/>
  <c r="N2418" i="1"/>
  <c r="O2418" i="1"/>
  <c r="N2419" i="1"/>
  <c r="O2419" i="1"/>
  <c r="N2420" i="1"/>
  <c r="O2420" i="1"/>
  <c r="N2421" i="1"/>
  <c r="O2421" i="1"/>
  <c r="N2422" i="1"/>
  <c r="O2422" i="1"/>
  <c r="N2423" i="1"/>
  <c r="O2423" i="1"/>
  <c r="N2424" i="1"/>
  <c r="O2424" i="1"/>
  <c r="N2425" i="1"/>
  <c r="O2425" i="1"/>
  <c r="N2426" i="1"/>
  <c r="O2426" i="1"/>
  <c r="N2427" i="1"/>
  <c r="O2427" i="1"/>
  <c r="N2428" i="1"/>
  <c r="O2428" i="1"/>
  <c r="N2429" i="1"/>
  <c r="O2429" i="1"/>
  <c r="N2430" i="1"/>
  <c r="O2430" i="1"/>
  <c r="N2431" i="1"/>
  <c r="O2431" i="1"/>
  <c r="N2432" i="1"/>
  <c r="O2432" i="1"/>
  <c r="N2433" i="1"/>
  <c r="O2433" i="1"/>
  <c r="N2434" i="1"/>
  <c r="O2434" i="1"/>
  <c r="N2435" i="1"/>
  <c r="O2435" i="1"/>
  <c r="N2436" i="1"/>
  <c r="O2436" i="1"/>
  <c r="N2437" i="1"/>
  <c r="O2437" i="1"/>
  <c r="N2438" i="1"/>
  <c r="O2438" i="1"/>
  <c r="N2439" i="1"/>
  <c r="O2439" i="1"/>
  <c r="N2440" i="1"/>
  <c r="O2440" i="1"/>
  <c r="N2441" i="1"/>
  <c r="O2441" i="1"/>
  <c r="N2442" i="1"/>
  <c r="O2442" i="1"/>
  <c r="N2443" i="1"/>
  <c r="O2443" i="1"/>
  <c r="N2444" i="1"/>
  <c r="O2444" i="1"/>
  <c r="N2445" i="1"/>
  <c r="O2445" i="1"/>
  <c r="N2446" i="1"/>
  <c r="O2446" i="1"/>
  <c r="N2447" i="1"/>
  <c r="O2447" i="1"/>
  <c r="N2448" i="1"/>
  <c r="O2448" i="1"/>
  <c r="N2449" i="1"/>
  <c r="O2449" i="1"/>
  <c r="N2450" i="1"/>
  <c r="O2450" i="1"/>
  <c r="N2451" i="1"/>
  <c r="O2451" i="1"/>
  <c r="N2452" i="1"/>
  <c r="O2452" i="1"/>
  <c r="N2453" i="1"/>
  <c r="O2453" i="1"/>
  <c r="N2454" i="1"/>
  <c r="O2454" i="1"/>
  <c r="N2455" i="1"/>
  <c r="O2455" i="1"/>
  <c r="N2456" i="1"/>
  <c r="O2456" i="1"/>
  <c r="N2457" i="1"/>
  <c r="O2457" i="1"/>
  <c r="N2458" i="1"/>
  <c r="O2458" i="1"/>
  <c r="N2459" i="1"/>
  <c r="O2459" i="1"/>
  <c r="N2460" i="1"/>
  <c r="O2460" i="1"/>
  <c r="N2461" i="1"/>
  <c r="O2461" i="1"/>
  <c r="N2462" i="1"/>
  <c r="O2462" i="1"/>
  <c r="N2463" i="1"/>
  <c r="O2463" i="1"/>
  <c r="N2464" i="1"/>
  <c r="O2464" i="1"/>
  <c r="N2465" i="1"/>
  <c r="O2465" i="1"/>
  <c r="N2466" i="1"/>
  <c r="O2466" i="1"/>
  <c r="N2467" i="1"/>
  <c r="O2467" i="1"/>
  <c r="N2468" i="1"/>
  <c r="O2468" i="1"/>
  <c r="N2469" i="1"/>
  <c r="O2469" i="1"/>
  <c r="N2470" i="1"/>
  <c r="O2470" i="1"/>
  <c r="N2471" i="1"/>
  <c r="O2471" i="1"/>
  <c r="N2472" i="1"/>
  <c r="O2472" i="1"/>
  <c r="N2473" i="1"/>
  <c r="O2473" i="1"/>
  <c r="N2474" i="1"/>
  <c r="O2474" i="1"/>
  <c r="N2475" i="1"/>
  <c r="O2475" i="1"/>
  <c r="N2476" i="1"/>
  <c r="O2476" i="1"/>
  <c r="N2477" i="1"/>
  <c r="O2477" i="1"/>
  <c r="N2478" i="1"/>
  <c r="O2478" i="1"/>
  <c r="N2479" i="1"/>
  <c r="O2479" i="1"/>
  <c r="N2480" i="1"/>
  <c r="O2480" i="1"/>
  <c r="N2481" i="1"/>
  <c r="O2481" i="1"/>
  <c r="N2482" i="1"/>
  <c r="O2482" i="1"/>
  <c r="N2483" i="1"/>
  <c r="O2483" i="1"/>
  <c r="N2484" i="1"/>
  <c r="O2484" i="1"/>
  <c r="N2485" i="1"/>
  <c r="O2485" i="1"/>
  <c r="N2486" i="1"/>
  <c r="O2486" i="1"/>
  <c r="N2487" i="1"/>
  <c r="O2487" i="1"/>
  <c r="N2488" i="1"/>
  <c r="O2488" i="1"/>
  <c r="N2489" i="1"/>
  <c r="O2489" i="1"/>
  <c r="N2490" i="1"/>
  <c r="O2490" i="1"/>
  <c r="N2491" i="1"/>
  <c r="O2491" i="1"/>
  <c r="N2492" i="1"/>
  <c r="O2492" i="1"/>
  <c r="N2493" i="1"/>
  <c r="O2493" i="1"/>
  <c r="N2494" i="1"/>
  <c r="O2494" i="1"/>
  <c r="N2495" i="1"/>
  <c r="O2495" i="1"/>
  <c r="N2496" i="1"/>
  <c r="O2496" i="1"/>
  <c r="N2497" i="1"/>
  <c r="O2497" i="1"/>
  <c r="N2498" i="1"/>
  <c r="O2498" i="1"/>
  <c r="N2499" i="1"/>
  <c r="O2499" i="1"/>
  <c r="N2500" i="1"/>
  <c r="O2500" i="1"/>
  <c r="N2501" i="1"/>
  <c r="O2501" i="1"/>
  <c r="N2502" i="1"/>
  <c r="O2502" i="1"/>
  <c r="N2503" i="1"/>
  <c r="O2503" i="1"/>
  <c r="N2504" i="1"/>
  <c r="O2504" i="1"/>
  <c r="N2505" i="1"/>
  <c r="O2505" i="1"/>
  <c r="N2506" i="1"/>
  <c r="O2506" i="1"/>
  <c r="N2507" i="1"/>
  <c r="O2507" i="1"/>
  <c r="N2508" i="1"/>
  <c r="O2508" i="1"/>
  <c r="N2509" i="1"/>
  <c r="O2509" i="1"/>
  <c r="N2510" i="1"/>
  <c r="O2510" i="1"/>
  <c r="N2511" i="1"/>
  <c r="O2511" i="1"/>
  <c r="N2512" i="1"/>
  <c r="O2512" i="1"/>
  <c r="N2513" i="1"/>
  <c r="O2513" i="1"/>
  <c r="N2514" i="1"/>
  <c r="O2514" i="1"/>
  <c r="N2515" i="1"/>
  <c r="O2515" i="1"/>
  <c r="N2516" i="1"/>
  <c r="O2516" i="1"/>
  <c r="N2517" i="1"/>
  <c r="O2517" i="1"/>
  <c r="N2518" i="1"/>
  <c r="O2518" i="1"/>
  <c r="N2519" i="1"/>
  <c r="O2519" i="1"/>
  <c r="N2520" i="1"/>
  <c r="O2520" i="1"/>
  <c r="N2521" i="1"/>
  <c r="O2521" i="1"/>
  <c r="N2522" i="1"/>
  <c r="O2522" i="1"/>
  <c r="N2523" i="1"/>
  <c r="O2523" i="1"/>
  <c r="N2524" i="1"/>
  <c r="O2524" i="1"/>
  <c r="N2525" i="1"/>
  <c r="O2525" i="1"/>
  <c r="N2526" i="1"/>
  <c r="O2526" i="1"/>
  <c r="N2527" i="1"/>
  <c r="O2527" i="1"/>
  <c r="N2528" i="1"/>
  <c r="O2528" i="1"/>
  <c r="N2529" i="1"/>
  <c r="O2529" i="1"/>
  <c r="N2530" i="1"/>
  <c r="O2530" i="1"/>
  <c r="N2531" i="1"/>
  <c r="O2531" i="1"/>
  <c r="N2532" i="1"/>
  <c r="O2532" i="1"/>
  <c r="N2533" i="1"/>
  <c r="O2533" i="1"/>
  <c r="N2534" i="1"/>
  <c r="O2534" i="1"/>
  <c r="N2535" i="1"/>
  <c r="O2535" i="1"/>
  <c r="N2536" i="1"/>
  <c r="O2536" i="1"/>
  <c r="N2537" i="1"/>
  <c r="O2537" i="1"/>
  <c r="N2538" i="1"/>
  <c r="O2538" i="1"/>
  <c r="N2539" i="1"/>
  <c r="O2539" i="1"/>
  <c r="N2540" i="1"/>
  <c r="O2540" i="1"/>
  <c r="N2541" i="1"/>
  <c r="O2541" i="1"/>
  <c r="N2542" i="1"/>
  <c r="O2542" i="1"/>
  <c r="N2543" i="1"/>
  <c r="O2543" i="1"/>
  <c r="N2544" i="1"/>
  <c r="O2544" i="1"/>
  <c r="N2545" i="1"/>
  <c r="O2545" i="1"/>
  <c r="N2546" i="1"/>
  <c r="O2546" i="1"/>
  <c r="N2547" i="1"/>
  <c r="O2547" i="1"/>
  <c r="N2548" i="1"/>
  <c r="O2548" i="1"/>
  <c r="N2549" i="1"/>
  <c r="O2549" i="1"/>
  <c r="N2550" i="1"/>
  <c r="O2550" i="1"/>
  <c r="N2551" i="1"/>
  <c r="O2551" i="1"/>
  <c r="N2552" i="1"/>
  <c r="O2552" i="1"/>
  <c r="N2553" i="1"/>
  <c r="O2553" i="1"/>
  <c r="N2554" i="1"/>
  <c r="O2554" i="1"/>
  <c r="N2555" i="1"/>
  <c r="O2555" i="1"/>
  <c r="N2556" i="1"/>
  <c r="O2556" i="1"/>
  <c r="N2557" i="1"/>
  <c r="O2557" i="1"/>
  <c r="N2558" i="1"/>
  <c r="O2558" i="1"/>
  <c r="N2559" i="1"/>
  <c r="O2559" i="1"/>
  <c r="N2560" i="1"/>
  <c r="O2560" i="1"/>
  <c r="N2561" i="1"/>
  <c r="O2561" i="1"/>
  <c r="N2562" i="1"/>
  <c r="O2562" i="1"/>
  <c r="N2563" i="1"/>
  <c r="O2563" i="1"/>
  <c r="N2564" i="1"/>
  <c r="O2564" i="1"/>
  <c r="N2565" i="1"/>
  <c r="O2565" i="1"/>
  <c r="N2566" i="1"/>
  <c r="O2566" i="1"/>
  <c r="N2567" i="1"/>
  <c r="O2567" i="1"/>
  <c r="N2568" i="1"/>
  <c r="O2568" i="1"/>
  <c r="N2569" i="1"/>
  <c r="O2569" i="1"/>
  <c r="N2570" i="1"/>
  <c r="O2570" i="1"/>
  <c r="N2571" i="1"/>
  <c r="O2571" i="1"/>
  <c r="N2572" i="1"/>
  <c r="O2572" i="1"/>
  <c r="N2573" i="1"/>
  <c r="O2573" i="1"/>
  <c r="N2574" i="1"/>
  <c r="O2574" i="1"/>
  <c r="N2575" i="1"/>
  <c r="O2575" i="1"/>
  <c r="N2576" i="1"/>
  <c r="O2576" i="1"/>
  <c r="N2577" i="1"/>
  <c r="O2577" i="1"/>
  <c r="N2578" i="1"/>
  <c r="O2578" i="1"/>
  <c r="N2579" i="1"/>
  <c r="O2579" i="1"/>
  <c r="N2580" i="1"/>
  <c r="O2580" i="1"/>
  <c r="N2581" i="1"/>
  <c r="O2581" i="1"/>
  <c r="N2582" i="1"/>
  <c r="O2582" i="1"/>
  <c r="N2583" i="1"/>
  <c r="O2583" i="1"/>
  <c r="N2584" i="1"/>
  <c r="O2584" i="1"/>
  <c r="N2585" i="1"/>
  <c r="O2585" i="1"/>
  <c r="N2586" i="1"/>
  <c r="O2586" i="1"/>
  <c r="N2587" i="1"/>
  <c r="O2587" i="1"/>
  <c r="N2588" i="1"/>
  <c r="O2588" i="1"/>
  <c r="N2589" i="1"/>
  <c r="O2589" i="1"/>
  <c r="N2590" i="1"/>
  <c r="O2590" i="1"/>
  <c r="N2591" i="1"/>
  <c r="O2591" i="1"/>
  <c r="N2592" i="1"/>
  <c r="O2592" i="1"/>
  <c r="N2593" i="1"/>
  <c r="O2593" i="1"/>
  <c r="N2594" i="1"/>
  <c r="O2594" i="1"/>
  <c r="N2595" i="1"/>
  <c r="O2595" i="1"/>
  <c r="N2596" i="1"/>
  <c r="O2596" i="1"/>
  <c r="N2597" i="1"/>
  <c r="O2597" i="1"/>
  <c r="N2598" i="1"/>
  <c r="O2598" i="1"/>
  <c r="N2599" i="1"/>
  <c r="O2599" i="1"/>
  <c r="N2600" i="1"/>
  <c r="O2600" i="1"/>
  <c r="N2601" i="1"/>
  <c r="O2601" i="1"/>
  <c r="N2602" i="1"/>
  <c r="O2602" i="1"/>
  <c r="N2603" i="1"/>
  <c r="O2603" i="1"/>
  <c r="N2604" i="1"/>
  <c r="O2604" i="1"/>
  <c r="N2605" i="1"/>
  <c r="O2605" i="1"/>
  <c r="N2606" i="1"/>
  <c r="O2606" i="1"/>
  <c r="N2607" i="1"/>
  <c r="O2607" i="1"/>
  <c r="N2608" i="1"/>
  <c r="O2608" i="1"/>
  <c r="N2609" i="1"/>
  <c r="O2609" i="1"/>
  <c r="N2610" i="1"/>
  <c r="O2610" i="1"/>
  <c r="N2611" i="1"/>
  <c r="O2611" i="1"/>
  <c r="N2612" i="1"/>
  <c r="O2612" i="1"/>
  <c r="N2613" i="1"/>
  <c r="O2613" i="1"/>
  <c r="N2614" i="1"/>
  <c r="O2614" i="1"/>
  <c r="N2615" i="1"/>
  <c r="O2615" i="1"/>
  <c r="N2616" i="1"/>
  <c r="O2616" i="1"/>
  <c r="N2617" i="1"/>
  <c r="O2617" i="1"/>
  <c r="N2618" i="1"/>
  <c r="O2618" i="1"/>
  <c r="N2619" i="1"/>
  <c r="O2619" i="1"/>
  <c r="N2620" i="1"/>
  <c r="O2620" i="1"/>
  <c r="N2621" i="1"/>
  <c r="O2621" i="1"/>
  <c r="N2622" i="1"/>
  <c r="O2622" i="1"/>
  <c r="N2623" i="1"/>
  <c r="O2623" i="1"/>
  <c r="N2624" i="1"/>
  <c r="O2624" i="1"/>
  <c r="N2625" i="1"/>
  <c r="O2625" i="1"/>
  <c r="N2626" i="1"/>
  <c r="O2626" i="1"/>
  <c r="N2627" i="1"/>
  <c r="O2627" i="1"/>
  <c r="N2628" i="1"/>
  <c r="O2628" i="1"/>
  <c r="N2629" i="1"/>
  <c r="O2629" i="1"/>
  <c r="N2630" i="1"/>
  <c r="O2630" i="1"/>
  <c r="N2631" i="1"/>
  <c r="O2631" i="1"/>
  <c r="N2632" i="1"/>
  <c r="O2632" i="1"/>
  <c r="N2633" i="1"/>
  <c r="O2633" i="1"/>
  <c r="N2634" i="1"/>
  <c r="O2634" i="1"/>
  <c r="N2635" i="1"/>
  <c r="O2635" i="1"/>
  <c r="N2636" i="1"/>
  <c r="O2636" i="1"/>
  <c r="N2637" i="1"/>
  <c r="O2637" i="1"/>
  <c r="N2638" i="1"/>
  <c r="O2638" i="1"/>
  <c r="N2639" i="1"/>
  <c r="O2639" i="1"/>
  <c r="N2640" i="1"/>
  <c r="O2640" i="1"/>
  <c r="N2641" i="1"/>
  <c r="O2641" i="1"/>
  <c r="N2642" i="1"/>
  <c r="O2642" i="1"/>
  <c r="N2643" i="1"/>
  <c r="O2643" i="1"/>
  <c r="N2644" i="1"/>
  <c r="O2644" i="1"/>
  <c r="N2645" i="1"/>
  <c r="O2645" i="1"/>
  <c r="N2646" i="1"/>
  <c r="O2646" i="1"/>
  <c r="N2647" i="1"/>
  <c r="O2647" i="1"/>
  <c r="N2648" i="1"/>
  <c r="O2648" i="1"/>
  <c r="N2649" i="1"/>
  <c r="O2649" i="1"/>
  <c r="N2650" i="1"/>
  <c r="O2650" i="1"/>
  <c r="N2651" i="1"/>
  <c r="O2651" i="1"/>
  <c r="N2652" i="1"/>
  <c r="O2652" i="1"/>
  <c r="N2653" i="1"/>
  <c r="O2653" i="1"/>
  <c r="N2654" i="1"/>
  <c r="O2654" i="1"/>
  <c r="N2655" i="1"/>
  <c r="O2655" i="1"/>
  <c r="N2656" i="1"/>
  <c r="O2656" i="1"/>
  <c r="N2657" i="1"/>
  <c r="O2657" i="1"/>
  <c r="N2658" i="1"/>
  <c r="O2658" i="1"/>
  <c r="N2659" i="1"/>
  <c r="O2659" i="1"/>
  <c r="N2660" i="1"/>
  <c r="O2660" i="1"/>
  <c r="N2661" i="1"/>
  <c r="O2661" i="1"/>
  <c r="N2662" i="1"/>
  <c r="O2662" i="1"/>
  <c r="N2663" i="1"/>
  <c r="O2663" i="1"/>
  <c r="N2664" i="1"/>
  <c r="O2664" i="1"/>
  <c r="N2665" i="1"/>
  <c r="O2665" i="1"/>
  <c r="N2666" i="1"/>
  <c r="O2666" i="1"/>
  <c r="N2667" i="1"/>
  <c r="O2667" i="1"/>
  <c r="N2668" i="1"/>
  <c r="O2668" i="1"/>
  <c r="N2669" i="1"/>
  <c r="O2669" i="1"/>
  <c r="N2670" i="1"/>
  <c r="O2670" i="1"/>
  <c r="N2671" i="1"/>
  <c r="O2671" i="1"/>
  <c r="N2672" i="1"/>
  <c r="O2672" i="1"/>
  <c r="N2673" i="1"/>
  <c r="O2673" i="1"/>
  <c r="N2674" i="1"/>
  <c r="O2674" i="1"/>
  <c r="N2675" i="1"/>
  <c r="O2675" i="1"/>
  <c r="N2676" i="1"/>
  <c r="O2676" i="1"/>
  <c r="N2677" i="1"/>
  <c r="O2677" i="1"/>
  <c r="N2678" i="1"/>
  <c r="O2678" i="1"/>
  <c r="N2679" i="1"/>
  <c r="O2679" i="1"/>
  <c r="N2680" i="1"/>
  <c r="O2680" i="1"/>
  <c r="N2681" i="1"/>
  <c r="O2681" i="1"/>
  <c r="N2682" i="1"/>
  <c r="O2682" i="1"/>
  <c r="N2683" i="1"/>
  <c r="O2683" i="1"/>
  <c r="N2684" i="1"/>
  <c r="O2684" i="1"/>
  <c r="N2685" i="1"/>
  <c r="O2685" i="1"/>
  <c r="N2686" i="1"/>
  <c r="O2686" i="1"/>
  <c r="N2687" i="1"/>
  <c r="O2687" i="1"/>
  <c r="N2688" i="1"/>
  <c r="O2688" i="1"/>
  <c r="N2689" i="1"/>
  <c r="O2689" i="1"/>
  <c r="N2690" i="1"/>
  <c r="O2690" i="1"/>
  <c r="N2691" i="1"/>
  <c r="O2691" i="1"/>
  <c r="N2692" i="1"/>
  <c r="O2692" i="1"/>
  <c r="N2693" i="1"/>
  <c r="O2693" i="1"/>
  <c r="N2694" i="1"/>
  <c r="O2694" i="1"/>
  <c r="N2695" i="1"/>
  <c r="O2695" i="1"/>
  <c r="N2696" i="1"/>
  <c r="O2696" i="1"/>
  <c r="N2697" i="1"/>
  <c r="O2697" i="1"/>
  <c r="N2698" i="1"/>
  <c r="O2698" i="1"/>
  <c r="N2699" i="1"/>
  <c r="O2699" i="1"/>
  <c r="N2700" i="1"/>
  <c r="O2700" i="1"/>
  <c r="N2701" i="1"/>
  <c r="O2701" i="1"/>
  <c r="N2702" i="1"/>
  <c r="O2702" i="1"/>
  <c r="N2703" i="1"/>
  <c r="O2703" i="1"/>
  <c r="N2704" i="1"/>
  <c r="O2704" i="1"/>
  <c r="N2705" i="1"/>
  <c r="O2705" i="1"/>
  <c r="N2706" i="1"/>
  <c r="O2706" i="1"/>
  <c r="N2707" i="1"/>
  <c r="O2707" i="1"/>
  <c r="N2708" i="1"/>
  <c r="O2708" i="1"/>
  <c r="N2709" i="1"/>
  <c r="O2709" i="1"/>
  <c r="N2710" i="1"/>
  <c r="O2710" i="1"/>
  <c r="N2711" i="1"/>
  <c r="O2711" i="1"/>
  <c r="N2712" i="1"/>
  <c r="O2712" i="1"/>
  <c r="N2713" i="1"/>
  <c r="O2713" i="1"/>
  <c r="N2714" i="1"/>
  <c r="O2714" i="1"/>
  <c r="N2715" i="1"/>
  <c r="O2715" i="1"/>
  <c r="N2716" i="1"/>
  <c r="O2716" i="1"/>
  <c r="N2717" i="1"/>
  <c r="O2717" i="1"/>
  <c r="N2718" i="1"/>
  <c r="O2718" i="1"/>
  <c r="N2719" i="1"/>
  <c r="O2719" i="1"/>
  <c r="N2720" i="1"/>
  <c r="O2720" i="1"/>
  <c r="N2721" i="1"/>
  <c r="O2721" i="1"/>
  <c r="N2722" i="1"/>
  <c r="O2722" i="1"/>
  <c r="N2723" i="1"/>
  <c r="O2723" i="1"/>
  <c r="N2724" i="1"/>
  <c r="O2724" i="1"/>
  <c r="N2725" i="1"/>
  <c r="O2725" i="1"/>
  <c r="N2726" i="1"/>
  <c r="O2726" i="1"/>
  <c r="N2727" i="1"/>
  <c r="O2727" i="1"/>
  <c r="N2728" i="1"/>
  <c r="O2728" i="1"/>
  <c r="N2729" i="1"/>
  <c r="O2729" i="1"/>
  <c r="N2730" i="1"/>
  <c r="O2730" i="1"/>
  <c r="N2731" i="1"/>
  <c r="O2731" i="1"/>
  <c r="N2732" i="1"/>
  <c r="O2732" i="1"/>
  <c r="N2733" i="1"/>
  <c r="O2733" i="1"/>
  <c r="N2734" i="1"/>
  <c r="O2734" i="1"/>
  <c r="N2735" i="1"/>
  <c r="O2735" i="1"/>
  <c r="N2736" i="1"/>
  <c r="O2736" i="1"/>
  <c r="N2737" i="1"/>
  <c r="O2737" i="1"/>
  <c r="N2738" i="1"/>
  <c r="O2738" i="1"/>
  <c r="N2739" i="1"/>
  <c r="O2739" i="1"/>
  <c r="N2740" i="1"/>
  <c r="O2740" i="1"/>
  <c r="N2741" i="1"/>
  <c r="O2741" i="1"/>
  <c r="N2742" i="1"/>
  <c r="O2742" i="1"/>
  <c r="N2743" i="1"/>
  <c r="O2743" i="1"/>
  <c r="N2744" i="1"/>
  <c r="O2744" i="1"/>
  <c r="N2745" i="1"/>
  <c r="O2745" i="1"/>
  <c r="N2746" i="1"/>
  <c r="O2746" i="1"/>
  <c r="N2747" i="1"/>
  <c r="O2747" i="1"/>
  <c r="N2748" i="1"/>
  <c r="O2748" i="1"/>
  <c r="N2749" i="1"/>
  <c r="O2749" i="1"/>
  <c r="N2750" i="1"/>
  <c r="O2750" i="1"/>
  <c r="N2751" i="1"/>
  <c r="O2751" i="1"/>
  <c r="N2752" i="1"/>
  <c r="O2752" i="1"/>
  <c r="N2753" i="1"/>
  <c r="O2753" i="1"/>
  <c r="N2754" i="1"/>
  <c r="O2754" i="1"/>
  <c r="N2755" i="1"/>
  <c r="O2755" i="1"/>
  <c r="N2756" i="1"/>
  <c r="O2756" i="1"/>
  <c r="N2757" i="1"/>
  <c r="O2757" i="1"/>
  <c r="N2758" i="1"/>
  <c r="O2758" i="1"/>
  <c r="N2759" i="1"/>
  <c r="O2759" i="1"/>
  <c r="N2760" i="1"/>
  <c r="O2760" i="1"/>
  <c r="N2761" i="1"/>
  <c r="O2761" i="1"/>
  <c r="N2762" i="1"/>
  <c r="O2762" i="1"/>
  <c r="N2763" i="1"/>
  <c r="O2763" i="1"/>
  <c r="N2764" i="1"/>
  <c r="O2764" i="1"/>
  <c r="N2765" i="1"/>
  <c r="O2765" i="1"/>
  <c r="N2766" i="1"/>
  <c r="O2766" i="1"/>
  <c r="N2767" i="1"/>
  <c r="O2767" i="1"/>
  <c r="N2768" i="1"/>
  <c r="O2768" i="1"/>
  <c r="N2769" i="1"/>
  <c r="O2769" i="1"/>
  <c r="N2770" i="1"/>
  <c r="O2770" i="1"/>
  <c r="N2771" i="1"/>
  <c r="O2771" i="1"/>
  <c r="N2772" i="1"/>
  <c r="O2772" i="1"/>
  <c r="N2773" i="1"/>
  <c r="O2773" i="1"/>
  <c r="N2774" i="1"/>
  <c r="O2774" i="1"/>
  <c r="N2775" i="1"/>
  <c r="O2775" i="1"/>
  <c r="N2776" i="1"/>
  <c r="O2776" i="1"/>
  <c r="N2777" i="1"/>
  <c r="O2777" i="1"/>
  <c r="N2778" i="1"/>
  <c r="O2778" i="1"/>
  <c r="N2779" i="1"/>
  <c r="O2779" i="1"/>
  <c r="N2780" i="1"/>
  <c r="O2780" i="1"/>
  <c r="N2781" i="1"/>
  <c r="O2781" i="1"/>
  <c r="N2782" i="1"/>
  <c r="O2782" i="1"/>
  <c r="N2783" i="1"/>
  <c r="O2783" i="1"/>
  <c r="N2784" i="1"/>
  <c r="O2784" i="1"/>
  <c r="N2785" i="1"/>
  <c r="O2785" i="1"/>
  <c r="N2786" i="1"/>
  <c r="O2786" i="1"/>
  <c r="N2787" i="1"/>
  <c r="O2787" i="1"/>
  <c r="N2788" i="1"/>
  <c r="O2788" i="1"/>
  <c r="N2789" i="1"/>
  <c r="O2789" i="1"/>
  <c r="N2790" i="1"/>
  <c r="O2790" i="1"/>
  <c r="N2791" i="1"/>
  <c r="O2791" i="1"/>
  <c r="N2792" i="1"/>
  <c r="O2792" i="1"/>
  <c r="N2793" i="1"/>
  <c r="O2793" i="1"/>
  <c r="N2794" i="1"/>
  <c r="O2794" i="1"/>
  <c r="N2795" i="1"/>
  <c r="O2795" i="1"/>
  <c r="N2796" i="1"/>
  <c r="O2796" i="1"/>
  <c r="N2797" i="1"/>
  <c r="O2797" i="1"/>
  <c r="N2798" i="1"/>
  <c r="O2798" i="1"/>
  <c r="N2799" i="1"/>
  <c r="O2799" i="1"/>
  <c r="N2800" i="1"/>
  <c r="O2800" i="1"/>
  <c r="N2801" i="1"/>
  <c r="O2801" i="1"/>
  <c r="N2802" i="1"/>
  <c r="O2802" i="1"/>
  <c r="N2803" i="1"/>
  <c r="O2803" i="1"/>
  <c r="N2804" i="1"/>
  <c r="O2804" i="1"/>
  <c r="N2805" i="1"/>
  <c r="O2805" i="1"/>
  <c r="N2806" i="1"/>
  <c r="O2806" i="1"/>
  <c r="N2807" i="1"/>
  <c r="O2807" i="1"/>
  <c r="N2808" i="1"/>
  <c r="O2808" i="1"/>
  <c r="N2809" i="1"/>
  <c r="O2809" i="1"/>
  <c r="N2810" i="1"/>
  <c r="O2810" i="1"/>
  <c r="N2811" i="1"/>
  <c r="O2811" i="1"/>
  <c r="N2812" i="1"/>
  <c r="O2812" i="1"/>
  <c r="N2813" i="1"/>
  <c r="O2813" i="1"/>
  <c r="N2814" i="1"/>
  <c r="O2814" i="1"/>
  <c r="N2815" i="1"/>
  <c r="O2815" i="1"/>
  <c r="N2816" i="1"/>
  <c r="O2816" i="1"/>
  <c r="N2817" i="1"/>
  <c r="O2817" i="1"/>
  <c r="N2818" i="1"/>
  <c r="O2818" i="1"/>
  <c r="N2819" i="1"/>
  <c r="O2819" i="1"/>
  <c r="N2820" i="1"/>
  <c r="O2820" i="1"/>
  <c r="N2821" i="1"/>
  <c r="O2821" i="1"/>
  <c r="N2822" i="1"/>
  <c r="O2822" i="1"/>
  <c r="N2823" i="1"/>
  <c r="O2823" i="1"/>
  <c r="N2824" i="1"/>
  <c r="O2824" i="1"/>
  <c r="N2825" i="1"/>
  <c r="O2825" i="1"/>
  <c r="N2826" i="1"/>
  <c r="O2826" i="1"/>
  <c r="N2827" i="1"/>
  <c r="O2827" i="1"/>
  <c r="N2828" i="1"/>
  <c r="O2828" i="1"/>
  <c r="N2829" i="1"/>
  <c r="O2829" i="1"/>
  <c r="N2830" i="1"/>
  <c r="O2830" i="1"/>
  <c r="N2831" i="1"/>
  <c r="O2831" i="1"/>
  <c r="N2832" i="1"/>
  <c r="O2832" i="1"/>
  <c r="N2833" i="1"/>
  <c r="O2833" i="1"/>
  <c r="N2834" i="1"/>
  <c r="O2834" i="1"/>
  <c r="N2835" i="1"/>
  <c r="O2835" i="1"/>
  <c r="N2836" i="1"/>
  <c r="O2836" i="1"/>
  <c r="N2837" i="1"/>
  <c r="O2837" i="1"/>
  <c r="N2838" i="1"/>
  <c r="O2838" i="1"/>
  <c r="N2839" i="1"/>
  <c r="O2839" i="1"/>
  <c r="N2840" i="1"/>
  <c r="O2840" i="1"/>
  <c r="N2841" i="1"/>
  <c r="O2841" i="1"/>
  <c r="N2842" i="1"/>
  <c r="O2842" i="1"/>
  <c r="N2843" i="1"/>
  <c r="O2843" i="1"/>
  <c r="N2844" i="1"/>
  <c r="O2844" i="1"/>
  <c r="N2845" i="1"/>
  <c r="O2845" i="1"/>
  <c r="N2846" i="1"/>
  <c r="O2846" i="1"/>
  <c r="N2847" i="1"/>
  <c r="O2847" i="1"/>
  <c r="N2848" i="1"/>
  <c r="O2848" i="1"/>
  <c r="N2849" i="1"/>
  <c r="O2849" i="1"/>
  <c r="N2850" i="1"/>
  <c r="O2850" i="1"/>
  <c r="N2851" i="1"/>
  <c r="O2851" i="1"/>
  <c r="N2852" i="1"/>
  <c r="O2852" i="1"/>
  <c r="N2853" i="1"/>
  <c r="O2853" i="1"/>
  <c r="N2854" i="1"/>
  <c r="O2854" i="1"/>
  <c r="N2855" i="1"/>
  <c r="O2855" i="1"/>
  <c r="N2856" i="1"/>
  <c r="O2856" i="1"/>
  <c r="N2857" i="1"/>
  <c r="O2857" i="1"/>
  <c r="N2858" i="1"/>
  <c r="O2858" i="1"/>
  <c r="N2859" i="1"/>
  <c r="O2859" i="1"/>
  <c r="N2860" i="1"/>
  <c r="O2860" i="1"/>
  <c r="N2861" i="1"/>
  <c r="O2861" i="1"/>
  <c r="N2862" i="1"/>
  <c r="O2862" i="1"/>
  <c r="N2863" i="1"/>
  <c r="O2863" i="1"/>
  <c r="N2864" i="1"/>
  <c r="O2864" i="1"/>
  <c r="N2865" i="1"/>
  <c r="O2865" i="1"/>
  <c r="N2866" i="1"/>
  <c r="O2866" i="1"/>
  <c r="N2867" i="1"/>
  <c r="O2867" i="1"/>
  <c r="N2868" i="1"/>
  <c r="O2868" i="1"/>
  <c r="N2869" i="1"/>
  <c r="O2869" i="1"/>
  <c r="N2870" i="1"/>
  <c r="O2870" i="1"/>
  <c r="N2871" i="1"/>
  <c r="O2871" i="1"/>
  <c r="N2872" i="1"/>
  <c r="O2872" i="1"/>
  <c r="N2873" i="1"/>
  <c r="O2873" i="1"/>
  <c r="N2874" i="1"/>
  <c r="O2874" i="1"/>
  <c r="N2875" i="1"/>
  <c r="O2875" i="1"/>
  <c r="N2876" i="1"/>
  <c r="O2876" i="1"/>
  <c r="N2877" i="1"/>
  <c r="O2877" i="1"/>
  <c r="N2878" i="1"/>
  <c r="O2878" i="1"/>
  <c r="N2879" i="1"/>
  <c r="O2879" i="1"/>
  <c r="N2880" i="1"/>
  <c r="O2880" i="1"/>
  <c r="N2881" i="1"/>
  <c r="O2881" i="1"/>
  <c r="N2882" i="1"/>
  <c r="O2882" i="1"/>
  <c r="N2883" i="1"/>
  <c r="O2883" i="1"/>
  <c r="N2884" i="1"/>
  <c r="O2884" i="1"/>
  <c r="N2885" i="1"/>
  <c r="O2885" i="1"/>
  <c r="N2886" i="1"/>
  <c r="O2886" i="1"/>
  <c r="N2887" i="1"/>
  <c r="O2887" i="1"/>
  <c r="N2888" i="1"/>
  <c r="O2888" i="1"/>
  <c r="N2889" i="1"/>
  <c r="O2889" i="1"/>
  <c r="N2890" i="1"/>
  <c r="O2890" i="1"/>
  <c r="N2891" i="1"/>
  <c r="O2891" i="1"/>
  <c r="N2892" i="1"/>
  <c r="O2892" i="1"/>
  <c r="N2893" i="1"/>
  <c r="O2893" i="1"/>
  <c r="N2894" i="1"/>
  <c r="O2894" i="1"/>
  <c r="N2895" i="1"/>
  <c r="O2895" i="1"/>
  <c r="N2896" i="1"/>
  <c r="O2896" i="1"/>
  <c r="N2897" i="1"/>
  <c r="O2897" i="1"/>
  <c r="N2898" i="1"/>
  <c r="O2898" i="1"/>
  <c r="N2899" i="1"/>
  <c r="O2899" i="1"/>
  <c r="N2900" i="1"/>
  <c r="O2900" i="1"/>
  <c r="N2901" i="1"/>
  <c r="O2901" i="1"/>
  <c r="N2902" i="1"/>
  <c r="O2902" i="1"/>
  <c r="N2903" i="1"/>
  <c r="O2903" i="1"/>
  <c r="N2904" i="1"/>
  <c r="O2904" i="1"/>
  <c r="N2905" i="1"/>
  <c r="O2905" i="1"/>
  <c r="N2906" i="1"/>
  <c r="O2906" i="1"/>
  <c r="N2907" i="1"/>
  <c r="O2907" i="1"/>
  <c r="N2908" i="1"/>
  <c r="O2908" i="1"/>
  <c r="N2909" i="1"/>
  <c r="O2909" i="1"/>
  <c r="N2910" i="1"/>
  <c r="O2910" i="1"/>
  <c r="N2911" i="1"/>
  <c r="O2911" i="1"/>
  <c r="N2912" i="1"/>
  <c r="O2912" i="1"/>
  <c r="N2913" i="1"/>
  <c r="O2913" i="1"/>
  <c r="N2914" i="1"/>
  <c r="O2914" i="1"/>
  <c r="N2915" i="1"/>
  <c r="O2915" i="1"/>
  <c r="N2916" i="1"/>
  <c r="O2916" i="1"/>
  <c r="N2917" i="1"/>
  <c r="O2917" i="1"/>
  <c r="N2918" i="1"/>
  <c r="O2918" i="1"/>
  <c r="N2919" i="1"/>
  <c r="O2919" i="1"/>
  <c r="N2920" i="1"/>
  <c r="O2920" i="1"/>
  <c r="N2921" i="1"/>
  <c r="O2921" i="1"/>
  <c r="N2922" i="1"/>
  <c r="O2922" i="1"/>
  <c r="N2923" i="1"/>
  <c r="O2923" i="1"/>
  <c r="N2924" i="1"/>
  <c r="O2924" i="1"/>
  <c r="N2925" i="1"/>
  <c r="O2925" i="1"/>
  <c r="N2926" i="1"/>
  <c r="O2926" i="1"/>
  <c r="N2927" i="1"/>
  <c r="O2927" i="1"/>
  <c r="N2928" i="1"/>
  <c r="O2928" i="1"/>
  <c r="N2929" i="1"/>
  <c r="O2929" i="1"/>
  <c r="N2930" i="1"/>
  <c r="O2930" i="1"/>
  <c r="N2931" i="1"/>
  <c r="O2931" i="1"/>
  <c r="N2932" i="1"/>
  <c r="O2932" i="1"/>
  <c r="N2933" i="1"/>
  <c r="O2933" i="1"/>
  <c r="N2934" i="1"/>
  <c r="O2934" i="1"/>
  <c r="N2935" i="1"/>
  <c r="O2935" i="1"/>
  <c r="N2936" i="1"/>
  <c r="O2936" i="1"/>
  <c r="N2937" i="1"/>
  <c r="O2937" i="1"/>
  <c r="N2938" i="1"/>
  <c r="O2938" i="1"/>
  <c r="N2939" i="1"/>
  <c r="O2939" i="1"/>
  <c r="N2940" i="1"/>
  <c r="O2940" i="1"/>
  <c r="N2941" i="1"/>
  <c r="O2941" i="1"/>
  <c r="N2942" i="1"/>
  <c r="O2942" i="1"/>
  <c r="N2943" i="1"/>
  <c r="O2943" i="1"/>
  <c r="N2944" i="1"/>
  <c r="O2944" i="1"/>
  <c r="N2945" i="1"/>
  <c r="O2945" i="1"/>
  <c r="N2946" i="1"/>
  <c r="O2946" i="1"/>
  <c r="N2947" i="1"/>
  <c r="O2947" i="1"/>
  <c r="N2948" i="1"/>
  <c r="O2948" i="1"/>
  <c r="N2949" i="1"/>
  <c r="O2949" i="1"/>
  <c r="N2950" i="1"/>
  <c r="O2950" i="1"/>
  <c r="N2951" i="1"/>
  <c r="O2951" i="1"/>
  <c r="N2952" i="1"/>
  <c r="O2952" i="1"/>
  <c r="N2953" i="1"/>
  <c r="O2953" i="1"/>
  <c r="N2954" i="1"/>
  <c r="O2954" i="1"/>
  <c r="N2955" i="1"/>
  <c r="O2955" i="1"/>
  <c r="N2956" i="1"/>
  <c r="O2956" i="1"/>
  <c r="N2957" i="1"/>
  <c r="O2957" i="1"/>
  <c r="N2958" i="1"/>
  <c r="O2958" i="1"/>
  <c r="N2959" i="1"/>
  <c r="O2959" i="1"/>
  <c r="N2960" i="1"/>
  <c r="O2960" i="1"/>
  <c r="N2961" i="1"/>
  <c r="O2961" i="1"/>
  <c r="N2962" i="1"/>
  <c r="O2962" i="1"/>
  <c r="N2963" i="1"/>
  <c r="O2963" i="1"/>
  <c r="N2964" i="1"/>
  <c r="O2964" i="1"/>
  <c r="N2965" i="1"/>
  <c r="O2965" i="1"/>
  <c r="N2966" i="1"/>
  <c r="O2966" i="1"/>
  <c r="N2967" i="1"/>
  <c r="O2967" i="1"/>
  <c r="N2968" i="1"/>
  <c r="O2968" i="1"/>
  <c r="N2969" i="1"/>
  <c r="O2969" i="1"/>
  <c r="N2970" i="1"/>
  <c r="O2970" i="1"/>
  <c r="N2971" i="1"/>
  <c r="O2971" i="1"/>
  <c r="N2972" i="1"/>
  <c r="O2972" i="1"/>
  <c r="N2973" i="1"/>
  <c r="O2973" i="1"/>
  <c r="N2974" i="1"/>
  <c r="O2974" i="1"/>
  <c r="N2975" i="1"/>
  <c r="O2975" i="1"/>
  <c r="N2976" i="1"/>
  <c r="O2976" i="1"/>
  <c r="N2977" i="1"/>
  <c r="O2977" i="1"/>
  <c r="N2978" i="1"/>
  <c r="O2978" i="1"/>
  <c r="N2979" i="1"/>
  <c r="O2979" i="1"/>
  <c r="N2980" i="1"/>
  <c r="O2980" i="1"/>
  <c r="N2981" i="1"/>
  <c r="O2981" i="1"/>
  <c r="N2982" i="1"/>
  <c r="O2982" i="1"/>
  <c r="N2983" i="1"/>
  <c r="O2983" i="1"/>
  <c r="N2984" i="1"/>
  <c r="O2984" i="1"/>
  <c r="N2985" i="1"/>
  <c r="O2985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N489" i="1"/>
  <c r="O489" i="1"/>
  <c r="N490" i="1"/>
  <c r="O490" i="1"/>
  <c r="N491" i="1"/>
  <c r="O491" i="1"/>
  <c r="N492" i="1"/>
  <c r="O492" i="1"/>
  <c r="N493" i="1"/>
  <c r="O493" i="1"/>
  <c r="N494" i="1"/>
  <c r="O494" i="1"/>
  <c r="N495" i="1"/>
  <c r="O495" i="1"/>
  <c r="N496" i="1"/>
  <c r="O496" i="1"/>
  <c r="N497" i="1"/>
  <c r="O497" i="1"/>
  <c r="N498" i="1"/>
  <c r="O498" i="1"/>
  <c r="N499" i="1"/>
  <c r="O499" i="1"/>
  <c r="N500" i="1"/>
  <c r="O500" i="1"/>
  <c r="N501" i="1"/>
  <c r="O501" i="1"/>
  <c r="N502" i="1"/>
  <c r="O502" i="1"/>
  <c r="N503" i="1"/>
  <c r="O503" i="1"/>
  <c r="N504" i="1"/>
  <c r="O504" i="1"/>
  <c r="N505" i="1"/>
  <c r="O505" i="1"/>
  <c r="N506" i="1"/>
  <c r="O506" i="1"/>
  <c r="N507" i="1"/>
  <c r="O507" i="1"/>
  <c r="N508" i="1"/>
  <c r="O508" i="1"/>
  <c r="N509" i="1"/>
  <c r="O509" i="1"/>
  <c r="N510" i="1"/>
  <c r="O510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N517" i="1"/>
  <c r="O517" i="1"/>
  <c r="N518" i="1"/>
  <c r="O518" i="1"/>
  <c r="N519" i="1"/>
  <c r="O519" i="1"/>
  <c r="N520" i="1"/>
  <c r="O520" i="1"/>
  <c r="N521" i="1"/>
  <c r="O521" i="1"/>
  <c r="N522" i="1"/>
  <c r="O522" i="1"/>
  <c r="N523" i="1"/>
  <c r="O523" i="1"/>
  <c r="N524" i="1"/>
  <c r="O524" i="1"/>
  <c r="N525" i="1"/>
  <c r="O525" i="1"/>
  <c r="N526" i="1"/>
  <c r="O526" i="1"/>
  <c r="N527" i="1"/>
  <c r="O527" i="1"/>
  <c r="N528" i="1"/>
  <c r="O528" i="1"/>
  <c r="N529" i="1"/>
  <c r="O529" i="1"/>
  <c r="N530" i="1"/>
  <c r="O530" i="1"/>
  <c r="N531" i="1"/>
  <c r="O531" i="1"/>
  <c r="N532" i="1"/>
  <c r="O532" i="1"/>
  <c r="N533" i="1"/>
  <c r="O533" i="1"/>
  <c r="N534" i="1"/>
  <c r="O534" i="1"/>
  <c r="N535" i="1"/>
  <c r="O535" i="1"/>
  <c r="N536" i="1"/>
  <c r="O536" i="1"/>
  <c r="N537" i="1"/>
  <c r="O537" i="1"/>
  <c r="N538" i="1"/>
  <c r="O538" i="1"/>
  <c r="N539" i="1"/>
  <c r="O539" i="1"/>
  <c r="N540" i="1"/>
  <c r="O540" i="1"/>
  <c r="N541" i="1"/>
  <c r="O541" i="1"/>
  <c r="N542" i="1"/>
  <c r="O542" i="1"/>
  <c r="N543" i="1"/>
  <c r="O543" i="1"/>
  <c r="N544" i="1"/>
  <c r="O544" i="1"/>
  <c r="N545" i="1"/>
  <c r="O545" i="1"/>
  <c r="N546" i="1"/>
  <c r="O546" i="1"/>
  <c r="N547" i="1"/>
  <c r="O547" i="1"/>
  <c r=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 <c r="O554" i="1"/>
  <c r="N555" i="1"/>
  <c r="O555" i="1"/>
  <c r="N556" i="1"/>
  <c r="O556" i="1"/>
  <c r="N557" i="1"/>
  <c r="O557" i="1"/>
  <c r="N558" i="1"/>
  <c r="O558" i="1"/>
  <c r="N559" i="1"/>
  <c r="O559" i="1"/>
  <c r="N560" i="1"/>
  <c r="O560" i="1"/>
  <c r="N561" i="1"/>
  <c r="O561" i="1"/>
  <c r="N562" i="1"/>
  <c r="O562" i="1"/>
  <c r="N563" i="1"/>
  <c r="O563" i="1"/>
  <c r="N564" i="1"/>
  <c r="O564" i="1"/>
  <c r="N565" i="1"/>
  <c r="O565" i="1"/>
  <c r="N566" i="1"/>
  <c r="O566" i="1"/>
  <c r="N567" i="1"/>
  <c r="O567" i="1"/>
  <c r="N568" i="1"/>
  <c r="O568" i="1"/>
  <c r="N569" i="1"/>
  <c r="O569" i="1"/>
  <c r="N570" i="1"/>
  <c r="O570" i="1"/>
  <c r="N571" i="1"/>
  <c r="O571" i="1"/>
  <c r="N572" i="1"/>
  <c r="O572" i="1"/>
  <c r="N573" i="1"/>
  <c r="O573" i="1"/>
  <c r="N574" i="1"/>
  <c r="O574" i="1"/>
  <c r="N575" i="1"/>
  <c r="O575" i="1"/>
  <c r="N576" i="1"/>
  <c r="O576" i="1"/>
  <c r="N577" i="1"/>
  <c r="O577" i="1"/>
  <c r="N578" i="1"/>
  <c r="O578" i="1"/>
  <c r="N579" i="1"/>
  <c r="O579" i="1"/>
  <c r="N580" i="1"/>
  <c r="O580" i="1"/>
  <c r="N581" i="1"/>
  <c r="O581" i="1"/>
  <c r="N582" i="1"/>
  <c r="O582" i="1"/>
  <c r="N583" i="1"/>
  <c r="O583" i="1"/>
  <c r="N584" i="1"/>
  <c r="O584" i="1"/>
  <c r="N585" i="1"/>
  <c r="O585" i="1"/>
  <c r="N586" i="1"/>
  <c r="O586" i="1"/>
  <c r="N587" i="1"/>
  <c r="O587" i="1"/>
  <c r="N588" i="1"/>
  <c r="O588" i="1"/>
  <c r="N589" i="1"/>
  <c r="O589" i="1"/>
  <c r="N590" i="1"/>
  <c r="O590" i="1"/>
  <c r="N591" i="1"/>
  <c r="O591" i="1"/>
  <c r="N592" i="1"/>
  <c r="O592" i="1"/>
  <c r="N593" i="1"/>
  <c r="O593" i="1"/>
  <c r="N594" i="1"/>
  <c r="O594" i="1"/>
  <c r="N595" i="1"/>
  <c r="O595" i="1"/>
  <c r="N596" i="1"/>
  <c r="O596" i="1"/>
  <c r="N597" i="1"/>
  <c r="O597" i="1"/>
  <c r="N598" i="1"/>
  <c r="O598" i="1"/>
  <c r="N599" i="1"/>
  <c r="O599" i="1"/>
  <c r="N600" i="1"/>
  <c r="O600" i="1"/>
  <c r="N601" i="1"/>
  <c r="O601" i="1"/>
  <c r="N602" i="1"/>
  <c r="O602" i="1"/>
  <c r="N603" i="1"/>
  <c r="O603" i="1"/>
  <c r="N604" i="1"/>
  <c r="O604" i="1"/>
  <c r="N605" i="1"/>
  <c r="O605" i="1"/>
  <c r="N606" i="1"/>
  <c r="O606" i="1"/>
  <c r="N607" i="1"/>
  <c r="O607" i="1"/>
  <c r="N608" i="1"/>
  <c r="O608" i="1"/>
  <c r="N609" i="1"/>
  <c r="O609" i="1"/>
  <c r="N610" i="1"/>
  <c r="O610" i="1"/>
  <c r="N611" i="1"/>
  <c r="O611" i="1"/>
  <c r="N612" i="1"/>
  <c r="O612" i="1"/>
  <c r="N613" i="1"/>
  <c r="O613" i="1"/>
  <c r="N614" i="1"/>
  <c r="O614" i="1"/>
  <c r="N615" i="1"/>
  <c r="O615" i="1"/>
  <c r="N616" i="1"/>
  <c r="O616" i="1"/>
  <c r="N617" i="1"/>
  <c r="O617" i="1"/>
  <c r="N618" i="1"/>
  <c r="O618" i="1"/>
  <c r="N619" i="1"/>
  <c r="O619" i="1"/>
  <c r="N620" i="1"/>
  <c r="O620" i="1"/>
  <c r="N621" i="1"/>
  <c r="O621" i="1"/>
  <c r="N622" i="1"/>
  <c r="O622" i="1"/>
  <c r="N623" i="1"/>
  <c r="O623" i="1"/>
  <c r="N624" i="1"/>
  <c r="O624" i="1"/>
  <c r="N625" i="1"/>
  <c r="O625" i="1"/>
  <c r="N626" i="1"/>
  <c r="O626" i="1"/>
  <c r="N627" i="1"/>
  <c r="O627" i="1"/>
  <c r="N628" i="1"/>
  <c r="O628" i="1"/>
  <c r="N629" i="1"/>
  <c r="O629" i="1"/>
  <c r="N630" i="1"/>
  <c r="O630" i="1"/>
  <c r="N631" i="1"/>
  <c r="O631" i="1"/>
  <c r="N632" i="1"/>
  <c r="O632" i="1"/>
  <c r="N633" i="1"/>
  <c r="O633" i="1"/>
  <c r="N634" i="1"/>
  <c r="O634" i="1"/>
  <c r="N635" i="1"/>
  <c r="O635" i="1"/>
  <c r="N636" i="1"/>
  <c r="O636" i="1"/>
  <c r="N637" i="1"/>
  <c r="O637" i="1"/>
  <c r="N638" i="1"/>
  <c r="O638" i="1"/>
  <c r="N639" i="1"/>
  <c r="O639" i="1"/>
  <c r="N640" i="1"/>
  <c r="O640" i="1"/>
  <c r="N641" i="1"/>
  <c r="O641" i="1"/>
  <c r="N642" i="1"/>
  <c r="O642" i="1"/>
  <c r="N643" i="1"/>
  <c r="O643" i="1"/>
  <c r="N644" i="1"/>
  <c r="O644" i="1"/>
  <c r="N645" i="1"/>
  <c r="O645" i="1"/>
  <c r="N646" i="1"/>
  <c r="O646" i="1"/>
  <c r="N647" i="1"/>
  <c r="O647" i="1"/>
  <c r="N648" i="1"/>
  <c r="O648" i="1"/>
  <c r="N649" i="1"/>
  <c r="O649" i="1"/>
  <c r="N650" i="1"/>
  <c r="O650" i="1"/>
  <c r="N651" i="1"/>
  <c r="O651" i="1"/>
  <c r="N652" i="1"/>
  <c r="O652" i="1"/>
  <c r="N653" i="1"/>
  <c r="O653" i="1"/>
  <c r="N654" i="1"/>
  <c r="O654" i="1"/>
  <c r="N655" i="1"/>
  <c r="O655" i="1"/>
  <c r="N656" i="1"/>
  <c r="O656" i="1"/>
  <c r="N657" i="1"/>
  <c r="O657" i="1"/>
  <c r="N658" i="1"/>
  <c r="O658" i="1"/>
  <c r="N659" i="1"/>
  <c r="O659" i="1"/>
  <c r="N660" i="1"/>
  <c r="O660" i="1"/>
  <c r="N661" i="1"/>
  <c r="O661" i="1"/>
  <c r="N662" i="1"/>
  <c r="O662" i="1"/>
  <c r="N663" i="1"/>
  <c r="O663" i="1"/>
  <c r="N664" i="1"/>
  <c r="O664" i="1"/>
  <c r="N665" i="1"/>
  <c r="O665" i="1"/>
  <c r="N666" i="1"/>
  <c r="O666" i="1"/>
  <c r="N667" i="1"/>
  <c r="O667" i="1"/>
  <c r="N668" i="1"/>
  <c r="O668" i="1"/>
  <c r="N669" i="1"/>
  <c r="O669" i="1"/>
  <c r="N670" i="1"/>
  <c r="O670" i="1"/>
  <c r="N671" i="1"/>
  <c r="O671" i="1"/>
  <c r="N672" i="1"/>
  <c r="O672" i="1"/>
  <c r="N673" i="1"/>
  <c r="O673" i="1"/>
  <c r="N674" i="1"/>
  <c r="O674" i="1"/>
  <c r="N675" i="1"/>
  <c r="O675" i="1"/>
  <c r="N676" i="1"/>
  <c r="O676" i="1"/>
  <c r="N677" i="1"/>
  <c r="O677" i="1"/>
  <c r="N678" i="1"/>
  <c r="O678" i="1"/>
  <c r="N679" i="1"/>
  <c r="O679" i="1"/>
  <c r="N680" i="1"/>
  <c r="O680" i="1"/>
  <c r="N681" i="1"/>
  <c r="O681" i="1"/>
  <c r="N682" i="1"/>
  <c r="O682" i="1"/>
  <c r="N683" i="1"/>
  <c r="O683" i="1"/>
  <c r="N684" i="1"/>
  <c r="O684" i="1"/>
  <c r="N685" i="1"/>
  <c r="O685" i="1"/>
  <c r="N686" i="1"/>
  <c r="O686" i="1"/>
  <c r="N687" i="1"/>
  <c r="O687" i="1"/>
  <c r="N688" i="1"/>
  <c r="O688" i="1"/>
  <c r="N689" i="1"/>
  <c r="O689" i="1"/>
  <c r="N690" i="1"/>
  <c r="O690" i="1"/>
  <c r="N691" i="1"/>
  <c r="O691" i="1"/>
  <c r="N692" i="1"/>
  <c r="O692" i="1"/>
  <c r="N693" i="1"/>
  <c r="O693" i="1"/>
  <c r="N694" i="1"/>
  <c r="O694" i="1"/>
  <c r="N695" i="1"/>
  <c r="O695" i="1"/>
  <c r="N696" i="1"/>
  <c r="O696" i="1"/>
  <c r="N697" i="1"/>
  <c r="O697" i="1"/>
  <c r="N698" i="1"/>
  <c r="O698" i="1"/>
  <c r="N699" i="1"/>
  <c r="O699" i="1"/>
  <c r="N700" i="1"/>
  <c r="O700" i="1"/>
  <c r="N701" i="1"/>
  <c r="O701" i="1"/>
  <c r="N702" i="1"/>
  <c r="O702" i="1"/>
  <c r="N703" i="1"/>
  <c r="O703" i="1"/>
  <c r="N704" i="1"/>
  <c r="O704" i="1"/>
  <c r="N705" i="1"/>
  <c r="O705" i="1"/>
  <c r="N706" i="1"/>
  <c r="O706" i="1"/>
  <c r="N707" i="1"/>
  <c r="O707" i="1"/>
  <c r="N708" i="1"/>
  <c r="O708" i="1"/>
  <c r="N709" i="1"/>
  <c r="O709" i="1"/>
  <c r="N710" i="1"/>
  <c r="O710" i="1"/>
  <c r="N711" i="1"/>
  <c r="O711" i="1"/>
  <c r="N712" i="1"/>
  <c r="O712" i="1"/>
  <c r="N713" i="1"/>
  <c r="O713" i="1"/>
  <c r="N714" i="1"/>
  <c r="O714" i="1"/>
  <c r="N715" i="1"/>
  <c r="O715" i="1"/>
  <c r="N716" i="1"/>
  <c r="O716" i="1"/>
  <c r="N717" i="1"/>
  <c r="O717" i="1"/>
  <c r="N718" i="1"/>
  <c r="O718" i="1"/>
  <c r="N719" i="1"/>
  <c r="O719" i="1"/>
  <c r="N720" i="1"/>
  <c r="O720" i="1"/>
  <c r="N721" i="1"/>
  <c r="O721" i="1"/>
  <c r="N722" i="1"/>
  <c r="O722" i="1"/>
  <c r="N723" i="1"/>
  <c r="O723" i="1"/>
  <c r="N724" i="1"/>
  <c r="O724" i="1"/>
  <c r="N725" i="1"/>
  <c r="O725" i="1"/>
  <c r="N726" i="1"/>
  <c r="O726" i="1"/>
  <c r="N727" i="1"/>
  <c r="O727" i="1"/>
  <c r="N728" i="1"/>
  <c r="O728" i="1"/>
  <c r="N729" i="1"/>
  <c r="O729" i="1"/>
  <c r="N730" i="1"/>
  <c r="O730" i="1"/>
  <c r="N731" i="1"/>
  <c r="O731" i="1"/>
  <c r="N732" i="1"/>
  <c r="O732" i="1"/>
  <c r="N733" i="1"/>
  <c r="O733" i="1"/>
  <c r="N734" i="1"/>
  <c r="O734" i="1"/>
  <c r="N735" i="1"/>
  <c r="O735" i="1"/>
  <c r="N736" i="1"/>
  <c r="O736" i="1"/>
  <c r="N737" i="1"/>
  <c r="O737" i="1"/>
  <c r="N738" i="1"/>
  <c r="O738" i="1"/>
  <c r="N739" i="1"/>
  <c r="O739" i="1"/>
  <c r="N740" i="1"/>
  <c r="O740" i="1"/>
  <c r="N741" i="1"/>
  <c r="O741" i="1"/>
  <c r="N742" i="1"/>
  <c r="O742" i="1"/>
  <c r="N743" i="1"/>
  <c r="O743" i="1"/>
  <c r="N744" i="1"/>
  <c r="O744" i="1"/>
  <c r="N745" i="1"/>
  <c r="O745" i="1"/>
  <c r="N746" i="1"/>
  <c r="O746" i="1"/>
  <c r="N747" i="1"/>
  <c r="O747" i="1"/>
  <c r="N748" i="1"/>
  <c r="O748" i="1"/>
  <c r="N749" i="1"/>
  <c r="O749" i="1"/>
  <c r="N750" i="1"/>
  <c r="O750" i="1"/>
  <c r="N751" i="1"/>
  <c r="O751" i="1"/>
  <c r="N752" i="1"/>
  <c r="O752" i="1"/>
  <c r="N753" i="1"/>
  <c r="O753" i="1"/>
  <c r="N754" i="1"/>
  <c r="O754" i="1"/>
  <c r="N755" i="1"/>
  <c r="O755" i="1"/>
  <c r="N756" i="1"/>
  <c r="O756" i="1"/>
  <c r="N757" i="1"/>
  <c r="O757" i="1"/>
  <c r="N758" i="1"/>
  <c r="O758" i="1"/>
  <c r="N759" i="1"/>
  <c r="O759" i="1"/>
  <c r="N760" i="1"/>
  <c r="O760" i="1"/>
  <c r="N761" i="1"/>
  <c r="O761" i="1"/>
  <c r="N762" i="1"/>
  <c r="O762" i="1"/>
  <c r="N763" i="1"/>
  <c r="O763" i="1"/>
  <c r="N764" i="1"/>
  <c r="O764" i="1"/>
  <c r="N765" i="1"/>
  <c r="O765" i="1"/>
  <c r="N766" i="1"/>
  <c r="O766" i="1"/>
  <c r="N767" i="1"/>
  <c r="O767" i="1"/>
  <c r="N768" i="1"/>
  <c r="O768" i="1"/>
  <c r="N769" i="1"/>
  <c r="O769" i="1"/>
  <c r="N770" i="1"/>
  <c r="O770" i="1"/>
  <c r="N771" i="1"/>
  <c r="O771" i="1"/>
  <c r="N772" i="1"/>
  <c r="O772" i="1"/>
  <c r="N773" i="1"/>
  <c r="O773" i="1"/>
  <c r="N774" i="1"/>
  <c r="O774" i="1"/>
  <c r="N775" i="1"/>
  <c r="O775" i="1"/>
  <c r="N776" i="1"/>
  <c r="O776" i="1"/>
  <c r="N777" i="1"/>
  <c r="O777" i="1"/>
  <c r="N778" i="1"/>
  <c r="O778" i="1"/>
  <c r="N779" i="1"/>
  <c r="O779" i="1"/>
  <c r="N780" i="1"/>
  <c r="O780" i="1"/>
  <c r="N781" i="1"/>
  <c r="O781" i="1"/>
  <c r="N782" i="1"/>
  <c r="O782" i="1"/>
  <c r="N783" i="1"/>
  <c r="O783" i="1"/>
  <c r="N784" i="1"/>
  <c r="O784" i="1"/>
  <c r="N785" i="1"/>
  <c r="O785" i="1"/>
  <c r="N786" i="1"/>
  <c r="O786" i="1"/>
  <c r="N787" i="1"/>
  <c r="O787" i="1"/>
  <c r="N788" i="1"/>
  <c r="O788" i="1"/>
  <c r="N789" i="1"/>
  <c r="O789" i="1"/>
  <c r="N790" i="1"/>
  <c r="O790" i="1"/>
  <c r="N791" i="1"/>
  <c r="O791" i="1"/>
  <c r="N792" i="1"/>
  <c r="O792" i="1"/>
  <c r="N793" i="1"/>
  <c r="O793" i="1"/>
  <c r="N794" i="1"/>
  <c r="O794" i="1"/>
  <c r="N795" i="1"/>
  <c r="O795" i="1"/>
  <c r="N796" i="1"/>
  <c r="O796" i="1"/>
  <c r="N797" i="1"/>
  <c r="O797" i="1"/>
  <c r="N798" i="1"/>
  <c r="O798" i="1"/>
  <c r="N799" i="1"/>
  <c r="O799" i="1"/>
  <c r="N800" i="1"/>
  <c r="O800" i="1"/>
  <c r="N801" i="1"/>
  <c r="O801" i="1"/>
  <c r="N802" i="1"/>
  <c r="O802" i="1"/>
  <c r="N803" i="1"/>
  <c r="O803" i="1"/>
  <c r="N804" i="1"/>
  <c r="O804" i="1"/>
  <c r="N805" i="1"/>
  <c r="O805" i="1"/>
  <c r="N806" i="1"/>
  <c r="O806" i="1"/>
  <c r="N807" i="1"/>
  <c r="O807" i="1"/>
  <c r="N808" i="1"/>
  <c r="O808" i="1"/>
  <c r="N809" i="1"/>
  <c r="O809" i="1"/>
  <c r="N810" i="1"/>
  <c r="O810" i="1"/>
  <c r="N811" i="1"/>
  <c r="O811" i="1"/>
  <c r="N812" i="1"/>
  <c r="O812" i="1"/>
  <c r="N813" i="1"/>
  <c r="O813" i="1"/>
  <c r="N814" i="1"/>
  <c r="O814" i="1"/>
  <c r="N815" i="1"/>
  <c r="O815" i="1"/>
  <c r="N816" i="1"/>
  <c r="O816" i="1"/>
  <c r="N817" i="1"/>
  <c r="O817" i="1"/>
  <c r="N818" i="1"/>
  <c r="O818" i="1"/>
  <c r="N819" i="1"/>
  <c r="O819" i="1"/>
  <c r="N820" i="1"/>
  <c r="O820" i="1"/>
  <c r="N821" i="1"/>
  <c r="O821" i="1"/>
  <c r="N822" i="1"/>
  <c r="O822" i="1"/>
  <c r="N823" i="1"/>
  <c r="O823" i="1"/>
  <c r="N824" i="1"/>
  <c r="O824" i="1"/>
  <c r="N825" i="1"/>
  <c r="O825" i="1"/>
  <c r="N826" i="1"/>
  <c r="O826" i="1"/>
  <c r="N827" i="1"/>
  <c r="O827" i="1"/>
  <c r="N828" i="1"/>
  <c r="O828" i="1"/>
  <c r="N829" i="1"/>
  <c r="O829" i="1"/>
  <c r="N830" i="1"/>
  <c r="O830" i="1"/>
  <c r="N831" i="1"/>
  <c r="O831" i="1"/>
  <c r="N832" i="1"/>
  <c r="O832" i="1"/>
  <c r="N833" i="1"/>
  <c r="O833" i="1"/>
  <c r="N834" i="1"/>
  <c r="O834" i="1"/>
  <c r="N835" i="1"/>
  <c r="O835" i="1"/>
  <c r="N836" i="1"/>
  <c r="O836" i="1"/>
  <c r="N837" i="1"/>
  <c r="O837" i="1"/>
  <c r="N838" i="1"/>
  <c r="O838" i="1"/>
  <c r="N839" i="1"/>
  <c r="O839" i="1"/>
  <c r="N840" i="1"/>
  <c r="O840" i="1"/>
  <c r="N841" i="1"/>
  <c r="O841" i="1"/>
  <c r="N842" i="1"/>
  <c r="O842" i="1"/>
  <c r="N843" i="1"/>
  <c r="O843" i="1"/>
  <c r="N844" i="1"/>
  <c r="O844" i="1"/>
  <c r="N845" i="1"/>
  <c r="O845" i="1"/>
  <c r="N846" i="1"/>
  <c r="O846" i="1"/>
  <c r="N847" i="1"/>
  <c r="O847" i="1"/>
  <c r="N848" i="1"/>
  <c r="O848" i="1"/>
  <c r="N849" i="1"/>
  <c r="O849" i="1"/>
  <c r="N850" i="1"/>
  <c r="O850" i="1"/>
  <c r="N851" i="1"/>
  <c r="O851" i="1"/>
  <c r="N852" i="1"/>
  <c r="O852" i="1"/>
  <c r="N853" i="1"/>
  <c r="O853" i="1"/>
  <c r="N854" i="1"/>
  <c r="O854" i="1"/>
  <c r="N855" i="1"/>
  <c r="O855" i="1"/>
  <c r="N856" i="1"/>
  <c r="O856" i="1"/>
  <c r="N857" i="1"/>
  <c r="O857" i="1"/>
  <c r="N858" i="1"/>
  <c r="O858" i="1"/>
  <c r="N859" i="1"/>
  <c r="O859" i="1"/>
  <c r="N860" i="1"/>
  <c r="O860" i="1"/>
  <c r="N861" i="1"/>
  <c r="O861" i="1"/>
  <c r="N862" i="1"/>
  <c r="O862" i="1"/>
  <c r="N863" i="1"/>
  <c r="O863" i="1"/>
  <c r="N864" i="1"/>
  <c r="O864" i="1"/>
  <c r="N865" i="1"/>
  <c r="O865" i="1"/>
  <c r="N866" i="1"/>
  <c r="O866" i="1"/>
  <c r="N867" i="1"/>
  <c r="O867" i="1"/>
  <c r="N868" i="1"/>
  <c r="O868" i="1"/>
  <c r="N869" i="1"/>
  <c r="O869" i="1"/>
  <c r="N870" i="1"/>
  <c r="O870" i="1"/>
  <c r="N871" i="1"/>
  <c r="O871" i="1"/>
  <c r="N872" i="1"/>
  <c r="O872" i="1"/>
  <c r="N873" i="1"/>
  <c r="O873" i="1"/>
  <c r="N874" i="1"/>
  <c r="O874" i="1"/>
  <c r="N875" i="1"/>
  <c r="O875" i="1"/>
  <c r="N876" i="1"/>
  <c r="O876" i="1"/>
  <c r="N877" i="1"/>
  <c r="O877" i="1"/>
  <c r="N878" i="1"/>
  <c r="O878" i="1"/>
  <c r="N879" i="1"/>
  <c r="O879" i="1"/>
  <c r="N880" i="1"/>
  <c r="O880" i="1"/>
  <c r="N881" i="1"/>
  <c r="O881" i="1"/>
  <c r="N882" i="1"/>
  <c r="O882" i="1"/>
  <c r="N883" i="1"/>
  <c r="O883" i="1"/>
  <c r="N884" i="1"/>
  <c r="O884" i="1"/>
  <c r="N885" i="1"/>
  <c r="O885" i="1"/>
  <c r="N886" i="1"/>
  <c r="O886" i="1"/>
  <c r="N887" i="1"/>
  <c r="O887" i="1"/>
  <c r="N888" i="1"/>
  <c r="O888" i="1"/>
  <c r="N889" i="1"/>
  <c r="O889" i="1"/>
  <c r="N890" i="1"/>
  <c r="O890" i="1"/>
  <c r="N891" i="1"/>
  <c r="O891" i="1"/>
  <c r="N892" i="1"/>
  <c r="O892" i="1"/>
  <c r="N893" i="1"/>
  <c r="O893" i="1"/>
  <c r="N894" i="1"/>
  <c r="O894" i="1"/>
  <c r="N895" i="1"/>
  <c r="O895" i="1"/>
  <c r="N896" i="1"/>
  <c r="O896" i="1"/>
  <c r="N897" i="1"/>
  <c r="O897" i="1"/>
  <c r="N898" i="1"/>
  <c r="O898" i="1"/>
  <c r="N899" i="1"/>
  <c r="O899" i="1"/>
  <c r="N900" i="1"/>
  <c r="O900" i="1"/>
  <c r="N901" i="1"/>
  <c r="O901" i="1"/>
  <c r="N902" i="1"/>
  <c r="O902" i="1"/>
  <c r="N903" i="1"/>
  <c r="O903" i="1"/>
  <c r="N904" i="1"/>
  <c r="O904" i="1"/>
  <c r="N905" i="1"/>
  <c r="O905" i="1"/>
  <c r="N906" i="1"/>
  <c r="O906" i="1"/>
  <c r="N907" i="1"/>
  <c r="O907" i="1"/>
  <c r="N908" i="1"/>
  <c r="O908" i="1"/>
  <c r="N909" i="1"/>
  <c r="O909" i="1"/>
  <c r="N910" i="1"/>
  <c r="O910" i="1"/>
  <c r="N911" i="1"/>
  <c r="O911" i="1"/>
  <c r="N912" i="1"/>
  <c r="O912" i="1"/>
  <c r="N913" i="1"/>
  <c r="O913" i="1"/>
  <c r="N914" i="1"/>
  <c r="O914" i="1"/>
  <c r="N915" i="1"/>
  <c r="O915" i="1"/>
  <c r="N916" i="1"/>
  <c r="O916" i="1"/>
  <c r="N917" i="1"/>
  <c r="O917" i="1"/>
  <c r="N918" i="1"/>
  <c r="O918" i="1"/>
  <c r="N919" i="1"/>
  <c r="O919" i="1"/>
  <c r="N920" i="1"/>
  <c r="O920" i="1"/>
  <c r="N921" i="1"/>
  <c r="O921" i="1"/>
  <c r="N922" i="1"/>
  <c r="O922" i="1"/>
  <c r="N923" i="1"/>
  <c r="O923" i="1"/>
  <c r="N924" i="1"/>
  <c r="O924" i="1"/>
  <c r="N925" i="1"/>
  <c r="O925" i="1"/>
  <c r="N926" i="1"/>
  <c r="O926" i="1"/>
  <c r="N927" i="1"/>
  <c r="O927" i="1"/>
  <c r="N928" i="1"/>
  <c r="O928" i="1"/>
  <c r="N929" i="1"/>
  <c r="O929" i="1"/>
  <c r="N930" i="1"/>
  <c r="O930" i="1"/>
  <c r="N931" i="1"/>
  <c r="O931" i="1"/>
  <c r="N932" i="1"/>
  <c r="O932" i="1"/>
  <c r="N933" i="1"/>
  <c r="O933" i="1"/>
  <c r="N934" i="1"/>
  <c r="O934" i="1"/>
  <c r="N935" i="1"/>
  <c r="O935" i="1"/>
  <c r="N936" i="1"/>
  <c r="O936" i="1"/>
  <c r="N937" i="1"/>
  <c r="O937" i="1"/>
  <c r="N938" i="1"/>
  <c r="O938" i="1"/>
  <c r="N939" i="1"/>
  <c r="O939" i="1"/>
  <c r="N940" i="1"/>
  <c r="O940" i="1"/>
  <c r="N941" i="1"/>
  <c r="O941" i="1"/>
  <c r="N942" i="1"/>
  <c r="O942" i="1"/>
  <c r="N943" i="1"/>
  <c r="O943" i="1"/>
  <c r="N944" i="1"/>
  <c r="O944" i="1"/>
  <c r="N945" i="1"/>
  <c r="O945" i="1"/>
  <c r="N946" i="1"/>
  <c r="O946" i="1"/>
  <c r="N947" i="1"/>
  <c r="O947" i="1"/>
  <c r="N948" i="1"/>
  <c r="O948" i="1"/>
  <c r="N949" i="1"/>
  <c r="O949" i="1"/>
  <c r="N950" i="1"/>
  <c r="O950" i="1"/>
  <c r="N951" i="1"/>
  <c r="O951" i="1"/>
  <c r="N952" i="1"/>
  <c r="O952" i="1"/>
  <c r="N953" i="1"/>
  <c r="O953" i="1"/>
  <c r="N954" i="1"/>
  <c r="O954" i="1"/>
  <c r="N955" i="1"/>
  <c r="O955" i="1"/>
  <c r="N956" i="1"/>
  <c r="O956" i="1"/>
  <c r="N957" i="1"/>
  <c r="O957" i="1"/>
  <c r="N958" i="1"/>
  <c r="O958" i="1"/>
  <c r="N959" i="1"/>
  <c r="O959" i="1"/>
  <c r="N960" i="1"/>
  <c r="O960" i="1"/>
  <c r="N961" i="1"/>
  <c r="O961" i="1"/>
  <c r="N962" i="1"/>
  <c r="O962" i="1"/>
  <c r="N963" i="1"/>
  <c r="O963" i="1"/>
  <c r="N964" i="1"/>
  <c r="O964" i="1"/>
  <c r="N965" i="1"/>
  <c r="O965" i="1"/>
  <c r="N966" i="1"/>
  <c r="O966" i="1"/>
  <c r="N967" i="1"/>
  <c r="O967" i="1"/>
  <c r="N968" i="1"/>
  <c r="O968" i="1"/>
  <c r="N969" i="1"/>
  <c r="O969" i="1"/>
  <c r="N970" i="1"/>
  <c r="O970" i="1"/>
  <c r="N971" i="1"/>
  <c r="O971" i="1"/>
  <c r="N972" i="1"/>
  <c r="O972" i="1"/>
  <c r="N973" i="1"/>
  <c r="O973" i="1"/>
  <c r="N974" i="1"/>
  <c r="O974" i="1"/>
  <c r="N975" i="1"/>
  <c r="O975" i="1"/>
  <c r="N976" i="1"/>
  <c r="O976" i="1"/>
  <c r="N977" i="1"/>
  <c r="O977" i="1"/>
  <c r="N978" i="1"/>
  <c r="O978" i="1"/>
  <c r="N979" i="1"/>
  <c r="O979" i="1"/>
  <c r="N980" i="1"/>
  <c r="O980" i="1"/>
  <c r="N981" i="1"/>
  <c r="O981" i="1"/>
  <c r="N982" i="1"/>
  <c r="O982" i="1"/>
  <c r="N983" i="1"/>
  <c r="O983" i="1"/>
  <c r="N984" i="1"/>
  <c r="O984" i="1"/>
  <c r="N985" i="1"/>
  <c r="O985" i="1"/>
  <c r="N986" i="1"/>
  <c r="O986" i="1"/>
  <c r="N987" i="1"/>
  <c r="O987" i="1"/>
  <c r="N988" i="1"/>
  <c r="O988" i="1"/>
  <c r="N989" i="1"/>
  <c r="O989" i="1"/>
  <c r="N990" i="1"/>
  <c r="O990" i="1"/>
  <c r="N991" i="1"/>
  <c r="O991" i="1"/>
  <c r="N992" i="1"/>
  <c r="O992" i="1"/>
  <c r="N993" i="1"/>
  <c r="O993" i="1"/>
  <c r="N994" i="1"/>
  <c r="O994" i="1"/>
  <c r="N995" i="1"/>
  <c r="O995" i="1"/>
  <c r="N996" i="1"/>
  <c r="O996" i="1"/>
  <c r="N997" i="1"/>
  <c r="O997" i="1"/>
  <c r="N998" i="1"/>
  <c r="O998" i="1"/>
  <c r="N999" i="1"/>
  <c r="O999" i="1"/>
  <c r="N1000" i="1"/>
  <c r="O1000" i="1"/>
  <c r="N1001" i="1"/>
  <c r="O1001" i="1"/>
  <c r="N1002" i="1"/>
  <c r="O1002" i="1"/>
  <c r="N1003" i="1"/>
  <c r="O1003" i="1"/>
  <c r="N1004" i="1"/>
  <c r="O1004" i="1"/>
  <c r="N1005" i="1"/>
  <c r="O1005" i="1"/>
  <c r="N1006" i="1"/>
  <c r="O1006" i="1"/>
  <c r="N1007" i="1"/>
  <c r="O1007" i="1"/>
  <c r="N1008" i="1"/>
  <c r="O1008" i="1"/>
  <c r="N1009" i="1"/>
  <c r="O1009" i="1"/>
  <c r="N1010" i="1"/>
  <c r="O1010" i="1"/>
  <c r="N1011" i="1"/>
  <c r="O1011" i="1"/>
  <c r="N1012" i="1"/>
  <c r="O1012" i="1"/>
  <c r="N1013" i="1"/>
  <c r="O1013" i="1"/>
  <c r="N1014" i="1"/>
  <c r="O1014" i="1"/>
  <c r="N1015" i="1"/>
  <c r="O1015" i="1"/>
  <c r="N1016" i="1"/>
  <c r="O1016" i="1"/>
  <c r="N1017" i="1"/>
  <c r="O1017" i="1"/>
  <c r="N1018" i="1"/>
  <c r="O1018" i="1"/>
  <c r="N1019" i="1"/>
  <c r="O1019" i="1"/>
  <c r="N1020" i="1"/>
  <c r="O1020" i="1"/>
  <c r="N1021" i="1"/>
  <c r="O1021" i="1"/>
  <c r="N1022" i="1"/>
  <c r="O1022" i="1"/>
  <c r="N1023" i="1"/>
  <c r="O1023" i="1"/>
  <c r="N1024" i="1"/>
  <c r="O1024" i="1"/>
  <c r="N1025" i="1"/>
  <c r="O1025" i="1"/>
  <c r="N1026" i="1"/>
  <c r="O1026" i="1"/>
  <c r="N1027" i="1"/>
  <c r="O1027" i="1"/>
  <c r="N1028" i="1"/>
  <c r="O1028" i="1"/>
  <c r="N1029" i="1"/>
  <c r="O1029" i="1"/>
  <c r="N1030" i="1"/>
  <c r="O1030" i="1"/>
  <c r="N1031" i="1"/>
  <c r="O1031" i="1"/>
  <c r="N1032" i="1"/>
  <c r="O1032" i="1"/>
  <c r="N1033" i="1"/>
  <c r="O1033" i="1"/>
  <c r="N1034" i="1"/>
  <c r="O1034" i="1"/>
  <c r="N1035" i="1"/>
  <c r="O1035" i="1"/>
  <c r="O2" i="1"/>
  <c r="N2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I3" i="1"/>
  <c r="L3" i="1" s="1"/>
  <c r="M3" i="1" s="1"/>
  <c r="I4" i="1"/>
  <c r="L4" i="1" s="1"/>
  <c r="M4" i="1" s="1"/>
  <c r="I5" i="1"/>
  <c r="L5" i="1" s="1"/>
  <c r="M5" i="1" s="1"/>
  <c r="I6" i="1"/>
  <c r="L6" i="1" s="1"/>
  <c r="M6" i="1" s="1"/>
  <c r="I7" i="1"/>
  <c r="L7" i="1" s="1"/>
  <c r="M7" i="1" s="1"/>
  <c r="I8" i="1"/>
  <c r="L8" i="1" s="1"/>
  <c r="M8" i="1" s="1"/>
  <c r="I9" i="1"/>
  <c r="L9" i="1" s="1"/>
  <c r="M9" i="1" s="1"/>
  <c r="I10" i="1"/>
  <c r="L10" i="1" s="1"/>
  <c r="M10" i="1" s="1"/>
  <c r="I11" i="1"/>
  <c r="L11" i="1" s="1"/>
  <c r="M11" i="1" s="1"/>
  <c r="I12" i="1"/>
  <c r="L12" i="1" s="1"/>
  <c r="M12" i="1" s="1"/>
  <c r="I13" i="1"/>
  <c r="L13" i="1" s="1"/>
  <c r="M13" i="1" s="1"/>
  <c r="I14" i="1"/>
  <c r="L14" i="1" s="1"/>
  <c r="M14" i="1" s="1"/>
  <c r="I15" i="1"/>
  <c r="L15" i="1" s="1"/>
  <c r="M15" i="1" s="1"/>
  <c r="I16" i="1"/>
  <c r="L16" i="1" s="1"/>
  <c r="M16" i="1" s="1"/>
  <c r="I17" i="1"/>
  <c r="L17" i="1" s="1"/>
  <c r="M17" i="1" s="1"/>
  <c r="I18" i="1"/>
  <c r="L18" i="1" s="1"/>
  <c r="M18" i="1" s="1"/>
  <c r="I19" i="1"/>
  <c r="L19" i="1" s="1"/>
  <c r="M19" i="1" s="1"/>
  <c r="I20" i="1"/>
  <c r="L20" i="1" s="1"/>
  <c r="M20" i="1" s="1"/>
  <c r="I21" i="1"/>
  <c r="L21" i="1" s="1"/>
  <c r="M21" i="1" s="1"/>
  <c r="I22" i="1"/>
  <c r="L22" i="1" s="1"/>
  <c r="M22" i="1" s="1"/>
  <c r="I23" i="1"/>
  <c r="L23" i="1" s="1"/>
  <c r="M23" i="1" s="1"/>
  <c r="I24" i="1"/>
  <c r="L24" i="1" s="1"/>
  <c r="M24" i="1" s="1"/>
  <c r="I25" i="1"/>
  <c r="L25" i="1" s="1"/>
  <c r="M25" i="1" s="1"/>
  <c r="I26" i="1"/>
  <c r="L26" i="1" s="1"/>
  <c r="M26" i="1" s="1"/>
  <c r="I27" i="1"/>
  <c r="I28" i="1"/>
  <c r="L28" i="1" s="1"/>
  <c r="M28" i="1" s="1"/>
  <c r="I29" i="1"/>
  <c r="L29" i="1" s="1"/>
  <c r="M29" i="1" s="1"/>
  <c r="I30" i="1"/>
  <c r="L30" i="1" s="1"/>
  <c r="M30" i="1" s="1"/>
  <c r="I31" i="1"/>
  <c r="L31" i="1" s="1"/>
  <c r="M31" i="1" s="1"/>
  <c r="I32" i="1"/>
  <c r="L32" i="1" s="1"/>
  <c r="M32" i="1" s="1"/>
  <c r="I33" i="1"/>
  <c r="L33" i="1" s="1"/>
  <c r="M33" i="1" s="1"/>
  <c r="I34" i="1"/>
  <c r="L34" i="1" s="1"/>
  <c r="M34" i="1" s="1"/>
  <c r="I35" i="1"/>
  <c r="L35" i="1" s="1"/>
  <c r="M35" i="1" s="1"/>
  <c r="I36" i="1"/>
  <c r="L36" i="1" s="1"/>
  <c r="M36" i="1" s="1"/>
  <c r="I37" i="1"/>
  <c r="L37" i="1" s="1"/>
  <c r="M37" i="1" s="1"/>
  <c r="I38" i="1"/>
  <c r="L38" i="1" s="1"/>
  <c r="M38" i="1" s="1"/>
  <c r="I39" i="1"/>
  <c r="L39" i="1" s="1"/>
  <c r="M39" i="1" s="1"/>
  <c r="I40" i="1"/>
  <c r="L40" i="1" s="1"/>
  <c r="M40" i="1" s="1"/>
  <c r="I41" i="1"/>
  <c r="L41" i="1" s="1"/>
  <c r="M41" i="1" s="1"/>
  <c r="I42" i="1"/>
  <c r="L42" i="1" s="1"/>
  <c r="M42" i="1" s="1"/>
  <c r="I43" i="1"/>
  <c r="L43" i="1" s="1"/>
  <c r="M43" i="1" s="1"/>
  <c r="I44" i="1"/>
  <c r="L44" i="1" s="1"/>
  <c r="M44" i="1" s="1"/>
  <c r="I45" i="1"/>
  <c r="L45" i="1" s="1"/>
  <c r="M45" i="1" s="1"/>
  <c r="I46" i="1"/>
  <c r="L46" i="1" s="1"/>
  <c r="M46" i="1" s="1"/>
  <c r="I47" i="1"/>
  <c r="L47" i="1" s="1"/>
  <c r="M47" i="1" s="1"/>
  <c r="I48" i="1"/>
  <c r="L48" i="1" s="1"/>
  <c r="M48" i="1" s="1"/>
  <c r="I49" i="1"/>
  <c r="L49" i="1" s="1"/>
  <c r="M49" i="1" s="1"/>
  <c r="I50" i="1"/>
  <c r="L50" i="1" s="1"/>
  <c r="M50" i="1" s="1"/>
  <c r="I51" i="1"/>
  <c r="L51" i="1" s="1"/>
  <c r="M51" i="1" s="1"/>
  <c r="I52" i="1"/>
  <c r="L52" i="1" s="1"/>
  <c r="M52" i="1" s="1"/>
  <c r="I53" i="1"/>
  <c r="L53" i="1" s="1"/>
  <c r="M53" i="1" s="1"/>
  <c r="I54" i="1"/>
  <c r="L54" i="1" s="1"/>
  <c r="M54" i="1" s="1"/>
  <c r="I55" i="1"/>
  <c r="L55" i="1" s="1"/>
  <c r="M55" i="1" s="1"/>
  <c r="I56" i="1"/>
  <c r="L56" i="1" s="1"/>
  <c r="M56" i="1" s="1"/>
  <c r="I57" i="1"/>
  <c r="L57" i="1" s="1"/>
  <c r="M57" i="1" s="1"/>
  <c r="I58" i="1"/>
  <c r="L58" i="1" s="1"/>
  <c r="M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L64" i="1" s="1"/>
  <c r="M64" i="1" s="1"/>
  <c r="I65" i="1"/>
  <c r="L65" i="1" s="1"/>
  <c r="M65" i="1" s="1"/>
  <c r="I66" i="1"/>
  <c r="L66" i="1" s="1"/>
  <c r="M66" i="1" s="1"/>
  <c r="I67" i="1"/>
  <c r="L67" i="1" s="1"/>
  <c r="M67" i="1" s="1"/>
  <c r="I68" i="1"/>
  <c r="L68" i="1" s="1"/>
  <c r="M68" i="1" s="1"/>
  <c r="I69" i="1"/>
  <c r="L69" i="1" s="1"/>
  <c r="M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L77" i="1" s="1"/>
  <c r="M77" i="1" s="1"/>
  <c r="I78" i="1"/>
  <c r="L78" i="1" s="1"/>
  <c r="M78" i="1" s="1"/>
  <c r="I79" i="1"/>
  <c r="L79" i="1" s="1"/>
  <c r="M79" i="1" s="1"/>
  <c r="I80" i="1"/>
  <c r="L80" i="1" s="1"/>
  <c r="M80" i="1" s="1"/>
  <c r="I81" i="1"/>
  <c r="L81" i="1" s="1"/>
  <c r="M81" i="1" s="1"/>
  <c r="I82" i="1"/>
  <c r="L82" i="1" s="1"/>
  <c r="M82" i="1" s="1"/>
  <c r="I83" i="1"/>
  <c r="L83" i="1" s="1"/>
  <c r="M83" i="1" s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L89" i="1" s="1"/>
  <c r="M89" i="1" s="1"/>
  <c r="I90" i="1"/>
  <c r="L90" i="1" s="1"/>
  <c r="M90" i="1" s="1"/>
  <c r="I91" i="1"/>
  <c r="L91" i="1" s="1"/>
  <c r="M91" i="1" s="1"/>
  <c r="I92" i="1"/>
  <c r="L92" i="1" s="1"/>
  <c r="M92" i="1" s="1"/>
  <c r="I93" i="1"/>
  <c r="L93" i="1" s="1"/>
  <c r="M93" i="1" s="1"/>
  <c r="I94" i="1"/>
  <c r="L94" i="1" s="1"/>
  <c r="M94" i="1" s="1"/>
  <c r="I95" i="1"/>
  <c r="L95" i="1" s="1"/>
  <c r="M95" i="1" s="1"/>
  <c r="I96" i="1"/>
  <c r="L96" i="1" s="1"/>
  <c r="M96" i="1" s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L112" i="1" s="1"/>
  <c r="M112" i="1" s="1"/>
  <c r="I113" i="1"/>
  <c r="L113" i="1" s="1"/>
  <c r="M113" i="1" s="1"/>
  <c r="I114" i="1"/>
  <c r="L114" i="1" s="1"/>
  <c r="M114" i="1" s="1"/>
  <c r="I115" i="1"/>
  <c r="L115" i="1" s="1"/>
  <c r="M115" i="1" s="1"/>
  <c r="I116" i="1"/>
  <c r="L116" i="1" s="1"/>
  <c r="M116" i="1" s="1"/>
  <c r="I117" i="1"/>
  <c r="L117" i="1" s="1"/>
  <c r="M117" i="1" s="1"/>
  <c r="I118" i="1"/>
  <c r="L118" i="1" s="1"/>
  <c r="M118" i="1" s="1"/>
  <c r="I119" i="1"/>
  <c r="L119" i="1" s="1"/>
  <c r="M119" i="1" s="1"/>
  <c r="I120" i="1"/>
  <c r="I121" i="1"/>
  <c r="L121" i="1" s="1"/>
  <c r="M121" i="1" s="1"/>
  <c r="I122" i="1"/>
  <c r="L122" i="1" s="1"/>
  <c r="M122" i="1" s="1"/>
  <c r="I123" i="1"/>
  <c r="L123" i="1" s="1"/>
  <c r="M123" i="1" s="1"/>
  <c r="I124" i="1"/>
  <c r="L124" i="1" s="1"/>
  <c r="M124" i="1" s="1"/>
  <c r="I125" i="1"/>
  <c r="I126" i="1"/>
  <c r="L126" i="1" s="1"/>
  <c r="M126" i="1" s="1"/>
  <c r="I127" i="1"/>
  <c r="L127" i="1" s="1"/>
  <c r="M127" i="1" s="1"/>
  <c r="I128" i="1"/>
  <c r="L128" i="1" s="1"/>
  <c r="M128" i="1" s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L133" i="1" s="1"/>
  <c r="M133" i="1" s="1"/>
  <c r="I134" i="1"/>
  <c r="L134" i="1" s="1"/>
  <c r="M134" i="1" s="1"/>
  <c r="I135" i="1"/>
  <c r="L135" i="1" s="1"/>
  <c r="M135" i="1" s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L140" i="1" s="1"/>
  <c r="M140" i="1" s="1"/>
  <c r="I141" i="1"/>
  <c r="L141" i="1" s="1"/>
  <c r="M141" i="1" s="1"/>
  <c r="I142" i="1"/>
  <c r="L142" i="1" s="1"/>
  <c r="M142" i="1" s="1"/>
  <c r="I143" i="1"/>
  <c r="L143" i="1" s="1"/>
  <c r="M143" i="1" s="1"/>
  <c r="I144" i="1"/>
  <c r="L144" i="1" s="1"/>
  <c r="M144" i="1" s="1"/>
  <c r="I145" i="1"/>
  <c r="L145" i="1" s="1"/>
  <c r="M145" i="1" s="1"/>
  <c r="I146" i="1"/>
  <c r="L146" i="1" s="1"/>
  <c r="M146" i="1" s="1"/>
  <c r="I147" i="1"/>
  <c r="L147" i="1" s="1"/>
  <c r="M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L160" i="1" s="1"/>
  <c r="M160" i="1" s="1"/>
  <c r="I161" i="1"/>
  <c r="L161" i="1" s="1"/>
  <c r="M161" i="1" s="1"/>
  <c r="I162" i="1"/>
  <c r="L162" i="1" s="1"/>
  <c r="M162" i="1" s="1"/>
  <c r="I163" i="1"/>
  <c r="L163" i="1" s="1"/>
  <c r="M163" i="1" s="1"/>
  <c r="I164" i="1"/>
  <c r="L164" i="1" s="1"/>
  <c r="M164" i="1" s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L173" i="1" s="1"/>
  <c r="M173" i="1" s="1"/>
  <c r="I174" i="1"/>
  <c r="L174" i="1" s="1"/>
  <c r="M174" i="1" s="1"/>
  <c r="I175" i="1"/>
  <c r="L175" i="1" s="1"/>
  <c r="M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L183" i="1" s="1"/>
  <c r="M183" i="1" s="1"/>
  <c r="I184" i="1"/>
  <c r="L184" i="1" s="1"/>
  <c r="M184" i="1" s="1"/>
  <c r="I185" i="1"/>
  <c r="L185" i="1" s="1"/>
  <c r="M185" i="1" s="1"/>
  <c r="I186" i="1"/>
  <c r="L186" i="1" s="1"/>
  <c r="M186" i="1" s="1"/>
  <c r="I187" i="1"/>
  <c r="L187" i="1" s="1"/>
  <c r="M187" i="1" s="1"/>
  <c r="I188" i="1"/>
  <c r="L188" i="1" s="1"/>
  <c r="M188" i="1" s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L193" i="1" s="1"/>
  <c r="M193" i="1" s="1"/>
  <c r="I194" i="1"/>
  <c r="L194" i="1" s="1"/>
  <c r="M194" i="1" s="1"/>
  <c r="I195" i="1"/>
  <c r="L195" i="1" s="1"/>
  <c r="M195" i="1" s="1"/>
  <c r="I196" i="1"/>
  <c r="L196" i="1" s="1"/>
  <c r="M196" i="1" s="1"/>
  <c r="I197" i="1"/>
  <c r="L197" i="1" s="1"/>
  <c r="M197" i="1" s="1"/>
  <c r="I198" i="1"/>
  <c r="L198" i="1" s="1"/>
  <c r="M198" i="1" s="1"/>
  <c r="I199" i="1"/>
  <c r="L199" i="1" s="1"/>
  <c r="M199" i="1" s="1"/>
  <c r="I200" i="1"/>
  <c r="L200" i="1" s="1"/>
  <c r="M200" i="1" s="1"/>
  <c r="I201" i="1"/>
  <c r="L201" i="1" s="1"/>
  <c r="M201" i="1" s="1"/>
  <c r="I202" i="1"/>
  <c r="L202" i="1" s="1"/>
  <c r="M202" i="1" s="1"/>
  <c r="I203" i="1"/>
  <c r="L203" i="1" s="1"/>
  <c r="M203" i="1" s="1"/>
  <c r="I204" i="1"/>
  <c r="L204" i="1" s="1"/>
  <c r="M204" i="1" s="1"/>
  <c r="I205" i="1"/>
  <c r="L205" i="1" s="1"/>
  <c r="M205" i="1" s="1"/>
  <c r="I206" i="1"/>
  <c r="L206" i="1" s="1"/>
  <c r="M206" i="1" s="1"/>
  <c r="I207" i="1"/>
  <c r="L207" i="1" s="1"/>
  <c r="M207" i="1" s="1"/>
  <c r="I208" i="1"/>
  <c r="L208" i="1" s="1"/>
  <c r="M208" i="1" s="1"/>
  <c r="I209" i="1"/>
  <c r="L209" i="1" s="1"/>
  <c r="M209" i="1" s="1"/>
  <c r="I210" i="1"/>
  <c r="L210" i="1" s="1"/>
  <c r="M210" i="1" s="1"/>
  <c r="I211" i="1"/>
  <c r="L211" i="1" s="1"/>
  <c r="M211" i="1" s="1"/>
  <c r="I212" i="1"/>
  <c r="L212" i="1" s="1"/>
  <c r="M212" i="1" s="1"/>
  <c r="I213" i="1"/>
  <c r="L213" i="1" s="1"/>
  <c r="M213" i="1" s="1"/>
  <c r="I214" i="1"/>
  <c r="L214" i="1" s="1"/>
  <c r="M214" i="1" s="1"/>
  <c r="I215" i="1"/>
  <c r="L215" i="1" s="1"/>
  <c r="M215" i="1" s="1"/>
  <c r="I216" i="1"/>
  <c r="L216" i="1" s="1"/>
  <c r="M216" i="1" s="1"/>
  <c r="I217" i="1"/>
  <c r="L217" i="1" s="1"/>
  <c r="M217" i="1" s="1"/>
  <c r="I218" i="1"/>
  <c r="L218" i="1" s="1"/>
  <c r="M218" i="1" s="1"/>
  <c r="I219" i="1"/>
  <c r="L219" i="1" s="1"/>
  <c r="M219" i="1" s="1"/>
  <c r="I220" i="1"/>
  <c r="L220" i="1" s="1"/>
  <c r="M220" i="1" s="1"/>
  <c r="I221" i="1"/>
  <c r="L221" i="1" s="1"/>
  <c r="M221" i="1" s="1"/>
  <c r="I222" i="1"/>
  <c r="L222" i="1" s="1"/>
  <c r="M222" i="1" s="1"/>
  <c r="I223" i="1"/>
  <c r="L223" i="1" s="1"/>
  <c r="M223" i="1" s="1"/>
  <c r="I224" i="1"/>
  <c r="L224" i="1" s="1"/>
  <c r="M224" i="1" s="1"/>
  <c r="I225" i="1"/>
  <c r="L225" i="1" s="1"/>
  <c r="M225" i="1" s="1"/>
  <c r="I226" i="1"/>
  <c r="L226" i="1" s="1"/>
  <c r="M226" i="1" s="1"/>
  <c r="I227" i="1"/>
  <c r="L227" i="1" s="1"/>
  <c r="M227" i="1" s="1"/>
  <c r="I228" i="1"/>
  <c r="L228" i="1" s="1"/>
  <c r="M228" i="1" s="1"/>
  <c r="I229" i="1"/>
  <c r="L229" i="1" s="1"/>
  <c r="M229" i="1" s="1"/>
  <c r="I230" i="1"/>
  <c r="L230" i="1" s="1"/>
  <c r="M230" i="1" s="1"/>
  <c r="I231" i="1"/>
  <c r="L231" i="1" s="1"/>
  <c r="M231" i="1" s="1"/>
  <c r="I232" i="1"/>
  <c r="L232" i="1" s="1"/>
  <c r="M232" i="1" s="1"/>
  <c r="I233" i="1"/>
  <c r="L233" i="1" s="1"/>
  <c r="M233" i="1" s="1"/>
  <c r="I234" i="1"/>
  <c r="L234" i="1" s="1"/>
  <c r="M234" i="1" s="1"/>
  <c r="I235" i="1"/>
  <c r="L235" i="1" s="1"/>
  <c r="M235" i="1" s="1"/>
  <c r="I236" i="1"/>
  <c r="L236" i="1" s="1"/>
  <c r="M236" i="1" s="1"/>
  <c r="I237" i="1"/>
  <c r="L237" i="1" s="1"/>
  <c r="M237" i="1" s="1"/>
  <c r="I238" i="1"/>
  <c r="L238" i="1" s="1"/>
  <c r="M238" i="1" s="1"/>
  <c r="I239" i="1"/>
  <c r="L239" i="1" s="1"/>
  <c r="M239" i="1" s="1"/>
  <c r="I240" i="1"/>
  <c r="L240" i="1" s="1"/>
  <c r="M240" i="1" s="1"/>
  <c r="I241" i="1"/>
  <c r="L241" i="1" s="1"/>
  <c r="M241" i="1" s="1"/>
  <c r="I242" i="1"/>
  <c r="L242" i="1" s="1"/>
  <c r="M242" i="1" s="1"/>
  <c r="I243" i="1"/>
  <c r="L243" i="1" s="1"/>
  <c r="M243" i="1" s="1"/>
  <c r="I244" i="1"/>
  <c r="L244" i="1" s="1"/>
  <c r="M244" i="1" s="1"/>
  <c r="I245" i="1"/>
  <c r="L245" i="1" s="1"/>
  <c r="M245" i="1" s="1"/>
  <c r="I246" i="1"/>
  <c r="L246" i="1" s="1"/>
  <c r="M246" i="1" s="1"/>
  <c r="I247" i="1"/>
  <c r="L247" i="1" s="1"/>
  <c r="M247" i="1" s="1"/>
  <c r="I248" i="1"/>
  <c r="L248" i="1" s="1"/>
  <c r="M248" i="1" s="1"/>
  <c r="I249" i="1"/>
  <c r="L249" i="1" s="1"/>
  <c r="M249" i="1" s="1"/>
  <c r="I250" i="1"/>
  <c r="L250" i="1" s="1"/>
  <c r="M250" i="1" s="1"/>
  <c r="I251" i="1"/>
  <c r="L251" i="1" s="1"/>
  <c r="M251" i="1" s="1"/>
  <c r="I252" i="1"/>
  <c r="L252" i="1" s="1"/>
  <c r="M252" i="1" s="1"/>
  <c r="I253" i="1"/>
  <c r="L253" i="1" s="1"/>
  <c r="M253" i="1" s="1"/>
  <c r="I254" i="1"/>
  <c r="L254" i="1" s="1"/>
  <c r="M254" i="1" s="1"/>
  <c r="I255" i="1"/>
  <c r="L255" i="1" s="1"/>
  <c r="M255" i="1" s="1"/>
  <c r="I256" i="1"/>
  <c r="L256" i="1" s="1"/>
  <c r="M256" i="1" s="1"/>
  <c r="I257" i="1"/>
  <c r="L257" i="1" s="1"/>
  <c r="M257" i="1" s="1"/>
  <c r="I258" i="1"/>
  <c r="L258" i="1" s="1"/>
  <c r="M258" i="1" s="1"/>
  <c r="I259" i="1"/>
  <c r="L259" i="1" s="1"/>
  <c r="M259" i="1" s="1"/>
  <c r="I260" i="1"/>
  <c r="L260" i="1" s="1"/>
  <c r="M260" i="1" s="1"/>
  <c r="I261" i="1"/>
  <c r="L261" i="1" s="1"/>
  <c r="M261" i="1" s="1"/>
  <c r="I262" i="1"/>
  <c r="L262" i="1" s="1"/>
  <c r="M262" i="1" s="1"/>
  <c r="I263" i="1"/>
  <c r="L263" i="1" s="1"/>
  <c r="M263" i="1" s="1"/>
  <c r="I264" i="1"/>
  <c r="L264" i="1" s="1"/>
  <c r="M264" i="1" s="1"/>
  <c r="I265" i="1"/>
  <c r="L265" i="1" s="1"/>
  <c r="M265" i="1" s="1"/>
  <c r="I266" i="1"/>
  <c r="L266" i="1" s="1"/>
  <c r="M266" i="1" s="1"/>
  <c r="I267" i="1"/>
  <c r="L267" i="1" s="1"/>
  <c r="M267" i="1" s="1"/>
  <c r="I268" i="1"/>
  <c r="L268" i="1" s="1"/>
  <c r="M268" i="1" s="1"/>
  <c r="I269" i="1"/>
  <c r="L269" i="1" s="1"/>
  <c r="M269" i="1" s="1"/>
  <c r="I270" i="1"/>
  <c r="L270" i="1" s="1"/>
  <c r="M270" i="1" s="1"/>
  <c r="I271" i="1"/>
  <c r="L271" i="1" s="1"/>
  <c r="M271" i="1" s="1"/>
  <c r="I272" i="1"/>
  <c r="L272" i="1" s="1"/>
  <c r="M272" i="1" s="1"/>
  <c r="I273" i="1"/>
  <c r="L273" i="1" s="1"/>
  <c r="M273" i="1" s="1"/>
  <c r="I274" i="1"/>
  <c r="L274" i="1" s="1"/>
  <c r="M274" i="1" s="1"/>
  <c r="I275" i="1"/>
  <c r="L275" i="1" s="1"/>
  <c r="M275" i="1" s="1"/>
  <c r="I276" i="1"/>
  <c r="L276" i="1" s="1"/>
  <c r="M276" i="1" s="1"/>
  <c r="I277" i="1"/>
  <c r="L277" i="1" s="1"/>
  <c r="M277" i="1" s="1"/>
  <c r="I278" i="1"/>
  <c r="L278" i="1" s="1"/>
  <c r="M278" i="1" s="1"/>
  <c r="I279" i="1"/>
  <c r="L279" i="1" s="1"/>
  <c r="M279" i="1" s="1"/>
  <c r="I280" i="1"/>
  <c r="L280" i="1" s="1"/>
  <c r="M280" i="1" s="1"/>
  <c r="I281" i="1"/>
  <c r="L281" i="1" s="1"/>
  <c r="M281" i="1" s="1"/>
  <c r="I282" i="1"/>
  <c r="L282" i="1" s="1"/>
  <c r="M282" i="1" s="1"/>
  <c r="I283" i="1"/>
  <c r="L283" i="1" s="1"/>
  <c r="M283" i="1" s="1"/>
  <c r="I284" i="1"/>
  <c r="L284" i="1" s="1"/>
  <c r="M284" i="1" s="1"/>
  <c r="I285" i="1"/>
  <c r="L285" i="1" s="1"/>
  <c r="M285" i="1" s="1"/>
  <c r="I286" i="1"/>
  <c r="L286" i="1" s="1"/>
  <c r="M286" i="1" s="1"/>
  <c r="I287" i="1"/>
  <c r="L287" i="1" s="1"/>
  <c r="M287" i="1" s="1"/>
  <c r="I288" i="1"/>
  <c r="L288" i="1" s="1"/>
  <c r="M288" i="1" s="1"/>
  <c r="I289" i="1"/>
  <c r="L289" i="1" s="1"/>
  <c r="M289" i="1" s="1"/>
  <c r="I290" i="1"/>
  <c r="L290" i="1" s="1"/>
  <c r="M290" i="1" s="1"/>
  <c r="I291" i="1"/>
  <c r="L291" i="1" s="1"/>
  <c r="M291" i="1" s="1"/>
  <c r="I292" i="1"/>
  <c r="L292" i="1" s="1"/>
  <c r="M292" i="1" s="1"/>
  <c r="I293" i="1"/>
  <c r="L293" i="1" s="1"/>
  <c r="M293" i="1" s="1"/>
  <c r="I294" i="1"/>
  <c r="L294" i="1" s="1"/>
  <c r="M294" i="1" s="1"/>
  <c r="I295" i="1"/>
  <c r="L295" i="1" s="1"/>
  <c r="M295" i="1" s="1"/>
  <c r="I296" i="1"/>
  <c r="L296" i="1" s="1"/>
  <c r="M296" i="1" s="1"/>
  <c r="I297" i="1"/>
  <c r="L297" i="1" s="1"/>
  <c r="M297" i="1" s="1"/>
  <c r="I298" i="1"/>
  <c r="L298" i="1" s="1"/>
  <c r="M298" i="1" s="1"/>
  <c r="I299" i="1"/>
  <c r="L299" i="1" s="1"/>
  <c r="M299" i="1" s="1"/>
  <c r="I300" i="1"/>
  <c r="L300" i="1" s="1"/>
  <c r="M300" i="1" s="1"/>
  <c r="I301" i="1"/>
  <c r="L301" i="1" s="1"/>
  <c r="M301" i="1" s="1"/>
  <c r="I302" i="1"/>
  <c r="L302" i="1" s="1"/>
  <c r="M302" i="1" s="1"/>
  <c r="I303" i="1"/>
  <c r="I304" i="1"/>
  <c r="L304" i="1" s="1"/>
  <c r="M304" i="1" s="1"/>
  <c r="I305" i="1"/>
  <c r="L305" i="1" s="1"/>
  <c r="M305" i="1" s="1"/>
  <c r="I306" i="1"/>
  <c r="L306" i="1" s="1"/>
  <c r="M306" i="1" s="1"/>
  <c r="I307" i="1"/>
  <c r="L307" i="1" s="1"/>
  <c r="M307" i="1" s="1"/>
  <c r="I308" i="1"/>
  <c r="L308" i="1" s="1"/>
  <c r="M308" i="1" s="1"/>
  <c r="I309" i="1"/>
  <c r="L309" i="1" s="1"/>
  <c r="M309" i="1" s="1"/>
  <c r="I310" i="1"/>
  <c r="L310" i="1" s="1"/>
  <c r="M310" i="1" s="1"/>
  <c r="I311" i="1"/>
  <c r="L311" i="1" s="1"/>
  <c r="M311" i="1" s="1"/>
  <c r="I312" i="1"/>
  <c r="L312" i="1" s="1"/>
  <c r="M312" i="1" s="1"/>
  <c r="I313" i="1"/>
  <c r="L313" i="1" s="1"/>
  <c r="M313" i="1" s="1"/>
  <c r="I314" i="1"/>
  <c r="L314" i="1" s="1"/>
  <c r="M314" i="1" s="1"/>
  <c r="I315" i="1"/>
  <c r="L315" i="1" s="1"/>
  <c r="M315" i="1" s="1"/>
  <c r="I316" i="1"/>
  <c r="L316" i="1" s="1"/>
  <c r="M316" i="1" s="1"/>
  <c r="I317" i="1"/>
  <c r="L317" i="1" s="1"/>
  <c r="M317" i="1" s="1"/>
  <c r="I318" i="1"/>
  <c r="L318" i="1" s="1"/>
  <c r="M318" i="1" s="1"/>
  <c r="I319" i="1"/>
  <c r="L319" i="1" s="1"/>
  <c r="M319" i="1" s="1"/>
  <c r="I320" i="1"/>
  <c r="L320" i="1" s="1"/>
  <c r="M320" i="1" s="1"/>
  <c r="I321" i="1"/>
  <c r="L321" i="1" s="1"/>
  <c r="M321" i="1" s="1"/>
  <c r="I322" i="1"/>
  <c r="L322" i="1" s="1"/>
  <c r="M322" i="1" s="1"/>
  <c r="I323" i="1"/>
  <c r="L323" i="1" s="1"/>
  <c r="M323" i="1" s="1"/>
  <c r="I324" i="1"/>
  <c r="L324" i="1" s="1"/>
  <c r="M324" i="1" s="1"/>
  <c r="I325" i="1"/>
  <c r="L325" i="1" s="1"/>
  <c r="M325" i="1" s="1"/>
  <c r="I326" i="1"/>
  <c r="L326" i="1" s="1"/>
  <c r="M326" i="1" s="1"/>
  <c r="I327" i="1"/>
  <c r="I328" i="1"/>
  <c r="L328" i="1" s="1"/>
  <c r="M328" i="1" s="1"/>
  <c r="I329" i="1"/>
  <c r="L329" i="1" s="1"/>
  <c r="M329" i="1" s="1"/>
  <c r="I330" i="1"/>
  <c r="L330" i="1" s="1"/>
  <c r="M330" i="1" s="1"/>
  <c r="I331" i="1"/>
  <c r="L331" i="1" s="1"/>
  <c r="M331" i="1" s="1"/>
  <c r="I332" i="1"/>
  <c r="I333" i="1"/>
  <c r="L333" i="1" s="1"/>
  <c r="M333" i="1" s="1"/>
  <c r="I334" i="1"/>
  <c r="L334" i="1" s="1"/>
  <c r="M334" i="1" s="1"/>
  <c r="I335" i="1"/>
  <c r="L335" i="1" s="1"/>
  <c r="M335" i="1" s="1"/>
  <c r="I336" i="1"/>
  <c r="L336" i="1" s="1"/>
  <c r="M336" i="1" s="1"/>
  <c r="I337" i="1"/>
  <c r="L337" i="1" s="1"/>
  <c r="M337" i="1" s="1"/>
  <c r="I338" i="1"/>
  <c r="L338" i="1" s="1"/>
  <c r="M338" i="1" s="1"/>
  <c r="I339" i="1"/>
  <c r="L339" i="1" s="1"/>
  <c r="M339" i="1" s="1"/>
  <c r="I340" i="1"/>
  <c r="L340" i="1" s="1"/>
  <c r="M340" i="1" s="1"/>
  <c r="I341" i="1"/>
  <c r="L341" i="1" s="1"/>
  <c r="M341" i="1" s="1"/>
  <c r="I342" i="1"/>
  <c r="L342" i="1" s="1"/>
  <c r="M342" i="1" s="1"/>
  <c r="I343" i="1"/>
  <c r="L343" i="1" s="1"/>
  <c r="M343" i="1" s="1"/>
  <c r="I344" i="1"/>
  <c r="L344" i="1" s="1"/>
  <c r="M344" i="1" s="1"/>
  <c r="I345" i="1"/>
  <c r="L345" i="1" s="1"/>
  <c r="M345" i="1" s="1"/>
  <c r="I346" i="1"/>
  <c r="L346" i="1" s="1"/>
  <c r="M346" i="1" s="1"/>
  <c r="I347" i="1"/>
  <c r="L347" i="1" s="1"/>
  <c r="M347" i="1" s="1"/>
  <c r="I348" i="1"/>
  <c r="L348" i="1" s="1"/>
  <c r="M348" i="1" s="1"/>
  <c r="I349" i="1"/>
  <c r="L349" i="1" s="1"/>
  <c r="M349" i="1" s="1"/>
  <c r="I350" i="1"/>
  <c r="L350" i="1" s="1"/>
  <c r="M350" i="1" s="1"/>
  <c r="I351" i="1"/>
  <c r="L351" i="1" s="1"/>
  <c r="M351" i="1" s="1"/>
  <c r="I352" i="1"/>
  <c r="L352" i="1" s="1"/>
  <c r="M352" i="1" s="1"/>
  <c r="I353" i="1"/>
  <c r="L353" i="1" s="1"/>
  <c r="M353" i="1" s="1"/>
  <c r="I354" i="1"/>
  <c r="L354" i="1" s="1"/>
  <c r="M354" i="1" s="1"/>
  <c r="I355" i="1"/>
  <c r="L355" i="1" s="1"/>
  <c r="M355" i="1" s="1"/>
  <c r="I356" i="1"/>
  <c r="L356" i="1" s="1"/>
  <c r="M356" i="1" s="1"/>
  <c r="I357" i="1"/>
  <c r="L357" i="1" s="1"/>
  <c r="M357" i="1" s="1"/>
  <c r="I358" i="1"/>
  <c r="L358" i="1" s="1"/>
  <c r="M358" i="1" s="1"/>
  <c r="I359" i="1"/>
  <c r="L359" i="1" s="1"/>
  <c r="M359" i="1" s="1"/>
  <c r="I360" i="1"/>
  <c r="L360" i="1" s="1"/>
  <c r="M360" i="1" s="1"/>
  <c r="I361" i="1"/>
  <c r="L361" i="1" s="1"/>
  <c r="M361" i="1" s="1"/>
  <c r="I362" i="1"/>
  <c r="L362" i="1" s="1"/>
  <c r="M362" i="1" s="1"/>
  <c r="I363" i="1"/>
  <c r="L363" i="1" s="1"/>
  <c r="M363" i="1" s="1"/>
  <c r="I364" i="1"/>
  <c r="L364" i="1" s="1"/>
  <c r="M364" i="1" s="1"/>
  <c r="I365" i="1"/>
  <c r="L365" i="1" s="1"/>
  <c r="M365" i="1" s="1"/>
  <c r="I366" i="1"/>
  <c r="L366" i="1" s="1"/>
  <c r="M366" i="1" s="1"/>
  <c r="I367" i="1"/>
  <c r="L367" i="1" s="1"/>
  <c r="M367" i="1" s="1"/>
  <c r="I368" i="1"/>
  <c r="L368" i="1" s="1"/>
  <c r="M368" i="1" s="1"/>
  <c r="I369" i="1"/>
  <c r="L369" i="1" s="1"/>
  <c r="M369" i="1" s="1"/>
  <c r="I370" i="1"/>
  <c r="L370" i="1" s="1"/>
  <c r="M370" i="1" s="1"/>
  <c r="I371" i="1"/>
  <c r="L371" i="1" s="1"/>
  <c r="M371" i="1" s="1"/>
  <c r="I372" i="1"/>
  <c r="L372" i="1" s="1"/>
  <c r="M372" i="1" s="1"/>
  <c r="I373" i="1"/>
  <c r="L373" i="1" s="1"/>
  <c r="M373" i="1" s="1"/>
  <c r="I374" i="1"/>
  <c r="L374" i="1" s="1"/>
  <c r="M374" i="1" s="1"/>
  <c r="I375" i="1"/>
  <c r="L375" i="1" s="1"/>
  <c r="M375" i="1" s="1"/>
  <c r="I376" i="1"/>
  <c r="L376" i="1" s="1"/>
  <c r="M376" i="1" s="1"/>
  <c r="I377" i="1"/>
  <c r="L377" i="1" s="1"/>
  <c r="M377" i="1" s="1"/>
  <c r="I378" i="1"/>
  <c r="L378" i="1" s="1"/>
  <c r="M378" i="1" s="1"/>
  <c r="I379" i="1"/>
  <c r="L379" i="1" s="1"/>
  <c r="M379" i="1" s="1"/>
  <c r="I380" i="1"/>
  <c r="L380" i="1" s="1"/>
  <c r="M380" i="1" s="1"/>
  <c r="I381" i="1"/>
  <c r="L381" i="1" s="1"/>
  <c r="M381" i="1" s="1"/>
  <c r="I382" i="1"/>
  <c r="L382" i="1" s="1"/>
  <c r="M382" i="1" s="1"/>
  <c r="I383" i="1"/>
  <c r="L383" i="1" s="1"/>
  <c r="M383" i="1" s="1"/>
  <c r="I384" i="1"/>
  <c r="I385" i="1"/>
  <c r="L385" i="1" s="1"/>
  <c r="M385" i="1" s="1"/>
  <c r="I386" i="1"/>
  <c r="L386" i="1" s="1"/>
  <c r="M386" i="1" s="1"/>
  <c r="I387" i="1"/>
  <c r="L387" i="1" s="1"/>
  <c r="M387" i="1" s="1"/>
  <c r="I388" i="1"/>
  <c r="L388" i="1" s="1"/>
  <c r="M388" i="1" s="1"/>
  <c r="I389" i="1"/>
  <c r="L389" i="1" s="1"/>
  <c r="M389" i="1" s="1"/>
  <c r="I390" i="1"/>
  <c r="L390" i="1" s="1"/>
  <c r="M390" i="1" s="1"/>
  <c r="I391" i="1"/>
  <c r="L391" i="1" s="1"/>
  <c r="M391" i="1" s="1"/>
  <c r="I392" i="1"/>
  <c r="L392" i="1" s="1"/>
  <c r="M392" i="1" s="1"/>
  <c r="I393" i="1"/>
  <c r="L393" i="1" s="1"/>
  <c r="M393" i="1" s="1"/>
  <c r="I394" i="1"/>
  <c r="L394" i="1" s="1"/>
  <c r="M394" i="1" s="1"/>
  <c r="I395" i="1"/>
  <c r="L395" i="1" s="1"/>
  <c r="M395" i="1" s="1"/>
  <c r="I396" i="1"/>
  <c r="L396" i="1" s="1"/>
  <c r="M396" i="1" s="1"/>
  <c r="I397" i="1"/>
  <c r="L397" i="1" s="1"/>
  <c r="M397" i="1" s="1"/>
  <c r="I398" i="1"/>
  <c r="L398" i="1" s="1"/>
  <c r="M398" i="1" s="1"/>
  <c r="I399" i="1"/>
  <c r="L399" i="1" s="1"/>
  <c r="M399" i="1" s="1"/>
  <c r="I400" i="1"/>
  <c r="L400" i="1" s="1"/>
  <c r="M400" i="1" s="1"/>
  <c r="I401" i="1"/>
  <c r="L401" i="1" s="1"/>
  <c r="M401" i="1" s="1"/>
  <c r="I402" i="1"/>
  <c r="L402" i="1" s="1"/>
  <c r="M402" i="1" s="1"/>
  <c r="I403" i="1"/>
  <c r="L403" i="1" s="1"/>
  <c r="M403" i="1" s="1"/>
  <c r="I404" i="1"/>
  <c r="L404" i="1" s="1"/>
  <c r="M404" i="1" s="1"/>
  <c r="I405" i="1"/>
  <c r="L405" i="1" s="1"/>
  <c r="M405" i="1" s="1"/>
  <c r="I406" i="1"/>
  <c r="L406" i="1" s="1"/>
  <c r="M406" i="1" s="1"/>
  <c r="I407" i="1"/>
  <c r="L407" i="1" s="1"/>
  <c r="M407" i="1" s="1"/>
  <c r="I408" i="1"/>
  <c r="L408" i="1" s="1"/>
  <c r="M408" i="1" s="1"/>
  <c r="I409" i="1"/>
  <c r="L409" i="1" s="1"/>
  <c r="M409" i="1" s="1"/>
  <c r="I410" i="1"/>
  <c r="L410" i="1" s="1"/>
  <c r="M410" i="1" s="1"/>
  <c r="I411" i="1"/>
  <c r="L411" i="1" s="1"/>
  <c r="M411" i="1" s="1"/>
  <c r="I412" i="1"/>
  <c r="L412" i="1" s="1"/>
  <c r="M412" i="1" s="1"/>
  <c r="I413" i="1"/>
  <c r="L413" i="1" s="1"/>
  <c r="M413" i="1" s="1"/>
  <c r="I414" i="1"/>
  <c r="L414" i="1" s="1"/>
  <c r="M414" i="1" s="1"/>
  <c r="I415" i="1"/>
  <c r="L415" i="1" s="1"/>
  <c r="M415" i="1" s="1"/>
  <c r="I416" i="1"/>
  <c r="L416" i="1" s="1"/>
  <c r="M416" i="1" s="1"/>
  <c r="I417" i="1"/>
  <c r="L417" i="1" s="1"/>
  <c r="M417" i="1" s="1"/>
  <c r="I418" i="1"/>
  <c r="L418" i="1" s="1"/>
  <c r="M418" i="1" s="1"/>
  <c r="I419" i="1"/>
  <c r="L419" i="1" s="1"/>
  <c r="M419" i="1" s="1"/>
  <c r="I420" i="1"/>
  <c r="L420" i="1" s="1"/>
  <c r="M420" i="1" s="1"/>
  <c r="I421" i="1"/>
  <c r="L421" i="1" s="1"/>
  <c r="M421" i="1" s="1"/>
  <c r="I422" i="1"/>
  <c r="L422" i="1" s="1"/>
  <c r="M422" i="1" s="1"/>
  <c r="I423" i="1"/>
  <c r="L423" i="1" s="1"/>
  <c r="M423" i="1" s="1"/>
  <c r="I424" i="1"/>
  <c r="L424" i="1" s="1"/>
  <c r="M424" i="1" s="1"/>
  <c r="I425" i="1"/>
  <c r="L425" i="1" s="1"/>
  <c r="M425" i="1" s="1"/>
  <c r="I426" i="1"/>
  <c r="L426" i="1" s="1"/>
  <c r="M426" i="1" s="1"/>
  <c r="I427" i="1"/>
  <c r="L427" i="1" s="1"/>
  <c r="M427" i="1" s="1"/>
  <c r="I428" i="1"/>
  <c r="L428" i="1" s="1"/>
  <c r="M428" i="1" s="1"/>
  <c r="I429" i="1"/>
  <c r="L429" i="1" s="1"/>
  <c r="M429" i="1" s="1"/>
  <c r="I430" i="1"/>
  <c r="L430" i="1" s="1"/>
  <c r="M430" i="1" s="1"/>
  <c r="I431" i="1"/>
  <c r="L431" i="1" s="1"/>
  <c r="M431" i="1" s="1"/>
  <c r="I432" i="1"/>
  <c r="L432" i="1" s="1"/>
  <c r="M432" i="1" s="1"/>
  <c r="I433" i="1"/>
  <c r="L433" i="1" s="1"/>
  <c r="M433" i="1" s="1"/>
  <c r="I434" i="1"/>
  <c r="L434" i="1" s="1"/>
  <c r="M434" i="1" s="1"/>
  <c r="I435" i="1"/>
  <c r="L435" i="1" s="1"/>
  <c r="M435" i="1" s="1"/>
  <c r="I436" i="1"/>
  <c r="L436" i="1" s="1"/>
  <c r="M436" i="1" s="1"/>
  <c r="I437" i="1"/>
  <c r="L437" i="1" s="1"/>
  <c r="M437" i="1" s="1"/>
  <c r="I438" i="1"/>
  <c r="L438" i="1" s="1"/>
  <c r="M438" i="1" s="1"/>
  <c r="I439" i="1"/>
  <c r="L439" i="1" s="1"/>
  <c r="M439" i="1" s="1"/>
  <c r="I440" i="1"/>
  <c r="L440" i="1" s="1"/>
  <c r="M440" i="1" s="1"/>
  <c r="I441" i="1"/>
  <c r="L441" i="1" s="1"/>
  <c r="M441" i="1" s="1"/>
  <c r="I442" i="1"/>
  <c r="L442" i="1" s="1"/>
  <c r="M442" i="1" s="1"/>
  <c r="I443" i="1"/>
  <c r="L443" i="1" s="1"/>
  <c r="M443" i="1" s="1"/>
  <c r="I444" i="1"/>
  <c r="L444" i="1" s="1"/>
  <c r="M444" i="1" s="1"/>
  <c r="I445" i="1"/>
  <c r="L445" i="1" s="1"/>
  <c r="M445" i="1" s="1"/>
  <c r="I446" i="1"/>
  <c r="L446" i="1" s="1"/>
  <c r="M446" i="1" s="1"/>
  <c r="I447" i="1"/>
  <c r="L447" i="1" s="1"/>
  <c r="M447" i="1" s="1"/>
  <c r="I448" i="1"/>
  <c r="L448" i="1" s="1"/>
  <c r="M448" i="1" s="1"/>
  <c r="I449" i="1"/>
  <c r="L449" i="1" s="1"/>
  <c r="M449" i="1" s="1"/>
  <c r="I450" i="1"/>
  <c r="L450" i="1" s="1"/>
  <c r="M450" i="1" s="1"/>
  <c r="I451" i="1"/>
  <c r="L451" i="1" s="1"/>
  <c r="M451" i="1" s="1"/>
  <c r="I452" i="1"/>
  <c r="L452" i="1" s="1"/>
  <c r="M452" i="1" s="1"/>
  <c r="I453" i="1"/>
  <c r="L453" i="1" s="1"/>
  <c r="M453" i="1" s="1"/>
  <c r="I454" i="1"/>
  <c r="L454" i="1" s="1"/>
  <c r="M454" i="1" s="1"/>
  <c r="I455" i="1"/>
  <c r="L455" i="1" s="1"/>
  <c r="M455" i="1" s="1"/>
  <c r="I456" i="1"/>
  <c r="L456" i="1" s="1"/>
  <c r="M456" i="1" s="1"/>
  <c r="I457" i="1"/>
  <c r="L457" i="1" s="1"/>
  <c r="M457" i="1" s="1"/>
  <c r="I458" i="1"/>
  <c r="L458" i="1" s="1"/>
  <c r="M458" i="1" s="1"/>
  <c r="I459" i="1"/>
  <c r="L459" i="1" s="1"/>
  <c r="M459" i="1" s="1"/>
  <c r="I460" i="1"/>
  <c r="L460" i="1" s="1"/>
  <c r="M460" i="1" s="1"/>
  <c r="I461" i="1"/>
  <c r="L461" i="1" s="1"/>
  <c r="M461" i="1" s="1"/>
  <c r="I462" i="1"/>
  <c r="L462" i="1" s="1"/>
  <c r="M462" i="1" s="1"/>
  <c r="I463" i="1"/>
  <c r="L463" i="1" s="1"/>
  <c r="M463" i="1" s="1"/>
  <c r="I464" i="1"/>
  <c r="L464" i="1" s="1"/>
  <c r="M464" i="1" s="1"/>
  <c r="I465" i="1"/>
  <c r="L465" i="1" s="1"/>
  <c r="M465" i="1" s="1"/>
  <c r="I466" i="1"/>
  <c r="L466" i="1" s="1"/>
  <c r="M466" i="1" s="1"/>
  <c r="I467" i="1"/>
  <c r="L467" i="1" s="1"/>
  <c r="M467" i="1" s="1"/>
  <c r="I468" i="1"/>
  <c r="L468" i="1" s="1"/>
  <c r="M468" i="1" s="1"/>
  <c r="I469" i="1"/>
  <c r="L469" i="1" s="1"/>
  <c r="M469" i="1" s="1"/>
  <c r="I470" i="1"/>
  <c r="L470" i="1" s="1"/>
  <c r="M470" i="1" s="1"/>
  <c r="I471" i="1"/>
  <c r="L471" i="1" s="1"/>
  <c r="M471" i="1" s="1"/>
  <c r="I472" i="1"/>
  <c r="L472" i="1" s="1"/>
  <c r="M472" i="1" s="1"/>
  <c r="I473" i="1"/>
  <c r="L473" i="1" s="1"/>
  <c r="M473" i="1" s="1"/>
  <c r="I474" i="1"/>
  <c r="L474" i="1" s="1"/>
  <c r="M474" i="1" s="1"/>
  <c r="I475" i="1"/>
  <c r="L475" i="1" s="1"/>
  <c r="M475" i="1" s="1"/>
  <c r="I476" i="1"/>
  <c r="L476" i="1" s="1"/>
  <c r="M476" i="1" s="1"/>
  <c r="I477" i="1"/>
  <c r="L477" i="1" s="1"/>
  <c r="M477" i="1" s="1"/>
  <c r="I478" i="1"/>
  <c r="L478" i="1" s="1"/>
  <c r="M478" i="1" s="1"/>
  <c r="I479" i="1"/>
  <c r="L479" i="1" s="1"/>
  <c r="M479" i="1" s="1"/>
  <c r="I480" i="1"/>
  <c r="L480" i="1" s="1"/>
  <c r="M480" i="1" s="1"/>
  <c r="I481" i="1"/>
  <c r="L481" i="1" s="1"/>
  <c r="M481" i="1" s="1"/>
  <c r="I482" i="1"/>
  <c r="L482" i="1" s="1"/>
  <c r="M482" i="1" s="1"/>
  <c r="I483" i="1"/>
  <c r="L483" i="1" s="1"/>
  <c r="M483" i="1" s="1"/>
  <c r="I484" i="1"/>
  <c r="L484" i="1" s="1"/>
  <c r="M484" i="1" s="1"/>
  <c r="I485" i="1"/>
  <c r="L485" i="1" s="1"/>
  <c r="M485" i="1" s="1"/>
  <c r="I486" i="1"/>
  <c r="L486" i="1" s="1"/>
  <c r="M486" i="1" s="1"/>
  <c r="I487" i="1"/>
  <c r="L487" i="1" s="1"/>
  <c r="M487" i="1" s="1"/>
  <c r="I488" i="1"/>
  <c r="L488" i="1" s="1"/>
  <c r="M488" i="1" s="1"/>
  <c r="I489" i="1"/>
  <c r="L489" i="1" s="1"/>
  <c r="M489" i="1" s="1"/>
  <c r="I490" i="1"/>
  <c r="L490" i="1" s="1"/>
  <c r="M490" i="1" s="1"/>
  <c r="I491" i="1"/>
  <c r="L491" i="1" s="1"/>
  <c r="M491" i="1" s="1"/>
  <c r="I492" i="1"/>
  <c r="L492" i="1" s="1"/>
  <c r="M492" i="1" s="1"/>
  <c r="I493" i="1"/>
  <c r="L493" i="1" s="1"/>
  <c r="M493" i="1" s="1"/>
  <c r="I494" i="1"/>
  <c r="L494" i="1" s="1"/>
  <c r="M494" i="1" s="1"/>
  <c r="I495" i="1"/>
  <c r="L495" i="1" s="1"/>
  <c r="M495" i="1" s="1"/>
  <c r="I496" i="1"/>
  <c r="L496" i="1" s="1"/>
  <c r="M496" i="1" s="1"/>
  <c r="I497" i="1"/>
  <c r="L497" i="1" s="1"/>
  <c r="M497" i="1" s="1"/>
  <c r="I498" i="1"/>
  <c r="L498" i="1" s="1"/>
  <c r="M498" i="1" s="1"/>
  <c r="I499" i="1"/>
  <c r="L499" i="1" s="1"/>
  <c r="M499" i="1" s="1"/>
  <c r="I500" i="1"/>
  <c r="L500" i="1" s="1"/>
  <c r="M500" i="1" s="1"/>
  <c r="I501" i="1"/>
  <c r="L501" i="1" s="1"/>
  <c r="M501" i="1" s="1"/>
  <c r="I502" i="1"/>
  <c r="L502" i="1" s="1"/>
  <c r="M502" i="1" s="1"/>
  <c r="I503" i="1"/>
  <c r="L503" i="1" s="1"/>
  <c r="M503" i="1" s="1"/>
  <c r="I504" i="1"/>
  <c r="L504" i="1" s="1"/>
  <c r="M504" i="1" s="1"/>
  <c r="I505" i="1"/>
  <c r="L505" i="1" s="1"/>
  <c r="M505" i="1" s="1"/>
  <c r="I506" i="1"/>
  <c r="L506" i="1" s="1"/>
  <c r="M506" i="1" s="1"/>
  <c r="I507" i="1"/>
  <c r="L507" i="1" s="1"/>
  <c r="M507" i="1" s="1"/>
  <c r="I508" i="1"/>
  <c r="L508" i="1" s="1"/>
  <c r="M508" i="1" s="1"/>
  <c r="I509" i="1"/>
  <c r="L509" i="1" s="1"/>
  <c r="M509" i="1" s="1"/>
  <c r="I510" i="1"/>
  <c r="L510" i="1" s="1"/>
  <c r="M510" i="1" s="1"/>
  <c r="I511" i="1"/>
  <c r="L511" i="1" s="1"/>
  <c r="M511" i="1" s="1"/>
  <c r="I512" i="1"/>
  <c r="L512" i="1" s="1"/>
  <c r="M512" i="1" s="1"/>
  <c r="I513" i="1"/>
  <c r="L513" i="1" s="1"/>
  <c r="M513" i="1" s="1"/>
  <c r="I514" i="1"/>
  <c r="L514" i="1" s="1"/>
  <c r="M514" i="1" s="1"/>
  <c r="I515" i="1"/>
  <c r="L515" i="1" s="1"/>
  <c r="M515" i="1" s="1"/>
  <c r="I516" i="1"/>
  <c r="L516" i="1" s="1"/>
  <c r="M516" i="1" s="1"/>
  <c r="I517" i="1"/>
  <c r="L517" i="1" s="1"/>
  <c r="M517" i="1" s="1"/>
  <c r="I518" i="1"/>
  <c r="L518" i="1" s="1"/>
  <c r="M518" i="1" s="1"/>
  <c r="I519" i="1"/>
  <c r="L519" i="1" s="1"/>
  <c r="M519" i="1" s="1"/>
  <c r="I520" i="1"/>
  <c r="L520" i="1" s="1"/>
  <c r="M520" i="1" s="1"/>
  <c r="I521" i="1"/>
  <c r="L521" i="1" s="1"/>
  <c r="M521" i="1" s="1"/>
  <c r="I522" i="1"/>
  <c r="L522" i="1" s="1"/>
  <c r="M522" i="1" s="1"/>
  <c r="I523" i="1"/>
  <c r="L523" i="1" s="1"/>
  <c r="M523" i="1" s="1"/>
  <c r="I524" i="1"/>
  <c r="L524" i="1" s="1"/>
  <c r="M524" i="1" s="1"/>
  <c r="I525" i="1"/>
  <c r="L525" i="1" s="1"/>
  <c r="M525" i="1" s="1"/>
  <c r="I526" i="1"/>
  <c r="L526" i="1" s="1"/>
  <c r="M526" i="1" s="1"/>
  <c r="I527" i="1"/>
  <c r="L527" i="1" s="1"/>
  <c r="M527" i="1" s="1"/>
  <c r="I528" i="1"/>
  <c r="L528" i="1" s="1"/>
  <c r="M528" i="1" s="1"/>
  <c r="I529" i="1"/>
  <c r="L529" i="1" s="1"/>
  <c r="M529" i="1" s="1"/>
  <c r="I530" i="1"/>
  <c r="I531" i="1"/>
  <c r="L531" i="1" s="1"/>
  <c r="M531" i="1" s="1"/>
  <c r="I532" i="1"/>
  <c r="L532" i="1" s="1"/>
  <c r="M532" i="1" s="1"/>
  <c r="I533" i="1"/>
  <c r="L533" i="1" s="1"/>
  <c r="M533" i="1" s="1"/>
  <c r="I534" i="1"/>
  <c r="L534" i="1" s="1"/>
  <c r="M534" i="1" s="1"/>
  <c r="I535" i="1"/>
  <c r="I536" i="1"/>
  <c r="L536" i="1" s="1"/>
  <c r="M536" i="1" s="1"/>
  <c r="I537" i="1"/>
  <c r="L537" i="1" s="1"/>
  <c r="M537" i="1" s="1"/>
  <c r="I538" i="1"/>
  <c r="L538" i="1" s="1"/>
  <c r="M538" i="1" s="1"/>
  <c r="I539" i="1"/>
  <c r="L539" i="1" s="1"/>
  <c r="M539" i="1" s="1"/>
  <c r="I540" i="1"/>
  <c r="L540" i="1" s="1"/>
  <c r="M540" i="1" s="1"/>
  <c r="I541" i="1"/>
  <c r="L541" i="1" s="1"/>
  <c r="M541" i="1" s="1"/>
  <c r="I542" i="1"/>
  <c r="L542" i="1" s="1"/>
  <c r="M542" i="1" s="1"/>
  <c r="I543" i="1"/>
  <c r="L543" i="1" s="1"/>
  <c r="M543" i="1" s="1"/>
  <c r="I544" i="1"/>
  <c r="L544" i="1" s="1"/>
  <c r="M544" i="1" s="1"/>
  <c r="I545" i="1"/>
  <c r="L545" i="1" s="1"/>
  <c r="M545" i="1" s="1"/>
  <c r="I546" i="1"/>
  <c r="L546" i="1" s="1"/>
  <c r="M546" i="1" s="1"/>
  <c r="I547" i="1"/>
  <c r="L547" i="1" s="1"/>
  <c r="M547" i="1" s="1"/>
  <c r="I548" i="1"/>
  <c r="L548" i="1" s="1"/>
  <c r="M548" i="1" s="1"/>
  <c r="I549" i="1"/>
  <c r="L549" i="1" s="1"/>
  <c r="M549" i="1" s="1"/>
  <c r="I550" i="1"/>
  <c r="L550" i="1" s="1"/>
  <c r="M550" i="1" s="1"/>
  <c r="I551" i="1"/>
  <c r="L551" i="1" s="1"/>
  <c r="M551" i="1" s="1"/>
  <c r="I552" i="1"/>
  <c r="L552" i="1" s="1"/>
  <c r="M552" i="1" s="1"/>
  <c r="I553" i="1"/>
  <c r="L553" i="1" s="1"/>
  <c r="M553" i="1" s="1"/>
  <c r="I554" i="1"/>
  <c r="L554" i="1" s="1"/>
  <c r="M554" i="1" s="1"/>
  <c r="I555" i="1"/>
  <c r="L555" i="1" s="1"/>
  <c r="M555" i="1" s="1"/>
  <c r="I556" i="1"/>
  <c r="L556" i="1" s="1"/>
  <c r="M556" i="1" s="1"/>
  <c r="I557" i="1"/>
  <c r="L557" i="1" s="1"/>
  <c r="M557" i="1" s="1"/>
  <c r="I558" i="1"/>
  <c r="L558" i="1" s="1"/>
  <c r="M558" i="1" s="1"/>
  <c r="I559" i="1"/>
  <c r="L559" i="1" s="1"/>
  <c r="M559" i="1" s="1"/>
  <c r="I560" i="1"/>
  <c r="L560" i="1" s="1"/>
  <c r="M560" i="1" s="1"/>
  <c r="I561" i="1"/>
  <c r="L561" i="1" s="1"/>
  <c r="M561" i="1" s="1"/>
  <c r="I562" i="1"/>
  <c r="L562" i="1" s="1"/>
  <c r="M562" i="1" s="1"/>
  <c r="I563" i="1"/>
  <c r="L563" i="1" s="1"/>
  <c r="M563" i="1" s="1"/>
  <c r="I564" i="1"/>
  <c r="L564" i="1" s="1"/>
  <c r="M564" i="1" s="1"/>
  <c r="I565" i="1"/>
  <c r="L565" i="1" s="1"/>
  <c r="M565" i="1" s="1"/>
  <c r="I566" i="1"/>
  <c r="L566" i="1" s="1"/>
  <c r="M566" i="1" s="1"/>
  <c r="I567" i="1"/>
  <c r="L567" i="1" s="1"/>
  <c r="M567" i="1" s="1"/>
  <c r="I568" i="1"/>
  <c r="L568" i="1" s="1"/>
  <c r="M568" i="1" s="1"/>
  <c r="I569" i="1"/>
  <c r="L569" i="1" s="1"/>
  <c r="M569" i="1" s="1"/>
  <c r="I570" i="1"/>
  <c r="L570" i="1" s="1"/>
  <c r="M570" i="1" s="1"/>
  <c r="I571" i="1"/>
  <c r="L571" i="1" s="1"/>
  <c r="M571" i="1" s="1"/>
  <c r="I572" i="1"/>
  <c r="L572" i="1" s="1"/>
  <c r="M572" i="1" s="1"/>
  <c r="I573" i="1"/>
  <c r="L573" i="1" s="1"/>
  <c r="M573" i="1" s="1"/>
  <c r="I574" i="1"/>
  <c r="L574" i="1" s="1"/>
  <c r="M574" i="1" s="1"/>
  <c r="I575" i="1"/>
  <c r="L575" i="1" s="1"/>
  <c r="M575" i="1" s="1"/>
  <c r="I576" i="1"/>
  <c r="L576" i="1" s="1"/>
  <c r="M576" i="1" s="1"/>
  <c r="I577" i="1"/>
  <c r="L577" i="1" s="1"/>
  <c r="M577" i="1" s="1"/>
  <c r="I578" i="1"/>
  <c r="L578" i="1" s="1"/>
  <c r="M578" i="1" s="1"/>
  <c r="I579" i="1"/>
  <c r="L579" i="1" s="1"/>
  <c r="M579" i="1" s="1"/>
  <c r="I580" i="1"/>
  <c r="L580" i="1" s="1"/>
  <c r="M580" i="1" s="1"/>
  <c r="I581" i="1"/>
  <c r="L581" i="1" s="1"/>
  <c r="M581" i="1" s="1"/>
  <c r="I582" i="1"/>
  <c r="L582" i="1" s="1"/>
  <c r="M582" i="1" s="1"/>
  <c r="I583" i="1"/>
  <c r="L583" i="1" s="1"/>
  <c r="M583" i="1" s="1"/>
  <c r="I584" i="1"/>
  <c r="L584" i="1" s="1"/>
  <c r="M584" i="1" s="1"/>
  <c r="I585" i="1"/>
  <c r="L585" i="1" s="1"/>
  <c r="M585" i="1" s="1"/>
  <c r="I586" i="1"/>
  <c r="L586" i="1" s="1"/>
  <c r="M586" i="1" s="1"/>
  <c r="I587" i="1"/>
  <c r="L587" i="1" s="1"/>
  <c r="M587" i="1" s="1"/>
  <c r="I588" i="1"/>
  <c r="L588" i="1" s="1"/>
  <c r="M588" i="1" s="1"/>
  <c r="I589" i="1"/>
  <c r="L589" i="1" s="1"/>
  <c r="M589" i="1" s="1"/>
  <c r="I590" i="1"/>
  <c r="L590" i="1" s="1"/>
  <c r="M590" i="1" s="1"/>
  <c r="I591" i="1"/>
  <c r="L591" i="1" s="1"/>
  <c r="M591" i="1" s="1"/>
  <c r="I592" i="1"/>
  <c r="L592" i="1" s="1"/>
  <c r="M592" i="1" s="1"/>
  <c r="I593" i="1"/>
  <c r="L593" i="1" s="1"/>
  <c r="M593" i="1" s="1"/>
  <c r="I594" i="1"/>
  <c r="L594" i="1" s="1"/>
  <c r="M594" i="1" s="1"/>
  <c r="I595" i="1"/>
  <c r="L595" i="1" s="1"/>
  <c r="M595" i="1" s="1"/>
  <c r="I596" i="1"/>
  <c r="L596" i="1" s="1"/>
  <c r="M596" i="1" s="1"/>
  <c r="I597" i="1"/>
  <c r="L597" i="1" s="1"/>
  <c r="M597" i="1" s="1"/>
  <c r="I598" i="1"/>
  <c r="L598" i="1" s="1"/>
  <c r="M598" i="1" s="1"/>
  <c r="I599" i="1"/>
  <c r="L599" i="1" s="1"/>
  <c r="M599" i="1" s="1"/>
  <c r="I600" i="1"/>
  <c r="L600" i="1" s="1"/>
  <c r="M600" i="1" s="1"/>
  <c r="I601" i="1"/>
  <c r="L601" i="1" s="1"/>
  <c r="M601" i="1" s="1"/>
  <c r="I602" i="1"/>
  <c r="L602" i="1" s="1"/>
  <c r="M602" i="1" s="1"/>
  <c r="I603" i="1"/>
  <c r="L603" i="1" s="1"/>
  <c r="M603" i="1" s="1"/>
  <c r="I604" i="1"/>
  <c r="L604" i="1" s="1"/>
  <c r="M604" i="1" s="1"/>
  <c r="I605" i="1"/>
  <c r="L605" i="1" s="1"/>
  <c r="M605" i="1" s="1"/>
  <c r="I606" i="1"/>
  <c r="L606" i="1" s="1"/>
  <c r="M606" i="1" s="1"/>
  <c r="I607" i="1"/>
  <c r="L607" i="1" s="1"/>
  <c r="M607" i="1" s="1"/>
  <c r="I608" i="1"/>
  <c r="L608" i="1" s="1"/>
  <c r="M608" i="1" s="1"/>
  <c r="I609" i="1"/>
  <c r="L609" i="1" s="1"/>
  <c r="M609" i="1" s="1"/>
  <c r="I610" i="1"/>
  <c r="L610" i="1" s="1"/>
  <c r="M610" i="1" s="1"/>
  <c r="I611" i="1"/>
  <c r="L611" i="1" s="1"/>
  <c r="M611" i="1" s="1"/>
  <c r="I612" i="1"/>
  <c r="L612" i="1" s="1"/>
  <c r="M612" i="1" s="1"/>
  <c r="I613" i="1"/>
  <c r="L613" i="1" s="1"/>
  <c r="M613" i="1" s="1"/>
  <c r="I614" i="1"/>
  <c r="L614" i="1" s="1"/>
  <c r="M614" i="1" s="1"/>
  <c r="I615" i="1"/>
  <c r="L615" i="1" s="1"/>
  <c r="M615" i="1" s="1"/>
  <c r="I616" i="1"/>
  <c r="L616" i="1" s="1"/>
  <c r="M616" i="1" s="1"/>
  <c r="I617" i="1"/>
  <c r="L617" i="1" s="1"/>
  <c r="M617" i="1" s="1"/>
  <c r="I618" i="1"/>
  <c r="L618" i="1" s="1"/>
  <c r="M618" i="1" s="1"/>
  <c r="I619" i="1"/>
  <c r="L619" i="1" s="1"/>
  <c r="M619" i="1" s="1"/>
  <c r="I620" i="1"/>
  <c r="L620" i="1" s="1"/>
  <c r="M620" i="1" s="1"/>
  <c r="I621" i="1"/>
  <c r="L621" i="1" s="1"/>
  <c r="M621" i="1" s="1"/>
  <c r="I622" i="1"/>
  <c r="L622" i="1" s="1"/>
  <c r="M622" i="1" s="1"/>
  <c r="I623" i="1"/>
  <c r="L623" i="1" s="1"/>
  <c r="M623" i="1" s="1"/>
  <c r="I624" i="1"/>
  <c r="L624" i="1" s="1"/>
  <c r="M624" i="1" s="1"/>
  <c r="I625" i="1"/>
  <c r="L625" i="1" s="1"/>
  <c r="M625" i="1" s="1"/>
  <c r="I626" i="1"/>
  <c r="L626" i="1" s="1"/>
  <c r="M626" i="1" s="1"/>
  <c r="I627" i="1"/>
  <c r="L627" i="1" s="1"/>
  <c r="M627" i="1" s="1"/>
  <c r="I628" i="1"/>
  <c r="L628" i="1" s="1"/>
  <c r="M628" i="1" s="1"/>
  <c r="I629" i="1"/>
  <c r="L629" i="1" s="1"/>
  <c r="M629" i="1" s="1"/>
  <c r="I630" i="1"/>
  <c r="L630" i="1" s="1"/>
  <c r="M630" i="1" s="1"/>
  <c r="I631" i="1"/>
  <c r="L631" i="1" s="1"/>
  <c r="M631" i="1" s="1"/>
  <c r="I632" i="1"/>
  <c r="L632" i="1" s="1"/>
  <c r="M632" i="1" s="1"/>
  <c r="I633" i="1"/>
  <c r="L633" i="1" s="1"/>
  <c r="M633" i="1" s="1"/>
  <c r="I634" i="1"/>
  <c r="L634" i="1" s="1"/>
  <c r="M634" i="1" s="1"/>
  <c r="I635" i="1"/>
  <c r="L635" i="1" s="1"/>
  <c r="M635" i="1" s="1"/>
  <c r="I636" i="1"/>
  <c r="L636" i="1" s="1"/>
  <c r="M636" i="1" s="1"/>
  <c r="I637" i="1"/>
  <c r="L637" i="1" s="1"/>
  <c r="M637" i="1" s="1"/>
  <c r="I638" i="1"/>
  <c r="L638" i="1" s="1"/>
  <c r="M638" i="1" s="1"/>
  <c r="I639" i="1"/>
  <c r="L639" i="1" s="1"/>
  <c r="M639" i="1" s="1"/>
  <c r="I640" i="1"/>
  <c r="L640" i="1" s="1"/>
  <c r="M640" i="1" s="1"/>
  <c r="I641" i="1"/>
  <c r="L641" i="1" s="1"/>
  <c r="M641" i="1" s="1"/>
  <c r="I642" i="1"/>
  <c r="L642" i="1" s="1"/>
  <c r="M642" i="1" s="1"/>
  <c r="I643" i="1"/>
  <c r="L643" i="1" s="1"/>
  <c r="M643" i="1" s="1"/>
  <c r="I644" i="1"/>
  <c r="L644" i="1" s="1"/>
  <c r="M644" i="1" s="1"/>
  <c r="I645" i="1"/>
  <c r="L645" i="1" s="1"/>
  <c r="M645" i="1" s="1"/>
  <c r="I646" i="1"/>
  <c r="L646" i="1" s="1"/>
  <c r="M646" i="1" s="1"/>
  <c r="I647" i="1"/>
  <c r="L647" i="1" s="1"/>
  <c r="M647" i="1" s="1"/>
  <c r="I648" i="1"/>
  <c r="L648" i="1" s="1"/>
  <c r="M648" i="1" s="1"/>
  <c r="I649" i="1"/>
  <c r="L649" i="1" s="1"/>
  <c r="M649" i="1" s="1"/>
  <c r="I650" i="1"/>
  <c r="L650" i="1" s="1"/>
  <c r="M650" i="1" s="1"/>
  <c r="I651" i="1"/>
  <c r="L651" i="1" s="1"/>
  <c r="M651" i="1" s="1"/>
  <c r="I652" i="1"/>
  <c r="L652" i="1" s="1"/>
  <c r="M652" i="1" s="1"/>
  <c r="I653" i="1"/>
  <c r="L653" i="1" s="1"/>
  <c r="M653" i="1" s="1"/>
  <c r="I654" i="1"/>
  <c r="L654" i="1" s="1"/>
  <c r="M654" i="1" s="1"/>
  <c r="I655" i="1"/>
  <c r="L655" i="1" s="1"/>
  <c r="M655" i="1" s="1"/>
  <c r="I656" i="1"/>
  <c r="L656" i="1" s="1"/>
  <c r="M656" i="1" s="1"/>
  <c r="I657" i="1"/>
  <c r="L657" i="1" s="1"/>
  <c r="M657" i="1" s="1"/>
  <c r="I658" i="1"/>
  <c r="L658" i="1" s="1"/>
  <c r="M658" i="1" s="1"/>
  <c r="I659" i="1"/>
  <c r="L659" i="1" s="1"/>
  <c r="M659" i="1" s="1"/>
  <c r="I660" i="1"/>
  <c r="L660" i="1" s="1"/>
  <c r="M660" i="1" s="1"/>
  <c r="I661" i="1"/>
  <c r="L661" i="1" s="1"/>
  <c r="M661" i="1" s="1"/>
  <c r="I662" i="1"/>
  <c r="L662" i="1" s="1"/>
  <c r="M662" i="1" s="1"/>
  <c r="I663" i="1"/>
  <c r="L663" i="1" s="1"/>
  <c r="M663" i="1" s="1"/>
  <c r="I664" i="1"/>
  <c r="L664" i="1" s="1"/>
  <c r="M664" i="1" s="1"/>
  <c r="I665" i="1"/>
  <c r="L665" i="1" s="1"/>
  <c r="M665" i="1" s="1"/>
  <c r="I666" i="1"/>
  <c r="L666" i="1" s="1"/>
  <c r="M666" i="1" s="1"/>
  <c r="I667" i="1"/>
  <c r="L667" i="1" s="1"/>
  <c r="M667" i="1" s="1"/>
  <c r="I668" i="1"/>
  <c r="L668" i="1" s="1"/>
  <c r="M668" i="1" s="1"/>
  <c r="I669" i="1"/>
  <c r="L669" i="1" s="1"/>
  <c r="M669" i="1" s="1"/>
  <c r="I670" i="1"/>
  <c r="L670" i="1" s="1"/>
  <c r="M670" i="1" s="1"/>
  <c r="I671" i="1"/>
  <c r="L671" i="1" s="1"/>
  <c r="M671" i="1" s="1"/>
  <c r="I672" i="1"/>
  <c r="L672" i="1" s="1"/>
  <c r="M672" i="1" s="1"/>
  <c r="I673" i="1"/>
  <c r="L673" i="1" s="1"/>
  <c r="M673" i="1" s="1"/>
  <c r="I674" i="1"/>
  <c r="L674" i="1" s="1"/>
  <c r="M674" i="1" s="1"/>
  <c r="I675" i="1"/>
  <c r="L675" i="1" s="1"/>
  <c r="M675" i="1" s="1"/>
  <c r="I676" i="1"/>
  <c r="L676" i="1" s="1"/>
  <c r="M676" i="1" s="1"/>
  <c r="I677" i="1"/>
  <c r="L677" i="1" s="1"/>
  <c r="M677" i="1" s="1"/>
  <c r="I678" i="1"/>
  <c r="L678" i="1" s="1"/>
  <c r="M678" i="1" s="1"/>
  <c r="I679" i="1"/>
  <c r="L679" i="1" s="1"/>
  <c r="M679" i="1" s="1"/>
  <c r="I680" i="1"/>
  <c r="L680" i="1" s="1"/>
  <c r="M680" i="1" s="1"/>
  <c r="I681" i="1"/>
  <c r="L681" i="1" s="1"/>
  <c r="M681" i="1" s="1"/>
  <c r="I682" i="1"/>
  <c r="L682" i="1" s="1"/>
  <c r="M682" i="1" s="1"/>
  <c r="I683" i="1"/>
  <c r="L683" i="1" s="1"/>
  <c r="M683" i="1" s="1"/>
  <c r="I684" i="1"/>
  <c r="L684" i="1" s="1"/>
  <c r="M684" i="1" s="1"/>
  <c r="I685" i="1"/>
  <c r="L685" i="1" s="1"/>
  <c r="M685" i="1" s="1"/>
  <c r="I686" i="1"/>
  <c r="L686" i="1" s="1"/>
  <c r="M686" i="1" s="1"/>
  <c r="I687" i="1"/>
  <c r="L687" i="1" s="1"/>
  <c r="M687" i="1" s="1"/>
  <c r="I688" i="1"/>
  <c r="L688" i="1" s="1"/>
  <c r="M688" i="1" s="1"/>
  <c r="I689" i="1"/>
  <c r="L689" i="1" s="1"/>
  <c r="M689" i="1" s="1"/>
  <c r="I690" i="1"/>
  <c r="L690" i="1" s="1"/>
  <c r="M690" i="1" s="1"/>
  <c r="I691" i="1"/>
  <c r="L691" i="1" s="1"/>
  <c r="M691" i="1" s="1"/>
  <c r="I692" i="1"/>
  <c r="L692" i="1" s="1"/>
  <c r="M692" i="1" s="1"/>
  <c r="I693" i="1"/>
  <c r="L693" i="1" s="1"/>
  <c r="M693" i="1" s="1"/>
  <c r="I694" i="1"/>
  <c r="L694" i="1" s="1"/>
  <c r="M694" i="1" s="1"/>
  <c r="I695" i="1"/>
  <c r="L695" i="1" s="1"/>
  <c r="M695" i="1" s="1"/>
  <c r="I696" i="1"/>
  <c r="L696" i="1" s="1"/>
  <c r="M696" i="1" s="1"/>
  <c r="I697" i="1"/>
  <c r="L697" i="1" s="1"/>
  <c r="M697" i="1" s="1"/>
  <c r="I698" i="1"/>
  <c r="L698" i="1" s="1"/>
  <c r="M698" i="1" s="1"/>
  <c r="I699" i="1"/>
  <c r="L699" i="1" s="1"/>
  <c r="M699" i="1" s="1"/>
  <c r="I700" i="1"/>
  <c r="L700" i="1" s="1"/>
  <c r="M700" i="1" s="1"/>
  <c r="I701" i="1"/>
  <c r="L701" i="1" s="1"/>
  <c r="M701" i="1" s="1"/>
  <c r="I702" i="1"/>
  <c r="L702" i="1" s="1"/>
  <c r="M702" i="1" s="1"/>
  <c r="I703" i="1"/>
  <c r="L703" i="1" s="1"/>
  <c r="M703" i="1" s="1"/>
  <c r="I704" i="1"/>
  <c r="L704" i="1" s="1"/>
  <c r="M704" i="1" s="1"/>
  <c r="I705" i="1"/>
  <c r="L705" i="1" s="1"/>
  <c r="M705" i="1" s="1"/>
  <c r="I706" i="1"/>
  <c r="L706" i="1" s="1"/>
  <c r="M706" i="1" s="1"/>
  <c r="I707" i="1"/>
  <c r="L707" i="1" s="1"/>
  <c r="M707" i="1" s="1"/>
  <c r="I708" i="1"/>
  <c r="L708" i="1" s="1"/>
  <c r="M708" i="1" s="1"/>
  <c r="I709" i="1"/>
  <c r="L709" i="1" s="1"/>
  <c r="M709" i="1" s="1"/>
  <c r="I710" i="1"/>
  <c r="L710" i="1" s="1"/>
  <c r="M710" i="1" s="1"/>
  <c r="I711" i="1"/>
  <c r="L711" i="1" s="1"/>
  <c r="M711" i="1" s="1"/>
  <c r="I712" i="1"/>
  <c r="L712" i="1" s="1"/>
  <c r="M712" i="1" s="1"/>
  <c r="I713" i="1"/>
  <c r="L713" i="1" s="1"/>
  <c r="M713" i="1" s="1"/>
  <c r="I714" i="1"/>
  <c r="L714" i="1" s="1"/>
  <c r="M714" i="1" s="1"/>
  <c r="I715" i="1"/>
  <c r="L715" i="1" s="1"/>
  <c r="M715" i="1" s="1"/>
  <c r="I716" i="1"/>
  <c r="L716" i="1" s="1"/>
  <c r="M716" i="1" s="1"/>
  <c r="I717" i="1"/>
  <c r="L717" i="1" s="1"/>
  <c r="M717" i="1" s="1"/>
  <c r="I718" i="1"/>
  <c r="L718" i="1" s="1"/>
  <c r="M718" i="1" s="1"/>
  <c r="I719" i="1"/>
  <c r="L719" i="1" s="1"/>
  <c r="M719" i="1" s="1"/>
  <c r="I720" i="1"/>
  <c r="L720" i="1" s="1"/>
  <c r="M720" i="1" s="1"/>
  <c r="I721" i="1"/>
  <c r="L721" i="1" s="1"/>
  <c r="M721" i="1" s="1"/>
  <c r="I722" i="1"/>
  <c r="L722" i="1" s="1"/>
  <c r="M722" i="1" s="1"/>
  <c r="I723" i="1"/>
  <c r="L723" i="1" s="1"/>
  <c r="M723" i="1" s="1"/>
  <c r="I724" i="1"/>
  <c r="L724" i="1" s="1"/>
  <c r="M724" i="1" s="1"/>
  <c r="I725" i="1"/>
  <c r="L725" i="1" s="1"/>
  <c r="M725" i="1" s="1"/>
  <c r="I726" i="1"/>
  <c r="L726" i="1" s="1"/>
  <c r="M726" i="1" s="1"/>
  <c r="I727" i="1"/>
  <c r="L727" i="1" s="1"/>
  <c r="M727" i="1" s="1"/>
  <c r="I728" i="1"/>
  <c r="L728" i="1" s="1"/>
  <c r="M728" i="1" s="1"/>
  <c r="I729" i="1"/>
  <c r="L729" i="1" s="1"/>
  <c r="M729" i="1" s="1"/>
  <c r="I730" i="1"/>
  <c r="I731" i="1"/>
  <c r="L731" i="1" s="1"/>
  <c r="M731" i="1" s="1"/>
  <c r="I732" i="1"/>
  <c r="L732" i="1" s="1"/>
  <c r="M732" i="1" s="1"/>
  <c r="I733" i="1"/>
  <c r="L733" i="1" s="1"/>
  <c r="M733" i="1" s="1"/>
  <c r="I734" i="1"/>
  <c r="L734" i="1" s="1"/>
  <c r="M734" i="1" s="1"/>
  <c r="I735" i="1"/>
  <c r="I736" i="1"/>
  <c r="L736" i="1" s="1"/>
  <c r="M736" i="1" s="1"/>
  <c r="I737" i="1"/>
  <c r="L737" i="1" s="1"/>
  <c r="M737" i="1" s="1"/>
  <c r="I738" i="1"/>
  <c r="L738" i="1" s="1"/>
  <c r="M738" i="1" s="1"/>
  <c r="I739" i="1"/>
  <c r="L739" i="1" s="1"/>
  <c r="M739" i="1" s="1"/>
  <c r="I740" i="1"/>
  <c r="L740" i="1" s="1"/>
  <c r="M740" i="1" s="1"/>
  <c r="I741" i="1"/>
  <c r="L741" i="1" s="1"/>
  <c r="M741" i="1" s="1"/>
  <c r="I742" i="1"/>
  <c r="L742" i="1" s="1"/>
  <c r="M742" i="1" s="1"/>
  <c r="I743" i="1"/>
  <c r="L743" i="1" s="1"/>
  <c r="M743" i="1" s="1"/>
  <c r="I744" i="1"/>
  <c r="L744" i="1" s="1"/>
  <c r="M744" i="1" s="1"/>
  <c r="I745" i="1"/>
  <c r="L745" i="1" s="1"/>
  <c r="M745" i="1" s="1"/>
  <c r="I746" i="1"/>
  <c r="L746" i="1" s="1"/>
  <c r="M746" i="1" s="1"/>
  <c r="I747" i="1"/>
  <c r="L747" i="1" s="1"/>
  <c r="M747" i="1" s="1"/>
  <c r="I748" i="1"/>
  <c r="L748" i="1" s="1"/>
  <c r="M748" i="1" s="1"/>
  <c r="I749" i="1"/>
  <c r="L749" i="1" s="1"/>
  <c r="M749" i="1" s="1"/>
  <c r="I750" i="1"/>
  <c r="L750" i="1" s="1"/>
  <c r="M750" i="1" s="1"/>
  <c r="I751" i="1"/>
  <c r="L751" i="1" s="1"/>
  <c r="M751" i="1" s="1"/>
  <c r="I752" i="1"/>
  <c r="L752" i="1" s="1"/>
  <c r="M752" i="1" s="1"/>
  <c r="I753" i="1"/>
  <c r="L753" i="1" s="1"/>
  <c r="M753" i="1" s="1"/>
  <c r="I754" i="1"/>
  <c r="L754" i="1" s="1"/>
  <c r="M754" i="1" s="1"/>
  <c r="I755" i="1"/>
  <c r="L755" i="1" s="1"/>
  <c r="M755" i="1" s="1"/>
  <c r="I756" i="1"/>
  <c r="L756" i="1" s="1"/>
  <c r="M756" i="1" s="1"/>
  <c r="I757" i="1"/>
  <c r="L757" i="1" s="1"/>
  <c r="M757" i="1" s="1"/>
  <c r="I758" i="1"/>
  <c r="L758" i="1" s="1"/>
  <c r="M758" i="1" s="1"/>
  <c r="I759" i="1"/>
  <c r="L759" i="1" s="1"/>
  <c r="M759" i="1" s="1"/>
  <c r="I760" i="1"/>
  <c r="L760" i="1" s="1"/>
  <c r="M760" i="1" s="1"/>
  <c r="I761" i="1"/>
  <c r="L761" i="1" s="1"/>
  <c r="M761" i="1" s="1"/>
  <c r="I762" i="1"/>
  <c r="L762" i="1" s="1"/>
  <c r="M762" i="1" s="1"/>
  <c r="I763" i="1"/>
  <c r="L763" i="1" s="1"/>
  <c r="M763" i="1" s="1"/>
  <c r="I764" i="1"/>
  <c r="L764" i="1" s="1"/>
  <c r="M764" i="1" s="1"/>
  <c r="I765" i="1"/>
  <c r="L765" i="1" s="1"/>
  <c r="M765" i="1" s="1"/>
  <c r="I766" i="1"/>
  <c r="L766" i="1" s="1"/>
  <c r="M766" i="1" s="1"/>
  <c r="I767" i="1"/>
  <c r="L767" i="1" s="1"/>
  <c r="M767" i="1" s="1"/>
  <c r="I768" i="1"/>
  <c r="L768" i="1" s="1"/>
  <c r="M768" i="1" s="1"/>
  <c r="I769" i="1"/>
  <c r="L769" i="1" s="1"/>
  <c r="M769" i="1" s="1"/>
  <c r="I770" i="1"/>
  <c r="L770" i="1" s="1"/>
  <c r="M770" i="1" s="1"/>
  <c r="I771" i="1"/>
  <c r="L771" i="1" s="1"/>
  <c r="M771" i="1" s="1"/>
  <c r="I772" i="1"/>
  <c r="L772" i="1" s="1"/>
  <c r="M772" i="1" s="1"/>
  <c r="I773" i="1"/>
  <c r="L773" i="1" s="1"/>
  <c r="M773" i="1" s="1"/>
  <c r="I774" i="1"/>
  <c r="L774" i="1" s="1"/>
  <c r="M774" i="1" s="1"/>
  <c r="I775" i="1"/>
  <c r="L775" i="1" s="1"/>
  <c r="M775" i="1" s="1"/>
  <c r="I776" i="1"/>
  <c r="L776" i="1" s="1"/>
  <c r="M776" i="1" s="1"/>
  <c r="I777" i="1"/>
  <c r="L777" i="1" s="1"/>
  <c r="M777" i="1" s="1"/>
  <c r="I778" i="1"/>
  <c r="L778" i="1" s="1"/>
  <c r="M778" i="1" s="1"/>
  <c r="I779" i="1"/>
  <c r="L779" i="1" s="1"/>
  <c r="M779" i="1" s="1"/>
  <c r="I780" i="1"/>
  <c r="L780" i="1" s="1"/>
  <c r="M780" i="1" s="1"/>
  <c r="I781" i="1"/>
  <c r="L781" i="1" s="1"/>
  <c r="M781" i="1" s="1"/>
  <c r="I782" i="1"/>
  <c r="L782" i="1" s="1"/>
  <c r="M782" i="1" s="1"/>
  <c r="I783" i="1"/>
  <c r="L783" i="1" s="1"/>
  <c r="M783" i="1" s="1"/>
  <c r="I784" i="1"/>
  <c r="L784" i="1" s="1"/>
  <c r="M784" i="1" s="1"/>
  <c r="I785" i="1"/>
  <c r="L785" i="1" s="1"/>
  <c r="M785" i="1" s="1"/>
  <c r="I786" i="1"/>
  <c r="L786" i="1" s="1"/>
  <c r="M786" i="1" s="1"/>
  <c r="I787" i="1"/>
  <c r="L787" i="1" s="1"/>
  <c r="M787" i="1" s="1"/>
  <c r="I788" i="1"/>
  <c r="L788" i="1" s="1"/>
  <c r="M788" i="1" s="1"/>
  <c r="I789" i="1"/>
  <c r="L789" i="1" s="1"/>
  <c r="M789" i="1" s="1"/>
  <c r="I790" i="1"/>
  <c r="L790" i="1" s="1"/>
  <c r="M790" i="1" s="1"/>
  <c r="I791" i="1"/>
  <c r="L791" i="1" s="1"/>
  <c r="M791" i="1" s="1"/>
  <c r="I792" i="1"/>
  <c r="L792" i="1" s="1"/>
  <c r="M792" i="1" s="1"/>
  <c r="I793" i="1"/>
  <c r="L793" i="1" s="1"/>
  <c r="M793" i="1" s="1"/>
  <c r="I794" i="1"/>
  <c r="L794" i="1" s="1"/>
  <c r="M794" i="1" s="1"/>
  <c r="I795" i="1"/>
  <c r="L795" i="1" s="1"/>
  <c r="M795" i="1" s="1"/>
  <c r="I796" i="1"/>
  <c r="L796" i="1" s="1"/>
  <c r="M796" i="1" s="1"/>
  <c r="I797" i="1"/>
  <c r="L797" i="1" s="1"/>
  <c r="M797" i="1" s="1"/>
  <c r="I798" i="1"/>
  <c r="L798" i="1" s="1"/>
  <c r="M798" i="1" s="1"/>
  <c r="I799" i="1"/>
  <c r="L799" i="1" s="1"/>
  <c r="M799" i="1" s="1"/>
  <c r="I800" i="1"/>
  <c r="L800" i="1" s="1"/>
  <c r="M800" i="1" s="1"/>
  <c r="I801" i="1"/>
  <c r="L801" i="1" s="1"/>
  <c r="M801" i="1" s="1"/>
  <c r="I802" i="1"/>
  <c r="L802" i="1" s="1"/>
  <c r="M802" i="1" s="1"/>
  <c r="I803" i="1"/>
  <c r="L803" i="1" s="1"/>
  <c r="M803" i="1" s="1"/>
  <c r="I804" i="1"/>
  <c r="L804" i="1" s="1"/>
  <c r="M804" i="1" s="1"/>
  <c r="I805" i="1"/>
  <c r="L805" i="1" s="1"/>
  <c r="M805" i="1" s="1"/>
  <c r="I806" i="1"/>
  <c r="L806" i="1" s="1"/>
  <c r="M806" i="1" s="1"/>
  <c r="I807" i="1"/>
  <c r="L807" i="1" s="1"/>
  <c r="M807" i="1" s="1"/>
  <c r="I808" i="1"/>
  <c r="L808" i="1" s="1"/>
  <c r="M808" i="1" s="1"/>
  <c r="I809" i="1"/>
  <c r="L809" i="1" s="1"/>
  <c r="M809" i="1" s="1"/>
  <c r="I810" i="1"/>
  <c r="L810" i="1" s="1"/>
  <c r="M810" i="1" s="1"/>
  <c r="I811" i="1"/>
  <c r="L811" i="1" s="1"/>
  <c r="M811" i="1" s="1"/>
  <c r="I812" i="1"/>
  <c r="L812" i="1" s="1"/>
  <c r="M812" i="1" s="1"/>
  <c r="I813" i="1"/>
  <c r="L813" i="1" s="1"/>
  <c r="M813" i="1" s="1"/>
  <c r="I814" i="1"/>
  <c r="L814" i="1" s="1"/>
  <c r="M814" i="1" s="1"/>
  <c r="I815" i="1"/>
  <c r="L815" i="1" s="1"/>
  <c r="M815" i="1" s="1"/>
  <c r="I816" i="1"/>
  <c r="L816" i="1" s="1"/>
  <c r="M816" i="1" s="1"/>
  <c r="I817" i="1"/>
  <c r="L817" i="1" s="1"/>
  <c r="M817" i="1" s="1"/>
  <c r="I818" i="1"/>
  <c r="L818" i="1" s="1"/>
  <c r="M818" i="1" s="1"/>
  <c r="I819" i="1"/>
  <c r="L819" i="1" s="1"/>
  <c r="M819" i="1" s="1"/>
  <c r="I820" i="1"/>
  <c r="L820" i="1" s="1"/>
  <c r="M820" i="1" s="1"/>
  <c r="I821" i="1"/>
  <c r="L821" i="1" s="1"/>
  <c r="M821" i="1" s="1"/>
  <c r="I822" i="1"/>
  <c r="L822" i="1" s="1"/>
  <c r="M822" i="1" s="1"/>
  <c r="I823" i="1"/>
  <c r="L823" i="1" s="1"/>
  <c r="M823" i="1" s="1"/>
  <c r="I824" i="1"/>
  <c r="L824" i="1" s="1"/>
  <c r="M824" i="1" s="1"/>
  <c r="I825" i="1"/>
  <c r="L825" i="1" s="1"/>
  <c r="M825" i="1" s="1"/>
  <c r="I826" i="1"/>
  <c r="L826" i="1" s="1"/>
  <c r="M826" i="1" s="1"/>
  <c r="I827" i="1"/>
  <c r="L827" i="1" s="1"/>
  <c r="M827" i="1" s="1"/>
  <c r="I828" i="1"/>
  <c r="L828" i="1" s="1"/>
  <c r="M828" i="1" s="1"/>
  <c r="I829" i="1"/>
  <c r="L829" i="1" s="1"/>
  <c r="M829" i="1" s="1"/>
  <c r="I830" i="1"/>
  <c r="L830" i="1" s="1"/>
  <c r="M830" i="1" s="1"/>
  <c r="I831" i="1"/>
  <c r="L831" i="1" s="1"/>
  <c r="M831" i="1" s="1"/>
  <c r="I832" i="1"/>
  <c r="L832" i="1" s="1"/>
  <c r="M832" i="1" s="1"/>
  <c r="I833" i="1"/>
  <c r="L833" i="1" s="1"/>
  <c r="M833" i="1" s="1"/>
  <c r="I834" i="1"/>
  <c r="L834" i="1" s="1"/>
  <c r="M834" i="1" s="1"/>
  <c r="I835" i="1"/>
  <c r="L835" i="1" s="1"/>
  <c r="M835" i="1" s="1"/>
  <c r="I836" i="1"/>
  <c r="L836" i="1" s="1"/>
  <c r="M836" i="1" s="1"/>
  <c r="I837" i="1"/>
  <c r="L837" i="1" s="1"/>
  <c r="M837" i="1" s="1"/>
  <c r="I838" i="1"/>
  <c r="L838" i="1" s="1"/>
  <c r="M838" i="1" s="1"/>
  <c r="I839" i="1"/>
  <c r="L839" i="1" s="1"/>
  <c r="M839" i="1" s="1"/>
  <c r="I840" i="1"/>
  <c r="L840" i="1" s="1"/>
  <c r="M840" i="1" s="1"/>
  <c r="I841" i="1"/>
  <c r="L841" i="1" s="1"/>
  <c r="M841" i="1" s="1"/>
  <c r="I842" i="1"/>
  <c r="L842" i="1" s="1"/>
  <c r="M842" i="1" s="1"/>
  <c r="I843" i="1"/>
  <c r="L843" i="1" s="1"/>
  <c r="M843" i="1" s="1"/>
  <c r="I844" i="1"/>
  <c r="L844" i="1" s="1"/>
  <c r="M844" i="1" s="1"/>
  <c r="I845" i="1"/>
  <c r="L845" i="1" s="1"/>
  <c r="M845" i="1" s="1"/>
  <c r="I846" i="1"/>
  <c r="L846" i="1" s="1"/>
  <c r="M846" i="1" s="1"/>
  <c r="I847" i="1"/>
  <c r="L847" i="1" s="1"/>
  <c r="M847" i="1" s="1"/>
  <c r="I848" i="1"/>
  <c r="L848" i="1" s="1"/>
  <c r="M848" i="1" s="1"/>
  <c r="I849" i="1"/>
  <c r="L849" i="1" s="1"/>
  <c r="M849" i="1" s="1"/>
  <c r="I850" i="1"/>
  <c r="L850" i="1" s="1"/>
  <c r="M850" i="1" s="1"/>
  <c r="I851" i="1"/>
  <c r="L851" i="1" s="1"/>
  <c r="M851" i="1" s="1"/>
  <c r="I852" i="1"/>
  <c r="L852" i="1" s="1"/>
  <c r="M852" i="1" s="1"/>
  <c r="I853" i="1"/>
  <c r="L853" i="1" s="1"/>
  <c r="M853" i="1" s="1"/>
  <c r="I854" i="1"/>
  <c r="L854" i="1" s="1"/>
  <c r="M854" i="1" s="1"/>
  <c r="I855" i="1"/>
  <c r="L855" i="1" s="1"/>
  <c r="M855" i="1" s="1"/>
  <c r="I856" i="1"/>
  <c r="L856" i="1" s="1"/>
  <c r="M856" i="1" s="1"/>
  <c r="I857" i="1"/>
  <c r="L857" i="1" s="1"/>
  <c r="M857" i="1" s="1"/>
  <c r="I858" i="1"/>
  <c r="L858" i="1" s="1"/>
  <c r="M858" i="1" s="1"/>
  <c r="I859" i="1"/>
  <c r="L859" i="1" s="1"/>
  <c r="M859" i="1" s="1"/>
  <c r="I860" i="1"/>
  <c r="L860" i="1" s="1"/>
  <c r="M860" i="1" s="1"/>
  <c r="I861" i="1"/>
  <c r="L861" i="1" s="1"/>
  <c r="M861" i="1" s="1"/>
  <c r="I862" i="1"/>
  <c r="L862" i="1" s="1"/>
  <c r="M862" i="1" s="1"/>
  <c r="I863" i="1"/>
  <c r="L863" i="1" s="1"/>
  <c r="M863" i="1" s="1"/>
  <c r="I864" i="1"/>
  <c r="L864" i="1" s="1"/>
  <c r="M864" i="1" s="1"/>
  <c r="I865" i="1"/>
  <c r="L865" i="1" s="1"/>
  <c r="M865" i="1" s="1"/>
  <c r="I866" i="1"/>
  <c r="L866" i="1" s="1"/>
  <c r="M866" i="1" s="1"/>
  <c r="I867" i="1"/>
  <c r="L867" i="1" s="1"/>
  <c r="M867" i="1" s="1"/>
  <c r="I868" i="1"/>
  <c r="L868" i="1" s="1"/>
  <c r="M868" i="1" s="1"/>
  <c r="I869" i="1"/>
  <c r="L869" i="1" s="1"/>
  <c r="M869" i="1" s="1"/>
  <c r="I870" i="1"/>
  <c r="L870" i="1" s="1"/>
  <c r="M870" i="1" s="1"/>
  <c r="I871" i="1"/>
  <c r="L871" i="1" s="1"/>
  <c r="M871" i="1" s="1"/>
  <c r="I872" i="1"/>
  <c r="L872" i="1" s="1"/>
  <c r="M872" i="1" s="1"/>
  <c r="I873" i="1"/>
  <c r="L873" i="1" s="1"/>
  <c r="M873" i="1" s="1"/>
  <c r="I874" i="1"/>
  <c r="L874" i="1" s="1"/>
  <c r="M874" i="1" s="1"/>
  <c r="I875" i="1"/>
  <c r="L875" i="1" s="1"/>
  <c r="M875" i="1" s="1"/>
  <c r="I876" i="1"/>
  <c r="L876" i="1" s="1"/>
  <c r="M876" i="1" s="1"/>
  <c r="I877" i="1"/>
  <c r="L877" i="1" s="1"/>
  <c r="M877" i="1" s="1"/>
  <c r="I878" i="1"/>
  <c r="L878" i="1" s="1"/>
  <c r="M878" i="1" s="1"/>
  <c r="I879" i="1"/>
  <c r="L879" i="1" s="1"/>
  <c r="M879" i="1" s="1"/>
  <c r="I880" i="1"/>
  <c r="L880" i="1" s="1"/>
  <c r="M880" i="1" s="1"/>
  <c r="I881" i="1"/>
  <c r="L881" i="1" s="1"/>
  <c r="M881" i="1" s="1"/>
  <c r="I882" i="1"/>
  <c r="L882" i="1" s="1"/>
  <c r="M882" i="1" s="1"/>
  <c r="I883" i="1"/>
  <c r="L883" i="1" s="1"/>
  <c r="M883" i="1" s="1"/>
  <c r="I884" i="1"/>
  <c r="L884" i="1" s="1"/>
  <c r="M884" i="1" s="1"/>
  <c r="I885" i="1"/>
  <c r="L885" i="1" s="1"/>
  <c r="M885" i="1" s="1"/>
  <c r="I886" i="1"/>
  <c r="L886" i="1" s="1"/>
  <c r="M886" i="1" s="1"/>
  <c r="I887" i="1"/>
  <c r="L887" i="1" s="1"/>
  <c r="M887" i="1" s="1"/>
  <c r="I888" i="1"/>
  <c r="L888" i="1" s="1"/>
  <c r="M888" i="1" s="1"/>
  <c r="I889" i="1"/>
  <c r="L889" i="1" s="1"/>
  <c r="M889" i="1" s="1"/>
  <c r="I890" i="1"/>
  <c r="L890" i="1" s="1"/>
  <c r="M890" i="1" s="1"/>
  <c r="I891" i="1"/>
  <c r="L891" i="1" s="1"/>
  <c r="M891" i="1" s="1"/>
  <c r="I892" i="1"/>
  <c r="L892" i="1" s="1"/>
  <c r="M892" i="1" s="1"/>
  <c r="I893" i="1"/>
  <c r="L893" i="1" s="1"/>
  <c r="M893" i="1" s="1"/>
  <c r="I894" i="1"/>
  <c r="L894" i="1" s="1"/>
  <c r="M894" i="1" s="1"/>
  <c r="I895" i="1"/>
  <c r="L895" i="1" s="1"/>
  <c r="M895" i="1" s="1"/>
  <c r="I896" i="1"/>
  <c r="L896" i="1" s="1"/>
  <c r="M896" i="1" s="1"/>
  <c r="I897" i="1"/>
  <c r="L897" i="1" s="1"/>
  <c r="M897" i="1" s="1"/>
  <c r="I898" i="1"/>
  <c r="L898" i="1" s="1"/>
  <c r="M898" i="1" s="1"/>
  <c r="I899" i="1"/>
  <c r="L899" i="1" s="1"/>
  <c r="M899" i="1" s="1"/>
  <c r="I900" i="1"/>
  <c r="L900" i="1" s="1"/>
  <c r="M900" i="1" s="1"/>
  <c r="I901" i="1"/>
  <c r="L901" i="1" s="1"/>
  <c r="M901" i="1" s="1"/>
  <c r="I902" i="1"/>
  <c r="L902" i="1" s="1"/>
  <c r="M902" i="1" s="1"/>
  <c r="I903" i="1"/>
  <c r="L903" i="1" s="1"/>
  <c r="M903" i="1" s="1"/>
  <c r="I904" i="1"/>
  <c r="L904" i="1" s="1"/>
  <c r="M904" i="1" s="1"/>
  <c r="I905" i="1"/>
  <c r="L905" i="1" s="1"/>
  <c r="M905" i="1" s="1"/>
  <c r="I906" i="1"/>
  <c r="L906" i="1" s="1"/>
  <c r="M906" i="1" s="1"/>
  <c r="I907" i="1"/>
  <c r="L907" i="1" s="1"/>
  <c r="M907" i="1" s="1"/>
  <c r="I908" i="1"/>
  <c r="L908" i="1" s="1"/>
  <c r="M908" i="1" s="1"/>
  <c r="I909" i="1"/>
  <c r="L909" i="1" s="1"/>
  <c r="M909" i="1" s="1"/>
  <c r="I910" i="1"/>
  <c r="L910" i="1" s="1"/>
  <c r="M910" i="1" s="1"/>
  <c r="I911" i="1"/>
  <c r="L911" i="1" s="1"/>
  <c r="M911" i="1" s="1"/>
  <c r="I912" i="1"/>
  <c r="L912" i="1" s="1"/>
  <c r="M912" i="1" s="1"/>
  <c r="I913" i="1"/>
  <c r="L913" i="1" s="1"/>
  <c r="M913" i="1" s="1"/>
  <c r="I914" i="1"/>
  <c r="L914" i="1" s="1"/>
  <c r="M914" i="1" s="1"/>
  <c r="I915" i="1"/>
  <c r="L915" i="1" s="1"/>
  <c r="M915" i="1" s="1"/>
  <c r="I916" i="1"/>
  <c r="L916" i="1" s="1"/>
  <c r="M916" i="1" s="1"/>
  <c r="I917" i="1"/>
  <c r="L917" i="1" s="1"/>
  <c r="M917" i="1" s="1"/>
  <c r="I918" i="1"/>
  <c r="L918" i="1" s="1"/>
  <c r="M918" i="1" s="1"/>
  <c r="I919" i="1"/>
  <c r="L919" i="1" s="1"/>
  <c r="M919" i="1" s="1"/>
  <c r="I920" i="1"/>
  <c r="L920" i="1" s="1"/>
  <c r="M920" i="1" s="1"/>
  <c r="I921" i="1"/>
  <c r="L921" i="1" s="1"/>
  <c r="M921" i="1" s="1"/>
  <c r="I922" i="1"/>
  <c r="L922" i="1" s="1"/>
  <c r="M922" i="1" s="1"/>
  <c r="I923" i="1"/>
  <c r="L923" i="1" s="1"/>
  <c r="M923" i="1" s="1"/>
  <c r="I924" i="1"/>
  <c r="L924" i="1" s="1"/>
  <c r="M924" i="1" s="1"/>
  <c r="I925" i="1"/>
  <c r="I926" i="1"/>
  <c r="L926" i="1" s="1"/>
  <c r="M926" i="1" s="1"/>
  <c r="I927" i="1"/>
  <c r="L927" i="1" s="1"/>
  <c r="M927" i="1" s="1"/>
  <c r="I928" i="1"/>
  <c r="L928" i="1" s="1"/>
  <c r="M928" i="1" s="1"/>
  <c r="I929" i="1"/>
  <c r="I930" i="1"/>
  <c r="L930" i="1" s="1"/>
  <c r="M930" i="1" s="1"/>
  <c r="I931" i="1"/>
  <c r="L931" i="1" s="1"/>
  <c r="M931" i="1" s="1"/>
  <c r="I932" i="1"/>
  <c r="L932" i="1" s="1"/>
  <c r="M932" i="1" s="1"/>
  <c r="I933" i="1"/>
  <c r="L933" i="1" s="1"/>
  <c r="M933" i="1" s="1"/>
  <c r="I934" i="1"/>
  <c r="L934" i="1" s="1"/>
  <c r="M934" i="1" s="1"/>
  <c r="I935" i="1"/>
  <c r="L935" i="1" s="1"/>
  <c r="M935" i="1" s="1"/>
  <c r="I936" i="1"/>
  <c r="L936" i="1" s="1"/>
  <c r="M936" i="1" s="1"/>
  <c r="I937" i="1"/>
  <c r="L937" i="1" s="1"/>
  <c r="M937" i="1" s="1"/>
  <c r="I938" i="1"/>
  <c r="L938" i="1" s="1"/>
  <c r="M938" i="1" s="1"/>
  <c r="I939" i="1"/>
  <c r="L939" i="1" s="1"/>
  <c r="M939" i="1" s="1"/>
  <c r="I940" i="1"/>
  <c r="L940" i="1" s="1"/>
  <c r="M940" i="1" s="1"/>
  <c r="I941" i="1"/>
  <c r="L941" i="1" s="1"/>
  <c r="M941" i="1" s="1"/>
  <c r="I942" i="1"/>
  <c r="L942" i="1" s="1"/>
  <c r="M942" i="1" s="1"/>
  <c r="I943" i="1"/>
  <c r="L943" i="1" s="1"/>
  <c r="M943" i="1" s="1"/>
  <c r="I944" i="1"/>
  <c r="L944" i="1" s="1"/>
  <c r="M944" i="1" s="1"/>
  <c r="I945" i="1"/>
  <c r="L945" i="1" s="1"/>
  <c r="M945" i="1" s="1"/>
  <c r="I946" i="1"/>
  <c r="L946" i="1" s="1"/>
  <c r="M946" i="1" s="1"/>
  <c r="I947" i="1"/>
  <c r="L947" i="1" s="1"/>
  <c r="M947" i="1" s="1"/>
  <c r="I948" i="1"/>
  <c r="L948" i="1" s="1"/>
  <c r="M948" i="1" s="1"/>
  <c r="I949" i="1"/>
  <c r="L949" i="1" s="1"/>
  <c r="M949" i="1" s="1"/>
  <c r="I950" i="1"/>
  <c r="L950" i="1" s="1"/>
  <c r="M950" i="1" s="1"/>
  <c r="I951" i="1"/>
  <c r="L951" i="1" s="1"/>
  <c r="M951" i="1" s="1"/>
  <c r="I952" i="1"/>
  <c r="L952" i="1" s="1"/>
  <c r="M952" i="1" s="1"/>
  <c r="I953" i="1"/>
  <c r="L953" i="1" s="1"/>
  <c r="M953" i="1" s="1"/>
  <c r="I954" i="1"/>
  <c r="L954" i="1" s="1"/>
  <c r="M954" i="1" s="1"/>
  <c r="I955" i="1"/>
  <c r="L955" i="1" s="1"/>
  <c r="M955" i="1" s="1"/>
  <c r="I956" i="1"/>
  <c r="L956" i="1" s="1"/>
  <c r="M956" i="1" s="1"/>
  <c r="I957" i="1"/>
  <c r="L957" i="1" s="1"/>
  <c r="M957" i="1" s="1"/>
  <c r="I958" i="1"/>
  <c r="L958" i="1" s="1"/>
  <c r="M958" i="1" s="1"/>
  <c r="I959" i="1"/>
  <c r="L959" i="1" s="1"/>
  <c r="M959" i="1" s="1"/>
  <c r="I960" i="1"/>
  <c r="L960" i="1" s="1"/>
  <c r="M960" i="1" s="1"/>
  <c r="I961" i="1"/>
  <c r="L961" i="1" s="1"/>
  <c r="M961" i="1" s="1"/>
  <c r="I962" i="1"/>
  <c r="L962" i="1" s="1"/>
  <c r="M962" i="1" s="1"/>
  <c r="I963" i="1"/>
  <c r="L963" i="1" s="1"/>
  <c r="M963" i="1" s="1"/>
  <c r="I964" i="1"/>
  <c r="L964" i="1" s="1"/>
  <c r="M964" i="1" s="1"/>
  <c r="I965" i="1"/>
  <c r="L965" i="1" s="1"/>
  <c r="M965" i="1" s="1"/>
  <c r="I966" i="1"/>
  <c r="L966" i="1" s="1"/>
  <c r="M966" i="1" s="1"/>
  <c r="I967" i="1"/>
  <c r="L967" i="1" s="1"/>
  <c r="M967" i="1" s="1"/>
  <c r="I968" i="1"/>
  <c r="L968" i="1" s="1"/>
  <c r="M968" i="1" s="1"/>
  <c r="I969" i="1"/>
  <c r="L969" i="1" s="1"/>
  <c r="M969" i="1" s="1"/>
  <c r="I970" i="1"/>
  <c r="L970" i="1" s="1"/>
  <c r="M970" i="1" s="1"/>
  <c r="I971" i="1"/>
  <c r="L971" i="1" s="1"/>
  <c r="M971" i="1" s="1"/>
  <c r="I972" i="1"/>
  <c r="L972" i="1" s="1"/>
  <c r="M972" i="1" s="1"/>
  <c r="I973" i="1"/>
  <c r="L973" i="1" s="1"/>
  <c r="M973" i="1" s="1"/>
  <c r="I974" i="1"/>
  <c r="L974" i="1" s="1"/>
  <c r="M974" i="1" s="1"/>
  <c r="I975" i="1"/>
  <c r="L975" i="1" s="1"/>
  <c r="M975" i="1" s="1"/>
  <c r="I976" i="1"/>
  <c r="L976" i="1" s="1"/>
  <c r="M976" i="1" s="1"/>
  <c r="I977" i="1"/>
  <c r="L977" i="1" s="1"/>
  <c r="M977" i="1" s="1"/>
  <c r="I978" i="1"/>
  <c r="L978" i="1" s="1"/>
  <c r="M978" i="1" s="1"/>
  <c r="I979" i="1"/>
  <c r="L979" i="1" s="1"/>
  <c r="M979" i="1" s="1"/>
  <c r="I980" i="1"/>
  <c r="L980" i="1" s="1"/>
  <c r="M980" i="1" s="1"/>
  <c r="I981" i="1"/>
  <c r="L981" i="1" s="1"/>
  <c r="M981" i="1" s="1"/>
  <c r="I982" i="1"/>
  <c r="L982" i="1" s="1"/>
  <c r="M982" i="1" s="1"/>
  <c r="I983" i="1"/>
  <c r="L983" i="1" s="1"/>
  <c r="M983" i="1" s="1"/>
  <c r="I984" i="1"/>
  <c r="L984" i="1" s="1"/>
  <c r="M984" i="1" s="1"/>
  <c r="I985" i="1"/>
  <c r="L985" i="1" s="1"/>
  <c r="M985" i="1" s="1"/>
  <c r="I986" i="1"/>
  <c r="L986" i="1" s="1"/>
  <c r="M986" i="1" s="1"/>
  <c r="I987" i="1"/>
  <c r="L987" i="1" s="1"/>
  <c r="M987" i="1" s="1"/>
  <c r="I988" i="1"/>
  <c r="L988" i="1" s="1"/>
  <c r="M988" i="1" s="1"/>
  <c r="I989" i="1"/>
  <c r="L989" i="1" s="1"/>
  <c r="M989" i="1" s="1"/>
  <c r="I990" i="1"/>
  <c r="L990" i="1" s="1"/>
  <c r="M990" i="1" s="1"/>
  <c r="I991" i="1"/>
  <c r="L991" i="1" s="1"/>
  <c r="M991" i="1" s="1"/>
  <c r="I992" i="1"/>
  <c r="L992" i="1" s="1"/>
  <c r="M992" i="1" s="1"/>
  <c r="I993" i="1"/>
  <c r="L993" i="1" s="1"/>
  <c r="M993" i="1" s="1"/>
  <c r="I994" i="1"/>
  <c r="L994" i="1" s="1"/>
  <c r="M994" i="1" s="1"/>
  <c r="I995" i="1"/>
  <c r="L995" i="1" s="1"/>
  <c r="M995" i="1" s="1"/>
  <c r="I996" i="1"/>
  <c r="L996" i="1" s="1"/>
  <c r="M996" i="1" s="1"/>
  <c r="I997" i="1"/>
  <c r="L997" i="1" s="1"/>
  <c r="M997" i="1" s="1"/>
  <c r="I998" i="1"/>
  <c r="L998" i="1" s="1"/>
  <c r="M998" i="1" s="1"/>
  <c r="I999" i="1"/>
  <c r="L999" i="1" s="1"/>
  <c r="M999" i="1" s="1"/>
  <c r="I1000" i="1"/>
  <c r="L1000" i="1" s="1"/>
  <c r="M1000" i="1" s="1"/>
  <c r="I1001" i="1"/>
  <c r="L1001" i="1" s="1"/>
  <c r="M1001" i="1" s="1"/>
  <c r="I1002" i="1"/>
  <c r="L1002" i="1" s="1"/>
  <c r="M1002" i="1" s="1"/>
  <c r="I1003" i="1"/>
  <c r="L1003" i="1" s="1"/>
  <c r="M1003" i="1" s="1"/>
  <c r="I1004" i="1"/>
  <c r="L1004" i="1" s="1"/>
  <c r="M1004" i="1" s="1"/>
  <c r="I1005" i="1"/>
  <c r="L1005" i="1" s="1"/>
  <c r="M1005" i="1" s="1"/>
  <c r="I1006" i="1"/>
  <c r="L1006" i="1" s="1"/>
  <c r="M1006" i="1" s="1"/>
  <c r="I1007" i="1"/>
  <c r="L1007" i="1" s="1"/>
  <c r="M1007" i="1" s="1"/>
  <c r="I1008" i="1"/>
  <c r="L1008" i="1" s="1"/>
  <c r="M1008" i="1" s="1"/>
  <c r="I1009" i="1"/>
  <c r="L1009" i="1" s="1"/>
  <c r="M1009" i="1" s="1"/>
  <c r="I1010" i="1"/>
  <c r="L1010" i="1" s="1"/>
  <c r="M1010" i="1" s="1"/>
  <c r="I1011" i="1"/>
  <c r="L1011" i="1" s="1"/>
  <c r="M1011" i="1" s="1"/>
  <c r="I1012" i="1"/>
  <c r="L1012" i="1" s="1"/>
  <c r="M1012" i="1" s="1"/>
  <c r="I1013" i="1"/>
  <c r="L1013" i="1" s="1"/>
  <c r="M1013" i="1" s="1"/>
  <c r="I1014" i="1"/>
  <c r="L1014" i="1" s="1"/>
  <c r="M1014" i="1" s="1"/>
  <c r="I1015" i="1"/>
  <c r="L1015" i="1" s="1"/>
  <c r="M1015" i="1" s="1"/>
  <c r="I1016" i="1"/>
  <c r="L1016" i="1" s="1"/>
  <c r="M1016" i="1" s="1"/>
  <c r="I1017" i="1"/>
  <c r="L1017" i="1" s="1"/>
  <c r="M1017" i="1" s="1"/>
  <c r="I1018" i="1"/>
  <c r="L1018" i="1" s="1"/>
  <c r="M1018" i="1" s="1"/>
  <c r="I1019" i="1"/>
  <c r="L1019" i="1" s="1"/>
  <c r="M1019" i="1" s="1"/>
  <c r="I1020" i="1"/>
  <c r="L1020" i="1" s="1"/>
  <c r="M1020" i="1" s="1"/>
  <c r="I1021" i="1"/>
  <c r="L1021" i="1" s="1"/>
  <c r="M1021" i="1" s="1"/>
  <c r="I1022" i="1"/>
  <c r="L1022" i="1" s="1"/>
  <c r="M1022" i="1" s="1"/>
  <c r="I1023" i="1"/>
  <c r="L1023" i="1" s="1"/>
  <c r="M1023" i="1" s="1"/>
  <c r="I1024" i="1"/>
  <c r="L1024" i="1" s="1"/>
  <c r="M1024" i="1" s="1"/>
  <c r="I1025" i="1"/>
  <c r="L1025" i="1" s="1"/>
  <c r="M1025" i="1" s="1"/>
  <c r="I1026" i="1"/>
  <c r="L1026" i="1" s="1"/>
  <c r="M1026" i="1" s="1"/>
  <c r="I1027" i="1"/>
  <c r="L1027" i="1" s="1"/>
  <c r="M1027" i="1" s="1"/>
  <c r="I1028" i="1"/>
  <c r="L1028" i="1" s="1"/>
  <c r="M1028" i="1" s="1"/>
  <c r="I1029" i="1"/>
  <c r="L1029" i="1" s="1"/>
  <c r="M1029" i="1" s="1"/>
  <c r="I1030" i="1"/>
  <c r="L1030" i="1" s="1"/>
  <c r="M1030" i="1" s="1"/>
  <c r="I1031" i="1"/>
  <c r="L1031" i="1" s="1"/>
  <c r="M1031" i="1" s="1"/>
  <c r="I1032" i="1"/>
  <c r="L1032" i="1" s="1"/>
  <c r="M1032" i="1" s="1"/>
  <c r="I1033" i="1"/>
  <c r="L1033" i="1" s="1"/>
  <c r="M1033" i="1" s="1"/>
  <c r="I1034" i="1"/>
  <c r="L1034" i="1" s="1"/>
  <c r="M1034" i="1" s="1"/>
  <c r="I1035" i="1"/>
  <c r="L1035" i="1" s="1"/>
  <c r="M1035" i="1" s="1"/>
  <c r="I1036" i="1"/>
  <c r="L1036" i="1" s="1"/>
  <c r="M1036" i="1" s="1"/>
  <c r="I1037" i="1"/>
  <c r="L1037" i="1" s="1"/>
  <c r="M1037" i="1" s="1"/>
  <c r="I1038" i="1"/>
  <c r="L1038" i="1" s="1"/>
  <c r="M1038" i="1" s="1"/>
  <c r="I1039" i="1"/>
  <c r="L1039" i="1" s="1"/>
  <c r="M1039" i="1" s="1"/>
  <c r="I1040" i="1"/>
  <c r="L1040" i="1" s="1"/>
  <c r="M1040" i="1" s="1"/>
  <c r="I1041" i="1"/>
  <c r="L1041" i="1" s="1"/>
  <c r="M1041" i="1" s="1"/>
  <c r="I1042" i="1"/>
  <c r="L1042" i="1" s="1"/>
  <c r="M1042" i="1" s="1"/>
  <c r="I1043" i="1"/>
  <c r="L1043" i="1" s="1"/>
  <c r="M1043" i="1" s="1"/>
  <c r="I1044" i="1"/>
  <c r="L1044" i="1" s="1"/>
  <c r="M1044" i="1" s="1"/>
  <c r="I1045" i="1"/>
  <c r="L1045" i="1" s="1"/>
  <c r="M1045" i="1" s="1"/>
  <c r="I1046" i="1"/>
  <c r="L1046" i="1" s="1"/>
  <c r="M1046" i="1" s="1"/>
  <c r="I1047" i="1"/>
  <c r="L1047" i="1" s="1"/>
  <c r="M1047" i="1" s="1"/>
  <c r="I1048" i="1"/>
  <c r="L1048" i="1" s="1"/>
  <c r="M1048" i="1" s="1"/>
  <c r="I1049" i="1"/>
  <c r="L1049" i="1" s="1"/>
  <c r="M1049" i="1" s="1"/>
  <c r="I1050" i="1"/>
  <c r="L1050" i="1" s="1"/>
  <c r="M1050" i="1" s="1"/>
  <c r="I1051" i="1"/>
  <c r="L1051" i="1" s="1"/>
  <c r="M1051" i="1" s="1"/>
  <c r="I1052" i="1"/>
  <c r="L1052" i="1" s="1"/>
  <c r="M1052" i="1" s="1"/>
  <c r="I1053" i="1"/>
  <c r="L1053" i="1" s="1"/>
  <c r="M1053" i="1" s="1"/>
  <c r="I1054" i="1"/>
  <c r="L1054" i="1" s="1"/>
  <c r="M1054" i="1" s="1"/>
  <c r="I1055" i="1"/>
  <c r="L1055" i="1" s="1"/>
  <c r="M1055" i="1" s="1"/>
  <c r="I1056" i="1"/>
  <c r="L1056" i="1" s="1"/>
  <c r="M1056" i="1" s="1"/>
  <c r="I1057" i="1"/>
  <c r="L1057" i="1" s="1"/>
  <c r="M1057" i="1" s="1"/>
  <c r="I1058" i="1"/>
  <c r="L1058" i="1" s="1"/>
  <c r="M1058" i="1" s="1"/>
  <c r="I1059" i="1"/>
  <c r="L1059" i="1" s="1"/>
  <c r="M1059" i="1" s="1"/>
  <c r="I1060" i="1"/>
  <c r="L1060" i="1" s="1"/>
  <c r="M1060" i="1" s="1"/>
  <c r="I1061" i="1"/>
  <c r="L1061" i="1" s="1"/>
  <c r="M1061" i="1" s="1"/>
  <c r="I1062" i="1"/>
  <c r="L1062" i="1" s="1"/>
  <c r="M1062" i="1" s="1"/>
  <c r="I1063" i="1"/>
  <c r="L1063" i="1" s="1"/>
  <c r="M1063" i="1" s="1"/>
  <c r="I1064" i="1"/>
  <c r="L1064" i="1" s="1"/>
  <c r="M1064" i="1" s="1"/>
  <c r="I1065" i="1"/>
  <c r="L1065" i="1" s="1"/>
  <c r="M1065" i="1" s="1"/>
  <c r="I1066" i="1"/>
  <c r="L1066" i="1" s="1"/>
  <c r="M1066" i="1" s="1"/>
  <c r="I1067" i="1"/>
  <c r="L1067" i="1" s="1"/>
  <c r="M1067" i="1" s="1"/>
  <c r="I1068" i="1"/>
  <c r="L1068" i="1" s="1"/>
  <c r="M1068" i="1" s="1"/>
  <c r="I1069" i="1"/>
  <c r="L1069" i="1" s="1"/>
  <c r="M1069" i="1" s="1"/>
  <c r="I1070" i="1"/>
  <c r="L1070" i="1" s="1"/>
  <c r="M1070" i="1" s="1"/>
  <c r="I1071" i="1"/>
  <c r="L1071" i="1" s="1"/>
  <c r="M1071" i="1" s="1"/>
  <c r="I1072" i="1"/>
  <c r="L1072" i="1" s="1"/>
  <c r="M1072" i="1" s="1"/>
  <c r="I1073" i="1"/>
  <c r="L1073" i="1" s="1"/>
  <c r="M1073" i="1" s="1"/>
  <c r="I1074" i="1"/>
  <c r="L1074" i="1" s="1"/>
  <c r="M1074" i="1" s="1"/>
  <c r="I1075" i="1"/>
  <c r="L1075" i="1" s="1"/>
  <c r="M1075" i="1" s="1"/>
  <c r="I1076" i="1"/>
  <c r="L1076" i="1" s="1"/>
  <c r="M1076" i="1" s="1"/>
  <c r="I1077" i="1"/>
  <c r="L1077" i="1" s="1"/>
  <c r="M1077" i="1" s="1"/>
  <c r="I1078" i="1"/>
  <c r="L1078" i="1" s="1"/>
  <c r="M1078" i="1" s="1"/>
  <c r="I1079" i="1"/>
  <c r="L1079" i="1" s="1"/>
  <c r="M1079" i="1" s="1"/>
  <c r="I1080" i="1"/>
  <c r="L1080" i="1" s="1"/>
  <c r="M1080" i="1" s="1"/>
  <c r="I1081" i="1"/>
  <c r="L1081" i="1" s="1"/>
  <c r="M1081" i="1" s="1"/>
  <c r="I1082" i="1"/>
  <c r="L1082" i="1" s="1"/>
  <c r="M1082" i="1" s="1"/>
  <c r="I1083" i="1"/>
  <c r="L1083" i="1" s="1"/>
  <c r="M1083" i="1" s="1"/>
  <c r="I1084" i="1"/>
  <c r="L1084" i="1" s="1"/>
  <c r="M1084" i="1" s="1"/>
  <c r="I1085" i="1"/>
  <c r="L1085" i="1" s="1"/>
  <c r="M1085" i="1" s="1"/>
  <c r="I1086" i="1"/>
  <c r="L1086" i="1" s="1"/>
  <c r="M1086" i="1" s="1"/>
  <c r="I1087" i="1"/>
  <c r="L1087" i="1" s="1"/>
  <c r="M1087" i="1" s="1"/>
  <c r="I1088" i="1"/>
  <c r="L1088" i="1" s="1"/>
  <c r="M1088" i="1" s="1"/>
  <c r="I1089" i="1"/>
  <c r="L1089" i="1" s="1"/>
  <c r="M1089" i="1" s="1"/>
  <c r="I1090" i="1"/>
  <c r="L1090" i="1" s="1"/>
  <c r="M1090" i="1" s="1"/>
  <c r="I1091" i="1"/>
  <c r="L1091" i="1" s="1"/>
  <c r="M1091" i="1" s="1"/>
  <c r="I1092" i="1"/>
  <c r="L1092" i="1" s="1"/>
  <c r="M1092" i="1" s="1"/>
  <c r="I1093" i="1"/>
  <c r="L1093" i="1" s="1"/>
  <c r="M1093" i="1" s="1"/>
  <c r="I1094" i="1"/>
  <c r="L1094" i="1" s="1"/>
  <c r="M1094" i="1" s="1"/>
  <c r="I1095" i="1"/>
  <c r="L1095" i="1" s="1"/>
  <c r="M1095" i="1" s="1"/>
  <c r="I1096" i="1"/>
  <c r="L1096" i="1" s="1"/>
  <c r="M1096" i="1" s="1"/>
  <c r="I1097" i="1"/>
  <c r="L1097" i="1" s="1"/>
  <c r="M1097" i="1" s="1"/>
  <c r="I1098" i="1"/>
  <c r="L1098" i="1" s="1"/>
  <c r="M1098" i="1" s="1"/>
  <c r="I1099" i="1"/>
  <c r="L1099" i="1" s="1"/>
  <c r="M1099" i="1" s="1"/>
  <c r="I1100" i="1"/>
  <c r="L1100" i="1" s="1"/>
  <c r="M1100" i="1" s="1"/>
  <c r="I1101" i="1"/>
  <c r="L1101" i="1" s="1"/>
  <c r="M1101" i="1" s="1"/>
  <c r="I1102" i="1"/>
  <c r="L1102" i="1" s="1"/>
  <c r="M1102" i="1" s="1"/>
  <c r="I1103" i="1"/>
  <c r="L1103" i="1" s="1"/>
  <c r="M1103" i="1" s="1"/>
  <c r="I1104" i="1"/>
  <c r="L1104" i="1" s="1"/>
  <c r="M1104" i="1" s="1"/>
  <c r="I1105" i="1"/>
  <c r="L1105" i="1" s="1"/>
  <c r="M1105" i="1" s="1"/>
  <c r="I1106" i="1"/>
  <c r="L1106" i="1" s="1"/>
  <c r="M1106" i="1" s="1"/>
  <c r="I1107" i="1"/>
  <c r="L1107" i="1" s="1"/>
  <c r="M1107" i="1" s="1"/>
  <c r="I1108" i="1"/>
  <c r="L1108" i="1" s="1"/>
  <c r="M1108" i="1" s="1"/>
  <c r="I1109" i="1"/>
  <c r="L1109" i="1" s="1"/>
  <c r="M1109" i="1" s="1"/>
  <c r="I1110" i="1"/>
  <c r="L1110" i="1" s="1"/>
  <c r="M1110" i="1" s="1"/>
  <c r="I1111" i="1"/>
  <c r="L1111" i="1" s="1"/>
  <c r="M1111" i="1" s="1"/>
  <c r="I1112" i="1"/>
  <c r="L1112" i="1" s="1"/>
  <c r="M1112" i="1" s="1"/>
  <c r="I1113" i="1"/>
  <c r="L1113" i="1" s="1"/>
  <c r="M1113" i="1" s="1"/>
  <c r="I1114" i="1"/>
  <c r="L1114" i="1" s="1"/>
  <c r="M1114" i="1" s="1"/>
  <c r="I1115" i="1"/>
  <c r="L1115" i="1" s="1"/>
  <c r="M1115" i="1" s="1"/>
  <c r="I1116" i="1"/>
  <c r="L1116" i="1" s="1"/>
  <c r="M1116" i="1" s="1"/>
  <c r="I1117" i="1"/>
  <c r="L1117" i="1" s="1"/>
  <c r="M1117" i="1" s="1"/>
  <c r="I1118" i="1"/>
  <c r="I1119" i="1"/>
  <c r="L1119" i="1" s="1"/>
  <c r="M1119" i="1" s="1"/>
  <c r="I1120" i="1"/>
  <c r="L1120" i="1" s="1"/>
  <c r="M1120" i="1" s="1"/>
  <c r="I1121" i="1"/>
  <c r="L1121" i="1" s="1"/>
  <c r="M1121" i="1" s="1"/>
  <c r="I1122" i="1"/>
  <c r="I1123" i="1"/>
  <c r="L1123" i="1" s="1"/>
  <c r="M1123" i="1" s="1"/>
  <c r="I1124" i="1"/>
  <c r="L1124" i="1" s="1"/>
  <c r="M1124" i="1" s="1"/>
  <c r="I1125" i="1"/>
  <c r="L1125" i="1" s="1"/>
  <c r="M1125" i="1" s="1"/>
  <c r="I1126" i="1"/>
  <c r="L1126" i="1" s="1"/>
  <c r="M1126" i="1" s="1"/>
  <c r="I1127" i="1"/>
  <c r="L1127" i="1" s="1"/>
  <c r="M1127" i="1" s="1"/>
  <c r="I1128" i="1"/>
  <c r="L1128" i="1" s="1"/>
  <c r="M1128" i="1" s="1"/>
  <c r="I1129" i="1"/>
  <c r="L1129" i="1" s="1"/>
  <c r="M1129" i="1" s="1"/>
  <c r="I1130" i="1"/>
  <c r="L1130" i="1" s="1"/>
  <c r="M1130" i="1" s="1"/>
  <c r="I1131" i="1"/>
  <c r="L1131" i="1" s="1"/>
  <c r="M1131" i="1" s="1"/>
  <c r="I1132" i="1"/>
  <c r="L1132" i="1" s="1"/>
  <c r="M1132" i="1" s="1"/>
  <c r="I1133" i="1"/>
  <c r="L1133" i="1" s="1"/>
  <c r="M1133" i="1" s="1"/>
  <c r="I1134" i="1"/>
  <c r="L1134" i="1" s="1"/>
  <c r="M1134" i="1" s="1"/>
  <c r="I1135" i="1"/>
  <c r="L1135" i="1" s="1"/>
  <c r="M1135" i="1" s="1"/>
  <c r="I1136" i="1"/>
  <c r="L1136" i="1" s="1"/>
  <c r="M1136" i="1" s="1"/>
  <c r="I1137" i="1"/>
  <c r="L1137" i="1" s="1"/>
  <c r="M1137" i="1" s="1"/>
  <c r="I1138" i="1"/>
  <c r="L1138" i="1" s="1"/>
  <c r="M1138" i="1" s="1"/>
  <c r="I1139" i="1"/>
  <c r="L1139" i="1" s="1"/>
  <c r="M1139" i="1" s="1"/>
  <c r="I1140" i="1"/>
  <c r="L1140" i="1" s="1"/>
  <c r="M1140" i="1" s="1"/>
  <c r="I1141" i="1"/>
  <c r="L1141" i="1" s="1"/>
  <c r="M1141" i="1" s="1"/>
  <c r="I1142" i="1"/>
  <c r="L1142" i="1" s="1"/>
  <c r="M1142" i="1" s="1"/>
  <c r="I1143" i="1"/>
  <c r="L1143" i="1" s="1"/>
  <c r="M1143" i="1" s="1"/>
  <c r="I1144" i="1"/>
  <c r="L1144" i="1" s="1"/>
  <c r="M1144" i="1" s="1"/>
  <c r="I1145" i="1"/>
  <c r="L1145" i="1" s="1"/>
  <c r="M1145" i="1" s="1"/>
  <c r="I1146" i="1"/>
  <c r="L1146" i="1" s="1"/>
  <c r="M1146" i="1" s="1"/>
  <c r="I1147" i="1"/>
  <c r="L1147" i="1" s="1"/>
  <c r="M1147" i="1" s="1"/>
  <c r="I1148" i="1"/>
  <c r="L1148" i="1" s="1"/>
  <c r="M1148" i="1" s="1"/>
  <c r="I1149" i="1"/>
  <c r="L1149" i="1" s="1"/>
  <c r="M1149" i="1" s="1"/>
  <c r="I1150" i="1"/>
  <c r="L1150" i="1" s="1"/>
  <c r="M1150" i="1" s="1"/>
  <c r="I1151" i="1"/>
  <c r="L1151" i="1" s="1"/>
  <c r="M1151" i="1" s="1"/>
  <c r="I1152" i="1"/>
  <c r="L1152" i="1" s="1"/>
  <c r="M1152" i="1" s="1"/>
  <c r="I1153" i="1"/>
  <c r="L1153" i="1" s="1"/>
  <c r="M1153" i="1" s="1"/>
  <c r="I1154" i="1"/>
  <c r="L1154" i="1" s="1"/>
  <c r="M1154" i="1" s="1"/>
  <c r="I1155" i="1"/>
  <c r="L1155" i="1" s="1"/>
  <c r="M1155" i="1" s="1"/>
  <c r="I1156" i="1"/>
  <c r="L1156" i="1" s="1"/>
  <c r="M1156" i="1" s="1"/>
  <c r="I1157" i="1"/>
  <c r="L1157" i="1" s="1"/>
  <c r="M1157" i="1" s="1"/>
  <c r="I1158" i="1"/>
  <c r="L1158" i="1" s="1"/>
  <c r="M1158" i="1" s="1"/>
  <c r="I1159" i="1"/>
  <c r="L1159" i="1" s="1"/>
  <c r="M1159" i="1" s="1"/>
  <c r="I1160" i="1"/>
  <c r="L1160" i="1" s="1"/>
  <c r="M1160" i="1" s="1"/>
  <c r="I1161" i="1"/>
  <c r="L1161" i="1" s="1"/>
  <c r="M1161" i="1" s="1"/>
  <c r="I1162" i="1"/>
  <c r="L1162" i="1" s="1"/>
  <c r="M1162" i="1" s="1"/>
  <c r="I1163" i="1"/>
  <c r="L1163" i="1" s="1"/>
  <c r="M1163" i="1" s="1"/>
  <c r="I1164" i="1"/>
  <c r="L1164" i="1" s="1"/>
  <c r="M1164" i="1" s="1"/>
  <c r="I1165" i="1"/>
  <c r="L1165" i="1" s="1"/>
  <c r="M1165" i="1" s="1"/>
  <c r="I1166" i="1"/>
  <c r="L1166" i="1" s="1"/>
  <c r="M1166" i="1" s="1"/>
  <c r="I1167" i="1"/>
  <c r="L1167" i="1" s="1"/>
  <c r="M1167" i="1" s="1"/>
  <c r="I1168" i="1"/>
  <c r="L1168" i="1" s="1"/>
  <c r="M1168" i="1" s="1"/>
  <c r="I1169" i="1"/>
  <c r="L1169" i="1" s="1"/>
  <c r="M1169" i="1" s="1"/>
  <c r="I1170" i="1"/>
  <c r="L1170" i="1" s="1"/>
  <c r="M1170" i="1" s="1"/>
  <c r="I1171" i="1"/>
  <c r="L1171" i="1" s="1"/>
  <c r="M1171" i="1" s="1"/>
  <c r="I1172" i="1"/>
  <c r="L1172" i="1" s="1"/>
  <c r="M1172" i="1" s="1"/>
  <c r="I1173" i="1"/>
  <c r="L1173" i="1" s="1"/>
  <c r="M1173" i="1" s="1"/>
  <c r="I1174" i="1"/>
  <c r="L1174" i="1" s="1"/>
  <c r="M1174" i="1" s="1"/>
  <c r="I1175" i="1"/>
  <c r="L1175" i="1" s="1"/>
  <c r="M1175" i="1" s="1"/>
  <c r="I1176" i="1"/>
  <c r="L1176" i="1" s="1"/>
  <c r="M1176" i="1" s="1"/>
  <c r="I1177" i="1"/>
  <c r="L1177" i="1" s="1"/>
  <c r="M1177" i="1" s="1"/>
  <c r="I1178" i="1"/>
  <c r="L1178" i="1" s="1"/>
  <c r="M1178" i="1" s="1"/>
  <c r="I1179" i="1"/>
  <c r="L1179" i="1" s="1"/>
  <c r="M1179" i="1" s="1"/>
  <c r="I1180" i="1"/>
  <c r="L1180" i="1" s="1"/>
  <c r="M1180" i="1" s="1"/>
  <c r="I1181" i="1"/>
  <c r="L1181" i="1" s="1"/>
  <c r="M1181" i="1" s="1"/>
  <c r="I1182" i="1"/>
  <c r="L1182" i="1" s="1"/>
  <c r="M1182" i="1" s="1"/>
  <c r="I1183" i="1"/>
  <c r="L1183" i="1" s="1"/>
  <c r="M1183" i="1" s="1"/>
  <c r="I1184" i="1"/>
  <c r="L1184" i="1" s="1"/>
  <c r="M1184" i="1" s="1"/>
  <c r="I1185" i="1"/>
  <c r="L1185" i="1" s="1"/>
  <c r="M1185" i="1" s="1"/>
  <c r="I1186" i="1"/>
  <c r="L1186" i="1" s="1"/>
  <c r="M1186" i="1" s="1"/>
  <c r="I1187" i="1"/>
  <c r="L1187" i="1" s="1"/>
  <c r="M1187" i="1" s="1"/>
  <c r="I1188" i="1"/>
  <c r="L1188" i="1" s="1"/>
  <c r="M1188" i="1" s="1"/>
  <c r="I1189" i="1"/>
  <c r="L1189" i="1" s="1"/>
  <c r="M1189" i="1" s="1"/>
  <c r="I1190" i="1"/>
  <c r="L1190" i="1" s="1"/>
  <c r="M1190" i="1" s="1"/>
  <c r="I1191" i="1"/>
  <c r="L1191" i="1" s="1"/>
  <c r="M1191" i="1" s="1"/>
  <c r="I1192" i="1"/>
  <c r="L1192" i="1" s="1"/>
  <c r="M1192" i="1" s="1"/>
  <c r="I1193" i="1"/>
  <c r="L1193" i="1" s="1"/>
  <c r="M1193" i="1" s="1"/>
  <c r="I1194" i="1"/>
  <c r="L1194" i="1" s="1"/>
  <c r="M1194" i="1" s="1"/>
  <c r="I1195" i="1"/>
  <c r="L1195" i="1" s="1"/>
  <c r="M1195" i="1" s="1"/>
  <c r="I1196" i="1"/>
  <c r="L1196" i="1" s="1"/>
  <c r="M1196" i="1" s="1"/>
  <c r="I1197" i="1"/>
  <c r="L1197" i="1" s="1"/>
  <c r="M1197" i="1" s="1"/>
  <c r="I1198" i="1"/>
  <c r="L1198" i="1" s="1"/>
  <c r="M1198" i="1" s="1"/>
  <c r="I1199" i="1"/>
  <c r="L1199" i="1" s="1"/>
  <c r="M1199" i="1" s="1"/>
  <c r="I1200" i="1"/>
  <c r="L1200" i="1" s="1"/>
  <c r="M1200" i="1" s="1"/>
  <c r="I1201" i="1"/>
  <c r="L1201" i="1" s="1"/>
  <c r="M1201" i="1" s="1"/>
  <c r="I1202" i="1"/>
  <c r="L1202" i="1" s="1"/>
  <c r="M1202" i="1" s="1"/>
  <c r="I1203" i="1"/>
  <c r="L1203" i="1" s="1"/>
  <c r="M1203" i="1" s="1"/>
  <c r="I1204" i="1"/>
  <c r="L1204" i="1" s="1"/>
  <c r="M1204" i="1" s="1"/>
  <c r="I1205" i="1"/>
  <c r="L1205" i="1" s="1"/>
  <c r="M1205" i="1" s="1"/>
  <c r="I1206" i="1"/>
  <c r="L1206" i="1" s="1"/>
  <c r="M1206" i="1" s="1"/>
  <c r="I1207" i="1"/>
  <c r="L1207" i="1" s="1"/>
  <c r="M1207" i="1" s="1"/>
  <c r="I1208" i="1"/>
  <c r="L1208" i="1" s="1"/>
  <c r="M1208" i="1" s="1"/>
  <c r="I1209" i="1"/>
  <c r="L1209" i="1" s="1"/>
  <c r="M1209" i="1" s="1"/>
  <c r="I1210" i="1"/>
  <c r="L1210" i="1" s="1"/>
  <c r="M1210" i="1" s="1"/>
  <c r="I1211" i="1"/>
  <c r="L1211" i="1" s="1"/>
  <c r="M1211" i="1" s="1"/>
  <c r="I1212" i="1"/>
  <c r="L1212" i="1" s="1"/>
  <c r="M1212" i="1" s="1"/>
  <c r="I1213" i="1"/>
  <c r="L1213" i="1" s="1"/>
  <c r="M1213" i="1" s="1"/>
  <c r="I1214" i="1"/>
  <c r="L1214" i="1" s="1"/>
  <c r="M1214" i="1" s="1"/>
  <c r="I1215" i="1"/>
  <c r="L1215" i="1" s="1"/>
  <c r="M1215" i="1" s="1"/>
  <c r="I1216" i="1"/>
  <c r="L1216" i="1" s="1"/>
  <c r="M1216" i="1" s="1"/>
  <c r="I1217" i="1"/>
  <c r="L1217" i="1" s="1"/>
  <c r="M1217" i="1" s="1"/>
  <c r="I1218" i="1"/>
  <c r="L1218" i="1" s="1"/>
  <c r="M1218" i="1" s="1"/>
  <c r="I1219" i="1"/>
  <c r="L1219" i="1" s="1"/>
  <c r="M1219" i="1" s="1"/>
  <c r="I1220" i="1"/>
  <c r="L1220" i="1" s="1"/>
  <c r="M1220" i="1" s="1"/>
  <c r="I1221" i="1"/>
  <c r="L1221" i="1" s="1"/>
  <c r="M1221" i="1" s="1"/>
  <c r="I1222" i="1"/>
  <c r="L1222" i="1" s="1"/>
  <c r="M1222" i="1" s="1"/>
  <c r="I1223" i="1"/>
  <c r="L1223" i="1" s="1"/>
  <c r="M1223" i="1" s="1"/>
  <c r="I1224" i="1"/>
  <c r="L1224" i="1" s="1"/>
  <c r="M1224" i="1" s="1"/>
  <c r="I1225" i="1"/>
  <c r="L1225" i="1" s="1"/>
  <c r="M1225" i="1" s="1"/>
  <c r="I1226" i="1"/>
  <c r="L1226" i="1" s="1"/>
  <c r="M1226" i="1" s="1"/>
  <c r="I1227" i="1"/>
  <c r="L1227" i="1" s="1"/>
  <c r="M1227" i="1" s="1"/>
  <c r="I1228" i="1"/>
  <c r="L1228" i="1" s="1"/>
  <c r="M1228" i="1" s="1"/>
  <c r="I1229" i="1"/>
  <c r="L1229" i="1" s="1"/>
  <c r="M1229" i="1" s="1"/>
  <c r="I1230" i="1"/>
  <c r="L1230" i="1" s="1"/>
  <c r="M1230" i="1" s="1"/>
  <c r="I1231" i="1"/>
  <c r="L1231" i="1" s="1"/>
  <c r="M1231" i="1" s="1"/>
  <c r="I1232" i="1"/>
  <c r="L1232" i="1" s="1"/>
  <c r="M1232" i="1" s="1"/>
  <c r="I1233" i="1"/>
  <c r="L1233" i="1" s="1"/>
  <c r="M1233" i="1" s="1"/>
  <c r="I1234" i="1"/>
  <c r="L1234" i="1" s="1"/>
  <c r="M1234" i="1" s="1"/>
  <c r="I1235" i="1"/>
  <c r="L1235" i="1" s="1"/>
  <c r="M1235" i="1" s="1"/>
  <c r="I1236" i="1"/>
  <c r="L1236" i="1" s="1"/>
  <c r="M1236" i="1" s="1"/>
  <c r="I1237" i="1"/>
  <c r="L1237" i="1" s="1"/>
  <c r="M1237" i="1" s="1"/>
  <c r="I1238" i="1"/>
  <c r="L1238" i="1" s="1"/>
  <c r="M1238" i="1" s="1"/>
  <c r="I1239" i="1"/>
  <c r="L1239" i="1" s="1"/>
  <c r="M1239" i="1" s="1"/>
  <c r="I1240" i="1"/>
  <c r="L1240" i="1" s="1"/>
  <c r="M1240" i="1" s="1"/>
  <c r="I1241" i="1"/>
  <c r="L1241" i="1" s="1"/>
  <c r="M1241" i="1" s="1"/>
  <c r="I1242" i="1"/>
  <c r="L1242" i="1" s="1"/>
  <c r="M1242" i="1" s="1"/>
  <c r="I1243" i="1"/>
  <c r="L1243" i="1" s="1"/>
  <c r="M1243" i="1" s="1"/>
  <c r="I1244" i="1"/>
  <c r="L1244" i="1" s="1"/>
  <c r="M1244" i="1" s="1"/>
  <c r="I1245" i="1"/>
  <c r="L1245" i="1" s="1"/>
  <c r="M1245" i="1" s="1"/>
  <c r="I1246" i="1"/>
  <c r="L1246" i="1" s="1"/>
  <c r="M1246" i="1" s="1"/>
  <c r="I1247" i="1"/>
  <c r="L1247" i="1" s="1"/>
  <c r="M1247" i="1" s="1"/>
  <c r="I1248" i="1"/>
  <c r="L1248" i="1" s="1"/>
  <c r="M1248" i="1" s="1"/>
  <c r="I1249" i="1"/>
  <c r="L1249" i="1" s="1"/>
  <c r="M1249" i="1" s="1"/>
  <c r="I1250" i="1"/>
  <c r="L1250" i="1" s="1"/>
  <c r="M1250" i="1" s="1"/>
  <c r="I1251" i="1"/>
  <c r="L1251" i="1" s="1"/>
  <c r="M1251" i="1" s="1"/>
  <c r="I1252" i="1"/>
  <c r="L1252" i="1" s="1"/>
  <c r="M1252" i="1" s="1"/>
  <c r="I1253" i="1"/>
  <c r="L1253" i="1" s="1"/>
  <c r="M1253" i="1" s="1"/>
  <c r="I1254" i="1"/>
  <c r="L1254" i="1" s="1"/>
  <c r="M1254" i="1" s="1"/>
  <c r="I1255" i="1"/>
  <c r="L1255" i="1" s="1"/>
  <c r="M1255" i="1" s="1"/>
  <c r="I1256" i="1"/>
  <c r="L1256" i="1" s="1"/>
  <c r="M1256" i="1" s="1"/>
  <c r="I1257" i="1"/>
  <c r="L1257" i="1" s="1"/>
  <c r="M1257" i="1" s="1"/>
  <c r="I1258" i="1"/>
  <c r="L1258" i="1" s="1"/>
  <c r="M1258" i="1" s="1"/>
  <c r="I1259" i="1"/>
  <c r="L1259" i="1" s="1"/>
  <c r="M1259" i="1" s="1"/>
  <c r="I1260" i="1"/>
  <c r="L1260" i="1" s="1"/>
  <c r="M1260" i="1" s="1"/>
  <c r="I1261" i="1"/>
  <c r="L1261" i="1" s="1"/>
  <c r="M1261" i="1" s="1"/>
  <c r="I1262" i="1"/>
  <c r="L1262" i="1" s="1"/>
  <c r="M1262" i="1" s="1"/>
  <c r="I1263" i="1"/>
  <c r="L1263" i="1" s="1"/>
  <c r="M1263" i="1" s="1"/>
  <c r="I1264" i="1"/>
  <c r="L1264" i="1" s="1"/>
  <c r="M1264" i="1" s="1"/>
  <c r="I1265" i="1"/>
  <c r="L1265" i="1" s="1"/>
  <c r="M1265" i="1" s="1"/>
  <c r="I1266" i="1"/>
  <c r="L1266" i="1" s="1"/>
  <c r="M1266" i="1" s="1"/>
  <c r="I1267" i="1"/>
  <c r="L1267" i="1" s="1"/>
  <c r="M1267" i="1" s="1"/>
  <c r="I1268" i="1"/>
  <c r="L1268" i="1" s="1"/>
  <c r="M1268" i="1" s="1"/>
  <c r="I1269" i="1"/>
  <c r="L1269" i="1" s="1"/>
  <c r="M1269" i="1" s="1"/>
  <c r="I1270" i="1"/>
  <c r="L1270" i="1" s="1"/>
  <c r="M1270" i="1" s="1"/>
  <c r="I1271" i="1"/>
  <c r="L1271" i="1" s="1"/>
  <c r="M1271" i="1" s="1"/>
  <c r="I1272" i="1"/>
  <c r="L1272" i="1" s="1"/>
  <c r="M1272" i="1" s="1"/>
  <c r="I1273" i="1"/>
  <c r="L1273" i="1" s="1"/>
  <c r="M1273" i="1" s="1"/>
  <c r="I1274" i="1"/>
  <c r="L1274" i="1" s="1"/>
  <c r="M1274" i="1" s="1"/>
  <c r="I1275" i="1"/>
  <c r="L1275" i="1" s="1"/>
  <c r="M1275" i="1" s="1"/>
  <c r="I1276" i="1"/>
  <c r="L1276" i="1" s="1"/>
  <c r="M1276" i="1" s="1"/>
  <c r="I1277" i="1"/>
  <c r="L1277" i="1" s="1"/>
  <c r="M1277" i="1" s="1"/>
  <c r="I1278" i="1"/>
  <c r="L1278" i="1" s="1"/>
  <c r="M1278" i="1" s="1"/>
  <c r="I1279" i="1"/>
  <c r="L1279" i="1" s="1"/>
  <c r="M1279" i="1" s="1"/>
  <c r="I1280" i="1"/>
  <c r="L1280" i="1" s="1"/>
  <c r="M1280" i="1" s="1"/>
  <c r="I1281" i="1"/>
  <c r="L1281" i="1" s="1"/>
  <c r="M1281" i="1" s="1"/>
  <c r="I1282" i="1"/>
  <c r="L1282" i="1" s="1"/>
  <c r="M1282" i="1" s="1"/>
  <c r="I1283" i="1"/>
  <c r="L1283" i="1" s="1"/>
  <c r="M1283" i="1" s="1"/>
  <c r="I1284" i="1"/>
  <c r="L1284" i="1" s="1"/>
  <c r="M1284" i="1" s="1"/>
  <c r="I1285" i="1"/>
  <c r="L1285" i="1" s="1"/>
  <c r="M1285" i="1" s="1"/>
  <c r="I1286" i="1"/>
  <c r="L1286" i="1" s="1"/>
  <c r="M1286" i="1" s="1"/>
  <c r="I1287" i="1"/>
  <c r="L1287" i="1" s="1"/>
  <c r="M1287" i="1" s="1"/>
  <c r="I1288" i="1"/>
  <c r="L1288" i="1" s="1"/>
  <c r="M1288" i="1" s="1"/>
  <c r="I1289" i="1"/>
  <c r="L1289" i="1" s="1"/>
  <c r="M1289" i="1" s="1"/>
  <c r="I1290" i="1"/>
  <c r="L1290" i="1" s="1"/>
  <c r="M1290" i="1" s="1"/>
  <c r="I1291" i="1"/>
  <c r="L1291" i="1" s="1"/>
  <c r="M1291" i="1" s="1"/>
  <c r="I1292" i="1"/>
  <c r="L1292" i="1" s="1"/>
  <c r="M1292" i="1" s="1"/>
  <c r="I1293" i="1"/>
  <c r="L1293" i="1" s="1"/>
  <c r="M1293" i="1" s="1"/>
  <c r="I1294" i="1"/>
  <c r="L1294" i="1" s="1"/>
  <c r="M1294" i="1" s="1"/>
  <c r="I1295" i="1"/>
  <c r="L1295" i="1" s="1"/>
  <c r="M1295" i="1" s="1"/>
  <c r="I1296" i="1"/>
  <c r="L1296" i="1" s="1"/>
  <c r="M1296" i="1" s="1"/>
  <c r="I1297" i="1"/>
  <c r="L1297" i="1" s="1"/>
  <c r="M1297" i="1" s="1"/>
  <c r="I1298" i="1"/>
  <c r="L1298" i="1" s="1"/>
  <c r="M1298" i="1" s="1"/>
  <c r="I1299" i="1"/>
  <c r="L1299" i="1" s="1"/>
  <c r="M1299" i="1" s="1"/>
  <c r="I1300" i="1"/>
  <c r="L1300" i="1" s="1"/>
  <c r="M1300" i="1" s="1"/>
  <c r="I1301" i="1"/>
  <c r="L1301" i="1" s="1"/>
  <c r="M1301" i="1" s="1"/>
  <c r="I1302" i="1"/>
  <c r="L1302" i="1" s="1"/>
  <c r="M1302" i="1" s="1"/>
  <c r="I1303" i="1"/>
  <c r="L1303" i="1" s="1"/>
  <c r="M1303" i="1" s="1"/>
  <c r="I1304" i="1"/>
  <c r="L1304" i="1" s="1"/>
  <c r="M1304" i="1" s="1"/>
  <c r="I1305" i="1"/>
  <c r="L1305" i="1" s="1"/>
  <c r="M1305" i="1" s="1"/>
  <c r="I1306" i="1"/>
  <c r="L1306" i="1" s="1"/>
  <c r="M1306" i="1" s="1"/>
  <c r="I1307" i="1"/>
  <c r="L1307" i="1" s="1"/>
  <c r="M1307" i="1" s="1"/>
  <c r="I1308" i="1"/>
  <c r="L1308" i="1" s="1"/>
  <c r="M1308" i="1" s="1"/>
  <c r="I1309" i="1"/>
  <c r="I1310" i="1"/>
  <c r="L1310" i="1" s="1"/>
  <c r="M1310" i="1" s="1"/>
  <c r="I1311" i="1"/>
  <c r="L1311" i="1" s="1"/>
  <c r="M1311" i="1" s="1"/>
  <c r="I1312" i="1"/>
  <c r="L1312" i="1" s="1"/>
  <c r="M1312" i="1" s="1"/>
  <c r="I1313" i="1"/>
  <c r="L1313" i="1" s="1"/>
  <c r="M1313" i="1" s="1"/>
  <c r="I1314" i="1"/>
  <c r="L1314" i="1" s="1"/>
  <c r="M1314" i="1" s="1"/>
  <c r="I1315" i="1"/>
  <c r="L1315" i="1" s="1"/>
  <c r="M1315" i="1" s="1"/>
  <c r="I1316" i="1"/>
  <c r="L1316" i="1" s="1"/>
  <c r="M1316" i="1" s="1"/>
  <c r="I1317" i="1"/>
  <c r="L1317" i="1" s="1"/>
  <c r="M1317" i="1" s="1"/>
  <c r="I1318" i="1"/>
  <c r="L1318" i="1" s="1"/>
  <c r="M1318" i="1" s="1"/>
  <c r="I1319" i="1"/>
  <c r="L1319" i="1" s="1"/>
  <c r="M1319" i="1" s="1"/>
  <c r="I1320" i="1"/>
  <c r="L1320" i="1" s="1"/>
  <c r="M1320" i="1" s="1"/>
  <c r="I1321" i="1"/>
  <c r="L1321" i="1" s="1"/>
  <c r="M1321" i="1" s="1"/>
  <c r="I1322" i="1"/>
  <c r="L1322" i="1" s="1"/>
  <c r="M1322" i="1" s="1"/>
  <c r="I1323" i="1"/>
  <c r="L1323" i="1" s="1"/>
  <c r="M1323" i="1" s="1"/>
  <c r="I1324" i="1"/>
  <c r="L1324" i="1" s="1"/>
  <c r="M1324" i="1" s="1"/>
  <c r="I1325" i="1"/>
  <c r="L1325" i="1" s="1"/>
  <c r="M1325" i="1" s="1"/>
  <c r="I1326" i="1"/>
  <c r="L1326" i="1" s="1"/>
  <c r="M1326" i="1" s="1"/>
  <c r="I1327" i="1"/>
  <c r="L1327" i="1" s="1"/>
  <c r="M1327" i="1" s="1"/>
  <c r="I1328" i="1"/>
  <c r="L1328" i="1" s="1"/>
  <c r="M1328" i="1" s="1"/>
  <c r="I1329" i="1"/>
  <c r="L1329" i="1" s="1"/>
  <c r="M1329" i="1" s="1"/>
  <c r="I1330" i="1"/>
  <c r="L1330" i="1" s="1"/>
  <c r="M1330" i="1" s="1"/>
  <c r="I1331" i="1"/>
  <c r="L1331" i="1" s="1"/>
  <c r="M1331" i="1" s="1"/>
  <c r="I1332" i="1"/>
  <c r="L1332" i="1" s="1"/>
  <c r="M1332" i="1" s="1"/>
  <c r="I1333" i="1"/>
  <c r="L1333" i="1" s="1"/>
  <c r="M1333" i="1" s="1"/>
  <c r="I1334" i="1"/>
  <c r="L1334" i="1" s="1"/>
  <c r="M1334" i="1" s="1"/>
  <c r="I1335" i="1"/>
  <c r="L1335" i="1" s="1"/>
  <c r="M1335" i="1" s="1"/>
  <c r="I1336" i="1"/>
  <c r="L1336" i="1" s="1"/>
  <c r="M1336" i="1" s="1"/>
  <c r="I1337" i="1"/>
  <c r="L1337" i="1" s="1"/>
  <c r="M1337" i="1" s="1"/>
  <c r="I1338" i="1"/>
  <c r="L1338" i="1" s="1"/>
  <c r="M1338" i="1" s="1"/>
  <c r="I1339" i="1"/>
  <c r="L1339" i="1" s="1"/>
  <c r="M1339" i="1" s="1"/>
  <c r="I1340" i="1"/>
  <c r="L1340" i="1" s="1"/>
  <c r="M1340" i="1" s="1"/>
  <c r="I1341" i="1"/>
  <c r="L1341" i="1" s="1"/>
  <c r="M1341" i="1" s="1"/>
  <c r="I1342" i="1"/>
  <c r="L1342" i="1" s="1"/>
  <c r="M1342" i="1" s="1"/>
  <c r="I1343" i="1"/>
  <c r="L1343" i="1" s="1"/>
  <c r="M1343" i="1" s="1"/>
  <c r="I1344" i="1"/>
  <c r="L1344" i="1" s="1"/>
  <c r="M1344" i="1" s="1"/>
  <c r="I1345" i="1"/>
  <c r="L1345" i="1" s="1"/>
  <c r="M1345" i="1" s="1"/>
  <c r="I1346" i="1"/>
  <c r="L1346" i="1" s="1"/>
  <c r="M1346" i="1" s="1"/>
  <c r="I1347" i="1"/>
  <c r="L1347" i="1" s="1"/>
  <c r="M1347" i="1" s="1"/>
  <c r="I1348" i="1"/>
  <c r="L1348" i="1" s="1"/>
  <c r="M1348" i="1" s="1"/>
  <c r="I1349" i="1"/>
  <c r="L1349" i="1" s="1"/>
  <c r="M1349" i="1" s="1"/>
  <c r="I1350" i="1"/>
  <c r="L1350" i="1" s="1"/>
  <c r="M1350" i="1" s="1"/>
  <c r="I1351" i="1"/>
  <c r="L1351" i="1" s="1"/>
  <c r="M1351" i="1" s="1"/>
  <c r="I1352" i="1"/>
  <c r="L1352" i="1" s="1"/>
  <c r="M1352" i="1" s="1"/>
  <c r="I1353" i="1"/>
  <c r="L1353" i="1" s="1"/>
  <c r="M1353" i="1" s="1"/>
  <c r="I1354" i="1"/>
  <c r="L1354" i="1" s="1"/>
  <c r="M1354" i="1" s="1"/>
  <c r="I1355" i="1"/>
  <c r="L1355" i="1" s="1"/>
  <c r="M1355" i="1" s="1"/>
  <c r="I1356" i="1"/>
  <c r="L1356" i="1" s="1"/>
  <c r="M1356" i="1" s="1"/>
  <c r="I1357" i="1"/>
  <c r="L1357" i="1" s="1"/>
  <c r="M1357" i="1" s="1"/>
  <c r="I1358" i="1"/>
  <c r="L1358" i="1" s="1"/>
  <c r="M1358" i="1" s="1"/>
  <c r="I1359" i="1"/>
  <c r="L1359" i="1" s="1"/>
  <c r="M1359" i="1" s="1"/>
  <c r="I1360" i="1"/>
  <c r="L1360" i="1" s="1"/>
  <c r="M1360" i="1" s="1"/>
  <c r="I1361" i="1"/>
  <c r="L1361" i="1" s="1"/>
  <c r="M1361" i="1" s="1"/>
  <c r="I1362" i="1"/>
  <c r="L1362" i="1" s="1"/>
  <c r="M1362" i="1" s="1"/>
  <c r="I1363" i="1"/>
  <c r="L1363" i="1" s="1"/>
  <c r="M1363" i="1" s="1"/>
  <c r="I1364" i="1"/>
  <c r="L1364" i="1" s="1"/>
  <c r="M1364" i="1" s="1"/>
  <c r="I1365" i="1"/>
  <c r="L1365" i="1" s="1"/>
  <c r="M1365" i="1" s="1"/>
  <c r="I1366" i="1"/>
  <c r="L1366" i="1" s="1"/>
  <c r="M1366" i="1" s="1"/>
  <c r="I1367" i="1"/>
  <c r="L1367" i="1" s="1"/>
  <c r="M1367" i="1" s="1"/>
  <c r="I1368" i="1"/>
  <c r="L1368" i="1" s="1"/>
  <c r="M1368" i="1" s="1"/>
  <c r="I1369" i="1"/>
  <c r="L1369" i="1" s="1"/>
  <c r="M1369" i="1" s="1"/>
  <c r="I1370" i="1"/>
  <c r="L1370" i="1" s="1"/>
  <c r="M1370" i="1" s="1"/>
  <c r="I1371" i="1"/>
  <c r="L1371" i="1" s="1"/>
  <c r="M1371" i="1" s="1"/>
  <c r="I1372" i="1"/>
  <c r="L1372" i="1" s="1"/>
  <c r="M1372" i="1" s="1"/>
  <c r="I1373" i="1"/>
  <c r="L1373" i="1" s="1"/>
  <c r="M1373" i="1" s="1"/>
  <c r="I1374" i="1"/>
  <c r="L1374" i="1" s="1"/>
  <c r="M1374" i="1" s="1"/>
  <c r="I1375" i="1"/>
  <c r="L1375" i="1" s="1"/>
  <c r="M1375" i="1" s="1"/>
  <c r="I1376" i="1"/>
  <c r="L1376" i="1" s="1"/>
  <c r="M1376" i="1" s="1"/>
  <c r="I1377" i="1"/>
  <c r="L1377" i="1" s="1"/>
  <c r="M1377" i="1" s="1"/>
  <c r="I1378" i="1"/>
  <c r="L1378" i="1" s="1"/>
  <c r="M1378" i="1" s="1"/>
  <c r="I1379" i="1"/>
  <c r="L1379" i="1" s="1"/>
  <c r="M1379" i="1" s="1"/>
  <c r="I1380" i="1"/>
  <c r="L1380" i="1" s="1"/>
  <c r="M1380" i="1" s="1"/>
  <c r="I1381" i="1"/>
  <c r="L1381" i="1" s="1"/>
  <c r="M1381" i="1" s="1"/>
  <c r="I1382" i="1"/>
  <c r="L1382" i="1" s="1"/>
  <c r="M1382" i="1" s="1"/>
  <c r="I1383" i="1"/>
  <c r="L1383" i="1" s="1"/>
  <c r="M1383" i="1" s="1"/>
  <c r="I1384" i="1"/>
  <c r="L1384" i="1" s="1"/>
  <c r="M1384" i="1" s="1"/>
  <c r="I1385" i="1"/>
  <c r="L1385" i="1" s="1"/>
  <c r="M1385" i="1" s="1"/>
  <c r="I1386" i="1"/>
  <c r="L1386" i="1" s="1"/>
  <c r="M1386" i="1" s="1"/>
  <c r="I1387" i="1"/>
  <c r="L1387" i="1" s="1"/>
  <c r="M1387" i="1" s="1"/>
  <c r="I1388" i="1"/>
  <c r="L1388" i="1" s="1"/>
  <c r="M1388" i="1" s="1"/>
  <c r="I1389" i="1"/>
  <c r="L1389" i="1" s="1"/>
  <c r="M1389" i="1" s="1"/>
  <c r="I1390" i="1"/>
  <c r="L1390" i="1" s="1"/>
  <c r="M1390" i="1" s="1"/>
  <c r="I1391" i="1"/>
  <c r="L1391" i="1" s="1"/>
  <c r="M1391" i="1" s="1"/>
  <c r="I1392" i="1"/>
  <c r="L1392" i="1" s="1"/>
  <c r="M1392" i="1" s="1"/>
  <c r="I1393" i="1"/>
  <c r="L1393" i="1" s="1"/>
  <c r="M1393" i="1" s="1"/>
  <c r="I1394" i="1"/>
  <c r="L1394" i="1" s="1"/>
  <c r="M1394" i="1" s="1"/>
  <c r="I1395" i="1"/>
  <c r="L1395" i="1" s="1"/>
  <c r="M1395" i="1" s="1"/>
  <c r="I1396" i="1"/>
  <c r="L1396" i="1" s="1"/>
  <c r="M1396" i="1" s="1"/>
  <c r="I1397" i="1"/>
  <c r="L1397" i="1" s="1"/>
  <c r="M1397" i="1" s="1"/>
  <c r="I1398" i="1"/>
  <c r="L1398" i="1" s="1"/>
  <c r="M1398" i="1" s="1"/>
  <c r="I1399" i="1"/>
  <c r="L1399" i="1" s="1"/>
  <c r="M1399" i="1" s="1"/>
  <c r="I1400" i="1"/>
  <c r="L1400" i="1" s="1"/>
  <c r="M1400" i="1" s="1"/>
  <c r="I1401" i="1"/>
  <c r="L1401" i="1" s="1"/>
  <c r="M1401" i="1" s="1"/>
  <c r="I1402" i="1"/>
  <c r="L1402" i="1" s="1"/>
  <c r="M1402" i="1" s="1"/>
  <c r="I1403" i="1"/>
  <c r="L1403" i="1" s="1"/>
  <c r="M1403" i="1" s="1"/>
  <c r="I1404" i="1"/>
  <c r="L1404" i="1" s="1"/>
  <c r="M1404" i="1" s="1"/>
  <c r="I1405" i="1"/>
  <c r="L1405" i="1" s="1"/>
  <c r="M1405" i="1" s="1"/>
  <c r="I1406" i="1"/>
  <c r="L1406" i="1" s="1"/>
  <c r="M1406" i="1" s="1"/>
  <c r="I1407" i="1"/>
  <c r="L1407" i="1" s="1"/>
  <c r="M1407" i="1" s="1"/>
  <c r="I1408" i="1"/>
  <c r="L1408" i="1" s="1"/>
  <c r="M1408" i="1" s="1"/>
  <c r="I1409" i="1"/>
  <c r="L1409" i="1" s="1"/>
  <c r="M1409" i="1" s="1"/>
  <c r="I1410" i="1"/>
  <c r="L1410" i="1" s="1"/>
  <c r="M1410" i="1" s="1"/>
  <c r="I1411" i="1"/>
  <c r="L1411" i="1" s="1"/>
  <c r="M1411" i="1" s="1"/>
  <c r="I1412" i="1"/>
  <c r="L1412" i="1" s="1"/>
  <c r="M1412" i="1" s="1"/>
  <c r="I1413" i="1"/>
  <c r="L1413" i="1" s="1"/>
  <c r="M1413" i="1" s="1"/>
  <c r="I1414" i="1"/>
  <c r="L1414" i="1" s="1"/>
  <c r="M1414" i="1" s="1"/>
  <c r="I1415" i="1"/>
  <c r="L1415" i="1" s="1"/>
  <c r="M1415" i="1" s="1"/>
  <c r="I1416" i="1"/>
  <c r="L1416" i="1" s="1"/>
  <c r="M1416" i="1" s="1"/>
  <c r="I1417" i="1"/>
  <c r="L1417" i="1" s="1"/>
  <c r="M1417" i="1" s="1"/>
  <c r="I1418" i="1"/>
  <c r="L1418" i="1" s="1"/>
  <c r="M1418" i="1" s="1"/>
  <c r="I1419" i="1"/>
  <c r="L1419" i="1" s="1"/>
  <c r="M1419" i="1" s="1"/>
  <c r="I1420" i="1"/>
  <c r="L1420" i="1" s="1"/>
  <c r="M1420" i="1" s="1"/>
  <c r="I1421" i="1"/>
  <c r="L1421" i="1" s="1"/>
  <c r="M1421" i="1" s="1"/>
  <c r="I1422" i="1"/>
  <c r="L1422" i="1" s="1"/>
  <c r="M1422" i="1" s="1"/>
  <c r="I1423" i="1"/>
  <c r="L1423" i="1" s="1"/>
  <c r="M1423" i="1" s="1"/>
  <c r="I1424" i="1"/>
  <c r="L1424" i="1" s="1"/>
  <c r="M1424" i="1" s="1"/>
  <c r="I1425" i="1"/>
  <c r="L1425" i="1" s="1"/>
  <c r="M1425" i="1" s="1"/>
  <c r="I1426" i="1"/>
  <c r="L1426" i="1" s="1"/>
  <c r="M1426" i="1" s="1"/>
  <c r="I1427" i="1"/>
  <c r="L1427" i="1" s="1"/>
  <c r="M1427" i="1" s="1"/>
  <c r="I1428" i="1"/>
  <c r="L1428" i="1" s="1"/>
  <c r="M1428" i="1" s="1"/>
  <c r="I1429" i="1"/>
  <c r="L1429" i="1" s="1"/>
  <c r="M1429" i="1" s="1"/>
  <c r="I1430" i="1"/>
  <c r="L1430" i="1" s="1"/>
  <c r="M1430" i="1" s="1"/>
  <c r="I1431" i="1"/>
  <c r="L1431" i="1" s="1"/>
  <c r="M1431" i="1" s="1"/>
  <c r="I1432" i="1"/>
  <c r="L1432" i="1" s="1"/>
  <c r="M1432" i="1" s="1"/>
  <c r="I1433" i="1"/>
  <c r="L1433" i="1" s="1"/>
  <c r="M1433" i="1" s="1"/>
  <c r="I1434" i="1"/>
  <c r="L1434" i="1" s="1"/>
  <c r="M1434" i="1" s="1"/>
  <c r="I1435" i="1"/>
  <c r="L1435" i="1" s="1"/>
  <c r="M1435" i="1" s="1"/>
  <c r="I1436" i="1"/>
  <c r="L1436" i="1" s="1"/>
  <c r="M1436" i="1" s="1"/>
  <c r="I1437" i="1"/>
  <c r="L1437" i="1" s="1"/>
  <c r="M1437" i="1" s="1"/>
  <c r="I1438" i="1"/>
  <c r="L1438" i="1" s="1"/>
  <c r="M1438" i="1" s="1"/>
  <c r="I1439" i="1"/>
  <c r="L1439" i="1" s="1"/>
  <c r="M1439" i="1" s="1"/>
  <c r="I1440" i="1"/>
  <c r="L1440" i="1" s="1"/>
  <c r="M1440" i="1" s="1"/>
  <c r="I1441" i="1"/>
  <c r="L1441" i="1" s="1"/>
  <c r="M1441" i="1" s="1"/>
  <c r="I1442" i="1"/>
  <c r="L1442" i="1" s="1"/>
  <c r="M1442" i="1" s="1"/>
  <c r="I1443" i="1"/>
  <c r="L1443" i="1" s="1"/>
  <c r="M1443" i="1" s="1"/>
  <c r="I1444" i="1"/>
  <c r="L1444" i="1" s="1"/>
  <c r="M1444" i="1" s="1"/>
  <c r="I1445" i="1"/>
  <c r="L1445" i="1" s="1"/>
  <c r="M1445" i="1" s="1"/>
  <c r="I1446" i="1"/>
  <c r="L1446" i="1" s="1"/>
  <c r="M1446" i="1" s="1"/>
  <c r="I1447" i="1"/>
  <c r="L1447" i="1" s="1"/>
  <c r="M1447" i="1" s="1"/>
  <c r="I1448" i="1"/>
  <c r="L1448" i="1" s="1"/>
  <c r="M1448" i="1" s="1"/>
  <c r="I1449" i="1"/>
  <c r="L1449" i="1" s="1"/>
  <c r="M1449" i="1" s="1"/>
  <c r="I1450" i="1"/>
  <c r="L1450" i="1" s="1"/>
  <c r="M1450" i="1" s="1"/>
  <c r="I1451" i="1"/>
  <c r="L1451" i="1" s="1"/>
  <c r="M1451" i="1" s="1"/>
  <c r="I1452" i="1"/>
  <c r="L1452" i="1" s="1"/>
  <c r="M1452" i="1" s="1"/>
  <c r="I1453" i="1"/>
  <c r="L1453" i="1" s="1"/>
  <c r="M1453" i="1" s="1"/>
  <c r="I1454" i="1"/>
  <c r="L1454" i="1" s="1"/>
  <c r="M1454" i="1" s="1"/>
  <c r="I1455" i="1"/>
  <c r="L1455" i="1" s="1"/>
  <c r="M1455" i="1" s="1"/>
  <c r="I1456" i="1"/>
  <c r="L1456" i="1" s="1"/>
  <c r="M1456" i="1" s="1"/>
  <c r="I1457" i="1"/>
  <c r="L1457" i="1" s="1"/>
  <c r="M1457" i="1" s="1"/>
  <c r="I1458" i="1"/>
  <c r="L1458" i="1" s="1"/>
  <c r="M1458" i="1" s="1"/>
  <c r="I1459" i="1"/>
  <c r="L1459" i="1" s="1"/>
  <c r="M1459" i="1" s="1"/>
  <c r="I1460" i="1"/>
  <c r="L1460" i="1" s="1"/>
  <c r="M1460" i="1" s="1"/>
  <c r="I1461" i="1"/>
  <c r="L1461" i="1" s="1"/>
  <c r="M1461" i="1" s="1"/>
  <c r="I1462" i="1"/>
  <c r="L1462" i="1" s="1"/>
  <c r="M1462" i="1" s="1"/>
  <c r="I1463" i="1"/>
  <c r="L1463" i="1" s="1"/>
  <c r="M1463" i="1" s="1"/>
  <c r="I1464" i="1"/>
  <c r="L1464" i="1" s="1"/>
  <c r="M1464" i="1" s="1"/>
  <c r="I1465" i="1"/>
  <c r="L1465" i="1" s="1"/>
  <c r="M1465" i="1" s="1"/>
  <c r="I1466" i="1"/>
  <c r="L1466" i="1" s="1"/>
  <c r="M1466" i="1" s="1"/>
  <c r="I1467" i="1"/>
  <c r="L1467" i="1" s="1"/>
  <c r="M1467" i="1" s="1"/>
  <c r="I1468" i="1"/>
  <c r="L1468" i="1" s="1"/>
  <c r="M1468" i="1" s="1"/>
  <c r="I1469" i="1"/>
  <c r="L1469" i="1" s="1"/>
  <c r="M1469" i="1" s="1"/>
  <c r="I1470" i="1"/>
  <c r="L1470" i="1" s="1"/>
  <c r="M1470" i="1" s="1"/>
  <c r="I1471" i="1"/>
  <c r="L1471" i="1" s="1"/>
  <c r="M1471" i="1" s="1"/>
  <c r="I1472" i="1"/>
  <c r="L1472" i="1" s="1"/>
  <c r="M1472" i="1" s="1"/>
  <c r="I1473" i="1"/>
  <c r="L1473" i="1" s="1"/>
  <c r="M1473" i="1" s="1"/>
  <c r="I1474" i="1"/>
  <c r="L1474" i="1" s="1"/>
  <c r="M1474" i="1" s="1"/>
  <c r="I1475" i="1"/>
  <c r="L1475" i="1" s="1"/>
  <c r="M1475" i="1" s="1"/>
  <c r="I1476" i="1"/>
  <c r="I1477" i="1"/>
  <c r="L1477" i="1" s="1"/>
  <c r="M1477" i="1" s="1"/>
  <c r="I1478" i="1"/>
  <c r="L1478" i="1" s="1"/>
  <c r="M1478" i="1" s="1"/>
  <c r="I1479" i="1"/>
  <c r="L1479" i="1" s="1"/>
  <c r="M1479" i="1" s="1"/>
  <c r="I1480" i="1"/>
  <c r="I1481" i="1"/>
  <c r="L1481" i="1" s="1"/>
  <c r="M1481" i="1" s="1"/>
  <c r="I1482" i="1"/>
  <c r="L1482" i="1" s="1"/>
  <c r="M1482" i="1" s="1"/>
  <c r="I1483" i="1"/>
  <c r="L1483" i="1" s="1"/>
  <c r="M1483" i="1" s="1"/>
  <c r="I1484" i="1"/>
  <c r="L1484" i="1" s="1"/>
  <c r="M1484" i="1" s="1"/>
  <c r="I1485" i="1"/>
  <c r="L1485" i="1" s="1"/>
  <c r="M1485" i="1" s="1"/>
  <c r="I1486" i="1"/>
  <c r="L1486" i="1" s="1"/>
  <c r="M1486" i="1" s="1"/>
  <c r="I1487" i="1"/>
  <c r="L1487" i="1" s="1"/>
  <c r="M1487" i="1" s="1"/>
  <c r="I1488" i="1"/>
  <c r="L1488" i="1" s="1"/>
  <c r="M1488" i="1" s="1"/>
  <c r="I1489" i="1"/>
  <c r="L1489" i="1" s="1"/>
  <c r="M1489" i="1" s="1"/>
  <c r="I1490" i="1"/>
  <c r="L1490" i="1" s="1"/>
  <c r="M1490" i="1" s="1"/>
  <c r="I1491" i="1"/>
  <c r="L1491" i="1" s="1"/>
  <c r="M1491" i="1" s="1"/>
  <c r="I1492" i="1"/>
  <c r="L1492" i="1" s="1"/>
  <c r="M1492" i="1" s="1"/>
  <c r="I1493" i="1"/>
  <c r="L1493" i="1" s="1"/>
  <c r="M1493" i="1" s="1"/>
  <c r="I1494" i="1"/>
  <c r="L1494" i="1" s="1"/>
  <c r="M1494" i="1" s="1"/>
  <c r="I1495" i="1"/>
  <c r="L1495" i="1" s="1"/>
  <c r="M1495" i="1" s="1"/>
  <c r="I1496" i="1"/>
  <c r="L1496" i="1" s="1"/>
  <c r="M1496" i="1" s="1"/>
  <c r="I1497" i="1"/>
  <c r="L1497" i="1" s="1"/>
  <c r="M1497" i="1" s="1"/>
  <c r="I1498" i="1"/>
  <c r="L1498" i="1" s="1"/>
  <c r="M1498" i="1" s="1"/>
  <c r="I1499" i="1"/>
  <c r="L1499" i="1" s="1"/>
  <c r="M1499" i="1" s="1"/>
  <c r="I1500" i="1"/>
  <c r="L1500" i="1" s="1"/>
  <c r="M1500" i="1" s="1"/>
  <c r="I1501" i="1"/>
  <c r="L1501" i="1" s="1"/>
  <c r="M1501" i="1" s="1"/>
  <c r="I1502" i="1"/>
  <c r="L1502" i="1" s="1"/>
  <c r="M1502" i="1" s="1"/>
  <c r="I1503" i="1"/>
  <c r="L1503" i="1" s="1"/>
  <c r="M1503" i="1" s="1"/>
  <c r="I1504" i="1"/>
  <c r="L1504" i="1" s="1"/>
  <c r="M1504" i="1" s="1"/>
  <c r="I1505" i="1"/>
  <c r="L1505" i="1" s="1"/>
  <c r="M1505" i="1" s="1"/>
  <c r="I1506" i="1"/>
  <c r="L1506" i="1" s="1"/>
  <c r="M1506" i="1" s="1"/>
  <c r="I1507" i="1"/>
  <c r="L1507" i="1" s="1"/>
  <c r="M1507" i="1" s="1"/>
  <c r="I1508" i="1"/>
  <c r="L1508" i="1" s="1"/>
  <c r="M1508" i="1" s="1"/>
  <c r="I1509" i="1"/>
  <c r="L1509" i="1" s="1"/>
  <c r="M1509" i="1" s="1"/>
  <c r="I1510" i="1"/>
  <c r="L1510" i="1" s="1"/>
  <c r="M1510" i="1" s="1"/>
  <c r="I1511" i="1"/>
  <c r="L1511" i="1" s="1"/>
  <c r="M1511" i="1" s="1"/>
  <c r="I1512" i="1"/>
  <c r="L1512" i="1" s="1"/>
  <c r="M1512" i="1" s="1"/>
  <c r="I1513" i="1"/>
  <c r="L1513" i="1" s="1"/>
  <c r="M1513" i="1" s="1"/>
  <c r="I1514" i="1"/>
  <c r="L1514" i="1" s="1"/>
  <c r="M1514" i="1" s="1"/>
  <c r="I1515" i="1"/>
  <c r="L1515" i="1" s="1"/>
  <c r="M1515" i="1" s="1"/>
  <c r="I1516" i="1"/>
  <c r="L1516" i="1" s="1"/>
  <c r="M1516" i="1" s="1"/>
  <c r="I1517" i="1"/>
  <c r="L1517" i="1" s="1"/>
  <c r="M1517" i="1" s="1"/>
  <c r="I1518" i="1"/>
  <c r="L1518" i="1" s="1"/>
  <c r="M1518" i="1" s="1"/>
  <c r="I1519" i="1"/>
  <c r="L1519" i="1" s="1"/>
  <c r="M1519" i="1" s="1"/>
  <c r="I1520" i="1"/>
  <c r="L1520" i="1" s="1"/>
  <c r="M1520" i="1" s="1"/>
  <c r="I1521" i="1"/>
  <c r="L1521" i="1" s="1"/>
  <c r="M1521" i="1" s="1"/>
  <c r="I1522" i="1"/>
  <c r="L1522" i="1" s="1"/>
  <c r="M1522" i="1" s="1"/>
  <c r="I1523" i="1"/>
  <c r="L1523" i="1" s="1"/>
  <c r="M1523" i="1" s="1"/>
  <c r="I1524" i="1"/>
  <c r="L1524" i="1" s="1"/>
  <c r="M1524" i="1" s="1"/>
  <c r="I1525" i="1"/>
  <c r="L1525" i="1" s="1"/>
  <c r="M1525" i="1" s="1"/>
  <c r="I1526" i="1"/>
  <c r="L1526" i="1" s="1"/>
  <c r="M1526" i="1" s="1"/>
  <c r="I1527" i="1"/>
  <c r="L1527" i="1" s="1"/>
  <c r="M1527" i="1" s="1"/>
  <c r="I1528" i="1"/>
  <c r="L1528" i="1" s="1"/>
  <c r="M1528" i="1" s="1"/>
  <c r="I1529" i="1"/>
  <c r="L1529" i="1" s="1"/>
  <c r="M1529" i="1" s="1"/>
  <c r="I1530" i="1"/>
  <c r="L1530" i="1" s="1"/>
  <c r="M1530" i="1" s="1"/>
  <c r="I1531" i="1"/>
  <c r="L1531" i="1" s="1"/>
  <c r="M1531" i="1" s="1"/>
  <c r="I1532" i="1"/>
  <c r="L1532" i="1" s="1"/>
  <c r="M1532" i="1" s="1"/>
  <c r="I1533" i="1"/>
  <c r="L1533" i="1" s="1"/>
  <c r="M1533" i="1" s="1"/>
  <c r="I1534" i="1"/>
  <c r="L1534" i="1" s="1"/>
  <c r="M1534" i="1" s="1"/>
  <c r="I1535" i="1"/>
  <c r="L1535" i="1" s="1"/>
  <c r="M1535" i="1" s="1"/>
  <c r="I1536" i="1"/>
  <c r="L1536" i="1" s="1"/>
  <c r="M1536" i="1" s="1"/>
  <c r="I1537" i="1"/>
  <c r="L1537" i="1" s="1"/>
  <c r="M1537" i="1" s="1"/>
  <c r="I1538" i="1"/>
  <c r="L1538" i="1" s="1"/>
  <c r="M1538" i="1" s="1"/>
  <c r="I1539" i="1"/>
  <c r="L1539" i="1" s="1"/>
  <c r="M1539" i="1" s="1"/>
  <c r="I1540" i="1"/>
  <c r="L1540" i="1" s="1"/>
  <c r="M1540" i="1" s="1"/>
  <c r="I1541" i="1"/>
  <c r="L1541" i="1" s="1"/>
  <c r="M1541" i="1" s="1"/>
  <c r="I1542" i="1"/>
  <c r="L1542" i="1" s="1"/>
  <c r="M1542" i="1" s="1"/>
  <c r="I1543" i="1"/>
  <c r="L1543" i="1" s="1"/>
  <c r="M1543" i="1" s="1"/>
  <c r="I1544" i="1"/>
  <c r="L1544" i="1" s="1"/>
  <c r="M1544" i="1" s="1"/>
  <c r="I1545" i="1"/>
  <c r="L1545" i="1" s="1"/>
  <c r="M1545" i="1" s="1"/>
  <c r="I1546" i="1"/>
  <c r="L1546" i="1" s="1"/>
  <c r="M1546" i="1" s="1"/>
  <c r="I1547" i="1"/>
  <c r="L1547" i="1" s="1"/>
  <c r="M1547" i="1" s="1"/>
  <c r="I1548" i="1"/>
  <c r="L1548" i="1" s="1"/>
  <c r="M1548" i="1" s="1"/>
  <c r="I1549" i="1"/>
  <c r="L1549" i="1" s="1"/>
  <c r="M1549" i="1" s="1"/>
  <c r="I1550" i="1"/>
  <c r="L1550" i="1" s="1"/>
  <c r="M1550" i="1" s="1"/>
  <c r="I1551" i="1"/>
  <c r="L1551" i="1" s="1"/>
  <c r="M1551" i="1" s="1"/>
  <c r="I1552" i="1"/>
  <c r="L1552" i="1" s="1"/>
  <c r="M1552" i="1" s="1"/>
  <c r="I1553" i="1"/>
  <c r="L1553" i="1" s="1"/>
  <c r="M1553" i="1" s="1"/>
  <c r="I1554" i="1"/>
  <c r="L1554" i="1" s="1"/>
  <c r="M1554" i="1" s="1"/>
  <c r="I1555" i="1"/>
  <c r="L1555" i="1" s="1"/>
  <c r="M1555" i="1" s="1"/>
  <c r="I1556" i="1"/>
  <c r="L1556" i="1" s="1"/>
  <c r="M1556" i="1" s="1"/>
  <c r="I1557" i="1"/>
  <c r="L1557" i="1" s="1"/>
  <c r="M1557" i="1" s="1"/>
  <c r="I1558" i="1"/>
  <c r="L1558" i="1" s="1"/>
  <c r="M1558" i="1" s="1"/>
  <c r="I1559" i="1"/>
  <c r="L1559" i="1" s="1"/>
  <c r="M1559" i="1" s="1"/>
  <c r="I1560" i="1"/>
  <c r="L1560" i="1" s="1"/>
  <c r="M1560" i="1" s="1"/>
  <c r="I1561" i="1"/>
  <c r="L1561" i="1" s="1"/>
  <c r="M1561" i="1" s="1"/>
  <c r="I1562" i="1"/>
  <c r="L1562" i="1" s="1"/>
  <c r="M1562" i="1" s="1"/>
  <c r="I1563" i="1"/>
  <c r="L1563" i="1" s="1"/>
  <c r="M1563" i="1" s="1"/>
  <c r="I1564" i="1"/>
  <c r="L1564" i="1" s="1"/>
  <c r="M1564" i="1" s="1"/>
  <c r="I1565" i="1"/>
  <c r="L1565" i="1" s="1"/>
  <c r="M1565" i="1" s="1"/>
  <c r="I1566" i="1"/>
  <c r="L1566" i="1" s="1"/>
  <c r="M1566" i="1" s="1"/>
  <c r="I1567" i="1"/>
  <c r="L1567" i="1" s="1"/>
  <c r="M1567" i="1" s="1"/>
  <c r="I1568" i="1"/>
  <c r="L1568" i="1" s="1"/>
  <c r="M1568" i="1" s="1"/>
  <c r="I1569" i="1"/>
  <c r="L1569" i="1" s="1"/>
  <c r="M1569" i="1" s="1"/>
  <c r="I1570" i="1"/>
  <c r="L1570" i="1" s="1"/>
  <c r="M1570" i="1" s="1"/>
  <c r="I1571" i="1"/>
  <c r="L1571" i="1" s="1"/>
  <c r="M1571" i="1" s="1"/>
  <c r="I1572" i="1"/>
  <c r="L1572" i="1" s="1"/>
  <c r="M1572" i="1" s="1"/>
  <c r="I1573" i="1"/>
  <c r="L1573" i="1" s="1"/>
  <c r="M1573" i="1" s="1"/>
  <c r="I1574" i="1"/>
  <c r="L1574" i="1" s="1"/>
  <c r="M1574" i="1" s="1"/>
  <c r="I1575" i="1"/>
  <c r="L1575" i="1" s="1"/>
  <c r="M1575" i="1" s="1"/>
  <c r="I1576" i="1"/>
  <c r="L1576" i="1" s="1"/>
  <c r="M1576" i="1" s="1"/>
  <c r="I1577" i="1"/>
  <c r="L1577" i="1" s="1"/>
  <c r="M1577" i="1" s="1"/>
  <c r="I1578" i="1"/>
  <c r="L1578" i="1" s="1"/>
  <c r="M1578" i="1" s="1"/>
  <c r="I1579" i="1"/>
  <c r="L1579" i="1" s="1"/>
  <c r="M1579" i="1" s="1"/>
  <c r="I1580" i="1"/>
  <c r="L1580" i="1" s="1"/>
  <c r="M1580" i="1" s="1"/>
  <c r="I1581" i="1"/>
  <c r="L1581" i="1" s="1"/>
  <c r="M1581" i="1" s="1"/>
  <c r="I1582" i="1"/>
  <c r="L1582" i="1" s="1"/>
  <c r="M1582" i="1" s="1"/>
  <c r="I1583" i="1"/>
  <c r="L1583" i="1" s="1"/>
  <c r="M1583" i="1" s="1"/>
  <c r="I1584" i="1"/>
  <c r="L1584" i="1" s="1"/>
  <c r="M1584" i="1" s="1"/>
  <c r="I1585" i="1"/>
  <c r="L1585" i="1" s="1"/>
  <c r="M1585" i="1" s="1"/>
  <c r="I1586" i="1"/>
  <c r="L1586" i="1" s="1"/>
  <c r="M1586" i="1" s="1"/>
  <c r="I1587" i="1"/>
  <c r="L1587" i="1" s="1"/>
  <c r="M1587" i="1" s="1"/>
  <c r="I1588" i="1"/>
  <c r="L1588" i="1" s="1"/>
  <c r="M1588" i="1" s="1"/>
  <c r="I1589" i="1"/>
  <c r="L1589" i="1" s="1"/>
  <c r="M1589" i="1" s="1"/>
  <c r="I1590" i="1"/>
  <c r="L1590" i="1" s="1"/>
  <c r="M1590" i="1" s="1"/>
  <c r="I1591" i="1"/>
  <c r="L1591" i="1" s="1"/>
  <c r="M1591" i="1" s="1"/>
  <c r="I1592" i="1"/>
  <c r="L1592" i="1" s="1"/>
  <c r="M1592" i="1" s="1"/>
  <c r="I1593" i="1"/>
  <c r="L1593" i="1" s="1"/>
  <c r="M1593" i="1" s="1"/>
  <c r="I1594" i="1"/>
  <c r="L1594" i="1" s="1"/>
  <c r="M1594" i="1" s="1"/>
  <c r="I1595" i="1"/>
  <c r="L1595" i="1" s="1"/>
  <c r="M1595" i="1" s="1"/>
  <c r="I1596" i="1"/>
  <c r="L1596" i="1" s="1"/>
  <c r="M1596" i="1" s="1"/>
  <c r="I1597" i="1"/>
  <c r="L1597" i="1" s="1"/>
  <c r="M1597" i="1" s="1"/>
  <c r="I1598" i="1"/>
  <c r="L1598" i="1" s="1"/>
  <c r="M1598" i="1" s="1"/>
  <c r="I1599" i="1"/>
  <c r="L1599" i="1" s="1"/>
  <c r="M1599" i="1" s="1"/>
  <c r="I1600" i="1"/>
  <c r="L1600" i="1" s="1"/>
  <c r="M1600" i="1" s="1"/>
  <c r="I1601" i="1"/>
  <c r="L1601" i="1" s="1"/>
  <c r="M1601" i="1" s="1"/>
  <c r="I1602" i="1"/>
  <c r="L1602" i="1" s="1"/>
  <c r="M1602" i="1" s="1"/>
  <c r="I1603" i="1"/>
  <c r="L1603" i="1" s="1"/>
  <c r="M1603" i="1" s="1"/>
  <c r="I1604" i="1"/>
  <c r="L1604" i="1" s="1"/>
  <c r="M1604" i="1" s="1"/>
  <c r="I1605" i="1"/>
  <c r="L1605" i="1" s="1"/>
  <c r="M1605" i="1" s="1"/>
  <c r="I1606" i="1"/>
  <c r="L1606" i="1" s="1"/>
  <c r="M1606" i="1" s="1"/>
  <c r="I1607" i="1"/>
  <c r="L1607" i="1" s="1"/>
  <c r="M1607" i="1" s="1"/>
  <c r="I1608" i="1"/>
  <c r="L1608" i="1" s="1"/>
  <c r="M1608" i="1" s="1"/>
  <c r="I1609" i="1"/>
  <c r="L1609" i="1" s="1"/>
  <c r="M1609" i="1" s="1"/>
  <c r="I1610" i="1"/>
  <c r="L1610" i="1" s="1"/>
  <c r="M1610" i="1" s="1"/>
  <c r="I1611" i="1"/>
  <c r="L1611" i="1" s="1"/>
  <c r="M1611" i="1" s="1"/>
  <c r="I1612" i="1"/>
  <c r="L1612" i="1" s="1"/>
  <c r="M1612" i="1" s="1"/>
  <c r="I1613" i="1"/>
  <c r="L1613" i="1" s="1"/>
  <c r="M1613" i="1" s="1"/>
  <c r="I1614" i="1"/>
  <c r="L1614" i="1" s="1"/>
  <c r="M1614" i="1" s="1"/>
  <c r="I1615" i="1"/>
  <c r="L1615" i="1" s="1"/>
  <c r="M1615" i="1" s="1"/>
  <c r="I1616" i="1"/>
  <c r="L1616" i="1" s="1"/>
  <c r="M1616" i="1" s="1"/>
  <c r="I1617" i="1"/>
  <c r="L1617" i="1" s="1"/>
  <c r="M1617" i="1" s="1"/>
  <c r="I1618" i="1"/>
  <c r="L1618" i="1" s="1"/>
  <c r="M1618" i="1" s="1"/>
  <c r="I1619" i="1"/>
  <c r="L1619" i="1" s="1"/>
  <c r="M1619" i="1" s="1"/>
  <c r="I1620" i="1"/>
  <c r="L1620" i="1" s="1"/>
  <c r="M1620" i="1" s="1"/>
  <c r="I1621" i="1"/>
  <c r="L1621" i="1" s="1"/>
  <c r="M1621" i="1" s="1"/>
  <c r="I1622" i="1"/>
  <c r="L1622" i="1" s="1"/>
  <c r="M1622" i="1" s="1"/>
  <c r="I1623" i="1"/>
  <c r="L1623" i="1" s="1"/>
  <c r="M1623" i="1" s="1"/>
  <c r="I1624" i="1"/>
  <c r="L1624" i="1" s="1"/>
  <c r="M1624" i="1" s="1"/>
  <c r="I1625" i="1"/>
  <c r="L1625" i="1" s="1"/>
  <c r="M1625" i="1" s="1"/>
  <c r="I1626" i="1"/>
  <c r="L1626" i="1" s="1"/>
  <c r="M1626" i="1" s="1"/>
  <c r="I1627" i="1"/>
  <c r="L1627" i="1" s="1"/>
  <c r="M1627" i="1" s="1"/>
  <c r="I1628" i="1"/>
  <c r="L1628" i="1" s="1"/>
  <c r="M1628" i="1" s="1"/>
  <c r="I1629" i="1"/>
  <c r="L1629" i="1" s="1"/>
  <c r="M1629" i="1" s="1"/>
  <c r="I1630" i="1"/>
  <c r="L1630" i="1" s="1"/>
  <c r="M1630" i="1" s="1"/>
  <c r="I1631" i="1"/>
  <c r="L1631" i="1" s="1"/>
  <c r="M1631" i="1" s="1"/>
  <c r="I1632" i="1"/>
  <c r="L1632" i="1" s="1"/>
  <c r="M1632" i="1" s="1"/>
  <c r="I1633" i="1"/>
  <c r="L1633" i="1" s="1"/>
  <c r="M1633" i="1" s="1"/>
  <c r="I1634" i="1"/>
  <c r="L1634" i="1" s="1"/>
  <c r="M1634" i="1" s="1"/>
  <c r="I1635" i="1"/>
  <c r="L1635" i="1" s="1"/>
  <c r="M1635" i="1" s="1"/>
  <c r="I1636" i="1"/>
  <c r="L1636" i="1" s="1"/>
  <c r="M1636" i="1" s="1"/>
  <c r="I1637" i="1"/>
  <c r="L1637" i="1" s="1"/>
  <c r="M1637" i="1" s="1"/>
  <c r="I1638" i="1"/>
  <c r="L1638" i="1" s="1"/>
  <c r="M1638" i="1" s="1"/>
  <c r="I1639" i="1"/>
  <c r="L1639" i="1" s="1"/>
  <c r="M1639" i="1" s="1"/>
  <c r="I1640" i="1"/>
  <c r="L1640" i="1" s="1"/>
  <c r="M1640" i="1" s="1"/>
  <c r="I1641" i="1"/>
  <c r="L1641" i="1" s="1"/>
  <c r="M1641" i="1" s="1"/>
  <c r="I1642" i="1"/>
  <c r="L1642" i="1" s="1"/>
  <c r="M1642" i="1" s="1"/>
  <c r="I1643" i="1"/>
  <c r="L1643" i="1" s="1"/>
  <c r="M1643" i="1" s="1"/>
  <c r="I1644" i="1"/>
  <c r="L1644" i="1" s="1"/>
  <c r="M1644" i="1" s="1"/>
  <c r="I1645" i="1"/>
  <c r="L1645" i="1" s="1"/>
  <c r="M1645" i="1" s="1"/>
  <c r="I1646" i="1"/>
  <c r="L1646" i="1" s="1"/>
  <c r="M1646" i="1" s="1"/>
  <c r="I1647" i="1"/>
  <c r="L1647" i="1" s="1"/>
  <c r="M1647" i="1" s="1"/>
  <c r="I1648" i="1"/>
  <c r="L1648" i="1" s="1"/>
  <c r="M1648" i="1" s="1"/>
  <c r="I1649" i="1"/>
  <c r="L1649" i="1" s="1"/>
  <c r="M1649" i="1" s="1"/>
  <c r="I1650" i="1"/>
  <c r="L1650" i="1" s="1"/>
  <c r="M1650" i="1" s="1"/>
  <c r="I1651" i="1"/>
  <c r="L1651" i="1" s="1"/>
  <c r="M1651" i="1" s="1"/>
  <c r="I1652" i="1"/>
  <c r="L1652" i="1" s="1"/>
  <c r="M1652" i="1" s="1"/>
  <c r="I1653" i="1"/>
  <c r="L1653" i="1" s="1"/>
  <c r="M1653" i="1" s="1"/>
  <c r="I1654" i="1"/>
  <c r="L1654" i="1" s="1"/>
  <c r="M1654" i="1" s="1"/>
  <c r="I1655" i="1"/>
  <c r="L1655" i="1" s="1"/>
  <c r="M1655" i="1" s="1"/>
  <c r="I1656" i="1"/>
  <c r="L1656" i="1" s="1"/>
  <c r="M1656" i="1" s="1"/>
  <c r="I1657" i="1"/>
  <c r="L1657" i="1" s="1"/>
  <c r="M1657" i="1" s="1"/>
  <c r="I1658" i="1"/>
  <c r="L1658" i="1" s="1"/>
  <c r="M1658" i="1" s="1"/>
  <c r="I1659" i="1"/>
  <c r="L1659" i="1" s="1"/>
  <c r="M1659" i="1" s="1"/>
  <c r="I1660" i="1"/>
  <c r="L1660" i="1" s="1"/>
  <c r="M1660" i="1" s="1"/>
  <c r="I1661" i="1"/>
  <c r="L1661" i="1" s="1"/>
  <c r="M1661" i="1" s="1"/>
  <c r="I1662" i="1"/>
  <c r="L1662" i="1" s="1"/>
  <c r="M1662" i="1" s="1"/>
  <c r="I1663" i="1"/>
  <c r="L1663" i="1" s="1"/>
  <c r="M1663" i="1" s="1"/>
  <c r="I1664" i="1"/>
  <c r="L1664" i="1" s="1"/>
  <c r="M1664" i="1" s="1"/>
  <c r="I1665" i="1"/>
  <c r="L1665" i="1" s="1"/>
  <c r="M1665" i="1" s="1"/>
  <c r="I1666" i="1"/>
  <c r="L1666" i="1" s="1"/>
  <c r="M1666" i="1" s="1"/>
  <c r="I1667" i="1"/>
  <c r="I1668" i="1"/>
  <c r="L1668" i="1" s="1"/>
  <c r="M1668" i="1" s="1"/>
  <c r="I1669" i="1"/>
  <c r="L1669" i="1" s="1"/>
  <c r="M1669" i="1" s="1"/>
  <c r="I1670" i="1"/>
  <c r="L1670" i="1" s="1"/>
  <c r="M1670" i="1" s="1"/>
  <c r="I1671" i="1"/>
  <c r="L1671" i="1" s="1"/>
  <c r="M1671" i="1" s="1"/>
  <c r="I1672" i="1"/>
  <c r="L1672" i="1" s="1"/>
  <c r="M1672" i="1" s="1"/>
  <c r="I1673" i="1"/>
  <c r="L1673" i="1" s="1"/>
  <c r="M1673" i="1" s="1"/>
  <c r="I1674" i="1"/>
  <c r="L1674" i="1" s="1"/>
  <c r="M1674" i="1" s="1"/>
  <c r="I1675" i="1"/>
  <c r="L1675" i="1" s="1"/>
  <c r="M1675" i="1" s="1"/>
  <c r="I1676" i="1"/>
  <c r="L1676" i="1" s="1"/>
  <c r="M1676" i="1" s="1"/>
  <c r="I1677" i="1"/>
  <c r="L1677" i="1" s="1"/>
  <c r="M1677" i="1" s="1"/>
  <c r="I1678" i="1"/>
  <c r="L1678" i="1" s="1"/>
  <c r="M1678" i="1" s="1"/>
  <c r="I1679" i="1"/>
  <c r="L1679" i="1" s="1"/>
  <c r="M1679" i="1" s="1"/>
  <c r="I1680" i="1"/>
  <c r="L1680" i="1" s="1"/>
  <c r="M1680" i="1" s="1"/>
  <c r="I1681" i="1"/>
  <c r="L1681" i="1" s="1"/>
  <c r="M1681" i="1" s="1"/>
  <c r="I1682" i="1"/>
  <c r="L1682" i="1" s="1"/>
  <c r="M1682" i="1" s="1"/>
  <c r="I1683" i="1"/>
  <c r="L1683" i="1" s="1"/>
  <c r="M1683" i="1" s="1"/>
  <c r="I1684" i="1"/>
  <c r="L1684" i="1" s="1"/>
  <c r="M1684" i="1" s="1"/>
  <c r="I1685" i="1"/>
  <c r="L1685" i="1" s="1"/>
  <c r="M1685" i="1" s="1"/>
  <c r="I1686" i="1"/>
  <c r="L1686" i="1" s="1"/>
  <c r="M1686" i="1" s="1"/>
  <c r="I1687" i="1"/>
  <c r="L1687" i="1" s="1"/>
  <c r="M1687" i="1" s="1"/>
  <c r="I1688" i="1"/>
  <c r="L1688" i="1" s="1"/>
  <c r="M1688" i="1" s="1"/>
  <c r="I1689" i="1"/>
  <c r="L1689" i="1" s="1"/>
  <c r="M1689" i="1" s="1"/>
  <c r="I1690" i="1"/>
  <c r="L1690" i="1" s="1"/>
  <c r="M1690" i="1" s="1"/>
  <c r="I1691" i="1"/>
  <c r="L1691" i="1" s="1"/>
  <c r="M1691" i="1" s="1"/>
  <c r="I1692" i="1"/>
  <c r="L1692" i="1" s="1"/>
  <c r="M1692" i="1" s="1"/>
  <c r="I1693" i="1"/>
  <c r="L1693" i="1" s="1"/>
  <c r="M1693" i="1" s="1"/>
  <c r="I1694" i="1"/>
  <c r="L1694" i="1" s="1"/>
  <c r="M1694" i="1" s="1"/>
  <c r="I1695" i="1"/>
  <c r="L1695" i="1" s="1"/>
  <c r="M1695" i="1" s="1"/>
  <c r="I1696" i="1"/>
  <c r="L1696" i="1" s="1"/>
  <c r="M1696" i="1" s="1"/>
  <c r="I1697" i="1"/>
  <c r="L1697" i="1" s="1"/>
  <c r="M1697" i="1" s="1"/>
  <c r="I1698" i="1"/>
  <c r="L1698" i="1" s="1"/>
  <c r="M1698" i="1" s="1"/>
  <c r="I1699" i="1"/>
  <c r="L1699" i="1" s="1"/>
  <c r="M1699" i="1" s="1"/>
  <c r="I1700" i="1"/>
  <c r="L1700" i="1" s="1"/>
  <c r="M1700" i="1" s="1"/>
  <c r="I1701" i="1"/>
  <c r="L1701" i="1" s="1"/>
  <c r="M1701" i="1" s="1"/>
  <c r="I1702" i="1"/>
  <c r="L1702" i="1" s="1"/>
  <c r="M1702" i="1" s="1"/>
  <c r="I1703" i="1"/>
  <c r="L1703" i="1" s="1"/>
  <c r="M1703" i="1" s="1"/>
  <c r="I1704" i="1"/>
  <c r="L1704" i="1" s="1"/>
  <c r="M1704" i="1" s="1"/>
  <c r="I1705" i="1"/>
  <c r="L1705" i="1" s="1"/>
  <c r="M1705" i="1" s="1"/>
  <c r="I1706" i="1"/>
  <c r="L1706" i="1" s="1"/>
  <c r="M1706" i="1" s="1"/>
  <c r="I1707" i="1"/>
  <c r="L1707" i="1" s="1"/>
  <c r="M1707" i="1" s="1"/>
  <c r="I1708" i="1"/>
  <c r="L1708" i="1" s="1"/>
  <c r="M1708" i="1" s="1"/>
  <c r="I1709" i="1"/>
  <c r="L1709" i="1" s="1"/>
  <c r="M1709" i="1" s="1"/>
  <c r="I1710" i="1"/>
  <c r="L1710" i="1" s="1"/>
  <c r="M1710" i="1" s="1"/>
  <c r="I1711" i="1"/>
  <c r="L1711" i="1" s="1"/>
  <c r="M1711" i="1" s="1"/>
  <c r="I1712" i="1"/>
  <c r="L1712" i="1" s="1"/>
  <c r="M1712" i="1" s="1"/>
  <c r="I1713" i="1"/>
  <c r="L1713" i="1" s="1"/>
  <c r="M1713" i="1" s="1"/>
  <c r="I1714" i="1"/>
  <c r="L1714" i="1" s="1"/>
  <c r="M1714" i="1" s="1"/>
  <c r="I1715" i="1"/>
  <c r="L1715" i="1" s="1"/>
  <c r="M1715" i="1" s="1"/>
  <c r="I1716" i="1"/>
  <c r="L1716" i="1" s="1"/>
  <c r="M1716" i="1" s="1"/>
  <c r="I1717" i="1"/>
  <c r="L1717" i="1" s="1"/>
  <c r="M1717" i="1" s="1"/>
  <c r="I1718" i="1"/>
  <c r="L1718" i="1" s="1"/>
  <c r="M1718" i="1" s="1"/>
  <c r="I1719" i="1"/>
  <c r="L1719" i="1" s="1"/>
  <c r="M1719" i="1" s="1"/>
  <c r="I1720" i="1"/>
  <c r="L1720" i="1" s="1"/>
  <c r="M1720" i="1" s="1"/>
  <c r="I1721" i="1"/>
  <c r="L1721" i="1" s="1"/>
  <c r="M1721" i="1" s="1"/>
  <c r="I1722" i="1"/>
  <c r="L1722" i="1" s="1"/>
  <c r="M1722" i="1" s="1"/>
  <c r="I1723" i="1"/>
  <c r="L1723" i="1" s="1"/>
  <c r="M1723" i="1" s="1"/>
  <c r="I1724" i="1"/>
  <c r="L1724" i="1" s="1"/>
  <c r="M1724" i="1" s="1"/>
  <c r="I1725" i="1"/>
  <c r="L1725" i="1" s="1"/>
  <c r="M1725" i="1" s="1"/>
  <c r="I1726" i="1"/>
  <c r="L1726" i="1" s="1"/>
  <c r="M1726" i="1" s="1"/>
  <c r="I1727" i="1"/>
  <c r="L1727" i="1" s="1"/>
  <c r="M1727" i="1" s="1"/>
  <c r="I1728" i="1"/>
  <c r="L1728" i="1" s="1"/>
  <c r="M1728" i="1" s="1"/>
  <c r="I1729" i="1"/>
  <c r="L1729" i="1" s="1"/>
  <c r="M1729" i="1" s="1"/>
  <c r="I1730" i="1"/>
  <c r="L1730" i="1" s="1"/>
  <c r="M1730" i="1" s="1"/>
  <c r="I1731" i="1"/>
  <c r="L1731" i="1" s="1"/>
  <c r="M1731" i="1" s="1"/>
  <c r="I1732" i="1"/>
  <c r="L1732" i="1" s="1"/>
  <c r="M1732" i="1" s="1"/>
  <c r="I1733" i="1"/>
  <c r="L1733" i="1" s="1"/>
  <c r="M1733" i="1" s="1"/>
  <c r="I1734" i="1"/>
  <c r="L1734" i="1" s="1"/>
  <c r="M1734" i="1" s="1"/>
  <c r="I1735" i="1"/>
  <c r="L1735" i="1" s="1"/>
  <c r="M1735" i="1" s="1"/>
  <c r="I1736" i="1"/>
  <c r="L1736" i="1" s="1"/>
  <c r="M1736" i="1" s="1"/>
  <c r="I1737" i="1"/>
  <c r="L1737" i="1" s="1"/>
  <c r="M1737" i="1" s="1"/>
  <c r="I1738" i="1"/>
  <c r="L1738" i="1" s="1"/>
  <c r="M1738" i="1" s="1"/>
  <c r="I1739" i="1"/>
  <c r="L1739" i="1" s="1"/>
  <c r="M1739" i="1" s="1"/>
  <c r="I1740" i="1"/>
  <c r="L1740" i="1" s="1"/>
  <c r="M1740" i="1" s="1"/>
  <c r="I1741" i="1"/>
  <c r="L1741" i="1" s="1"/>
  <c r="M1741" i="1" s="1"/>
  <c r="I1742" i="1"/>
  <c r="L1742" i="1" s="1"/>
  <c r="M1742" i="1" s="1"/>
  <c r="I1743" i="1"/>
  <c r="L1743" i="1" s="1"/>
  <c r="M1743" i="1" s="1"/>
  <c r="I1744" i="1"/>
  <c r="L1744" i="1" s="1"/>
  <c r="M1744" i="1" s="1"/>
  <c r="I1745" i="1"/>
  <c r="L1745" i="1" s="1"/>
  <c r="M1745" i="1" s="1"/>
  <c r="I1746" i="1"/>
  <c r="L1746" i="1" s="1"/>
  <c r="M1746" i="1" s="1"/>
  <c r="I1747" i="1"/>
  <c r="L1747" i="1" s="1"/>
  <c r="M1747" i="1" s="1"/>
  <c r="I1748" i="1"/>
  <c r="L1748" i="1" s="1"/>
  <c r="M1748" i="1" s="1"/>
  <c r="I1749" i="1"/>
  <c r="L1749" i="1" s="1"/>
  <c r="M1749" i="1" s="1"/>
  <c r="I1750" i="1"/>
  <c r="L1750" i="1" s="1"/>
  <c r="M1750" i="1" s="1"/>
  <c r="I1751" i="1"/>
  <c r="L1751" i="1" s="1"/>
  <c r="M1751" i="1" s="1"/>
  <c r="I1752" i="1"/>
  <c r="L1752" i="1" s="1"/>
  <c r="M1752" i="1" s="1"/>
  <c r="I1753" i="1"/>
  <c r="L1753" i="1" s="1"/>
  <c r="M1753" i="1" s="1"/>
  <c r="I1754" i="1"/>
  <c r="L1754" i="1" s="1"/>
  <c r="M1754" i="1" s="1"/>
  <c r="I1755" i="1"/>
  <c r="L1755" i="1" s="1"/>
  <c r="M1755" i="1" s="1"/>
  <c r="I1756" i="1"/>
  <c r="L1756" i="1" s="1"/>
  <c r="M1756" i="1" s="1"/>
  <c r="I1757" i="1"/>
  <c r="L1757" i="1" s="1"/>
  <c r="M1757" i="1" s="1"/>
  <c r="I1758" i="1"/>
  <c r="L1758" i="1" s="1"/>
  <c r="M1758" i="1" s="1"/>
  <c r="I1759" i="1"/>
  <c r="L1759" i="1" s="1"/>
  <c r="M1759" i="1" s="1"/>
  <c r="I1760" i="1"/>
  <c r="L1760" i="1" s="1"/>
  <c r="M1760" i="1" s="1"/>
  <c r="I1761" i="1"/>
  <c r="L1761" i="1" s="1"/>
  <c r="M1761" i="1" s="1"/>
  <c r="I1762" i="1"/>
  <c r="L1762" i="1" s="1"/>
  <c r="M1762" i="1" s="1"/>
  <c r="I1763" i="1"/>
  <c r="L1763" i="1" s="1"/>
  <c r="M1763" i="1" s="1"/>
  <c r="I1764" i="1"/>
  <c r="L1764" i="1" s="1"/>
  <c r="M1764" i="1" s="1"/>
  <c r="I1765" i="1"/>
  <c r="L1765" i="1" s="1"/>
  <c r="M1765" i="1" s="1"/>
  <c r="I1766" i="1"/>
  <c r="L1766" i="1" s="1"/>
  <c r="M1766" i="1" s="1"/>
  <c r="I1767" i="1"/>
  <c r="L1767" i="1" s="1"/>
  <c r="M1767" i="1" s="1"/>
  <c r="I1768" i="1"/>
  <c r="L1768" i="1" s="1"/>
  <c r="M1768" i="1" s="1"/>
  <c r="I1769" i="1"/>
  <c r="L1769" i="1" s="1"/>
  <c r="M1769" i="1" s="1"/>
  <c r="I1770" i="1"/>
  <c r="L1770" i="1" s="1"/>
  <c r="M1770" i="1" s="1"/>
  <c r="I1771" i="1"/>
  <c r="L1771" i="1" s="1"/>
  <c r="M1771" i="1" s="1"/>
  <c r="I1772" i="1"/>
  <c r="L1772" i="1" s="1"/>
  <c r="M1772" i="1" s="1"/>
  <c r="I1773" i="1"/>
  <c r="L1773" i="1" s="1"/>
  <c r="M1773" i="1" s="1"/>
  <c r="I1774" i="1"/>
  <c r="L1774" i="1" s="1"/>
  <c r="M1774" i="1" s="1"/>
  <c r="I1775" i="1"/>
  <c r="L1775" i="1" s="1"/>
  <c r="M1775" i="1" s="1"/>
  <c r="I1776" i="1"/>
  <c r="L1776" i="1" s="1"/>
  <c r="M1776" i="1" s="1"/>
  <c r="I1777" i="1"/>
  <c r="L1777" i="1" s="1"/>
  <c r="M1777" i="1" s="1"/>
  <c r="I1778" i="1"/>
  <c r="L1778" i="1" s="1"/>
  <c r="M1778" i="1" s="1"/>
  <c r="I1779" i="1"/>
  <c r="L1779" i="1" s="1"/>
  <c r="M1779" i="1" s="1"/>
  <c r="I1780" i="1"/>
  <c r="L1780" i="1" s="1"/>
  <c r="M1780" i="1" s="1"/>
  <c r="I1781" i="1"/>
  <c r="L1781" i="1" s="1"/>
  <c r="M1781" i="1" s="1"/>
  <c r="I1782" i="1"/>
  <c r="L1782" i="1" s="1"/>
  <c r="M1782" i="1" s="1"/>
  <c r="I1783" i="1"/>
  <c r="L1783" i="1" s="1"/>
  <c r="M1783" i="1" s="1"/>
  <c r="I1784" i="1"/>
  <c r="L1784" i="1" s="1"/>
  <c r="M1784" i="1" s="1"/>
  <c r="I1785" i="1"/>
  <c r="L1785" i="1" s="1"/>
  <c r="M1785" i="1" s="1"/>
  <c r="I1786" i="1"/>
  <c r="L1786" i="1" s="1"/>
  <c r="M1786" i="1" s="1"/>
  <c r="I1787" i="1"/>
  <c r="L1787" i="1" s="1"/>
  <c r="M1787" i="1" s="1"/>
  <c r="I1788" i="1"/>
  <c r="L1788" i="1" s="1"/>
  <c r="M1788" i="1" s="1"/>
  <c r="I1789" i="1"/>
  <c r="L1789" i="1" s="1"/>
  <c r="M1789" i="1" s="1"/>
  <c r="I1790" i="1"/>
  <c r="L1790" i="1" s="1"/>
  <c r="M1790" i="1" s="1"/>
  <c r="I1791" i="1"/>
  <c r="L1791" i="1" s="1"/>
  <c r="M1791" i="1" s="1"/>
  <c r="I1792" i="1"/>
  <c r="L1792" i="1" s="1"/>
  <c r="M1792" i="1" s="1"/>
  <c r="I1793" i="1"/>
  <c r="L1793" i="1" s="1"/>
  <c r="M1793" i="1" s="1"/>
  <c r="I1794" i="1"/>
  <c r="L1794" i="1" s="1"/>
  <c r="M1794" i="1" s="1"/>
  <c r="I1795" i="1"/>
  <c r="L1795" i="1" s="1"/>
  <c r="M1795" i="1" s="1"/>
  <c r="I1796" i="1"/>
  <c r="L1796" i="1" s="1"/>
  <c r="M1796" i="1" s="1"/>
  <c r="I1797" i="1"/>
  <c r="L1797" i="1" s="1"/>
  <c r="M1797" i="1" s="1"/>
  <c r="I1798" i="1"/>
  <c r="L1798" i="1" s="1"/>
  <c r="M1798" i="1" s="1"/>
  <c r="I1799" i="1"/>
  <c r="L1799" i="1" s="1"/>
  <c r="M1799" i="1" s="1"/>
  <c r="I1800" i="1"/>
  <c r="L1800" i="1" s="1"/>
  <c r="M1800" i="1" s="1"/>
  <c r="I1801" i="1"/>
  <c r="L1801" i="1" s="1"/>
  <c r="M1801" i="1" s="1"/>
  <c r="I1802" i="1"/>
  <c r="L1802" i="1" s="1"/>
  <c r="M1802" i="1" s="1"/>
  <c r="I1803" i="1"/>
  <c r="L1803" i="1" s="1"/>
  <c r="M1803" i="1" s="1"/>
  <c r="I1804" i="1"/>
  <c r="L1804" i="1" s="1"/>
  <c r="M1804" i="1" s="1"/>
  <c r="I1805" i="1"/>
  <c r="L1805" i="1" s="1"/>
  <c r="M1805" i="1" s="1"/>
  <c r="I1806" i="1"/>
  <c r="L1806" i="1" s="1"/>
  <c r="M1806" i="1" s="1"/>
  <c r="I1807" i="1"/>
  <c r="L1807" i="1" s="1"/>
  <c r="M1807" i="1" s="1"/>
  <c r="I1808" i="1"/>
  <c r="L1808" i="1" s="1"/>
  <c r="M1808" i="1" s="1"/>
  <c r="I1809" i="1"/>
  <c r="L1809" i="1" s="1"/>
  <c r="M1809" i="1" s="1"/>
  <c r="I1810" i="1"/>
  <c r="L1810" i="1" s="1"/>
  <c r="M1810" i="1" s="1"/>
  <c r="I1811" i="1"/>
  <c r="L1811" i="1" s="1"/>
  <c r="M1811" i="1" s="1"/>
  <c r="I1812" i="1"/>
  <c r="L1812" i="1" s="1"/>
  <c r="M1812" i="1" s="1"/>
  <c r="I1813" i="1"/>
  <c r="L1813" i="1" s="1"/>
  <c r="M1813" i="1" s="1"/>
  <c r="I1814" i="1"/>
  <c r="L1814" i="1" s="1"/>
  <c r="M1814" i="1" s="1"/>
  <c r="I1815" i="1"/>
  <c r="L1815" i="1" s="1"/>
  <c r="M1815" i="1" s="1"/>
  <c r="I1816" i="1"/>
  <c r="L1816" i="1" s="1"/>
  <c r="M1816" i="1" s="1"/>
  <c r="I1817" i="1"/>
  <c r="L1817" i="1" s="1"/>
  <c r="M1817" i="1" s="1"/>
  <c r="I1818" i="1"/>
  <c r="L1818" i="1" s="1"/>
  <c r="M1818" i="1" s="1"/>
  <c r="I1819" i="1"/>
  <c r="L1819" i="1" s="1"/>
  <c r="M1819" i="1" s="1"/>
  <c r="I1820" i="1"/>
  <c r="L1820" i="1" s="1"/>
  <c r="M1820" i="1" s="1"/>
  <c r="I1821" i="1"/>
  <c r="L1821" i="1" s="1"/>
  <c r="M1821" i="1" s="1"/>
  <c r="I1822" i="1"/>
  <c r="L1822" i="1" s="1"/>
  <c r="M1822" i="1" s="1"/>
  <c r="I1823" i="1"/>
  <c r="L1823" i="1" s="1"/>
  <c r="M1823" i="1" s="1"/>
  <c r="I1824" i="1"/>
  <c r="L1824" i="1" s="1"/>
  <c r="M1824" i="1" s="1"/>
  <c r="I1825" i="1"/>
  <c r="L1825" i="1" s="1"/>
  <c r="M1825" i="1" s="1"/>
  <c r="I1826" i="1"/>
  <c r="L1826" i="1" s="1"/>
  <c r="M1826" i="1" s="1"/>
  <c r="I1827" i="1"/>
  <c r="L1827" i="1" s="1"/>
  <c r="M1827" i="1" s="1"/>
  <c r="I1828" i="1"/>
  <c r="L1828" i="1" s="1"/>
  <c r="M1828" i="1" s="1"/>
  <c r="I1829" i="1"/>
  <c r="L1829" i="1" s="1"/>
  <c r="M1829" i="1" s="1"/>
  <c r="I1830" i="1"/>
  <c r="L1830" i="1" s="1"/>
  <c r="M1830" i="1" s="1"/>
  <c r="I1831" i="1"/>
  <c r="L1831" i="1" s="1"/>
  <c r="M1831" i="1" s="1"/>
  <c r="I1832" i="1"/>
  <c r="L1832" i="1" s="1"/>
  <c r="M1832" i="1" s="1"/>
  <c r="I1833" i="1"/>
  <c r="L1833" i="1" s="1"/>
  <c r="M1833" i="1" s="1"/>
  <c r="I1834" i="1"/>
  <c r="L1834" i="1" s="1"/>
  <c r="M1834" i="1" s="1"/>
  <c r="I1835" i="1"/>
  <c r="L1835" i="1" s="1"/>
  <c r="M1835" i="1" s="1"/>
  <c r="I1836" i="1"/>
  <c r="L1836" i="1" s="1"/>
  <c r="M1836" i="1" s="1"/>
  <c r="I1837" i="1"/>
  <c r="L1837" i="1" s="1"/>
  <c r="M1837" i="1" s="1"/>
  <c r="I1838" i="1"/>
  <c r="L1838" i="1" s="1"/>
  <c r="M1838" i="1" s="1"/>
  <c r="I1839" i="1"/>
  <c r="L1839" i="1" s="1"/>
  <c r="M1839" i="1" s="1"/>
  <c r="I1840" i="1"/>
  <c r="L1840" i="1" s="1"/>
  <c r="M1840" i="1" s="1"/>
  <c r="I1841" i="1"/>
  <c r="L1841" i="1" s="1"/>
  <c r="M1841" i="1" s="1"/>
  <c r="I1842" i="1"/>
  <c r="L1842" i="1" s="1"/>
  <c r="M1842" i="1" s="1"/>
  <c r="I1843" i="1"/>
  <c r="L1843" i="1" s="1"/>
  <c r="M1843" i="1" s="1"/>
  <c r="I1844" i="1"/>
  <c r="L1844" i="1" s="1"/>
  <c r="M1844" i="1" s="1"/>
  <c r="I1845" i="1"/>
  <c r="L1845" i="1" s="1"/>
  <c r="M1845" i="1" s="1"/>
  <c r="I1846" i="1"/>
  <c r="L1846" i="1" s="1"/>
  <c r="M1846" i="1" s="1"/>
  <c r="I1847" i="1"/>
  <c r="L1847" i="1" s="1"/>
  <c r="M1847" i="1" s="1"/>
  <c r="I1848" i="1"/>
  <c r="L1848" i="1" s="1"/>
  <c r="M1848" i="1" s="1"/>
  <c r="I1849" i="1"/>
  <c r="L1849" i="1" s="1"/>
  <c r="M1849" i="1" s="1"/>
  <c r="I1850" i="1"/>
  <c r="L1850" i="1" s="1"/>
  <c r="M1850" i="1" s="1"/>
  <c r="I1851" i="1"/>
  <c r="L1851" i="1" s="1"/>
  <c r="M1851" i="1" s="1"/>
  <c r="I1852" i="1"/>
  <c r="L1852" i="1" s="1"/>
  <c r="M1852" i="1" s="1"/>
  <c r="I1853" i="1"/>
  <c r="L1853" i="1" s="1"/>
  <c r="M1853" i="1" s="1"/>
  <c r="I1854" i="1"/>
  <c r="L1854" i="1" s="1"/>
  <c r="M1854" i="1" s="1"/>
  <c r="I1855" i="1"/>
  <c r="L1855" i="1" s="1"/>
  <c r="M1855" i="1" s="1"/>
  <c r="I1856" i="1"/>
  <c r="L1856" i="1" s="1"/>
  <c r="M1856" i="1" s="1"/>
  <c r="I1857" i="1"/>
  <c r="L1857" i="1" s="1"/>
  <c r="M1857" i="1" s="1"/>
  <c r="I1858" i="1"/>
  <c r="L1858" i="1" s="1"/>
  <c r="M1858" i="1" s="1"/>
  <c r="I1859" i="1"/>
  <c r="L1859" i="1" s="1"/>
  <c r="M1859" i="1" s="1"/>
  <c r="I1860" i="1"/>
  <c r="I1861" i="1"/>
  <c r="L1861" i="1" s="1"/>
  <c r="M1861" i="1" s="1"/>
  <c r="I1862" i="1"/>
  <c r="L1862" i="1" s="1"/>
  <c r="M1862" i="1" s="1"/>
  <c r="I1863" i="1"/>
  <c r="L1863" i="1" s="1"/>
  <c r="M1863" i="1" s="1"/>
  <c r="I1864" i="1"/>
  <c r="L1864" i="1" s="1"/>
  <c r="M1864" i="1" s="1"/>
  <c r="I1865" i="1"/>
  <c r="L1865" i="1" s="1"/>
  <c r="M1865" i="1" s="1"/>
  <c r="I1866" i="1"/>
  <c r="L1866" i="1" s="1"/>
  <c r="M1866" i="1" s="1"/>
  <c r="I1867" i="1"/>
  <c r="L1867" i="1" s="1"/>
  <c r="M1867" i="1" s="1"/>
  <c r="I1868" i="1"/>
  <c r="L1868" i="1" s="1"/>
  <c r="M1868" i="1" s="1"/>
  <c r="I1869" i="1"/>
  <c r="L1869" i="1" s="1"/>
  <c r="M1869" i="1" s="1"/>
  <c r="I1870" i="1"/>
  <c r="L1870" i="1" s="1"/>
  <c r="M1870" i="1" s="1"/>
  <c r="I1871" i="1"/>
  <c r="L1871" i="1" s="1"/>
  <c r="M1871" i="1" s="1"/>
  <c r="I1872" i="1"/>
  <c r="L1872" i="1" s="1"/>
  <c r="M1872" i="1" s="1"/>
  <c r="I1873" i="1"/>
  <c r="L1873" i="1" s="1"/>
  <c r="M1873" i="1" s="1"/>
  <c r="I1874" i="1"/>
  <c r="L1874" i="1" s="1"/>
  <c r="M1874" i="1" s="1"/>
  <c r="I1875" i="1"/>
  <c r="L1875" i="1" s="1"/>
  <c r="M1875" i="1" s="1"/>
  <c r="I1876" i="1"/>
  <c r="L1876" i="1" s="1"/>
  <c r="M1876" i="1" s="1"/>
  <c r="I1877" i="1"/>
  <c r="L1877" i="1" s="1"/>
  <c r="M1877" i="1" s="1"/>
  <c r="I1878" i="1"/>
  <c r="L1878" i="1" s="1"/>
  <c r="M1878" i="1" s="1"/>
  <c r="I1879" i="1"/>
  <c r="L1879" i="1" s="1"/>
  <c r="M1879" i="1" s="1"/>
  <c r="I1880" i="1"/>
  <c r="L1880" i="1" s="1"/>
  <c r="M1880" i="1" s="1"/>
  <c r="I1881" i="1"/>
  <c r="L1881" i="1" s="1"/>
  <c r="M1881" i="1" s="1"/>
  <c r="I1882" i="1"/>
  <c r="L1882" i="1" s="1"/>
  <c r="M1882" i="1" s="1"/>
  <c r="I1883" i="1"/>
  <c r="L1883" i="1" s="1"/>
  <c r="M1883" i="1" s="1"/>
  <c r="I1884" i="1"/>
  <c r="L1884" i="1" s="1"/>
  <c r="M1884" i="1" s="1"/>
  <c r="I1885" i="1"/>
  <c r="L1885" i="1" s="1"/>
  <c r="M1885" i="1" s="1"/>
  <c r="I1886" i="1"/>
  <c r="L1886" i="1" s="1"/>
  <c r="M1886" i="1" s="1"/>
  <c r="I1887" i="1"/>
  <c r="L1887" i="1" s="1"/>
  <c r="M1887" i="1" s="1"/>
  <c r="I1888" i="1"/>
  <c r="L1888" i="1" s="1"/>
  <c r="M1888" i="1" s="1"/>
  <c r="I1889" i="1"/>
  <c r="L1889" i="1" s="1"/>
  <c r="M1889" i="1" s="1"/>
  <c r="I1890" i="1"/>
  <c r="L1890" i="1" s="1"/>
  <c r="M1890" i="1" s="1"/>
  <c r="I1891" i="1"/>
  <c r="L1891" i="1" s="1"/>
  <c r="M1891" i="1" s="1"/>
  <c r="I1892" i="1"/>
  <c r="L1892" i="1" s="1"/>
  <c r="M1892" i="1" s="1"/>
  <c r="I1893" i="1"/>
  <c r="L1893" i="1" s="1"/>
  <c r="M1893" i="1" s="1"/>
  <c r="I1894" i="1"/>
  <c r="L1894" i="1" s="1"/>
  <c r="M1894" i="1" s="1"/>
  <c r="I1895" i="1"/>
  <c r="L1895" i="1" s="1"/>
  <c r="M1895" i="1" s="1"/>
  <c r="I1896" i="1"/>
  <c r="L1896" i="1" s="1"/>
  <c r="M1896" i="1" s="1"/>
  <c r="I1897" i="1"/>
  <c r="L1897" i="1" s="1"/>
  <c r="M1897" i="1" s="1"/>
  <c r="I1898" i="1"/>
  <c r="L1898" i="1" s="1"/>
  <c r="M1898" i="1" s="1"/>
  <c r="I1899" i="1"/>
  <c r="L1899" i="1" s="1"/>
  <c r="M1899" i="1" s="1"/>
  <c r="I1900" i="1"/>
  <c r="L1900" i="1" s="1"/>
  <c r="M1900" i="1" s="1"/>
  <c r="I1901" i="1"/>
  <c r="L1901" i="1" s="1"/>
  <c r="M1901" i="1" s="1"/>
  <c r="I1902" i="1"/>
  <c r="L1902" i="1" s="1"/>
  <c r="M1902" i="1" s="1"/>
  <c r="I1903" i="1"/>
  <c r="L1903" i="1" s="1"/>
  <c r="M1903" i="1" s="1"/>
  <c r="I1904" i="1"/>
  <c r="L1904" i="1" s="1"/>
  <c r="M1904" i="1" s="1"/>
  <c r="I1905" i="1"/>
  <c r="L1905" i="1" s="1"/>
  <c r="M1905" i="1" s="1"/>
  <c r="I1906" i="1"/>
  <c r="L1906" i="1" s="1"/>
  <c r="M1906" i="1" s="1"/>
  <c r="I1907" i="1"/>
  <c r="L1907" i="1" s="1"/>
  <c r="M1907" i="1" s="1"/>
  <c r="I1908" i="1"/>
  <c r="L1908" i="1" s="1"/>
  <c r="M1908" i="1" s="1"/>
  <c r="I1909" i="1"/>
  <c r="L1909" i="1" s="1"/>
  <c r="M1909" i="1" s="1"/>
  <c r="I1910" i="1"/>
  <c r="L1910" i="1" s="1"/>
  <c r="M1910" i="1" s="1"/>
  <c r="I1911" i="1"/>
  <c r="L1911" i="1" s="1"/>
  <c r="M1911" i="1" s="1"/>
  <c r="I1912" i="1"/>
  <c r="L1912" i="1" s="1"/>
  <c r="M1912" i="1" s="1"/>
  <c r="I1913" i="1"/>
  <c r="L1913" i="1" s="1"/>
  <c r="M1913" i="1" s="1"/>
  <c r="I1914" i="1"/>
  <c r="L1914" i="1" s="1"/>
  <c r="M1914" i="1" s="1"/>
  <c r="I1915" i="1"/>
  <c r="L1915" i="1" s="1"/>
  <c r="M1915" i="1" s="1"/>
  <c r="I1916" i="1"/>
  <c r="L1916" i="1" s="1"/>
  <c r="M1916" i="1" s="1"/>
  <c r="I1917" i="1"/>
  <c r="L1917" i="1" s="1"/>
  <c r="M1917" i="1" s="1"/>
  <c r="I1918" i="1"/>
  <c r="L1918" i="1" s="1"/>
  <c r="M1918" i="1" s="1"/>
  <c r="I1919" i="1"/>
  <c r="L1919" i="1" s="1"/>
  <c r="M1919" i="1" s="1"/>
  <c r="I1920" i="1"/>
  <c r="L1920" i="1" s="1"/>
  <c r="M1920" i="1" s="1"/>
  <c r="I1921" i="1"/>
  <c r="L1921" i="1" s="1"/>
  <c r="M1921" i="1" s="1"/>
  <c r="I1922" i="1"/>
  <c r="L1922" i="1" s="1"/>
  <c r="M1922" i="1" s="1"/>
  <c r="I1923" i="1"/>
  <c r="L1923" i="1" s="1"/>
  <c r="M1923" i="1" s="1"/>
  <c r="I1924" i="1"/>
  <c r="L1924" i="1" s="1"/>
  <c r="M1924" i="1" s="1"/>
  <c r="I1925" i="1"/>
  <c r="L1925" i="1" s="1"/>
  <c r="M1925" i="1" s="1"/>
  <c r="I1926" i="1"/>
  <c r="L1926" i="1" s="1"/>
  <c r="M1926" i="1" s="1"/>
  <c r="I1927" i="1"/>
  <c r="L1927" i="1" s="1"/>
  <c r="M1927" i="1" s="1"/>
  <c r="I1928" i="1"/>
  <c r="L1928" i="1" s="1"/>
  <c r="M1928" i="1" s="1"/>
  <c r="I1929" i="1"/>
  <c r="L1929" i="1" s="1"/>
  <c r="M1929" i="1" s="1"/>
  <c r="I1930" i="1"/>
  <c r="L1930" i="1" s="1"/>
  <c r="M1930" i="1" s="1"/>
  <c r="I1931" i="1"/>
  <c r="L1931" i="1" s="1"/>
  <c r="M1931" i="1" s="1"/>
  <c r="I1932" i="1"/>
  <c r="L1932" i="1" s="1"/>
  <c r="M1932" i="1" s="1"/>
  <c r="I1933" i="1"/>
  <c r="L1933" i="1" s="1"/>
  <c r="M1933" i="1" s="1"/>
  <c r="I1934" i="1"/>
  <c r="L1934" i="1" s="1"/>
  <c r="M1934" i="1" s="1"/>
  <c r="I1935" i="1"/>
  <c r="L1935" i="1" s="1"/>
  <c r="M1935" i="1" s="1"/>
  <c r="I1936" i="1"/>
  <c r="L1936" i="1" s="1"/>
  <c r="M1936" i="1" s="1"/>
  <c r="I1937" i="1"/>
  <c r="L1937" i="1" s="1"/>
  <c r="M1937" i="1" s="1"/>
  <c r="I1938" i="1"/>
  <c r="L1938" i="1" s="1"/>
  <c r="M1938" i="1" s="1"/>
  <c r="I1939" i="1"/>
  <c r="L1939" i="1" s="1"/>
  <c r="M1939" i="1" s="1"/>
  <c r="I1940" i="1"/>
  <c r="L1940" i="1" s="1"/>
  <c r="M1940" i="1" s="1"/>
  <c r="I1941" i="1"/>
  <c r="L1941" i="1" s="1"/>
  <c r="M1941" i="1" s="1"/>
  <c r="I1942" i="1"/>
  <c r="L1942" i="1" s="1"/>
  <c r="M1942" i="1" s="1"/>
  <c r="I1943" i="1"/>
  <c r="L1943" i="1" s="1"/>
  <c r="M1943" i="1" s="1"/>
  <c r="I1944" i="1"/>
  <c r="L1944" i="1" s="1"/>
  <c r="M1944" i="1" s="1"/>
  <c r="I1945" i="1"/>
  <c r="L1945" i="1" s="1"/>
  <c r="M1945" i="1" s="1"/>
  <c r="I1946" i="1"/>
  <c r="L1946" i="1" s="1"/>
  <c r="M1946" i="1" s="1"/>
  <c r="I1947" i="1"/>
  <c r="L1947" i="1" s="1"/>
  <c r="M1947" i="1" s="1"/>
  <c r="I1948" i="1"/>
  <c r="L1948" i="1" s="1"/>
  <c r="M1948" i="1" s="1"/>
  <c r="I1949" i="1"/>
  <c r="L1949" i="1" s="1"/>
  <c r="M1949" i="1" s="1"/>
  <c r="I1950" i="1"/>
  <c r="L1950" i="1" s="1"/>
  <c r="M1950" i="1" s="1"/>
  <c r="I1951" i="1"/>
  <c r="L1951" i="1" s="1"/>
  <c r="M1951" i="1" s="1"/>
  <c r="I1952" i="1"/>
  <c r="L1952" i="1" s="1"/>
  <c r="M1952" i="1" s="1"/>
  <c r="I1953" i="1"/>
  <c r="L1953" i="1" s="1"/>
  <c r="M1953" i="1" s="1"/>
  <c r="I1954" i="1"/>
  <c r="L1954" i="1" s="1"/>
  <c r="M1954" i="1" s="1"/>
  <c r="I1955" i="1"/>
  <c r="L1955" i="1" s="1"/>
  <c r="M1955" i="1" s="1"/>
  <c r="I1956" i="1"/>
  <c r="L1956" i="1" s="1"/>
  <c r="M1956" i="1" s="1"/>
  <c r="I1957" i="1"/>
  <c r="L1957" i="1" s="1"/>
  <c r="M1957" i="1" s="1"/>
  <c r="I1958" i="1"/>
  <c r="L1958" i="1" s="1"/>
  <c r="M1958" i="1" s="1"/>
  <c r="I1959" i="1"/>
  <c r="L1959" i="1" s="1"/>
  <c r="M1959" i="1" s="1"/>
  <c r="I1960" i="1"/>
  <c r="L1960" i="1" s="1"/>
  <c r="M1960" i="1" s="1"/>
  <c r="I1961" i="1"/>
  <c r="L1961" i="1" s="1"/>
  <c r="M1961" i="1" s="1"/>
  <c r="I1962" i="1"/>
  <c r="I1963" i="1"/>
  <c r="L1963" i="1" s="1"/>
  <c r="M1963" i="1" s="1"/>
  <c r="I1964" i="1"/>
  <c r="L1964" i="1" s="1"/>
  <c r="M1964" i="1" s="1"/>
  <c r="I1965" i="1"/>
  <c r="L1965" i="1" s="1"/>
  <c r="M1965" i="1" s="1"/>
  <c r="I1966" i="1"/>
  <c r="L1966" i="1" s="1"/>
  <c r="M1966" i="1" s="1"/>
  <c r="I1967" i="1"/>
  <c r="L1967" i="1" s="1"/>
  <c r="M1967" i="1" s="1"/>
  <c r="I1968" i="1"/>
  <c r="L1968" i="1" s="1"/>
  <c r="M1968" i="1" s="1"/>
  <c r="I1969" i="1"/>
  <c r="L1969" i="1" s="1"/>
  <c r="M1969" i="1" s="1"/>
  <c r="I1970" i="1"/>
  <c r="L1970" i="1" s="1"/>
  <c r="M1970" i="1" s="1"/>
  <c r="I1971" i="1"/>
  <c r="L1971" i="1" s="1"/>
  <c r="M1971" i="1" s="1"/>
  <c r="I1972" i="1"/>
  <c r="L1972" i="1" s="1"/>
  <c r="M1972" i="1" s="1"/>
  <c r="I1973" i="1"/>
  <c r="L1973" i="1" s="1"/>
  <c r="M1973" i="1" s="1"/>
  <c r="I1974" i="1"/>
  <c r="L1974" i="1" s="1"/>
  <c r="M1974" i="1" s="1"/>
  <c r="I1975" i="1"/>
  <c r="L1975" i="1" s="1"/>
  <c r="M1975" i="1" s="1"/>
  <c r="I1976" i="1"/>
  <c r="L1976" i="1" s="1"/>
  <c r="M1976" i="1" s="1"/>
  <c r="I1977" i="1"/>
  <c r="L1977" i="1" s="1"/>
  <c r="M1977" i="1" s="1"/>
  <c r="I1978" i="1"/>
  <c r="L1978" i="1" s="1"/>
  <c r="M1978" i="1" s="1"/>
  <c r="I1979" i="1"/>
  <c r="L1979" i="1" s="1"/>
  <c r="M1979" i="1" s="1"/>
  <c r="I1980" i="1"/>
  <c r="L1980" i="1" s="1"/>
  <c r="M1980" i="1" s="1"/>
  <c r="I1981" i="1"/>
  <c r="L1981" i="1" s="1"/>
  <c r="M1981" i="1" s="1"/>
  <c r="I1982" i="1"/>
  <c r="L1982" i="1" s="1"/>
  <c r="M1982" i="1" s="1"/>
  <c r="I1983" i="1"/>
  <c r="L1983" i="1" s="1"/>
  <c r="M1983" i="1" s="1"/>
  <c r="I1984" i="1"/>
  <c r="L1984" i="1" s="1"/>
  <c r="M1984" i="1" s="1"/>
  <c r="I1985" i="1"/>
  <c r="L1985" i="1" s="1"/>
  <c r="M1985" i="1" s="1"/>
  <c r="I1986" i="1"/>
  <c r="L1986" i="1" s="1"/>
  <c r="M1986" i="1" s="1"/>
  <c r="I1987" i="1"/>
  <c r="L1987" i="1" s="1"/>
  <c r="M1987" i="1" s="1"/>
  <c r="I1988" i="1"/>
  <c r="L1988" i="1" s="1"/>
  <c r="M1988" i="1" s="1"/>
  <c r="I1989" i="1"/>
  <c r="L1989" i="1" s="1"/>
  <c r="M1989" i="1" s="1"/>
  <c r="I1990" i="1"/>
  <c r="L1990" i="1" s="1"/>
  <c r="M1990" i="1" s="1"/>
  <c r="I1991" i="1"/>
  <c r="L1991" i="1" s="1"/>
  <c r="M1991" i="1" s="1"/>
  <c r="I1992" i="1"/>
  <c r="L1992" i="1" s="1"/>
  <c r="M1992" i="1" s="1"/>
  <c r="I1993" i="1"/>
  <c r="L1993" i="1" s="1"/>
  <c r="M1993" i="1" s="1"/>
  <c r="I1994" i="1"/>
  <c r="L1994" i="1" s="1"/>
  <c r="M1994" i="1" s="1"/>
  <c r="I1995" i="1"/>
  <c r="L1995" i="1" s="1"/>
  <c r="M1995" i="1" s="1"/>
  <c r="I1996" i="1"/>
  <c r="L1996" i="1" s="1"/>
  <c r="M1996" i="1" s="1"/>
  <c r="I1997" i="1"/>
  <c r="L1997" i="1" s="1"/>
  <c r="M1997" i="1" s="1"/>
  <c r="I1998" i="1"/>
  <c r="L1998" i="1" s="1"/>
  <c r="M1998" i="1" s="1"/>
  <c r="I1999" i="1"/>
  <c r="L1999" i="1" s="1"/>
  <c r="M1999" i="1" s="1"/>
  <c r="I2000" i="1"/>
  <c r="L2000" i="1" s="1"/>
  <c r="M2000" i="1" s="1"/>
  <c r="I2001" i="1"/>
  <c r="L2001" i="1" s="1"/>
  <c r="M2001" i="1" s="1"/>
  <c r="I2002" i="1"/>
  <c r="L2002" i="1" s="1"/>
  <c r="M2002" i="1" s="1"/>
  <c r="I2003" i="1"/>
  <c r="L2003" i="1" s="1"/>
  <c r="M2003" i="1" s="1"/>
  <c r="I2004" i="1"/>
  <c r="L2004" i="1" s="1"/>
  <c r="M2004" i="1" s="1"/>
  <c r="I2005" i="1"/>
  <c r="L2005" i="1" s="1"/>
  <c r="M2005" i="1" s="1"/>
  <c r="I2006" i="1"/>
  <c r="L2006" i="1" s="1"/>
  <c r="M2006" i="1" s="1"/>
  <c r="I2007" i="1"/>
  <c r="L2007" i="1" s="1"/>
  <c r="M2007" i="1" s="1"/>
  <c r="I2008" i="1"/>
  <c r="L2008" i="1" s="1"/>
  <c r="M2008" i="1" s="1"/>
  <c r="I2009" i="1"/>
  <c r="L2009" i="1" s="1"/>
  <c r="M2009" i="1" s="1"/>
  <c r="I2010" i="1"/>
  <c r="L2010" i="1" s="1"/>
  <c r="M2010" i="1" s="1"/>
  <c r="I2011" i="1"/>
  <c r="L2011" i="1" s="1"/>
  <c r="M2011" i="1" s="1"/>
  <c r="I2012" i="1"/>
  <c r="L2012" i="1" s="1"/>
  <c r="M2012" i="1" s="1"/>
  <c r="I2013" i="1"/>
  <c r="L2013" i="1" s="1"/>
  <c r="M2013" i="1" s="1"/>
  <c r="I2014" i="1"/>
  <c r="L2014" i="1" s="1"/>
  <c r="M2014" i="1" s="1"/>
  <c r="I2015" i="1"/>
  <c r="L2015" i="1" s="1"/>
  <c r="M2015" i="1" s="1"/>
  <c r="I2016" i="1"/>
  <c r="L2016" i="1" s="1"/>
  <c r="M2016" i="1" s="1"/>
  <c r="I2017" i="1"/>
  <c r="L2017" i="1" s="1"/>
  <c r="M2017" i="1" s="1"/>
  <c r="I2018" i="1"/>
  <c r="L2018" i="1" s="1"/>
  <c r="M2018" i="1" s="1"/>
  <c r="I2019" i="1"/>
  <c r="L2019" i="1" s="1"/>
  <c r="M2019" i="1" s="1"/>
  <c r="I2020" i="1"/>
  <c r="L2020" i="1" s="1"/>
  <c r="M2020" i="1" s="1"/>
  <c r="I2021" i="1"/>
  <c r="L2021" i="1" s="1"/>
  <c r="M2021" i="1" s="1"/>
  <c r="I2022" i="1"/>
  <c r="L2022" i="1" s="1"/>
  <c r="M2022" i="1" s="1"/>
  <c r="I2023" i="1"/>
  <c r="L2023" i="1" s="1"/>
  <c r="M2023" i="1" s="1"/>
  <c r="I2024" i="1"/>
  <c r="L2024" i="1" s="1"/>
  <c r="M2024" i="1" s="1"/>
  <c r="I2025" i="1"/>
  <c r="L2025" i="1" s="1"/>
  <c r="M2025" i="1" s="1"/>
  <c r="I2026" i="1"/>
  <c r="L2026" i="1" s="1"/>
  <c r="M2026" i="1" s="1"/>
  <c r="I2027" i="1"/>
  <c r="L2027" i="1" s="1"/>
  <c r="M2027" i="1" s="1"/>
  <c r="I2028" i="1"/>
  <c r="L2028" i="1" s="1"/>
  <c r="M2028" i="1" s="1"/>
  <c r="I2029" i="1"/>
  <c r="L2029" i="1" s="1"/>
  <c r="M2029" i="1" s="1"/>
  <c r="I2030" i="1"/>
  <c r="L2030" i="1" s="1"/>
  <c r="M2030" i="1" s="1"/>
  <c r="I2031" i="1"/>
  <c r="L2031" i="1" s="1"/>
  <c r="M2031" i="1" s="1"/>
  <c r="I2032" i="1"/>
  <c r="L2032" i="1" s="1"/>
  <c r="M2032" i="1" s="1"/>
  <c r="I2033" i="1"/>
  <c r="L2033" i="1" s="1"/>
  <c r="M2033" i="1" s="1"/>
  <c r="I2034" i="1"/>
  <c r="L2034" i="1" s="1"/>
  <c r="M2034" i="1" s="1"/>
  <c r="I2035" i="1"/>
  <c r="L2035" i="1" s="1"/>
  <c r="M2035" i="1" s="1"/>
  <c r="I2036" i="1"/>
  <c r="L2036" i="1" s="1"/>
  <c r="M2036" i="1" s="1"/>
  <c r="I2037" i="1"/>
  <c r="L2037" i="1" s="1"/>
  <c r="M2037" i="1" s="1"/>
  <c r="I2038" i="1"/>
  <c r="L2038" i="1" s="1"/>
  <c r="M2038" i="1" s="1"/>
  <c r="I2039" i="1"/>
  <c r="L2039" i="1" s="1"/>
  <c r="M2039" i="1" s="1"/>
  <c r="I2040" i="1"/>
  <c r="L2040" i="1" s="1"/>
  <c r="M2040" i="1" s="1"/>
  <c r="I2041" i="1"/>
  <c r="L2041" i="1" s="1"/>
  <c r="M2041" i="1" s="1"/>
  <c r="I2042" i="1"/>
  <c r="L2042" i="1" s="1"/>
  <c r="M2042" i="1" s="1"/>
  <c r="I2043" i="1"/>
  <c r="L2043" i="1" s="1"/>
  <c r="M2043" i="1" s="1"/>
  <c r="I2044" i="1"/>
  <c r="L2044" i="1" s="1"/>
  <c r="M2044" i="1" s="1"/>
  <c r="I2045" i="1"/>
  <c r="L2045" i="1" s="1"/>
  <c r="M2045" i="1" s="1"/>
  <c r="I2046" i="1"/>
  <c r="L2046" i="1" s="1"/>
  <c r="M2046" i="1" s="1"/>
  <c r="I2047" i="1"/>
  <c r="L2047" i="1" s="1"/>
  <c r="M2047" i="1" s="1"/>
  <c r="I2048" i="1"/>
  <c r="L2048" i="1" s="1"/>
  <c r="M2048" i="1" s="1"/>
  <c r="I2049" i="1"/>
  <c r="L2049" i="1" s="1"/>
  <c r="M2049" i="1" s="1"/>
  <c r="I2050" i="1"/>
  <c r="L2050" i="1" s="1"/>
  <c r="M2050" i="1" s="1"/>
  <c r="I2051" i="1"/>
  <c r="L2051" i="1" s="1"/>
  <c r="M2051" i="1" s="1"/>
  <c r="I2052" i="1"/>
  <c r="L2052" i="1" s="1"/>
  <c r="M2052" i="1" s="1"/>
  <c r="I2053" i="1"/>
  <c r="L2053" i="1" s="1"/>
  <c r="M2053" i="1" s="1"/>
  <c r="I2054" i="1"/>
  <c r="L2054" i="1" s="1"/>
  <c r="M2054" i="1" s="1"/>
  <c r="I2055" i="1"/>
  <c r="L2055" i="1" s="1"/>
  <c r="M2055" i="1" s="1"/>
  <c r="I2056" i="1"/>
  <c r="L2056" i="1" s="1"/>
  <c r="M2056" i="1" s="1"/>
  <c r="I2057" i="1"/>
  <c r="L2057" i="1" s="1"/>
  <c r="M2057" i="1" s="1"/>
  <c r="I2058" i="1"/>
  <c r="L2058" i="1" s="1"/>
  <c r="M2058" i="1" s="1"/>
  <c r="I2059" i="1"/>
  <c r="I2060" i="1"/>
  <c r="L2060" i="1" s="1"/>
  <c r="M2060" i="1" s="1"/>
  <c r="I2061" i="1"/>
  <c r="L2061" i="1" s="1"/>
  <c r="M2061" i="1" s="1"/>
  <c r="I2062" i="1"/>
  <c r="L2062" i="1" s="1"/>
  <c r="M2062" i="1" s="1"/>
  <c r="I2063" i="1"/>
  <c r="L2063" i="1" s="1"/>
  <c r="M2063" i="1" s="1"/>
  <c r="I2064" i="1"/>
  <c r="L2064" i="1" s="1"/>
  <c r="M2064" i="1" s="1"/>
  <c r="I2065" i="1"/>
  <c r="L2065" i="1" s="1"/>
  <c r="M2065" i="1" s="1"/>
  <c r="I2066" i="1"/>
  <c r="L2066" i="1" s="1"/>
  <c r="M2066" i="1" s="1"/>
  <c r="I2067" i="1"/>
  <c r="L2067" i="1" s="1"/>
  <c r="M2067" i="1" s="1"/>
  <c r="I2068" i="1"/>
  <c r="L2068" i="1" s="1"/>
  <c r="M2068" i="1" s="1"/>
  <c r="I2069" i="1"/>
  <c r="L2069" i="1" s="1"/>
  <c r="M2069" i="1" s="1"/>
  <c r="I2070" i="1"/>
  <c r="L2070" i="1" s="1"/>
  <c r="M2070" i="1" s="1"/>
  <c r="I2071" i="1"/>
  <c r="L2071" i="1" s="1"/>
  <c r="M2071" i="1" s="1"/>
  <c r="I2072" i="1"/>
  <c r="L2072" i="1" s="1"/>
  <c r="M2072" i="1" s="1"/>
  <c r="I2073" i="1"/>
  <c r="L2073" i="1" s="1"/>
  <c r="M2073" i="1" s="1"/>
  <c r="I2074" i="1"/>
  <c r="L2074" i="1" s="1"/>
  <c r="M2074" i="1" s="1"/>
  <c r="I2075" i="1"/>
  <c r="L2075" i="1" s="1"/>
  <c r="M2075" i="1" s="1"/>
  <c r="I2076" i="1"/>
  <c r="L2076" i="1" s="1"/>
  <c r="M2076" i="1" s="1"/>
  <c r="I2077" i="1"/>
  <c r="L2077" i="1" s="1"/>
  <c r="M2077" i="1" s="1"/>
  <c r="I2078" i="1"/>
  <c r="L2078" i="1" s="1"/>
  <c r="M2078" i="1" s="1"/>
  <c r="I2079" i="1"/>
  <c r="L2079" i="1" s="1"/>
  <c r="M2079" i="1" s="1"/>
  <c r="I2080" i="1"/>
  <c r="L2080" i="1" s="1"/>
  <c r="M2080" i="1" s="1"/>
  <c r="I2081" i="1"/>
  <c r="L2081" i="1" s="1"/>
  <c r="M2081" i="1" s="1"/>
  <c r="I2082" i="1"/>
  <c r="L2082" i="1" s="1"/>
  <c r="M2082" i="1" s="1"/>
  <c r="I2083" i="1"/>
  <c r="L2083" i="1" s="1"/>
  <c r="M2083" i="1" s="1"/>
  <c r="I2084" i="1"/>
  <c r="L2084" i="1" s="1"/>
  <c r="M2084" i="1" s="1"/>
  <c r="I2085" i="1"/>
  <c r="L2085" i="1" s="1"/>
  <c r="M2085" i="1" s="1"/>
  <c r="I2086" i="1"/>
  <c r="L2086" i="1" s="1"/>
  <c r="M2086" i="1" s="1"/>
  <c r="I2087" i="1"/>
  <c r="L2087" i="1" s="1"/>
  <c r="M2087" i="1" s="1"/>
  <c r="I2088" i="1"/>
  <c r="L2088" i="1" s="1"/>
  <c r="M2088" i="1" s="1"/>
  <c r="I2089" i="1"/>
  <c r="L2089" i="1" s="1"/>
  <c r="M2089" i="1" s="1"/>
  <c r="I2090" i="1"/>
  <c r="L2090" i="1" s="1"/>
  <c r="M2090" i="1" s="1"/>
  <c r="I2091" i="1"/>
  <c r="L2091" i="1" s="1"/>
  <c r="M2091" i="1" s="1"/>
  <c r="I2092" i="1"/>
  <c r="L2092" i="1" s="1"/>
  <c r="M2092" i="1" s="1"/>
  <c r="I2093" i="1"/>
  <c r="L2093" i="1" s="1"/>
  <c r="M2093" i="1" s="1"/>
  <c r="I2094" i="1"/>
  <c r="L2094" i="1" s="1"/>
  <c r="M2094" i="1" s="1"/>
  <c r="I2095" i="1"/>
  <c r="L2095" i="1" s="1"/>
  <c r="M2095" i="1" s="1"/>
  <c r="I2096" i="1"/>
  <c r="L2096" i="1" s="1"/>
  <c r="M2096" i="1" s="1"/>
  <c r="I2097" i="1"/>
  <c r="L2097" i="1" s="1"/>
  <c r="M2097" i="1" s="1"/>
  <c r="I2098" i="1"/>
  <c r="L2098" i="1" s="1"/>
  <c r="M2098" i="1" s="1"/>
  <c r="I2099" i="1"/>
  <c r="L2099" i="1" s="1"/>
  <c r="M2099" i="1" s="1"/>
  <c r="I2100" i="1"/>
  <c r="I2101" i="1"/>
  <c r="L2101" i="1" s="1"/>
  <c r="M2101" i="1" s="1"/>
  <c r="I2102" i="1"/>
  <c r="L2102" i="1" s="1"/>
  <c r="M2102" i="1" s="1"/>
  <c r="I2103" i="1"/>
  <c r="L2103" i="1" s="1"/>
  <c r="M2103" i="1" s="1"/>
  <c r="I2104" i="1"/>
  <c r="L2104" i="1" s="1"/>
  <c r="M2104" i="1" s="1"/>
  <c r="I2105" i="1"/>
  <c r="L2105" i="1" s="1"/>
  <c r="M2105" i="1" s="1"/>
  <c r="I2106" i="1"/>
  <c r="L2106" i="1" s="1"/>
  <c r="M2106" i="1" s="1"/>
  <c r="I2107" i="1"/>
  <c r="L2107" i="1" s="1"/>
  <c r="M2107" i="1" s="1"/>
  <c r="I2108" i="1"/>
  <c r="L2108" i="1" s="1"/>
  <c r="M2108" i="1" s="1"/>
  <c r="I2109" i="1"/>
  <c r="L2109" i="1" s="1"/>
  <c r="M2109" i="1" s="1"/>
  <c r="I2110" i="1"/>
  <c r="L2110" i="1" s="1"/>
  <c r="M2110" i="1" s="1"/>
  <c r="I2111" i="1"/>
  <c r="L2111" i="1" s="1"/>
  <c r="M2111" i="1" s="1"/>
  <c r="I2112" i="1"/>
  <c r="L2112" i="1" s="1"/>
  <c r="M2112" i="1" s="1"/>
  <c r="I2113" i="1"/>
  <c r="L2113" i="1" s="1"/>
  <c r="M2113" i="1" s="1"/>
  <c r="I2114" i="1"/>
  <c r="L2114" i="1" s="1"/>
  <c r="M2114" i="1" s="1"/>
  <c r="I2115" i="1"/>
  <c r="L2115" i="1" s="1"/>
  <c r="M2115" i="1" s="1"/>
  <c r="I2116" i="1"/>
  <c r="L2116" i="1" s="1"/>
  <c r="M2116" i="1" s="1"/>
  <c r="I2117" i="1"/>
  <c r="L2117" i="1" s="1"/>
  <c r="M2117" i="1" s="1"/>
  <c r="I2118" i="1"/>
  <c r="L2118" i="1" s="1"/>
  <c r="M2118" i="1" s="1"/>
  <c r="I2119" i="1"/>
  <c r="L2119" i="1" s="1"/>
  <c r="M2119" i="1" s="1"/>
  <c r="I2120" i="1"/>
  <c r="L2120" i="1" s="1"/>
  <c r="M2120" i="1" s="1"/>
  <c r="I2121" i="1"/>
  <c r="L2121" i="1" s="1"/>
  <c r="M2121" i="1" s="1"/>
  <c r="I2122" i="1"/>
  <c r="L2122" i="1" s="1"/>
  <c r="M2122" i="1" s="1"/>
  <c r="I2123" i="1"/>
  <c r="L2123" i="1" s="1"/>
  <c r="M2123" i="1" s="1"/>
  <c r="I2124" i="1"/>
  <c r="L2124" i="1" s="1"/>
  <c r="M2124" i="1" s="1"/>
  <c r="I2125" i="1"/>
  <c r="L2125" i="1" s="1"/>
  <c r="M2125" i="1" s="1"/>
  <c r="I2126" i="1"/>
  <c r="L2126" i="1" s="1"/>
  <c r="M2126" i="1" s="1"/>
  <c r="I2127" i="1"/>
  <c r="L2127" i="1" s="1"/>
  <c r="M2127" i="1" s="1"/>
  <c r="I2128" i="1"/>
  <c r="L2128" i="1" s="1"/>
  <c r="M2128" i="1" s="1"/>
  <c r="I2129" i="1"/>
  <c r="L2129" i="1" s="1"/>
  <c r="M2129" i="1" s="1"/>
  <c r="I2130" i="1"/>
  <c r="L2130" i="1" s="1"/>
  <c r="M2130" i="1" s="1"/>
  <c r="I2131" i="1"/>
  <c r="L2131" i="1" s="1"/>
  <c r="M2131" i="1" s="1"/>
  <c r="I2132" i="1"/>
  <c r="L2132" i="1" s="1"/>
  <c r="M2132" i="1" s="1"/>
  <c r="I2133" i="1"/>
  <c r="L2133" i="1" s="1"/>
  <c r="M2133" i="1" s="1"/>
  <c r="I2134" i="1"/>
  <c r="L2134" i="1" s="1"/>
  <c r="M2134" i="1" s="1"/>
  <c r="I2135" i="1"/>
  <c r="L2135" i="1" s="1"/>
  <c r="M2135" i="1" s="1"/>
  <c r="I2136" i="1"/>
  <c r="L2136" i="1" s="1"/>
  <c r="M2136" i="1" s="1"/>
  <c r="I2137" i="1"/>
  <c r="L2137" i="1" s="1"/>
  <c r="M2137" i="1" s="1"/>
  <c r="I2138" i="1"/>
  <c r="L2138" i="1" s="1"/>
  <c r="M2138" i="1" s="1"/>
  <c r="I2139" i="1"/>
  <c r="L2139" i="1" s="1"/>
  <c r="M2139" i="1" s="1"/>
  <c r="I2140" i="1"/>
  <c r="L2140" i="1" s="1"/>
  <c r="M2140" i="1" s="1"/>
  <c r="I2141" i="1"/>
  <c r="L2141" i="1" s="1"/>
  <c r="M2141" i="1" s="1"/>
  <c r="I2142" i="1"/>
  <c r="L2142" i="1" s="1"/>
  <c r="M2142" i="1" s="1"/>
  <c r="I2143" i="1"/>
  <c r="L2143" i="1" s="1"/>
  <c r="M2143" i="1" s="1"/>
  <c r="I2144" i="1"/>
  <c r="L2144" i="1" s="1"/>
  <c r="M2144" i="1" s="1"/>
  <c r="I2145" i="1"/>
  <c r="L2145" i="1" s="1"/>
  <c r="M2145" i="1" s="1"/>
  <c r="I2146" i="1"/>
  <c r="L2146" i="1" s="1"/>
  <c r="M2146" i="1" s="1"/>
  <c r="I2147" i="1"/>
  <c r="L2147" i="1" s="1"/>
  <c r="M2147" i="1" s="1"/>
  <c r="I2148" i="1"/>
  <c r="L2148" i="1" s="1"/>
  <c r="M2148" i="1" s="1"/>
  <c r="I2149" i="1"/>
  <c r="L2149" i="1" s="1"/>
  <c r="M2149" i="1" s="1"/>
  <c r="I2150" i="1"/>
  <c r="L2150" i="1" s="1"/>
  <c r="M2150" i="1" s="1"/>
  <c r="I2151" i="1"/>
  <c r="L2151" i="1" s="1"/>
  <c r="M2151" i="1" s="1"/>
  <c r="I2152" i="1"/>
  <c r="L2152" i="1" s="1"/>
  <c r="M2152" i="1" s="1"/>
  <c r="I2153" i="1"/>
  <c r="L2153" i="1" s="1"/>
  <c r="M2153" i="1" s="1"/>
  <c r="I2154" i="1"/>
  <c r="L2154" i="1" s="1"/>
  <c r="M2154" i="1" s="1"/>
  <c r="I2155" i="1"/>
  <c r="L2155" i="1" s="1"/>
  <c r="M2155" i="1" s="1"/>
  <c r="I2156" i="1"/>
  <c r="L2156" i="1" s="1"/>
  <c r="M2156" i="1" s="1"/>
  <c r="I2157" i="1"/>
  <c r="L2157" i="1" s="1"/>
  <c r="M2157" i="1" s="1"/>
  <c r="I2158" i="1"/>
  <c r="I2159" i="1"/>
  <c r="L2159" i="1" s="1"/>
  <c r="M2159" i="1" s="1"/>
  <c r="I2160" i="1"/>
  <c r="L2160" i="1" s="1"/>
  <c r="M2160" i="1" s="1"/>
  <c r="I2161" i="1"/>
  <c r="L2161" i="1" s="1"/>
  <c r="M2161" i="1" s="1"/>
  <c r="I2162" i="1"/>
  <c r="L2162" i="1" s="1"/>
  <c r="M2162" i="1" s="1"/>
  <c r="I2163" i="1"/>
  <c r="L2163" i="1" s="1"/>
  <c r="M2163" i="1" s="1"/>
  <c r="I2164" i="1"/>
  <c r="L2164" i="1" s="1"/>
  <c r="M2164" i="1" s="1"/>
  <c r="I2165" i="1"/>
  <c r="L2165" i="1" s="1"/>
  <c r="M2165" i="1" s="1"/>
  <c r="I2166" i="1"/>
  <c r="L2166" i="1" s="1"/>
  <c r="M2166" i="1" s="1"/>
  <c r="I2167" i="1"/>
  <c r="L2167" i="1" s="1"/>
  <c r="M2167" i="1" s="1"/>
  <c r="I2168" i="1"/>
  <c r="L2168" i="1" s="1"/>
  <c r="M2168" i="1" s="1"/>
  <c r="I2169" i="1"/>
  <c r="L2169" i="1" s="1"/>
  <c r="M2169" i="1" s="1"/>
  <c r="I2170" i="1"/>
  <c r="L2170" i="1" s="1"/>
  <c r="M2170" i="1" s="1"/>
  <c r="I2171" i="1"/>
  <c r="L2171" i="1" s="1"/>
  <c r="M2171" i="1" s="1"/>
  <c r="I2172" i="1"/>
  <c r="L2172" i="1" s="1"/>
  <c r="M2172" i="1" s="1"/>
  <c r="I2173" i="1"/>
  <c r="L2173" i="1" s="1"/>
  <c r="M2173" i="1" s="1"/>
  <c r="I2174" i="1"/>
  <c r="L2174" i="1" s="1"/>
  <c r="M2174" i="1" s="1"/>
  <c r="I2175" i="1"/>
  <c r="L2175" i="1" s="1"/>
  <c r="M2175" i="1" s="1"/>
  <c r="I2176" i="1"/>
  <c r="L2176" i="1" s="1"/>
  <c r="M2176" i="1" s="1"/>
  <c r="I2177" i="1"/>
  <c r="L2177" i="1" s="1"/>
  <c r="M2177" i="1" s="1"/>
  <c r="I2178" i="1"/>
  <c r="L2178" i="1" s="1"/>
  <c r="M2178" i="1" s="1"/>
  <c r="I2179" i="1"/>
  <c r="L2179" i="1" s="1"/>
  <c r="M2179" i="1" s="1"/>
  <c r="I2180" i="1"/>
  <c r="L2180" i="1" s="1"/>
  <c r="M2180" i="1" s="1"/>
  <c r="I2181" i="1"/>
  <c r="L2181" i="1" s="1"/>
  <c r="M2181" i="1" s="1"/>
  <c r="I2182" i="1"/>
  <c r="L2182" i="1" s="1"/>
  <c r="M2182" i="1" s="1"/>
  <c r="I2183" i="1"/>
  <c r="L2183" i="1" s="1"/>
  <c r="M2183" i="1" s="1"/>
  <c r="I2184" i="1"/>
  <c r="L2184" i="1" s="1"/>
  <c r="M2184" i="1" s="1"/>
  <c r="I2185" i="1"/>
  <c r="L2185" i="1" s="1"/>
  <c r="M2185" i="1" s="1"/>
  <c r="I2186" i="1"/>
  <c r="L2186" i="1" s="1"/>
  <c r="M2186" i="1" s="1"/>
  <c r="I2187" i="1"/>
  <c r="L2187" i="1" s="1"/>
  <c r="M2187" i="1" s="1"/>
  <c r="I2188" i="1"/>
  <c r="L2188" i="1" s="1"/>
  <c r="M2188" i="1" s="1"/>
  <c r="I2189" i="1"/>
  <c r="L2189" i="1" s="1"/>
  <c r="M2189" i="1" s="1"/>
  <c r="I2190" i="1"/>
  <c r="L2190" i="1" s="1"/>
  <c r="M2190" i="1" s="1"/>
  <c r="I2191" i="1"/>
  <c r="L2191" i="1" s="1"/>
  <c r="M2191" i="1" s="1"/>
  <c r="I2192" i="1"/>
  <c r="L2192" i="1" s="1"/>
  <c r="M2192" i="1" s="1"/>
  <c r="I2193" i="1"/>
  <c r="L2193" i="1" s="1"/>
  <c r="M2193" i="1" s="1"/>
  <c r="I2194" i="1"/>
  <c r="L2194" i="1" s="1"/>
  <c r="M2194" i="1" s="1"/>
  <c r="I2195" i="1"/>
  <c r="L2195" i="1" s="1"/>
  <c r="M2195" i="1" s="1"/>
  <c r="I2196" i="1"/>
  <c r="L2196" i="1" s="1"/>
  <c r="M2196" i="1" s="1"/>
  <c r="I2197" i="1"/>
  <c r="L2197" i="1" s="1"/>
  <c r="M2197" i="1" s="1"/>
  <c r="I2198" i="1"/>
  <c r="L2198" i="1" s="1"/>
  <c r="M2198" i="1" s="1"/>
  <c r="I2199" i="1"/>
  <c r="L2199" i="1" s="1"/>
  <c r="M2199" i="1" s="1"/>
  <c r="I2200" i="1"/>
  <c r="L2200" i="1" s="1"/>
  <c r="M2200" i="1" s="1"/>
  <c r="I2201" i="1"/>
  <c r="L2201" i="1" s="1"/>
  <c r="M2201" i="1" s="1"/>
  <c r="I2202" i="1"/>
  <c r="L2202" i="1" s="1"/>
  <c r="M2202" i="1" s="1"/>
  <c r="I2203" i="1"/>
  <c r="L2203" i="1" s="1"/>
  <c r="M2203" i="1" s="1"/>
  <c r="I2204" i="1"/>
  <c r="L2204" i="1" s="1"/>
  <c r="M2204" i="1" s="1"/>
  <c r="I2205" i="1"/>
  <c r="L2205" i="1" s="1"/>
  <c r="M2205" i="1" s="1"/>
  <c r="I2206" i="1"/>
  <c r="L2206" i="1" s="1"/>
  <c r="M2206" i="1" s="1"/>
  <c r="I2207" i="1"/>
  <c r="L2207" i="1" s="1"/>
  <c r="M2207" i="1" s="1"/>
  <c r="I2208" i="1"/>
  <c r="L2208" i="1" s="1"/>
  <c r="M2208" i="1" s="1"/>
  <c r="I2209" i="1"/>
  <c r="L2209" i="1" s="1"/>
  <c r="M2209" i="1" s="1"/>
  <c r="I2210" i="1"/>
  <c r="L2210" i="1" s="1"/>
  <c r="M2210" i="1" s="1"/>
  <c r="I2211" i="1"/>
  <c r="L2211" i="1" s="1"/>
  <c r="M2211" i="1" s="1"/>
  <c r="I2212" i="1"/>
  <c r="L2212" i="1" s="1"/>
  <c r="M2212" i="1" s="1"/>
  <c r="I2213" i="1"/>
  <c r="L2213" i="1" s="1"/>
  <c r="M2213" i="1" s="1"/>
  <c r="I2214" i="1"/>
  <c r="L2214" i="1" s="1"/>
  <c r="M2214" i="1" s="1"/>
  <c r="I2215" i="1"/>
  <c r="L2215" i="1" s="1"/>
  <c r="M2215" i="1" s="1"/>
  <c r="I2216" i="1"/>
  <c r="L2216" i="1" s="1"/>
  <c r="M2216" i="1" s="1"/>
  <c r="I2217" i="1"/>
  <c r="L2217" i="1" s="1"/>
  <c r="M2217" i="1" s="1"/>
  <c r="I2218" i="1"/>
  <c r="L2218" i="1" s="1"/>
  <c r="M2218" i="1" s="1"/>
  <c r="I2219" i="1"/>
  <c r="L2219" i="1" s="1"/>
  <c r="M2219" i="1" s="1"/>
  <c r="I2220" i="1"/>
  <c r="L2220" i="1" s="1"/>
  <c r="M2220" i="1" s="1"/>
  <c r="I2221" i="1"/>
  <c r="L2221" i="1" s="1"/>
  <c r="M2221" i="1" s="1"/>
  <c r="I2222" i="1"/>
  <c r="L2222" i="1" s="1"/>
  <c r="M2222" i="1" s="1"/>
  <c r="I2223" i="1"/>
  <c r="L2223" i="1" s="1"/>
  <c r="M2223" i="1" s="1"/>
  <c r="I2224" i="1"/>
  <c r="L2224" i="1" s="1"/>
  <c r="M2224" i="1" s="1"/>
  <c r="I2225" i="1"/>
  <c r="L2225" i="1" s="1"/>
  <c r="M2225" i="1" s="1"/>
  <c r="I2226" i="1"/>
  <c r="L2226" i="1" s="1"/>
  <c r="M2226" i="1" s="1"/>
  <c r="I2227" i="1"/>
  <c r="L2227" i="1" s="1"/>
  <c r="M2227" i="1" s="1"/>
  <c r="I2228" i="1"/>
  <c r="L2228" i="1" s="1"/>
  <c r="M2228" i="1" s="1"/>
  <c r="I2229" i="1"/>
  <c r="L2229" i="1" s="1"/>
  <c r="M2229" i="1" s="1"/>
  <c r="I2230" i="1"/>
  <c r="L2230" i="1" s="1"/>
  <c r="M2230" i="1" s="1"/>
  <c r="I2231" i="1"/>
  <c r="L2231" i="1" s="1"/>
  <c r="M2231" i="1" s="1"/>
  <c r="I2232" i="1"/>
  <c r="L2232" i="1" s="1"/>
  <c r="M2232" i="1" s="1"/>
  <c r="I2233" i="1"/>
  <c r="L2233" i="1" s="1"/>
  <c r="M2233" i="1" s="1"/>
  <c r="I2234" i="1"/>
  <c r="L2234" i="1" s="1"/>
  <c r="M2234" i="1" s="1"/>
  <c r="I2235" i="1"/>
  <c r="L2235" i="1" s="1"/>
  <c r="M2235" i="1" s="1"/>
  <c r="I2236" i="1"/>
  <c r="L2236" i="1" s="1"/>
  <c r="M2236" i="1" s="1"/>
  <c r="I2237" i="1"/>
  <c r="L2237" i="1" s="1"/>
  <c r="M2237" i="1" s="1"/>
  <c r="I2238" i="1"/>
  <c r="L2238" i="1" s="1"/>
  <c r="M2238" i="1" s="1"/>
  <c r="I2239" i="1"/>
  <c r="L2239" i="1" s="1"/>
  <c r="M2239" i="1" s="1"/>
  <c r="I2240" i="1"/>
  <c r="L2240" i="1" s="1"/>
  <c r="M2240" i="1" s="1"/>
  <c r="I2241" i="1"/>
  <c r="L2241" i="1" s="1"/>
  <c r="M2241" i="1" s="1"/>
  <c r="I2242" i="1"/>
  <c r="L2242" i="1" s="1"/>
  <c r="M2242" i="1" s="1"/>
  <c r="I2243" i="1"/>
  <c r="L2243" i="1" s="1"/>
  <c r="M2243" i="1" s="1"/>
  <c r="I2244" i="1"/>
  <c r="L2244" i="1" s="1"/>
  <c r="M2244" i="1" s="1"/>
  <c r="I2245" i="1"/>
  <c r="L2245" i="1" s="1"/>
  <c r="M2245" i="1" s="1"/>
  <c r="I2246" i="1"/>
  <c r="L2246" i="1" s="1"/>
  <c r="M2246" i="1" s="1"/>
  <c r="I2247" i="1"/>
  <c r="L2247" i="1" s="1"/>
  <c r="M2247" i="1" s="1"/>
  <c r="I2248" i="1"/>
  <c r="L2248" i="1" s="1"/>
  <c r="M2248" i="1" s="1"/>
  <c r="I2249" i="1"/>
  <c r="L2249" i="1" s="1"/>
  <c r="M2249" i="1" s="1"/>
  <c r="I2250" i="1"/>
  <c r="L2250" i="1" s="1"/>
  <c r="M2250" i="1" s="1"/>
  <c r="I2251" i="1"/>
  <c r="L2251" i="1" s="1"/>
  <c r="M2251" i="1" s="1"/>
  <c r="I2252" i="1"/>
  <c r="L2252" i="1" s="1"/>
  <c r="M2252" i="1" s="1"/>
  <c r="I2253" i="1"/>
  <c r="L2253" i="1" s="1"/>
  <c r="M2253" i="1" s="1"/>
  <c r="I2254" i="1"/>
  <c r="L2254" i="1" s="1"/>
  <c r="M2254" i="1" s="1"/>
  <c r="I2255" i="1"/>
  <c r="L2255" i="1" s="1"/>
  <c r="M2255" i="1" s="1"/>
  <c r="I2256" i="1"/>
  <c r="L2256" i="1" s="1"/>
  <c r="M2256" i="1" s="1"/>
  <c r="I2257" i="1"/>
  <c r="L2257" i="1" s="1"/>
  <c r="M2257" i="1" s="1"/>
  <c r="I2258" i="1"/>
  <c r="L2258" i="1" s="1"/>
  <c r="M2258" i="1" s="1"/>
  <c r="I2259" i="1"/>
  <c r="L2259" i="1" s="1"/>
  <c r="M2259" i="1" s="1"/>
  <c r="I2260" i="1"/>
  <c r="L2260" i="1" s="1"/>
  <c r="M2260" i="1" s="1"/>
  <c r="I2261" i="1"/>
  <c r="L2261" i="1" s="1"/>
  <c r="M2261" i="1" s="1"/>
  <c r="I2262" i="1"/>
  <c r="L2262" i="1" s="1"/>
  <c r="M2262" i="1" s="1"/>
  <c r="I2263" i="1"/>
  <c r="L2263" i="1" s="1"/>
  <c r="M2263" i="1" s="1"/>
  <c r="I2264" i="1"/>
  <c r="L2264" i="1" s="1"/>
  <c r="M2264" i="1" s="1"/>
  <c r="I2265" i="1"/>
  <c r="L2265" i="1" s="1"/>
  <c r="M2265" i="1" s="1"/>
  <c r="I2266" i="1"/>
  <c r="L2266" i="1" s="1"/>
  <c r="M2266" i="1" s="1"/>
  <c r="I2267" i="1"/>
  <c r="L2267" i="1" s="1"/>
  <c r="M2267" i="1" s="1"/>
  <c r="I2268" i="1"/>
  <c r="L2268" i="1" s="1"/>
  <c r="M2268" i="1" s="1"/>
  <c r="I2269" i="1"/>
  <c r="L2269" i="1" s="1"/>
  <c r="M2269" i="1" s="1"/>
  <c r="I2270" i="1"/>
  <c r="L2270" i="1" s="1"/>
  <c r="M2270" i="1" s="1"/>
  <c r="I2271" i="1"/>
  <c r="L2271" i="1" s="1"/>
  <c r="M2271" i="1" s="1"/>
  <c r="I2272" i="1"/>
  <c r="L2272" i="1" s="1"/>
  <c r="M2272" i="1" s="1"/>
  <c r="I2273" i="1"/>
  <c r="L2273" i="1" s="1"/>
  <c r="M2273" i="1" s="1"/>
  <c r="I2274" i="1"/>
  <c r="L2274" i="1" s="1"/>
  <c r="M2274" i="1" s="1"/>
  <c r="I2275" i="1"/>
  <c r="L2275" i="1" s="1"/>
  <c r="M2275" i="1" s="1"/>
  <c r="I2276" i="1"/>
  <c r="L2276" i="1" s="1"/>
  <c r="M2276" i="1" s="1"/>
  <c r="I2277" i="1"/>
  <c r="L2277" i="1" s="1"/>
  <c r="M2277" i="1" s="1"/>
  <c r="I2278" i="1"/>
  <c r="L2278" i="1" s="1"/>
  <c r="M2278" i="1" s="1"/>
  <c r="I2279" i="1"/>
  <c r="L2279" i="1" s="1"/>
  <c r="M2279" i="1" s="1"/>
  <c r="I2280" i="1"/>
  <c r="L2280" i="1" s="1"/>
  <c r="M2280" i="1" s="1"/>
  <c r="I2281" i="1"/>
  <c r="L2281" i="1" s="1"/>
  <c r="M2281" i="1" s="1"/>
  <c r="I2282" i="1"/>
  <c r="L2282" i="1" s="1"/>
  <c r="M2282" i="1" s="1"/>
  <c r="I2283" i="1"/>
  <c r="L2283" i="1" s="1"/>
  <c r="M2283" i="1" s="1"/>
  <c r="I2284" i="1"/>
  <c r="L2284" i="1" s="1"/>
  <c r="M2284" i="1" s="1"/>
  <c r="I2285" i="1"/>
  <c r="L2285" i="1" s="1"/>
  <c r="M2285" i="1" s="1"/>
  <c r="I2286" i="1"/>
  <c r="L2286" i="1" s="1"/>
  <c r="M2286" i="1" s="1"/>
  <c r="I2287" i="1"/>
  <c r="L2287" i="1" s="1"/>
  <c r="M2287" i="1" s="1"/>
  <c r="I2288" i="1"/>
  <c r="L2288" i="1" s="1"/>
  <c r="M2288" i="1" s="1"/>
  <c r="I2289" i="1"/>
  <c r="L2289" i="1" s="1"/>
  <c r="M2289" i="1" s="1"/>
  <c r="I2290" i="1"/>
  <c r="L2290" i="1" s="1"/>
  <c r="M2290" i="1" s="1"/>
  <c r="I2291" i="1"/>
  <c r="L2291" i="1" s="1"/>
  <c r="M2291" i="1" s="1"/>
  <c r="I2292" i="1"/>
  <c r="L2292" i="1" s="1"/>
  <c r="M2292" i="1" s="1"/>
  <c r="I2293" i="1"/>
  <c r="L2293" i="1" s="1"/>
  <c r="M2293" i="1" s="1"/>
  <c r="I2294" i="1"/>
  <c r="L2294" i="1" s="1"/>
  <c r="M2294" i="1" s="1"/>
  <c r="I2295" i="1"/>
  <c r="L2295" i="1" s="1"/>
  <c r="M2295" i="1" s="1"/>
  <c r="I2296" i="1"/>
  <c r="L2296" i="1" s="1"/>
  <c r="M2296" i="1" s="1"/>
  <c r="I2297" i="1"/>
  <c r="L2297" i="1" s="1"/>
  <c r="M2297" i="1" s="1"/>
  <c r="I2298" i="1"/>
  <c r="L2298" i="1" s="1"/>
  <c r="M2298" i="1" s="1"/>
  <c r="I2299" i="1"/>
  <c r="L2299" i="1" s="1"/>
  <c r="M2299" i="1" s="1"/>
  <c r="I2300" i="1"/>
  <c r="L2300" i="1" s="1"/>
  <c r="M2300" i="1" s="1"/>
  <c r="I2301" i="1"/>
  <c r="L2301" i="1" s="1"/>
  <c r="M2301" i="1" s="1"/>
  <c r="I2302" i="1"/>
  <c r="L2302" i="1" s="1"/>
  <c r="M2302" i="1" s="1"/>
  <c r="I2303" i="1"/>
  <c r="L2303" i="1" s="1"/>
  <c r="M2303" i="1" s="1"/>
  <c r="I2304" i="1"/>
  <c r="L2304" i="1" s="1"/>
  <c r="M2304" i="1" s="1"/>
  <c r="I2305" i="1"/>
  <c r="L2305" i="1" s="1"/>
  <c r="M2305" i="1" s="1"/>
  <c r="I2306" i="1"/>
  <c r="L2306" i="1" s="1"/>
  <c r="M2306" i="1" s="1"/>
  <c r="I2307" i="1"/>
  <c r="L2307" i="1" s="1"/>
  <c r="M2307" i="1" s="1"/>
  <c r="I2308" i="1"/>
  <c r="L2308" i="1" s="1"/>
  <c r="M2308" i="1" s="1"/>
  <c r="I2309" i="1"/>
  <c r="L2309" i="1" s="1"/>
  <c r="M2309" i="1" s="1"/>
  <c r="I2310" i="1"/>
  <c r="L2310" i="1" s="1"/>
  <c r="M2310" i="1" s="1"/>
  <c r="I2311" i="1"/>
  <c r="L2311" i="1" s="1"/>
  <c r="M2311" i="1" s="1"/>
  <c r="I2312" i="1"/>
  <c r="L2312" i="1" s="1"/>
  <c r="M2312" i="1" s="1"/>
  <c r="I2313" i="1"/>
  <c r="L2313" i="1" s="1"/>
  <c r="M2313" i="1" s="1"/>
  <c r="I2314" i="1"/>
  <c r="L2314" i="1" s="1"/>
  <c r="M2314" i="1" s="1"/>
  <c r="I2315" i="1"/>
  <c r="L2315" i="1" s="1"/>
  <c r="M2315" i="1" s="1"/>
  <c r="I2316" i="1"/>
  <c r="L2316" i="1" s="1"/>
  <c r="M2316" i="1" s="1"/>
  <c r="I2317" i="1"/>
  <c r="L2317" i="1" s="1"/>
  <c r="M2317" i="1" s="1"/>
  <c r="I2318" i="1"/>
  <c r="L2318" i="1" s="1"/>
  <c r="M2318" i="1" s="1"/>
  <c r="I2319" i="1"/>
  <c r="L2319" i="1" s="1"/>
  <c r="M2319" i="1" s="1"/>
  <c r="I2320" i="1"/>
  <c r="L2320" i="1" s="1"/>
  <c r="M2320" i="1" s="1"/>
  <c r="I2321" i="1"/>
  <c r="L2321" i="1" s="1"/>
  <c r="M2321" i="1" s="1"/>
  <c r="I2322" i="1"/>
  <c r="L2322" i="1" s="1"/>
  <c r="M2322" i="1" s="1"/>
  <c r="I2323" i="1"/>
  <c r="L2323" i="1" s="1"/>
  <c r="M2323" i="1" s="1"/>
  <c r="I2324" i="1"/>
  <c r="L2324" i="1" s="1"/>
  <c r="M2324" i="1" s="1"/>
  <c r="I2325" i="1"/>
  <c r="L2325" i="1" s="1"/>
  <c r="M2325" i="1" s="1"/>
  <c r="I2326" i="1"/>
  <c r="L2326" i="1" s="1"/>
  <c r="M2326" i="1" s="1"/>
  <c r="I2327" i="1"/>
  <c r="L2327" i="1" s="1"/>
  <c r="M2327" i="1" s="1"/>
  <c r="I2328" i="1"/>
  <c r="L2328" i="1" s="1"/>
  <c r="M2328" i="1" s="1"/>
  <c r="I2329" i="1"/>
  <c r="L2329" i="1" s="1"/>
  <c r="M2329" i="1" s="1"/>
  <c r="I2330" i="1"/>
  <c r="L2330" i="1" s="1"/>
  <c r="M2330" i="1" s="1"/>
  <c r="I2331" i="1"/>
  <c r="L2331" i="1" s="1"/>
  <c r="M2331" i="1" s="1"/>
  <c r="I2332" i="1"/>
  <c r="I2333" i="1"/>
  <c r="L2333" i="1" s="1"/>
  <c r="M2333" i="1" s="1"/>
  <c r="I2334" i="1"/>
  <c r="L2334" i="1" s="1"/>
  <c r="M2334" i="1" s="1"/>
  <c r="I2335" i="1"/>
  <c r="L2335" i="1" s="1"/>
  <c r="M2335" i="1" s="1"/>
  <c r="I2336" i="1"/>
  <c r="L2336" i="1" s="1"/>
  <c r="M2336" i="1" s="1"/>
  <c r="I2337" i="1"/>
  <c r="L2337" i="1" s="1"/>
  <c r="M2337" i="1" s="1"/>
  <c r="I2338" i="1"/>
  <c r="L2338" i="1" s="1"/>
  <c r="M2338" i="1" s="1"/>
  <c r="I2339" i="1"/>
  <c r="L2339" i="1" s="1"/>
  <c r="M2339" i="1" s="1"/>
  <c r="I2340" i="1"/>
  <c r="L2340" i="1" s="1"/>
  <c r="M2340" i="1" s="1"/>
  <c r="I2341" i="1"/>
  <c r="L2341" i="1" s="1"/>
  <c r="M2341" i="1" s="1"/>
  <c r="I2342" i="1"/>
  <c r="L2342" i="1" s="1"/>
  <c r="M2342" i="1" s="1"/>
  <c r="I2343" i="1"/>
  <c r="L2343" i="1" s="1"/>
  <c r="M2343" i="1" s="1"/>
  <c r="I2344" i="1"/>
  <c r="L2344" i="1" s="1"/>
  <c r="M2344" i="1" s="1"/>
  <c r="I2345" i="1"/>
  <c r="L2345" i="1" s="1"/>
  <c r="M2345" i="1" s="1"/>
  <c r="I2346" i="1"/>
  <c r="L2346" i="1" s="1"/>
  <c r="M2346" i="1" s="1"/>
  <c r="I2347" i="1"/>
  <c r="L2347" i="1" s="1"/>
  <c r="M2347" i="1" s="1"/>
  <c r="I2348" i="1"/>
  <c r="L2348" i="1" s="1"/>
  <c r="M2348" i="1" s="1"/>
  <c r="I2349" i="1"/>
  <c r="L2349" i="1" s="1"/>
  <c r="M2349" i="1" s="1"/>
  <c r="I2350" i="1"/>
  <c r="L2350" i="1" s="1"/>
  <c r="M2350" i="1" s="1"/>
  <c r="I2351" i="1"/>
  <c r="L2351" i="1" s="1"/>
  <c r="M2351" i="1" s="1"/>
  <c r="I2352" i="1"/>
  <c r="L2352" i="1" s="1"/>
  <c r="M2352" i="1" s="1"/>
  <c r="I2353" i="1"/>
  <c r="L2353" i="1" s="1"/>
  <c r="M2353" i="1" s="1"/>
  <c r="I2354" i="1"/>
  <c r="L2354" i="1" s="1"/>
  <c r="M2354" i="1" s="1"/>
  <c r="I2355" i="1"/>
  <c r="L2355" i="1" s="1"/>
  <c r="M2355" i="1" s="1"/>
  <c r="I2356" i="1"/>
  <c r="L2356" i="1" s="1"/>
  <c r="M2356" i="1" s="1"/>
  <c r="I2357" i="1"/>
  <c r="L2357" i="1" s="1"/>
  <c r="M2357" i="1" s="1"/>
  <c r="I2358" i="1"/>
  <c r="L2358" i="1" s="1"/>
  <c r="M2358" i="1" s="1"/>
  <c r="I2359" i="1"/>
  <c r="L2359" i="1" s="1"/>
  <c r="M2359" i="1" s="1"/>
  <c r="I2360" i="1"/>
  <c r="L2360" i="1" s="1"/>
  <c r="M2360" i="1" s="1"/>
  <c r="I2361" i="1"/>
  <c r="L2361" i="1" s="1"/>
  <c r="M2361" i="1" s="1"/>
  <c r="I2362" i="1"/>
  <c r="L2362" i="1" s="1"/>
  <c r="M2362" i="1" s="1"/>
  <c r="I2363" i="1"/>
  <c r="L2363" i="1" s="1"/>
  <c r="M2363" i="1" s="1"/>
  <c r="I2364" i="1"/>
  <c r="L2364" i="1" s="1"/>
  <c r="M2364" i="1" s="1"/>
  <c r="I2365" i="1"/>
  <c r="L2365" i="1" s="1"/>
  <c r="M2365" i="1" s="1"/>
  <c r="I2366" i="1"/>
  <c r="L2366" i="1" s="1"/>
  <c r="M2366" i="1" s="1"/>
  <c r="I2367" i="1"/>
  <c r="L2367" i="1" s="1"/>
  <c r="M2367" i="1" s="1"/>
  <c r="I2368" i="1"/>
  <c r="L2368" i="1" s="1"/>
  <c r="M2368" i="1" s="1"/>
  <c r="I2369" i="1"/>
  <c r="L2369" i="1" s="1"/>
  <c r="M2369" i="1" s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L2332" i="1"/>
  <c r="M2332" i="1" s="1"/>
  <c r="L2100" i="1"/>
  <c r="M2100" i="1" s="1"/>
  <c r="L2059" i="1"/>
  <c r="M2059" i="1" s="1"/>
  <c r="L2158" i="1"/>
  <c r="M2158" i="1" s="1"/>
  <c r="L1860" i="1"/>
  <c r="M1860" i="1" s="1"/>
  <c r="L1962" i="1"/>
  <c r="M1962" i="1" s="1"/>
  <c r="L1667" i="1"/>
  <c r="M1667" i="1" s="1"/>
  <c r="L1480" i="1"/>
  <c r="M1480" i="1" s="1"/>
  <c r="L1476" i="1"/>
  <c r="M1476" i="1" s="1"/>
  <c r="L1309" i="1"/>
  <c r="M1309" i="1" s="1"/>
  <c r="L1118" i="1"/>
  <c r="M1118" i="1" s="1"/>
  <c r="L1122" i="1"/>
  <c r="M1122" i="1" s="1"/>
  <c r="L925" i="1"/>
  <c r="M925" i="1" s="1"/>
  <c r="L929" i="1"/>
  <c r="M929" i="1" s="1"/>
  <c r="L730" i="1"/>
  <c r="M730" i="1" s="1"/>
  <c r="L735" i="1"/>
  <c r="M735" i="1" s="1"/>
  <c r="L530" i="1"/>
  <c r="M530" i="1" s="1"/>
  <c r="L535" i="1"/>
  <c r="M535" i="1" s="1"/>
  <c r="L303" i="1"/>
  <c r="M303" i="1" s="1"/>
  <c r="L384" i="1"/>
  <c r="M384" i="1" s="1"/>
  <c r="L327" i="1"/>
  <c r="M327" i="1" s="1"/>
  <c r="L332" i="1"/>
  <c r="M332" i="1" s="1"/>
  <c r="L27" i="1"/>
  <c r="M27" i="1" s="1"/>
  <c r="I2" i="1"/>
  <c r="L2" i="1" s="1"/>
  <c r="M2" i="1" s="1"/>
  <c r="L120" i="1"/>
  <c r="M120" i="1" s="1"/>
  <c r="L125" i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<sst xmlns="http://schemas.openxmlformats.org/spreadsheetml/2006/main" count="14185" uniqueCount="660">
  <si>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</si>
  <si>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</si>
  <si>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</si>
  <si>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</si>
  <si>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</si>
  <si>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</si>
  <si>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</si>
  <si>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</si>
  <si>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</si>
  <si>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</si>
  <si>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</si>
  <si>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</si>
  <si>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</si>
  <si>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</si>
  <si>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</si>
  <si>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</si>
  <si>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</si>
  <si>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</si>
  <si>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</si>
  <si>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</si>
  <si>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</si>
  <si>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</si>
  <si>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</si>
  <si>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</si>
  <si>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</si>
  <si>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</si>
  <si>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</si>
  <si>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</si>
  <si>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</si>
  <si>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</si>
  <si>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</si>
  <si>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</si>
  <si>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</si>
  <si>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</si>
  <si>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</si>
  <si>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</si>
  <si>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</si>
  <si>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</si>
  <si>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</si>
  <si>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</si>
  <si>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</si>
  <si>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</si>
  <si>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</si>
  <si>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</si>
  <si>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</si>
  <si>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</si>
  <si>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</si>
  <si>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</si>
  <si>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</si>
  <si>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</si>
  <si>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</si>
  <si>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</si>
  <si>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</si>
  <si>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</si>
  <si>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</si>
  <si>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</si>
  <si>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</si>
  <si>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</si>
  <si>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</si>
  <si>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</si>
  <si>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</si>
  <si>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</si>
  <si>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</si>
  <si>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</si>
  <si>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</si>
  <si>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</si>
  <si>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</si>
  <si>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</si>
  <si>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</si>
  <si>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</si>
  <si>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</si>
  <si>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</si>
  <si>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</si>
  <si>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</si>
  <si>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</si>
  <si>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</si>
  <si>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</si>
  <si>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</si>
  <si>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</si>
  <si>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</si>
  <si>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</si>
  <si>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</si>
  <si>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</si>
  <si>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</si>
  <si>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</si>
  <si>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</si>
  <si>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</si>
  <si>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</si>
  <si>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</si>
  <si>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</si>
  <si>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</si>
  <si>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</si>
  <si>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</si>
  <si>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</si>
  <si>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</si>
  <si>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</si>
  <si>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</si>
  <si>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</si>
  <si>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</si>
  <si>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</si>
  <si>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</si>
  <si>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</si>
  <si>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</si>
  <si>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</si>
  <si>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</si>
  <si>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</si>
  <si>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</si>
  <si>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</si>
  <si>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</si>
  <si>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</si>
  <si>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</si>
  <si>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</si>
  <si>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</si>
  <si>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</si>
  <si>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</si>
  <si>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</si>
  <si>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</si>
  <si>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</si>
  <si>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</si>
  <si>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</si>
  <si>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</si>
  <si>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</si>
  <si>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</si>
  <si>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</si>
  <si>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</si>
  <si>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</si>
  <si>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</si>
  <si>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</si>
  <si>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</si>
  <si>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</si>
  <si>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</si>
  <si>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</si>
  <si>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</si>
  <si>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</si>
  <si>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</si>
  <si>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</si>
  <si>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</si>
  <si>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</si>
  <si>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</si>
  <si>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</si>
  <si>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</si>
  <si>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</si>
  <si>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</si>
  <si>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</si>
  <si>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</si>
  <si>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</si>
  <si>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</si>
  <si>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</si>
  <si>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</si>
  <si>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</si>
  <si>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</si>
  <si>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</si>
  <si>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</si>
  <si>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</si>
  <si>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</si>
  <si>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</si>
  <si>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</si>
  <si>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</si>
  <si>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</si>
  <si>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</si>
  <si>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</si>
  <si>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</si>
  <si>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</si>
  <si>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</si>
  <si>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</si>
  <si>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</si>
  <si>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</si>
  <si>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</si>
  <si>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</si>
  <si>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</si>
  <si>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</si>
  <si>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</si>
  <si>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</si>
  <si>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</si>
  <si>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</si>
  <si>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</si>
  <si>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</si>
  <si>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</si>
  <si>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</si>
  <si>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</si>
  <si>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</si>
  <si>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</si>
  <si>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</si>
  <si>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</si>
  <si>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</si>
  <si>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</si>
  <si>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</si>
  <si>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</si>
  <si>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</si>
  <si>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</si>
  <si>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</si>
  <si>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</si>
  <si>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</si>
  <si>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</si>
  <si>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</si>
  <si>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</si>
  <si>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</si>
  <si>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</si>
  <si>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</si>
  <si>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</si>
  <si>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</si>
  <si>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</si>
  <si>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</si>
  <si>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</si>
  <si>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</si>
  <si>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</si>
  <si>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</si>
  <si>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</si>
  <si>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</si>
  <si>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</si>
  <si>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</si>
  <si>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</si>
  <si>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</si>
  <si>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</si>
  <si>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</si>
  <si>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</si>
  <si>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</si>
  <si>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</si>
  <si>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</si>
  <si>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</si>
  <si>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</si>
  <si>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</si>
  <si>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</si>
  <si>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</si>
  <si>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</si>
  <si>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</si>
  <si>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</si>
  <si>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</si>
  <si>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</si>
  <si>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</si>
  <si>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</si>
  <si>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</si>
  <si>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</si>
  <si>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</si>
  <si>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</si>
  <si>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</si>
  <si>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</si>
  <si>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</si>
  <si>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</si>
  <si>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</si>
  <si>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</si>
  <si>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</si>
  <si>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</si>
  <si>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</si>
  <si>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</si>
  <si>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</si>
  <si>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</si>
  <si>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</si>
  <si>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</si>
  <si>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</si>
  <si>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</si>
  <si>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</si>
  <si>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</si>
  <si>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</si>
  <si>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</si>
  <si>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</si>
  <si>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</si>
  <si>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</si>
  <si>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</si>
  <si>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</si>
  <si>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</si>
  <si>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</si>
  <si>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</si>
  <si>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</si>
  <si>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</si>
  <si>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</si>
  <si>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</si>
  <si>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</si>
  <si>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</si>
  <si>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</si>
  <si>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</si>
  <si>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</si>
  <si>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</si>
  <si>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</si>
  <si>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</si>
  <si>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</si>
  <si>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</si>
  <si>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</si>
  <si>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</si>
  <si>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</si>
  <si>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</si>
  <si>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</si>
  <si>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</si>
  <si>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</si>
  <si>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</si>
  <si>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</si>
  <si>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</si>
  <si>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</si>
  <si>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</si>
  <si>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</si>
  <si>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</si>
  <si>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</si>
  <si>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</si>
  <si>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</si>
  <si>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</si>
  <si>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</si>
  <si>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</si>
  <si>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</si>
  <si>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</si>
  <si>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</si>
  <si>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</si>
  <si>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</si>
  <si>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</si>
  <si>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</si>
  <si>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</si>
  <si>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</si>
  <si>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</si>
  <si>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</si>
  <si>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</si>
  <si>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</si>
  <si>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</si>
  <si>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</si>
  <si>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</si>
  <si>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</si>
  <si>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</si>
  <si>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</si>
  <si>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</si>
  <si>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</si>
  <si>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</si>
  <si>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</si>
  <si>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</si>
  <si>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</si>
  <si>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</si>
  <si>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</si>
  <si>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</si>
  <si>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</si>
  <si>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</si>
  <si>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</si>
  <si>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</si>
  <si>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</si>
  <si>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</si>
  <si>
    <t>UBERLANDIA 2</t>
  </si>
  <si>
    <t>Macaé</t>
  </si>
  <si>
    <t>MACAE</t>
  </si>
  <si>
    <t>Pouso Alegre</t>
  </si>
  <si>
    <t>DOMINO'S POUSO ALEGRE</t>
  </si>
  <si>
    <t>SE</t>
  </si>
  <si>
    <t>Aracaju</t>
  </si>
  <si>
    <t>DOMINOS SE ARACAJU ORLA DE ATALAIA</t>
  </si>
  <si>
    <t>Araxa</t>
  </si>
  <si>
    <t>DOMINOS MG ARAXA CENTER</t>
  </si>
  <si>
    <t>Armação Dos Búzios</t>
  </si>
  <si>
    <t>203 SUL</t>
  </si>
  <si>
    <t>Cachoeira De Itapemirim</t>
  </si>
  <si>
    <t>Coronel João Pessoa</t>
  </si>
  <si>
    <t>Duque De Caxias</t>
  </si>
  <si>
    <t>Fortaleza</t>
  </si>
  <si>
    <t>ALDEOTA</t>
  </si>
  <si>
    <t>DOMINOS CE FORTALEZA CIDADE DOS FUNCIONARIOS</t>
  </si>
  <si>
    <t>Foz Do Iguaçu</t>
  </si>
  <si>
    <t>Jaboatão Dos Guararapes</t>
  </si>
  <si>
    <t>Juiz De Fora</t>
  </si>
  <si>
    <t>Lauro De Freitas</t>
  </si>
  <si>
    <t>Limeira</t>
  </si>
  <si>
    <t>LIMEIRA</t>
  </si>
  <si>
    <t>FONSECA</t>
  </si>
  <si>
    <t>Osasco</t>
  </si>
  <si>
    <t>CAXANGA</t>
  </si>
  <si>
    <t>Rio De Janeiro</t>
  </si>
  <si>
    <t>03777902000127</t>
  </si>
  <si>
    <t>DOMINOS RJ RIO DE JANEIRO BANGU</t>
  </si>
  <si>
    <t>Santo André</t>
  </si>
  <si>
    <t>São Bernardo Do Campo</t>
  </si>
  <si>
    <t>São Caetano Do Sul</t>
  </si>
  <si>
    <t>São José Dos Campos</t>
  </si>
  <si>
    <t>SAO JOSE DOS CAMPOS 2</t>
  </si>
  <si>
    <t>Valinhos</t>
  </si>
  <si>
    <t>VALINHOS</t>
  </si>
  <si>
    <t>Vitória Da Conquista</t>
  </si>
  <si>
    <t>Tangará Da Serra</t>
  </si>
  <si>
    <t>10689976000177</t>
  </si>
  <si>
    <t>10861940000129</t>
  </si>
  <si>
    <t>11789234000348</t>
  </si>
  <si>
    <t>11825233000140</t>
  </si>
  <si>
    <t>13012013000122</t>
  </si>
  <si>
    <t>13466829000126</t>
  </si>
  <si>
    <t>13647401000180</t>
  </si>
  <si>
    <t>14080231000167</t>
  </si>
  <si>
    <t>14382670000124</t>
  </si>
  <si>
    <t>15442958000100</t>
  </si>
  <si>
    <t>15442958000290</t>
  </si>
  <si>
    <t>15811307000140</t>
  </si>
  <si>
    <t>15811307000220</t>
  </si>
  <si>
    <t>15811307000654</t>
  </si>
  <si>
    <t>16370406000104</t>
  </si>
  <si>
    <t>17014738000100</t>
  </si>
  <si>
    <t>18946221000112</t>
  </si>
  <si>
    <t>19041058000101</t>
  </si>
  <si>
    <t>19206298000208</t>
  </si>
  <si>
    <t>19210526000124</t>
  </si>
  <si>
    <t>19691128000177</t>
  </si>
  <si>
    <t>20026178000119</t>
  </si>
  <si>
    <t>20032392000188</t>
  </si>
  <si>
    <t>20175900000187</t>
  </si>
  <si>
    <t>20249984000156</t>
  </si>
  <si>
    <t>20743683000184</t>
  </si>
  <si>
    <t>20743683000346</t>
  </si>
  <si>
    <t>20743683000427</t>
  </si>
  <si>
    <t>20743683000508</t>
  </si>
  <si>
    <t>20743683000699</t>
  </si>
  <si>
    <t>20792407000106</t>
  </si>
  <si>
    <t>21309900000195</t>
  </si>
  <si>
    <t>21346345000171</t>
  </si>
  <si>
    <t>21802064000186</t>
  </si>
  <si>
    <t>22045671000101</t>
  </si>
  <si>
    <t>23049894000100</t>
  </si>
  <si>
    <t>23104950000161</t>
  </si>
  <si>
    <t>23104950000242</t>
  </si>
  <si>
    <t>23104950000595</t>
  </si>
  <si>
    <t>23104950000757</t>
  </si>
  <si>
    <t>23266167000102</t>
  </si>
  <si>
    <t>23997144000160</t>
  </si>
  <si>
    <t>24103424000140</t>
  </si>
  <si>
    <t>24454462000147</t>
  </si>
  <si>
    <t>24454462000228</t>
  </si>
  <si>
    <t>24660065000121</t>
  </si>
  <si>
    <t>24840166000346</t>
  </si>
  <si>
    <t>24840166000427</t>
  </si>
  <si>
    <t>24840166000508</t>
  </si>
  <si>
    <t>24840166000699</t>
  </si>
  <si>
    <t>24840166000770</t>
  </si>
  <si>
    <t>24840166000850</t>
  </si>
  <si>
    <t>24840166001075</t>
  </si>
  <si>
    <t>24840166001407</t>
  </si>
  <si>
    <t>24840166001903</t>
  </si>
  <si>
    <t>24840166002128</t>
  </si>
  <si>
    <t>24840166003523</t>
  </si>
  <si>
    <t>24840166003604</t>
  </si>
  <si>
    <t>24840166004171</t>
  </si>
  <si>
    <t>24840166005739</t>
  </si>
  <si>
    <t>24840166006034</t>
  </si>
  <si>
    <t>24840166006115</t>
  </si>
  <si>
    <t>24840166006387</t>
  </si>
  <si>
    <t>24840166006468</t>
  </si>
  <si>
    <t>24840166006549</t>
  </si>
  <si>
    <t>24840166006620</t>
  </si>
  <si>
    <t>24840166006700</t>
  </si>
  <si>
    <t>24840166006891</t>
  </si>
  <si>
    <t>24840166007782</t>
  </si>
  <si>
    <t>24840166008320</t>
  </si>
  <si>
    <t>24840166009130</t>
  </si>
  <si>
    <t>24840166009645</t>
  </si>
  <si>
    <t>24840166009807</t>
  </si>
  <si>
    <t>24840166010147</t>
  </si>
  <si>
    <t>24840166010228</t>
  </si>
  <si>
    <t>24840166010309</t>
  </si>
  <si>
    <t>24840166010490</t>
  </si>
  <si>
    <t>24840166010570</t>
  </si>
  <si>
    <t>24840166010813</t>
  </si>
  <si>
    <t>24840166011119</t>
  </si>
  <si>
    <t>24840166011208</t>
  </si>
  <si>
    <t>24840166011704</t>
  </si>
  <si>
    <t>24840166012000</t>
  </si>
  <si>
    <t>24840166012514</t>
  </si>
  <si>
    <t>24840166012867</t>
  </si>
  <si>
    <t>24840214000215</t>
  </si>
  <si>
    <t>24897078000119</t>
  </si>
  <si>
    <t>24901883000179</t>
  </si>
  <si>
    <t>24923389000105</t>
  </si>
  <si>
    <t>25050439000150</t>
  </si>
  <si>
    <t>25451389000112</t>
  </si>
  <si>
    <t>26128584000179</t>
  </si>
  <si>
    <t>26174368000160</t>
  </si>
  <si>
    <t>26512559000194</t>
  </si>
  <si>
    <t>27190532000195</t>
  </si>
  <si>
    <t>27492596000140</t>
  </si>
  <si>
    <t>27586982000100</t>
  </si>
  <si>
    <t>27655101000157</t>
  </si>
  <si>
    <t>27655101000238</t>
  </si>
  <si>
    <t>27655101000319</t>
  </si>
  <si>
    <t>27655101000408</t>
  </si>
  <si>
    <t>27655101000580</t>
  </si>
  <si>
    <t>27655101000661</t>
  </si>
  <si>
    <t>27655101000742</t>
  </si>
  <si>
    <t>27655101000823</t>
  </si>
  <si>
    <t>27655101000904</t>
  </si>
  <si>
    <t>27655101001048</t>
  </si>
  <si>
    <t>28249012000173</t>
  </si>
  <si>
    <t>28376673000160</t>
  </si>
  <si>
    <t>28376673000321</t>
  </si>
  <si>
    <t>28389152000147</t>
  </si>
  <si>
    <t>28389152000228</t>
  </si>
  <si>
    <t>28803128000102</t>
  </si>
  <si>
    <t>28835850000129</t>
  </si>
  <si>
    <t>28836652000180</t>
  </si>
  <si>
    <t>29009857000154</t>
  </si>
  <si>
    <t>29315001000107</t>
  </si>
  <si>
    <t>29574735000100</t>
  </si>
  <si>
    <t>29683855000146</t>
  </si>
  <si>
    <t>29885098000193</t>
  </si>
  <si>
    <t>30735052000258</t>
  </si>
  <si>
    <t>30735052000339</t>
  </si>
  <si>
    <t>31010714000104</t>
  </si>
  <si>
    <t>31010714000708</t>
  </si>
  <si>
    <t>31025290000151</t>
  </si>
  <si>
    <t>31613281000181</t>
  </si>
  <si>
    <t>31791859000190</t>
  </si>
  <si>
    <t>32347471000167</t>
  </si>
  <si>
    <t>34924567000176</t>
  </si>
  <si>
    <t>35933752000190</t>
  </si>
  <si>
    <t>35933752000270</t>
  </si>
  <si>
    <t>35933752000351</t>
  </si>
  <si>
    <t>35933752000513</t>
  </si>
  <si>
    <t>35933752000602</t>
  </si>
  <si>
    <t>36860191000109</t>
  </si>
  <si>
    <t>37557897000169</t>
  </si>
  <si>
    <t>38260448000117</t>
  </si>
  <si>
    <t>38428651000150</t>
  </si>
  <si>
    <t>39735734000154</t>
  </si>
  <si>
    <t>39935443000100</t>
  </si>
  <si>
    <t>40448339000170</t>
  </si>
  <si>
    <t>40448339000250</t>
  </si>
  <si>
    <t>41911650000176</t>
  </si>
  <si>
    <t>42352151000159</t>
  </si>
  <si>
    <t>42741697000100</t>
  </si>
  <si>
    <t>42748938000134</t>
  </si>
  <si>
    <t>42748938000215</t>
  </si>
  <si>
    <t>42766874000102</t>
  </si>
  <si>
    <t>43011967000181</t>
  </si>
  <si>
    <t>43315062000103</t>
  </si>
  <si>
    <t>43503208000136</t>
  </si>
  <si>
    <t>43624150000189</t>
  </si>
  <si>
    <t>43675465000155</t>
  </si>
  <si>
    <t>43705530000148</t>
  </si>
  <si>
    <t>43883930000143</t>
  </si>
  <si>
    <t>44051871000100</t>
  </si>
  <si>
    <t>44620937000135</t>
  </si>
  <si>
    <t>44620937000216</t>
  </si>
  <si>
    <t>44620937000305</t>
  </si>
  <si>
    <t>44980313000129</t>
  </si>
  <si>
    <t>44980313000200</t>
  </si>
  <si>
    <t>44994080000113</t>
  </si>
  <si>
    <t>45338732000124</t>
  </si>
  <si>
    <t>45614459000113</t>
  </si>
  <si>
    <t>45812461000105</t>
  </si>
  <si>
    <t>45858277000198</t>
  </si>
  <si>
    <t>45991327000100</t>
  </si>
  <si>
    <t>46023276000196</t>
  </si>
  <si>
    <t>46091372000171</t>
  </si>
  <si>
    <t>46155956000163</t>
  </si>
  <si>
    <t>46316660000187</t>
  </si>
  <si>
    <t>46596902000133</t>
  </si>
  <si>
    <t>46670594000149</t>
  </si>
  <si>
    <t>47198534000138</t>
  </si>
  <si>
    <t>47608055000142</t>
  </si>
  <si>
    <t>47677381000101</t>
  </si>
  <si>
    <t>47787076000172</t>
  </si>
  <si>
    <t>48140187000155</t>
  </si>
  <si>
    <t>48313972000162</t>
  </si>
  <si>
    <t>48341326000109</t>
  </si>
  <si>
    <t>48557307000114</t>
  </si>
  <si>
    <t>49292826000160</t>
  </si>
  <si>
    <t>49602499000104</t>
  </si>
  <si>
    <t>49602499000287</t>
  </si>
  <si>
    <t>50388737000100</t>
  </si>
  <si>
    <t>50668787000132</t>
  </si>
  <si>
    <t>50724770000155</t>
  </si>
  <si>
    <t>50899851000196</t>
  </si>
  <si>
    <t>51318025000179</t>
  </si>
  <si>
    <t>51569934000180</t>
  </si>
  <si>
    <t>52247102000290</t>
  </si>
  <si>
    <t>52493239000144</t>
  </si>
  <si>
    <t>52493270000185</t>
  </si>
  <si>
    <t>52739207000186</t>
  </si>
  <si>
    <t>52739920000120</t>
  </si>
  <si>
    <t>52755023000100</t>
  </si>
  <si>
    <t>52912647000193</t>
  </si>
  <si>
    <t>52912647000274</t>
  </si>
  <si>
    <t>52912647000355</t>
  </si>
  <si>
    <t>52914276000189</t>
  </si>
  <si>
    <t>53715406000117</t>
  </si>
  <si>
    <t>55498474000105</t>
  </si>
  <si>
    <t>55682285000180</t>
  </si>
  <si>
    <t>55802741000188</t>
  </si>
  <si>
    <t>55854505000105</t>
  </si>
  <si>
    <t>55856274000179</t>
  </si>
  <si>
    <t>57413737000234</t>
  </si>
  <si>
    <t>52912647000436</t>
  </si>
  <si>
    <t>52912647000517</t>
  </si>
  <si>
    <t>52912647000860</t>
  </si>
  <si>
    <t>52912647000940</t>
  </si>
  <si>
    <t>54730480000175</t>
  </si>
  <si>
    <t>55056005000128</t>
  </si>
  <si>
    <t>55056005000209</t>
  </si>
  <si>
    <t>55056005000390</t>
  </si>
  <si>
    <t>55056005000470</t>
  </si>
  <si>
    <t>55056005000551</t>
  </si>
  <si>
    <t>55056005000632</t>
  </si>
  <si>
    <t>55056005000713</t>
  </si>
  <si>
    <t>55056005000985</t>
  </si>
  <si>
    <t>55056005001019</t>
  </si>
  <si>
    <t>55056005001108</t>
  </si>
  <si>
    <t>55056005001280</t>
  </si>
  <si>
    <t>55056005001361</t>
  </si>
  <si>
    <t>55056005001442</t>
  </si>
  <si>
    <t>57162882000109</t>
  </si>
  <si>
    <t>57413737000153</t>
  </si>
  <si>
    <t>57413737000315</t>
  </si>
  <si>
    <t>57438869000130</t>
  </si>
  <si>
    <t>57439562000153</t>
  </si>
  <si>
    <t>57440222000142</t>
  </si>
  <si>
    <t>57674702000178</t>
  </si>
  <si>
    <t>58023296000146</t>
  </si>
  <si>
    <t>58671851000146</t>
  </si>
  <si>
    <t>59449391000179</t>
  </si>
  <si>
    <t>59759219000111</t>
  </si>
  <si>
    <t>60067492000164</t>
  </si>
  <si>
    <t>60449012000120</t>
  </si>
  <si>
    <t>60482492000120</t>
  </si>
  <si>
    <t>60667414000109</t>
  </si>
  <si>
    <t>60794397000162</t>
  </si>
  <si>
    <t>24840166005658</t>
  </si>
  <si>
    <t>55056005000802</t>
  </si>
  <si>
    <t>61944627000195</t>
  </si>
  <si>
    <t>56195938000169</t>
  </si>
  <si>
    <t>60219392000106</t>
  </si>
  <si>
    <t>59701973000109</t>
  </si>
  <si>
    <t>61992406000192</t>
  </si>
  <si>
    <t>62295143000125</t>
  </si>
  <si>
    <t>62295143000206</t>
  </si>
  <si>
    <t>60914670000145</t>
  </si>
  <si>
    <t>61636402000171</t>
  </si>
  <si>
    <t>62000582000163</t>
  </si>
  <si>
    <t>62288995000195</t>
  </si>
  <si>
    <t>DOMINOS VICENTE PIRES</t>
  </si>
  <si>
    <t>65276485000196</t>
  </si>
  <si>
    <t>PARQUE DO COCO</t>
  </si>
  <si>
    <t>DOMINOS TANGARA DA SERRA</t>
  </si>
  <si>
    <t>DOMINOS SHOPPING RIOMAR FORTALEZA</t>
  </si>
  <si>
    <t>JUIZ DE FORA 2</t>
  </si>
  <si>
    <t>RIO TAPAJOS</t>
  </si>
  <si>
    <t>AEROPORTO RECIFE</t>
  </si>
  <si>
    <t>DOMINOS QUIOSQUE NOVO RIO</t>
  </si>
  <si>
    <t>SC</t>
  </si>
  <si>
    <t>Blumenau</t>
  </si>
  <si>
    <t>BLUMENAU</t>
  </si>
  <si>
    <t>Florianópolis</t>
  </si>
  <si>
    <t>FLORIANOPOLIS CENTRO</t>
  </si>
  <si>
    <t>JOINVILLE</t>
  </si>
  <si>
    <t>DOMINOS AEROPORTO GUARULHOS</t>
  </si>
  <si>
    <t>SHOPPING DOM PEDRO</t>
  </si>
  <si>
    <t>64707770000151</t>
  </si>
  <si>
    <t>64707770000232</t>
  </si>
  <si>
    <t>55056005001957</t>
  </si>
  <si>
    <t>55056005002090</t>
  </si>
  <si>
    <t>55056005001604</t>
  </si>
  <si>
    <t>55056005002171</t>
  </si>
  <si>
    <t>65286910000128</t>
  </si>
  <si>
    <t>59846748000152</t>
  </si>
  <si>
    <t>49783272000102</t>
  </si>
  <si>
    <t>52247102000100</t>
  </si>
  <si>
    <t>58023412000127</t>
  </si>
  <si>
    <t>20182750000139</t>
  </si>
  <si>
    <t>33154840000320</t>
  </si>
  <si>
    <t>51806189000145</t>
  </si>
  <si>
    <t>27429032000163</t>
  </si>
  <si>
    <t>25112338000166</t>
  </si>
  <si>
    <t>52912647000606</t>
  </si>
  <si>
    <t>12342437000192</t>
  </si>
  <si>
    <t>55056005001795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</si>
</sst>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0" xfId="0" applyNumberFormat="1" applyFont="1"/>
    <xf numFmtId="2" fontId="0" fillId="0" borderId="2" xfId="4" applyNumberFormat="1" applyFont="1" applyFill="1" applyBorder="1" applyAlignment="1">
      <alignment horizontal="center"/>
    </xf>
    <xf numFmtId="2" fontId="2" fillId="0" borderId="0" xfId="2" applyNumberFormat="1" applyAlignment="1">
      <alignment horizontal="center"/>
    </xf>
    <xf numFmtId="2" fontId="0" fillId="0" borderId="0" xfId="0" applyNumberFormat="1"/>
    <xf numFmtId="2" fontId="5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9" fontId="5" fillId="0" borderId="2" xfId="1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O3544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11.77734375" style="1" bestFit="1" customWidth="1"/>
    <col min="2" max="2" width="8.77734375" style="5"/>
    <col min="3" max="3" width="18.5546875" style="5" bestFit="1" customWidth="1"/>
    <col min="4" max="4" width="16.44140625" style="7" bestFit="1" customWidth="1"/>
    <col min="5" max="5" width="16" style="5" bestFit="1" customWidth="1"/>
    <col min="6" max="6" width="46.21875" style="5" bestFit="1" customWidth="1"/>
    <col min="7" max="7" width="23.21875" customWidth="1"/>
    <col min="8" max="8" width="28.33203125" customWidth="1"/>
    <col min="9" max="9" width="16.109375" customWidth="1"/>
    <col min="10" max="10" width="16" style="8" bestFit="1" customWidth="1"/>
    <col min="11" max="11" width="27.33203125" style="13" bestFit="1" customWidth="1"/>
    <col min="12" max="12" width="44" bestFit="1" customWidth="1"/>
    <col min="13" max="13" width="33.77734375" style="13" bestFit="1" customWidth="1"/>
  </cols>
  <sheetData>
    <row r="1" spans="1:15" x14ac:dyDescent="0.3">
      <c r="A1" s="4" t="s">
        <v>298</v>
      </c>
      <c r="B1" s="4" t="s">
        <v>0</v>
      </c>
      <c r="C1" s="4" t="s">
        <v>299</v>
      </c>
      <c r="D1" s="6" t="s">
        <v>1</v>
      </c>
      <c r="E1" s="5" t="s">
        <v>2</v>
      </c>
      <c r="F1" s="4" t="s">
        <v>300</v>
      </c>
      <c r="G1" s="4" t="s">
        <v>301</v>
      </c>
      <c r="H1" s="4" t="s">
        <v>302</v>
      </c>
      <c r="I1" s="3" t="s">
        <v>303</v>
      </c>
      <c r="J1" s="16" t="s">
        <v>304</v>
      </c>
      <c r="K1" s="11" t="s">
        <v>305</v>
      </c>
      <c r="L1" s="3" t="s">
        <v>306</v>
      </c>
      <c r="M1" s="14" t="s">
        <v>307</v>
      </c>
    </row>
    <row r="2" spans="1:15" x14ac:dyDescent="0.3">
      <c r="A2" s="10">
        <v>45658</v>
      </c>
      <c r="B2" s="9" t="s">
        <v>71</v>
      </c>
      <c r="C2" t="s">
        <v>175</v>
      </c>
      <c r="D2" s="9">
        <v>19540</v>
      </c>
      <c r="E2" s="5" t="s">
        <v>370</v>
      </c>
      <c r="F2" t="s">
        <v>176</v>
      </c>
      <c r="G2">
        <v>4057</v>
      </c>
      <c r="H2">
        <v>1591</v>
      </c>
      <c r="I2" s="8">
        <f>H2/G2</f>
        <v>0.39216169583436039</v>
      </c>
      <c r="J2" s="17">
        <v>0.7</v>
      </c>
      <c r="K2" s="12">
        <v>13.75</v>
      </c>
      <c r="L2" s="2">
        <f t="shared" ref="L2:L33" si="0">H2*J2/I2-H2</f>
        <v>1248.8999999999992</v>
      </c>
      <c r="M2" s="15">
        <f>L2*K2</f>
        <v>17172.374999999989</v>
      </c>
      <c r="N2" t="str">
        <f t="shared" ref="N2:N65" si="1">B2</f>
        <v>RS</v>
      </c>
      <c r="O2" t="str">
        <f t="shared" ref="O2:O65" si="2">C2</f>
        <v>Porto Alegre</v>
      </c>
    </row>
    <row r="3" spans="1:15" x14ac:dyDescent="0.3">
      <c r="A3" s="10">
        <v>45658</v>
      </c>
      <c r="B3" s="9" t="s">
        <v>15</v>
      </c>
      <c r="C3" t="s">
        <v>358</v>
      </c>
      <c r="D3" s="9">
        <v>19521</v>
      </c>
      <c r="E3" s="5" t="s">
        <v>371</v>
      </c>
      <c r="F3" t="s">
        <v>199</v>
      </c>
      <c r="G3">
        <v>3099</v>
      </c>
      <c r="H3">
        <v>1564</v>
      </c>
      <c r="I3" s="8">
        <f t="shared" ref="I3:I66" si="3">H3/G3</f>
        <v>0.50467892868667308</v>
      </c>
      <c r="J3" s="17">
        <v>0.7</v>
      </c>
      <c r="K3" s="12">
        <v>13.75</v>
      </c>
      <c r="L3" s="2">
        <f t="shared" si="0"/>
        <v>605.30000000000018</v>
      </c>
      <c r="M3" s="15">
        <f t="shared" ref="M3:M66" si="4">L3*K3</f>
        <v>8322.8750000000018</v>
      </c>
      <c r="N3" t="str">
        <f t="shared" si="1"/>
        <v>RJ</v>
      </c>
      <c r="O3" t="str">
        <f t="shared" si="2"/>
        <v>Rio De Janeiro</v>
      </c>
    </row>
    <row r="4" spans="1:15" x14ac:dyDescent="0.3">
      <c r="A4" s="10">
        <v>45658</v>
      </c>
      <c r="B4" s="9" t="s">
        <v>6</v>
      </c>
      <c r="C4" t="s">
        <v>236</v>
      </c>
      <c r="D4" s="9">
        <v>19606</v>
      </c>
      <c r="E4" s="5" t="s">
        <v>372</v>
      </c>
      <c r="F4" t="s">
        <v>237</v>
      </c>
      <c r="G4">
        <v>2132</v>
      </c>
      <c r="H4">
        <v>1036</v>
      </c>
      <c r="I4" s="8">
        <f t="shared" si="3"/>
        <v>0.48592870544090055</v>
      </c>
      <c r="J4" s="17">
        <v>0.7</v>
      </c>
      <c r="K4" s="12">
        <v>13.75</v>
      </c>
      <c r="L4" s="2">
        <f t="shared" si="0"/>
        <v>456.39999999999986</v>
      </c>
      <c r="M4" s="15">
        <f t="shared" si="4"/>
        <v>6275.4999999999982</v>
      </c>
      <c r="N4" t="str">
        <f t="shared" si="1"/>
        <v>PA</v>
      </c>
      <c r="O4" t="str">
        <f t="shared" si="2"/>
        <v>Santarém</v>
      </c>
    </row>
    <row r="5" spans="1:15" x14ac:dyDescent="0.3">
      <c r="A5" s="10">
        <v>45658</v>
      </c>
      <c r="B5" s="9" t="s">
        <v>61</v>
      </c>
      <c r="C5" t="s">
        <v>344</v>
      </c>
      <c r="D5" s="9">
        <v>19706</v>
      </c>
      <c r="E5" s="5" t="s">
        <v>373</v>
      </c>
      <c r="F5" t="s">
        <v>77</v>
      </c>
      <c r="G5">
        <v>3083</v>
      </c>
      <c r="H5">
        <v>1262</v>
      </c>
      <c r="I5" s="8">
        <f t="shared" si="3"/>
        <v>0.40934155043788517</v>
      </c>
      <c r="J5" s="17">
        <v>0.7</v>
      </c>
      <c r="K5" s="12">
        <v>13.75</v>
      </c>
      <c r="L5" s="2">
        <f t="shared" si="0"/>
        <v>896.09999999999991</v>
      </c>
      <c r="M5" s="15">
        <f t="shared" si="4"/>
        <v>12321.374999999998</v>
      </c>
      <c r="N5" t="str">
        <f t="shared" si="1"/>
        <v>PB</v>
      </c>
      <c r="O5" t="str">
        <f t="shared" si="2"/>
        <v>Coronel João Pessoa</v>
      </c>
    </row>
    <row r="6" spans="1:15" x14ac:dyDescent="0.3">
      <c r="A6" s="10">
        <v>45658</v>
      </c>
      <c r="B6" s="9" t="s">
        <v>14</v>
      </c>
      <c r="C6" t="s">
        <v>285</v>
      </c>
      <c r="D6" s="9">
        <v>19563</v>
      </c>
      <c r="E6" s="5" t="s">
        <v>374</v>
      </c>
      <c r="F6" t="s">
        <v>286</v>
      </c>
      <c r="G6">
        <v>2819</v>
      </c>
      <c r="H6">
        <v>992</v>
      </c>
      <c r="I6" s="8">
        <f t="shared" si="3"/>
        <v>0.35189783611209646</v>
      </c>
      <c r="J6" s="17">
        <v>0.7</v>
      </c>
      <c r="K6" s="12">
        <v>13.75</v>
      </c>
      <c r="L6" s="2">
        <f t="shared" si="0"/>
        <v>981.30000000000018</v>
      </c>
      <c r="M6" s="15">
        <f t="shared" si="4"/>
        <v>13492.875000000002</v>
      </c>
      <c r="N6" t="str">
        <f t="shared" si="1"/>
        <v>MG</v>
      </c>
      <c r="O6" t="str">
        <f t="shared" si="2"/>
        <v>Uberlândia</v>
      </c>
    </row>
    <row r="7" spans="1:15" x14ac:dyDescent="0.3">
      <c r="A7" s="10">
        <v>45658</v>
      </c>
      <c r="B7" s="9" t="s">
        <v>6</v>
      </c>
      <c r="C7" t="s">
        <v>26</v>
      </c>
      <c r="D7" s="9">
        <v>19597</v>
      </c>
      <c r="E7" s="5" t="s">
        <v>375</v>
      </c>
      <c r="F7" t="s">
        <v>27</v>
      </c>
      <c r="G7">
        <v>3027</v>
      </c>
      <c r="H7">
        <v>1562</v>
      </c>
      <c r="I7" s="8">
        <f t="shared" si="3"/>
        <v>0.51602246448629008</v>
      </c>
      <c r="J7" s="17">
        <v>0.7</v>
      </c>
      <c r="K7" s="12">
        <v>13.75</v>
      </c>
      <c r="L7" s="2">
        <f t="shared" si="0"/>
        <v>556.89999999999964</v>
      </c>
      <c r="M7" s="15">
        <f t="shared" si="4"/>
        <v>7657.3749999999945</v>
      </c>
      <c r="N7" t="str">
        <f t="shared" si="1"/>
        <v>PA</v>
      </c>
      <c r="O7" t="str">
        <f t="shared" si="2"/>
        <v>Belém</v>
      </c>
    </row>
    <row r="8" spans="1:15" x14ac:dyDescent="0.3">
      <c r="A8" s="10">
        <v>45658</v>
      </c>
      <c r="B8" s="9" t="s">
        <v>15</v>
      </c>
      <c r="C8" t="s">
        <v>296</v>
      </c>
      <c r="D8" s="9">
        <v>19524</v>
      </c>
      <c r="E8" s="5" t="s">
        <v>376</v>
      </c>
      <c r="F8" t="s">
        <v>297</v>
      </c>
      <c r="G8">
        <v>2426</v>
      </c>
      <c r="H8">
        <v>1064</v>
      </c>
      <c r="I8" s="8">
        <f t="shared" si="3"/>
        <v>0.43858202802967849</v>
      </c>
      <c r="J8" s="17">
        <v>0.7</v>
      </c>
      <c r="K8" s="12">
        <v>13.75</v>
      </c>
      <c r="L8" s="2">
        <f t="shared" si="0"/>
        <v>634.19999999999982</v>
      </c>
      <c r="M8" s="15">
        <f t="shared" si="4"/>
        <v>8720.2499999999982</v>
      </c>
      <c r="N8" t="str">
        <f t="shared" si="1"/>
        <v>RJ</v>
      </c>
      <c r="O8" t="str">
        <f t="shared" si="2"/>
        <v>Volta Redonda</v>
      </c>
    </row>
    <row r="9" spans="1:15" x14ac:dyDescent="0.3">
      <c r="A9" s="10">
        <v>45658</v>
      </c>
      <c r="B9" s="9" t="s">
        <v>15</v>
      </c>
      <c r="C9" t="s">
        <v>151</v>
      </c>
      <c r="D9" s="9">
        <v>19599</v>
      </c>
      <c r="E9" s="5" t="s">
        <v>377</v>
      </c>
      <c r="F9" t="s">
        <v>152</v>
      </c>
      <c r="G9">
        <v>2429</v>
      </c>
      <c r="H9">
        <v>1134</v>
      </c>
      <c r="I9" s="8">
        <f t="shared" si="3"/>
        <v>0.4668587896253602</v>
      </c>
      <c r="J9" s="17">
        <v>0.7</v>
      </c>
      <c r="K9" s="12">
        <v>13.75</v>
      </c>
      <c r="L9" s="2">
        <f t="shared" si="0"/>
        <v>566.29999999999995</v>
      </c>
      <c r="M9" s="15">
        <f t="shared" si="4"/>
        <v>7786.6249999999991</v>
      </c>
      <c r="N9" t="str">
        <f t="shared" si="1"/>
        <v>RJ</v>
      </c>
      <c r="O9" t="str">
        <f t="shared" si="2"/>
        <v>Nova Iguaçu</v>
      </c>
    </row>
    <row r="10" spans="1:15" x14ac:dyDescent="0.3">
      <c r="A10" s="10">
        <v>45658</v>
      </c>
      <c r="B10" s="9" t="s">
        <v>160</v>
      </c>
      <c r="C10" t="s">
        <v>279</v>
      </c>
      <c r="D10" s="9">
        <v>19564</v>
      </c>
      <c r="E10" s="5" t="s">
        <v>378</v>
      </c>
      <c r="F10" t="s">
        <v>280</v>
      </c>
      <c r="G10">
        <v>1517</v>
      </c>
      <c r="H10">
        <v>730</v>
      </c>
      <c r="I10" s="8">
        <f t="shared" si="3"/>
        <v>0.48121292023731049</v>
      </c>
      <c r="J10" s="17">
        <v>0.7</v>
      </c>
      <c r="K10" s="12">
        <v>13.75</v>
      </c>
      <c r="L10" s="2">
        <f t="shared" si="0"/>
        <v>331.89999999999986</v>
      </c>
      <c r="M10" s="15">
        <f t="shared" si="4"/>
        <v>4563.6249999999982</v>
      </c>
      <c r="N10" t="str">
        <f t="shared" si="1"/>
        <v>PI</v>
      </c>
      <c r="O10" t="str">
        <f t="shared" si="2"/>
        <v>Teresina</v>
      </c>
    </row>
    <row r="11" spans="1:15" x14ac:dyDescent="0.3">
      <c r="A11" s="10">
        <v>45658</v>
      </c>
      <c r="B11" s="9" t="s">
        <v>15</v>
      </c>
      <c r="C11" t="s">
        <v>358</v>
      </c>
      <c r="D11" s="9">
        <v>19536</v>
      </c>
      <c r="E11" s="5" t="s">
        <v>379</v>
      </c>
      <c r="F11" t="s">
        <v>200</v>
      </c>
      <c r="G11">
        <v>2604</v>
      </c>
      <c r="H11">
        <v>849</v>
      </c>
      <c r="I11" s="8">
        <f t="shared" si="3"/>
        <v>0.32603686635944701</v>
      </c>
      <c r="J11" s="17">
        <v>0.7</v>
      </c>
      <c r="K11" s="12">
        <v>13.75</v>
      </c>
      <c r="L11" s="2">
        <f t="shared" si="0"/>
        <v>973.79999999999973</v>
      </c>
      <c r="M11" s="15">
        <f t="shared" si="4"/>
        <v>13389.749999999996</v>
      </c>
      <c r="N11" t="str">
        <f t="shared" si="1"/>
        <v>RJ</v>
      </c>
      <c r="O11" t="str">
        <f t="shared" si="2"/>
        <v>Rio De Janeiro</v>
      </c>
    </row>
    <row r="12" spans="1:15" x14ac:dyDescent="0.3">
      <c r="A12" s="10">
        <v>45658</v>
      </c>
      <c r="B12" s="9" t="s">
        <v>15</v>
      </c>
      <c r="C12" t="s">
        <v>358</v>
      </c>
      <c r="D12" s="9">
        <v>19727</v>
      </c>
      <c r="E12" s="5" t="s">
        <v>380</v>
      </c>
      <c r="F12" t="s">
        <v>201</v>
      </c>
      <c r="G12">
        <v>2050</v>
      </c>
      <c r="H12">
        <v>824</v>
      </c>
      <c r="I12" s="8">
        <f t="shared" si="3"/>
        <v>0.40195121951219515</v>
      </c>
      <c r="J12" s="17">
        <v>0.7</v>
      </c>
      <c r="K12" s="12">
        <v>13.75</v>
      </c>
      <c r="L12" s="2">
        <f t="shared" si="0"/>
        <v>610.99999999999977</v>
      </c>
      <c r="M12" s="15">
        <f t="shared" si="4"/>
        <v>8401.2499999999964</v>
      </c>
      <c r="N12" t="str">
        <f t="shared" si="1"/>
        <v>RJ</v>
      </c>
      <c r="O12" t="str">
        <f t="shared" si="2"/>
        <v>Rio De Janeiro</v>
      </c>
    </row>
    <row r="13" spans="1:15" x14ac:dyDescent="0.3">
      <c r="A13" s="10">
        <v>45658</v>
      </c>
      <c r="B13" s="9" t="s">
        <v>3</v>
      </c>
      <c r="C13" t="s">
        <v>248</v>
      </c>
      <c r="D13" s="9">
        <v>19572</v>
      </c>
      <c r="E13" s="5" t="s">
        <v>381</v>
      </c>
      <c r="F13" t="s">
        <v>249</v>
      </c>
      <c r="G13">
        <v>4443</v>
      </c>
      <c r="H13">
        <v>1728</v>
      </c>
      <c r="I13" s="8">
        <f t="shared" si="3"/>
        <v>0.38892640108035109</v>
      </c>
      <c r="J13" s="17">
        <v>0.7</v>
      </c>
      <c r="K13" s="12">
        <v>13.75</v>
      </c>
      <c r="L13" s="2">
        <f t="shared" si="0"/>
        <v>1382.1</v>
      </c>
      <c r="M13" s="15">
        <f t="shared" si="4"/>
        <v>19003.875</v>
      </c>
      <c r="N13" t="str">
        <f t="shared" si="1"/>
        <v>SP</v>
      </c>
      <c r="O13" t="str">
        <f t="shared" si="2"/>
        <v>São Paulo</v>
      </c>
    </row>
    <row r="14" spans="1:15" x14ac:dyDescent="0.3">
      <c r="A14" s="10">
        <v>45658</v>
      </c>
      <c r="B14" s="9" t="s">
        <v>3</v>
      </c>
      <c r="C14" t="s">
        <v>167</v>
      </c>
      <c r="D14" s="9">
        <v>19578</v>
      </c>
      <c r="E14" s="5" t="s">
        <v>382</v>
      </c>
      <c r="F14" t="s">
        <v>168</v>
      </c>
      <c r="G14">
        <v>2224</v>
      </c>
      <c r="H14">
        <v>822</v>
      </c>
      <c r="I14" s="8">
        <f t="shared" si="3"/>
        <v>0.36960431654676257</v>
      </c>
      <c r="J14" s="17">
        <v>0.7</v>
      </c>
      <c r="K14" s="12">
        <v>13.75</v>
      </c>
      <c r="L14" s="2">
        <f t="shared" si="0"/>
        <v>734.8</v>
      </c>
      <c r="M14" s="15">
        <f t="shared" si="4"/>
        <v>10103.5</v>
      </c>
      <c r="N14" t="str">
        <f t="shared" si="1"/>
        <v>SP</v>
      </c>
      <c r="O14" t="str">
        <f t="shared" si="2"/>
        <v>Perdizes</v>
      </c>
    </row>
    <row r="15" spans="1:15" x14ac:dyDescent="0.3">
      <c r="A15" s="10">
        <v>45658</v>
      </c>
      <c r="B15" s="9" t="s">
        <v>3</v>
      </c>
      <c r="C15" t="s">
        <v>248</v>
      </c>
      <c r="D15" s="9">
        <v>19774</v>
      </c>
      <c r="E15" s="5" t="s">
        <v>383</v>
      </c>
      <c r="F15" t="s">
        <v>250</v>
      </c>
      <c r="G15">
        <v>3358</v>
      </c>
      <c r="H15">
        <v>1154</v>
      </c>
      <c r="I15" s="8">
        <f t="shared" si="3"/>
        <v>0.34365693865396069</v>
      </c>
      <c r="J15" s="17">
        <v>0.7</v>
      </c>
      <c r="K15" s="12">
        <v>13.75</v>
      </c>
      <c r="L15" s="2">
        <f t="shared" si="0"/>
        <v>1196.5999999999999</v>
      </c>
      <c r="M15" s="15">
        <f t="shared" si="4"/>
        <v>16453.25</v>
      </c>
      <c r="N15" t="str">
        <f t="shared" si="1"/>
        <v>SP</v>
      </c>
      <c r="O15" t="str">
        <f t="shared" si="2"/>
        <v>São Paulo</v>
      </c>
    </row>
    <row r="16" spans="1:15" x14ac:dyDescent="0.3">
      <c r="A16" s="10">
        <v>45658</v>
      </c>
      <c r="B16" s="9" t="s">
        <v>46</v>
      </c>
      <c r="C16" t="s">
        <v>47</v>
      </c>
      <c r="D16" s="9">
        <v>19551</v>
      </c>
      <c r="E16" s="5" t="s">
        <v>384</v>
      </c>
      <c r="F16" t="s">
        <v>48</v>
      </c>
      <c r="G16">
        <v>2467</v>
      </c>
      <c r="H16">
        <v>884</v>
      </c>
      <c r="I16" s="8">
        <f t="shared" si="3"/>
        <v>0.35832995541143087</v>
      </c>
      <c r="J16" s="17">
        <v>0.7</v>
      </c>
      <c r="K16" s="12">
        <v>13.75</v>
      </c>
      <c r="L16" s="2">
        <f t="shared" si="0"/>
        <v>842.89999999999986</v>
      </c>
      <c r="M16" s="15">
        <f t="shared" si="4"/>
        <v>11589.874999999998</v>
      </c>
      <c r="N16" t="str">
        <f t="shared" si="1"/>
        <v>DF</v>
      </c>
      <c r="O16" t="str">
        <f t="shared" si="2"/>
        <v>Brasília</v>
      </c>
    </row>
    <row r="17" spans="1:15" x14ac:dyDescent="0.3">
      <c r="A17" s="10">
        <v>45658</v>
      </c>
      <c r="B17" s="9" t="s">
        <v>15</v>
      </c>
      <c r="C17" t="s">
        <v>151</v>
      </c>
      <c r="D17" s="9">
        <v>19596</v>
      </c>
      <c r="E17" s="5" t="s">
        <v>385</v>
      </c>
      <c r="F17" t="s">
        <v>153</v>
      </c>
      <c r="G17">
        <v>2432</v>
      </c>
      <c r="H17">
        <v>1031</v>
      </c>
      <c r="I17" s="8">
        <f t="shared" si="3"/>
        <v>0.42393092105263158</v>
      </c>
      <c r="J17" s="17">
        <v>0.7</v>
      </c>
      <c r="K17" s="12">
        <v>13.75</v>
      </c>
      <c r="L17" s="2">
        <f t="shared" si="0"/>
        <v>671.39999999999986</v>
      </c>
      <c r="M17" s="15">
        <f t="shared" si="4"/>
        <v>9231.7499999999982</v>
      </c>
      <c r="N17" t="str">
        <f t="shared" si="1"/>
        <v>RJ</v>
      </c>
      <c r="O17" t="str">
        <f t="shared" si="2"/>
        <v>Nova Iguaçu</v>
      </c>
    </row>
    <row r="18" spans="1:15" x14ac:dyDescent="0.3">
      <c r="A18" s="10">
        <v>45658</v>
      </c>
      <c r="B18" s="9" t="s">
        <v>15</v>
      </c>
      <c r="C18" t="s">
        <v>358</v>
      </c>
      <c r="D18" s="9">
        <v>19618</v>
      </c>
      <c r="E18" s="5" t="s">
        <v>386</v>
      </c>
      <c r="F18" t="s">
        <v>202</v>
      </c>
      <c r="G18">
        <v>2736</v>
      </c>
      <c r="H18">
        <v>1131</v>
      </c>
      <c r="I18" s="8">
        <f t="shared" si="3"/>
        <v>0.41337719298245612</v>
      </c>
      <c r="J18" s="17">
        <v>0.7</v>
      </c>
      <c r="K18" s="12">
        <v>13.75</v>
      </c>
      <c r="L18" s="2">
        <f t="shared" si="0"/>
        <v>784.19999999999982</v>
      </c>
      <c r="M18" s="15">
        <f t="shared" si="4"/>
        <v>10782.749999999998</v>
      </c>
      <c r="N18" t="str">
        <f t="shared" si="1"/>
        <v>RJ</v>
      </c>
      <c r="O18" t="str">
        <f t="shared" si="2"/>
        <v>Rio De Janeiro</v>
      </c>
    </row>
    <row r="19" spans="1:15" x14ac:dyDescent="0.3">
      <c r="A19" s="10">
        <v>45658</v>
      </c>
      <c r="B19" s="9" t="s">
        <v>21</v>
      </c>
      <c r="C19" t="s">
        <v>22</v>
      </c>
      <c r="D19" s="9">
        <v>19741</v>
      </c>
      <c r="E19" s="5" t="s">
        <v>387</v>
      </c>
      <c r="F19" t="s">
        <v>23</v>
      </c>
      <c r="G19">
        <v>1688</v>
      </c>
      <c r="H19">
        <v>844</v>
      </c>
      <c r="I19" s="8">
        <f t="shared" si="3"/>
        <v>0.5</v>
      </c>
      <c r="J19" s="17">
        <v>0.7</v>
      </c>
      <c r="K19" s="12">
        <v>13.75</v>
      </c>
      <c r="L19" s="2">
        <f t="shared" si="0"/>
        <v>337.59999999999991</v>
      </c>
      <c r="M19" s="15">
        <f t="shared" si="4"/>
        <v>4641.9999999999991</v>
      </c>
      <c r="N19" t="str">
        <f t="shared" si="1"/>
        <v>BA</v>
      </c>
      <c r="O19" t="str">
        <f t="shared" si="2"/>
        <v>Barreiras</v>
      </c>
    </row>
    <row r="20" spans="1:15" x14ac:dyDescent="0.3">
      <c r="A20" s="10">
        <v>45658</v>
      </c>
      <c r="B20" s="9" t="s">
        <v>74</v>
      </c>
      <c r="C20" t="s">
        <v>169</v>
      </c>
      <c r="D20" s="9">
        <v>19897</v>
      </c>
      <c r="E20" s="5" t="s">
        <v>388</v>
      </c>
      <c r="F20" t="s">
        <v>170</v>
      </c>
      <c r="G20">
        <v>1732</v>
      </c>
      <c r="H20">
        <v>842</v>
      </c>
      <c r="I20" s="8">
        <f t="shared" si="3"/>
        <v>0.48614318706697457</v>
      </c>
      <c r="J20" s="17">
        <v>0.7</v>
      </c>
      <c r="K20" s="12">
        <v>13.75</v>
      </c>
      <c r="L20" s="2">
        <f t="shared" si="0"/>
        <v>370.40000000000009</v>
      </c>
      <c r="M20" s="15">
        <f t="shared" si="4"/>
        <v>5093.0000000000009</v>
      </c>
      <c r="N20" t="str">
        <f t="shared" si="1"/>
        <v>PE</v>
      </c>
      <c r="O20" t="str">
        <f t="shared" si="2"/>
        <v>Petrolina</v>
      </c>
    </row>
    <row r="21" spans="1:15" x14ac:dyDescent="0.3">
      <c r="A21" s="10">
        <v>45658</v>
      </c>
      <c r="B21" s="9" t="s">
        <v>61</v>
      </c>
      <c r="C21" t="s">
        <v>62</v>
      </c>
      <c r="D21" s="9">
        <v>19633</v>
      </c>
      <c r="E21" s="5" t="s">
        <v>389</v>
      </c>
      <c r="F21" t="s">
        <v>63</v>
      </c>
      <c r="G21">
        <v>1681</v>
      </c>
      <c r="H21">
        <v>961</v>
      </c>
      <c r="I21" s="8">
        <f t="shared" si="3"/>
        <v>0.57168352171326586</v>
      </c>
      <c r="J21" s="17">
        <v>0.7</v>
      </c>
      <c r="K21" s="12">
        <v>13.75</v>
      </c>
      <c r="L21" s="2">
        <f t="shared" si="0"/>
        <v>215.70000000000005</v>
      </c>
      <c r="M21" s="15">
        <f t="shared" si="4"/>
        <v>2965.8750000000005</v>
      </c>
      <c r="N21" t="str">
        <f t="shared" si="1"/>
        <v>PB</v>
      </c>
      <c r="O21" t="str">
        <f t="shared" si="2"/>
        <v>Campina Grande</v>
      </c>
    </row>
    <row r="22" spans="1:15" x14ac:dyDescent="0.3">
      <c r="A22" s="10">
        <v>45658</v>
      </c>
      <c r="B22" s="9" t="s">
        <v>6</v>
      </c>
      <c r="C22" t="s">
        <v>26</v>
      </c>
      <c r="D22" s="9">
        <v>19622</v>
      </c>
      <c r="E22" s="5" t="s">
        <v>390</v>
      </c>
      <c r="F22" t="s">
        <v>28</v>
      </c>
      <c r="G22">
        <v>2057</v>
      </c>
      <c r="H22">
        <v>1165</v>
      </c>
      <c r="I22" s="8">
        <f t="shared" si="3"/>
        <v>0.5663587749149247</v>
      </c>
      <c r="J22" s="17">
        <v>0.7</v>
      </c>
      <c r="K22" s="12">
        <v>13.75</v>
      </c>
      <c r="L22" s="2">
        <f t="shared" si="0"/>
        <v>274.89999999999986</v>
      </c>
      <c r="M22" s="15">
        <f t="shared" si="4"/>
        <v>3779.8749999999982</v>
      </c>
      <c r="N22" t="str">
        <f t="shared" si="1"/>
        <v>PA</v>
      </c>
      <c r="O22" t="str">
        <f t="shared" si="2"/>
        <v>Belém</v>
      </c>
    </row>
    <row r="23" spans="1:15" x14ac:dyDescent="0.3">
      <c r="A23" s="10">
        <v>45658</v>
      </c>
      <c r="B23" s="9" t="s">
        <v>46</v>
      </c>
      <c r="C23" t="s">
        <v>47</v>
      </c>
      <c r="D23" s="9">
        <v>19666</v>
      </c>
      <c r="E23" s="5" t="s">
        <v>391</v>
      </c>
      <c r="F23" t="s">
        <v>624</v>
      </c>
      <c r="G23">
        <v>2664</v>
      </c>
      <c r="H23">
        <v>1000</v>
      </c>
      <c r="I23" s="8">
        <f t="shared" si="3"/>
        <v>0.37537537537537535</v>
      </c>
      <c r="J23" s="17">
        <v>0.7</v>
      </c>
      <c r="K23" s="12">
        <v>13.75</v>
      </c>
      <c r="L23" s="2">
        <f t="shared" si="0"/>
        <v>864.80000000000018</v>
      </c>
      <c r="M23" s="15">
        <f t="shared" si="4"/>
        <v>11891.000000000002</v>
      </c>
      <c r="N23" t="str">
        <f t="shared" si="1"/>
        <v>DF</v>
      </c>
      <c r="O23" t="str">
        <f t="shared" si="2"/>
        <v>Brasília</v>
      </c>
    </row>
    <row r="24" spans="1:15" x14ac:dyDescent="0.3">
      <c r="A24" s="10">
        <v>45658</v>
      </c>
      <c r="B24" s="9" t="s">
        <v>15</v>
      </c>
      <c r="C24" t="s">
        <v>358</v>
      </c>
      <c r="D24" s="9">
        <v>19632</v>
      </c>
      <c r="E24" s="5" t="s">
        <v>392</v>
      </c>
      <c r="F24" t="s">
        <v>203</v>
      </c>
      <c r="G24">
        <v>2336</v>
      </c>
      <c r="H24">
        <v>1024</v>
      </c>
      <c r="I24" s="8">
        <f t="shared" si="3"/>
        <v>0.43835616438356162</v>
      </c>
      <c r="J24" s="17">
        <v>0.7</v>
      </c>
      <c r="K24" s="12">
        <v>13.75</v>
      </c>
      <c r="L24" s="2">
        <f t="shared" si="0"/>
        <v>611.20000000000005</v>
      </c>
      <c r="M24" s="15">
        <f t="shared" si="4"/>
        <v>8404</v>
      </c>
      <c r="N24" t="str">
        <f t="shared" si="1"/>
        <v>RJ</v>
      </c>
      <c r="O24" t="str">
        <f t="shared" si="2"/>
        <v>Rio De Janeiro</v>
      </c>
    </row>
    <row r="25" spans="1:15" x14ac:dyDescent="0.3">
      <c r="A25" s="10">
        <v>45658</v>
      </c>
      <c r="B25" s="9" t="s">
        <v>46</v>
      </c>
      <c r="C25" t="s">
        <v>47</v>
      </c>
      <c r="D25" s="9">
        <v>19552</v>
      </c>
      <c r="E25" s="5" t="s">
        <v>393</v>
      </c>
      <c r="F25" t="s">
        <v>50</v>
      </c>
      <c r="G25">
        <v>3153</v>
      </c>
      <c r="H25">
        <v>1366</v>
      </c>
      <c r="I25" s="8">
        <f t="shared" si="3"/>
        <v>0.4332381858547415</v>
      </c>
      <c r="J25" s="17">
        <v>0.7</v>
      </c>
      <c r="K25" s="12">
        <v>13.75</v>
      </c>
      <c r="L25" s="2">
        <f t="shared" si="0"/>
        <v>841.09999999999991</v>
      </c>
      <c r="M25" s="15">
        <f t="shared" si="4"/>
        <v>11565.124999999998</v>
      </c>
      <c r="N25" t="str">
        <f t="shared" si="1"/>
        <v>DF</v>
      </c>
      <c r="O25" t="str">
        <f t="shared" si="2"/>
        <v>Brasília</v>
      </c>
    </row>
    <row r="26" spans="1:15" x14ac:dyDescent="0.3">
      <c r="A26" s="10">
        <v>45658</v>
      </c>
      <c r="B26" s="9" t="s">
        <v>15</v>
      </c>
      <c r="C26" t="s">
        <v>191</v>
      </c>
      <c r="D26" s="9">
        <v>19636</v>
      </c>
      <c r="E26" s="5" t="s">
        <v>394</v>
      </c>
      <c r="F26" t="s">
        <v>192</v>
      </c>
      <c r="G26">
        <v>2274</v>
      </c>
      <c r="H26">
        <v>910</v>
      </c>
      <c r="I26" s="8">
        <f t="shared" si="3"/>
        <v>0.40017590149516269</v>
      </c>
      <c r="J26" s="17">
        <v>0.7</v>
      </c>
      <c r="K26" s="12">
        <v>13.75</v>
      </c>
      <c r="L26" s="2">
        <f t="shared" si="0"/>
        <v>681.80000000000018</v>
      </c>
      <c r="M26" s="15">
        <f t="shared" si="4"/>
        <v>9374.7500000000018</v>
      </c>
      <c r="N26" t="str">
        <f t="shared" si="1"/>
        <v>RJ</v>
      </c>
      <c r="O26" t="str">
        <f t="shared" si="2"/>
        <v>Resende</v>
      </c>
    </row>
    <row r="27" spans="1:15" x14ac:dyDescent="0.3">
      <c r="A27" s="10">
        <v>45658</v>
      </c>
      <c r="B27" s="9" t="s">
        <v>74</v>
      </c>
      <c r="C27" t="s">
        <v>186</v>
      </c>
      <c r="D27" s="9">
        <v>19649</v>
      </c>
      <c r="E27" s="5" t="s">
        <v>395</v>
      </c>
      <c r="F27" t="s">
        <v>187</v>
      </c>
      <c r="G27">
        <v>2899</v>
      </c>
      <c r="H27">
        <v>1235</v>
      </c>
      <c r="I27" s="8">
        <f t="shared" si="3"/>
        <v>0.42600896860986548</v>
      </c>
      <c r="J27" s="17">
        <v>0.7</v>
      </c>
      <c r="K27" s="12">
        <v>13.75</v>
      </c>
      <c r="L27" s="2">
        <f t="shared" si="0"/>
        <v>794.3</v>
      </c>
      <c r="M27" s="15">
        <f t="shared" si="4"/>
        <v>10921.625</v>
      </c>
      <c r="N27" t="str">
        <f t="shared" si="1"/>
        <v>PE</v>
      </c>
      <c r="O27" t="str">
        <f t="shared" si="2"/>
        <v>Recife</v>
      </c>
    </row>
    <row r="28" spans="1:15" x14ac:dyDescent="0.3">
      <c r="A28" s="10">
        <v>45658</v>
      </c>
      <c r="B28" s="9" t="s">
        <v>74</v>
      </c>
      <c r="C28" t="s">
        <v>186</v>
      </c>
      <c r="D28" s="9">
        <v>19601</v>
      </c>
      <c r="E28" s="5" t="s">
        <v>396</v>
      </c>
      <c r="F28" t="s">
        <v>188</v>
      </c>
      <c r="G28">
        <v>2846</v>
      </c>
      <c r="H28">
        <v>1258</v>
      </c>
      <c r="I28" s="8">
        <f t="shared" si="3"/>
        <v>0.44202389318341534</v>
      </c>
      <c r="J28" s="17">
        <v>0.7</v>
      </c>
      <c r="K28" s="12">
        <v>13.75</v>
      </c>
      <c r="L28" s="2">
        <f t="shared" si="0"/>
        <v>734.19999999999982</v>
      </c>
      <c r="M28" s="15">
        <f t="shared" si="4"/>
        <v>10095.249999999998</v>
      </c>
      <c r="N28" t="str">
        <f t="shared" si="1"/>
        <v>PE</v>
      </c>
      <c r="O28" t="str">
        <f t="shared" si="2"/>
        <v>Recife</v>
      </c>
    </row>
    <row r="29" spans="1:15" x14ac:dyDescent="0.3">
      <c r="A29" s="10">
        <v>45658</v>
      </c>
      <c r="B29" s="9" t="s">
        <v>74</v>
      </c>
      <c r="C29" t="s">
        <v>186</v>
      </c>
      <c r="D29" s="9">
        <v>19565</v>
      </c>
      <c r="E29" s="5" t="s">
        <v>397</v>
      </c>
      <c r="F29" t="s">
        <v>189</v>
      </c>
      <c r="G29">
        <v>2696</v>
      </c>
      <c r="H29">
        <v>898</v>
      </c>
      <c r="I29" s="8">
        <f t="shared" si="3"/>
        <v>0.33308605341246289</v>
      </c>
      <c r="J29" s="17">
        <v>0.7</v>
      </c>
      <c r="K29" s="12">
        <v>13.75</v>
      </c>
      <c r="L29" s="2">
        <f t="shared" si="0"/>
        <v>989.19999999999982</v>
      </c>
      <c r="M29" s="15">
        <f t="shared" si="4"/>
        <v>13601.499999999998</v>
      </c>
      <c r="N29" t="str">
        <f t="shared" si="1"/>
        <v>PE</v>
      </c>
      <c r="O29" t="str">
        <f t="shared" si="2"/>
        <v>Recife</v>
      </c>
    </row>
    <row r="30" spans="1:15" x14ac:dyDescent="0.3">
      <c r="A30" s="10">
        <v>45658</v>
      </c>
      <c r="B30" s="9" t="s">
        <v>74</v>
      </c>
      <c r="C30" t="s">
        <v>186</v>
      </c>
      <c r="D30" s="9">
        <v>19654</v>
      </c>
      <c r="E30" s="5" t="s">
        <v>398</v>
      </c>
      <c r="F30" t="s">
        <v>190</v>
      </c>
      <c r="G30">
        <v>2099</v>
      </c>
      <c r="H30">
        <v>766</v>
      </c>
      <c r="I30" s="8">
        <f t="shared" si="3"/>
        <v>0.36493568365888518</v>
      </c>
      <c r="J30" s="17">
        <v>0.7</v>
      </c>
      <c r="K30" s="12">
        <v>13.75</v>
      </c>
      <c r="L30" s="2">
        <f t="shared" si="0"/>
        <v>703.29999999999973</v>
      </c>
      <c r="M30" s="15">
        <f t="shared" si="4"/>
        <v>9670.3749999999964</v>
      </c>
      <c r="N30" t="str">
        <f t="shared" si="1"/>
        <v>PE</v>
      </c>
      <c r="O30" t="str">
        <f t="shared" si="2"/>
        <v>Recife</v>
      </c>
    </row>
    <row r="31" spans="1:15" x14ac:dyDescent="0.3">
      <c r="A31" s="10">
        <v>45658</v>
      </c>
      <c r="B31" s="9" t="s">
        <v>74</v>
      </c>
      <c r="C31" t="s">
        <v>350</v>
      </c>
      <c r="D31" s="9">
        <v>19624</v>
      </c>
      <c r="E31" s="5" t="s">
        <v>399</v>
      </c>
      <c r="F31" t="s">
        <v>116</v>
      </c>
      <c r="G31">
        <v>1715</v>
      </c>
      <c r="H31">
        <v>644</v>
      </c>
      <c r="I31" s="8">
        <f t="shared" si="3"/>
        <v>0.37551020408163266</v>
      </c>
      <c r="J31" s="17">
        <v>0.7</v>
      </c>
      <c r="K31" s="12">
        <v>13.75</v>
      </c>
      <c r="L31" s="2">
        <f t="shared" si="0"/>
        <v>556.49999999999977</v>
      </c>
      <c r="M31" s="15">
        <f t="shared" si="4"/>
        <v>7651.8749999999973</v>
      </c>
      <c r="N31" t="str">
        <f t="shared" si="1"/>
        <v>PE</v>
      </c>
      <c r="O31" t="str">
        <f t="shared" si="2"/>
        <v>Jaboatão Dos Guararapes</v>
      </c>
    </row>
    <row r="32" spans="1:15" x14ac:dyDescent="0.3">
      <c r="A32" s="10">
        <v>45658</v>
      </c>
      <c r="B32" s="9" t="s">
        <v>15</v>
      </c>
      <c r="C32" t="s">
        <v>143</v>
      </c>
      <c r="D32" s="9">
        <v>19648</v>
      </c>
      <c r="E32" s="5" t="s">
        <v>400</v>
      </c>
      <c r="F32" t="s">
        <v>144</v>
      </c>
      <c r="G32">
        <v>2097</v>
      </c>
      <c r="H32">
        <v>554</v>
      </c>
      <c r="I32" s="8">
        <f t="shared" si="3"/>
        <v>0.26418693371483071</v>
      </c>
      <c r="J32" s="17">
        <v>0.7</v>
      </c>
      <c r="K32" s="12">
        <v>13.75</v>
      </c>
      <c r="L32" s="2">
        <f t="shared" si="0"/>
        <v>913.89999999999986</v>
      </c>
      <c r="M32" s="15">
        <f t="shared" si="4"/>
        <v>12566.124999999998</v>
      </c>
      <c r="N32" t="str">
        <f t="shared" si="1"/>
        <v>RJ</v>
      </c>
      <c r="O32" t="str">
        <f t="shared" si="2"/>
        <v>Nilópolis</v>
      </c>
    </row>
    <row r="33" spans="1:15" x14ac:dyDescent="0.3">
      <c r="A33" s="10">
        <v>45658</v>
      </c>
      <c r="B33" s="9" t="s">
        <v>15</v>
      </c>
      <c r="C33" t="s">
        <v>57</v>
      </c>
      <c r="D33" s="9">
        <v>19657</v>
      </c>
      <c r="E33" s="5" t="s">
        <v>401</v>
      </c>
      <c r="F33" t="s">
        <v>58</v>
      </c>
      <c r="G33">
        <v>2379</v>
      </c>
      <c r="H33">
        <v>1169</v>
      </c>
      <c r="I33" s="8">
        <f t="shared" si="3"/>
        <v>0.49138293400588484</v>
      </c>
      <c r="J33" s="17">
        <v>0.7</v>
      </c>
      <c r="K33" s="12">
        <v>13.75</v>
      </c>
      <c r="L33" s="2">
        <f t="shared" si="0"/>
        <v>496.29999999999995</v>
      </c>
      <c r="M33" s="15">
        <f t="shared" si="4"/>
        <v>6824.1249999999991</v>
      </c>
      <c r="N33" t="str">
        <f t="shared" si="1"/>
        <v>RJ</v>
      </c>
      <c r="O33" t="str">
        <f t="shared" si="2"/>
        <v>Cabo Frio</v>
      </c>
    </row>
    <row r="34" spans="1:15" x14ac:dyDescent="0.3">
      <c r="A34" s="10">
        <v>45658</v>
      </c>
      <c r="B34" s="9" t="s">
        <v>74</v>
      </c>
      <c r="C34" t="s">
        <v>186</v>
      </c>
      <c r="D34" s="9">
        <v>19658</v>
      </c>
      <c r="E34" s="5" t="s">
        <v>402</v>
      </c>
      <c r="F34" t="s">
        <v>357</v>
      </c>
      <c r="G34">
        <v>1600</v>
      </c>
      <c r="H34">
        <v>724</v>
      </c>
      <c r="I34" s="8">
        <f t="shared" si="3"/>
        <v>0.45250000000000001</v>
      </c>
      <c r="J34" s="17">
        <v>0.7</v>
      </c>
      <c r="K34" s="12">
        <v>13.75</v>
      </c>
      <c r="L34" s="2">
        <f t="shared" ref="L34:L65" si="5">H34*J34/I34-H34</f>
        <v>395.99999999999977</v>
      </c>
      <c r="M34" s="15">
        <f t="shared" si="4"/>
        <v>5444.9999999999973</v>
      </c>
      <c r="N34" t="str">
        <f t="shared" si="1"/>
        <v>PE</v>
      </c>
      <c r="O34" t="str">
        <f t="shared" si="2"/>
        <v>Recife</v>
      </c>
    </row>
    <row r="35" spans="1:15" x14ac:dyDescent="0.3">
      <c r="A35" s="10">
        <v>45658</v>
      </c>
      <c r="B35" s="9" t="s">
        <v>82</v>
      </c>
      <c r="C35" t="s">
        <v>119</v>
      </c>
      <c r="D35" s="9">
        <v>19661</v>
      </c>
      <c r="E35" s="5" t="s">
        <v>403</v>
      </c>
      <c r="F35" t="s">
        <v>120</v>
      </c>
      <c r="G35">
        <v>3275</v>
      </c>
      <c r="H35">
        <v>1214</v>
      </c>
      <c r="I35" s="8">
        <f t="shared" si="3"/>
        <v>0.37068702290076339</v>
      </c>
      <c r="J35" s="17">
        <v>0.7</v>
      </c>
      <c r="K35" s="12">
        <v>13.75</v>
      </c>
      <c r="L35" s="2">
        <f t="shared" si="5"/>
        <v>1078.4999999999995</v>
      </c>
      <c r="M35" s="15">
        <f t="shared" si="4"/>
        <v>14829.374999999995</v>
      </c>
      <c r="N35" t="str">
        <f t="shared" si="1"/>
        <v>PR</v>
      </c>
      <c r="O35" t="str">
        <f t="shared" si="2"/>
        <v>Londrina</v>
      </c>
    </row>
    <row r="36" spans="1:15" x14ac:dyDescent="0.3">
      <c r="A36" s="10">
        <v>45658</v>
      </c>
      <c r="B36" s="9" t="s">
        <v>183</v>
      </c>
      <c r="C36" t="s">
        <v>184</v>
      </c>
      <c r="D36" s="9">
        <v>19752</v>
      </c>
      <c r="E36" s="5" t="s">
        <v>404</v>
      </c>
      <c r="F36" t="s">
        <v>185</v>
      </c>
      <c r="G36">
        <v>1173</v>
      </c>
      <c r="H36">
        <v>655</v>
      </c>
      <c r="I36" s="8">
        <f t="shared" si="3"/>
        <v>0.55839727195225919</v>
      </c>
      <c r="J36" s="17">
        <v>0.7</v>
      </c>
      <c r="K36" s="12">
        <v>13.75</v>
      </c>
      <c r="L36" s="2">
        <f t="shared" si="5"/>
        <v>166.09999999999991</v>
      </c>
      <c r="M36" s="15">
        <f t="shared" si="4"/>
        <v>2283.8749999999986</v>
      </c>
      <c r="N36" t="str">
        <f t="shared" si="1"/>
        <v>RO</v>
      </c>
      <c r="O36" t="str">
        <f t="shared" si="2"/>
        <v>Porto Velho</v>
      </c>
    </row>
    <row r="37" spans="1:15" x14ac:dyDescent="0.3">
      <c r="A37" s="10">
        <v>45658</v>
      </c>
      <c r="B37" s="9" t="s">
        <v>15</v>
      </c>
      <c r="C37" t="s">
        <v>281</v>
      </c>
      <c r="D37" s="9">
        <v>19671</v>
      </c>
      <c r="E37" s="5" t="s">
        <v>405</v>
      </c>
      <c r="F37" t="s">
        <v>282</v>
      </c>
      <c r="G37">
        <v>2709</v>
      </c>
      <c r="H37">
        <v>1282</v>
      </c>
      <c r="I37" s="8">
        <f t="shared" si="3"/>
        <v>0.47323735695828717</v>
      </c>
      <c r="J37" s="17">
        <v>0.7</v>
      </c>
      <c r="K37" s="12">
        <v>13.75</v>
      </c>
      <c r="L37" s="2">
        <f t="shared" si="5"/>
        <v>614.29999999999995</v>
      </c>
      <c r="M37" s="15">
        <f t="shared" si="4"/>
        <v>8446.625</v>
      </c>
      <c r="N37" t="str">
        <f t="shared" si="1"/>
        <v>RJ</v>
      </c>
      <c r="O37" t="str">
        <f t="shared" si="2"/>
        <v>Teresópolis</v>
      </c>
    </row>
    <row r="38" spans="1:15" x14ac:dyDescent="0.3">
      <c r="A38" s="10">
        <v>45658</v>
      </c>
      <c r="B38" s="9" t="s">
        <v>3</v>
      </c>
      <c r="C38" t="s">
        <v>248</v>
      </c>
      <c r="D38" s="9">
        <v>19674</v>
      </c>
      <c r="E38" s="5" t="s">
        <v>406</v>
      </c>
      <c r="F38" t="s">
        <v>251</v>
      </c>
      <c r="G38">
        <v>2027</v>
      </c>
      <c r="H38">
        <v>788</v>
      </c>
      <c r="I38" s="8">
        <f t="shared" si="3"/>
        <v>0.388751850024667</v>
      </c>
      <c r="J38" s="17">
        <v>0.7</v>
      </c>
      <c r="K38" s="12">
        <v>13.75</v>
      </c>
      <c r="L38" s="2">
        <f t="shared" si="5"/>
        <v>630.89999999999964</v>
      </c>
      <c r="M38" s="15">
        <f t="shared" si="4"/>
        <v>8674.8749999999945</v>
      </c>
      <c r="N38" t="str">
        <f t="shared" si="1"/>
        <v>SP</v>
      </c>
      <c r="O38" t="str">
        <f t="shared" si="2"/>
        <v>São Paulo</v>
      </c>
    </row>
    <row r="39" spans="1:15" x14ac:dyDescent="0.3">
      <c r="A39" s="10">
        <v>45658</v>
      </c>
      <c r="B39" s="9" t="s">
        <v>3</v>
      </c>
      <c r="C39" t="s">
        <v>248</v>
      </c>
      <c r="D39" s="9">
        <v>19756</v>
      </c>
      <c r="E39" s="5" t="s">
        <v>407</v>
      </c>
      <c r="F39" t="s">
        <v>252</v>
      </c>
      <c r="G39">
        <v>1778</v>
      </c>
      <c r="H39">
        <v>728</v>
      </c>
      <c r="I39" s="8">
        <f t="shared" si="3"/>
        <v>0.40944881889763779</v>
      </c>
      <c r="J39" s="17">
        <v>0.7</v>
      </c>
      <c r="K39" s="12">
        <v>13.75</v>
      </c>
      <c r="L39" s="2">
        <f t="shared" si="5"/>
        <v>516.59999999999991</v>
      </c>
      <c r="M39" s="15">
        <f t="shared" si="4"/>
        <v>7103.2499999999991</v>
      </c>
      <c r="N39" t="str">
        <f t="shared" si="1"/>
        <v>SP</v>
      </c>
      <c r="O39" t="str">
        <f t="shared" si="2"/>
        <v>São Paulo</v>
      </c>
    </row>
    <row r="40" spans="1:15" x14ac:dyDescent="0.3">
      <c r="A40" s="10">
        <v>45658</v>
      </c>
      <c r="B40" s="9" t="s">
        <v>3</v>
      </c>
      <c r="C40" t="s">
        <v>248</v>
      </c>
      <c r="D40" s="9">
        <v>19809</v>
      </c>
      <c r="E40" s="5" t="s">
        <v>408</v>
      </c>
      <c r="F40" t="s">
        <v>253</v>
      </c>
      <c r="G40">
        <v>204</v>
      </c>
      <c r="H40">
        <v>94</v>
      </c>
      <c r="I40" s="8">
        <f t="shared" si="3"/>
        <v>0.46078431372549017</v>
      </c>
      <c r="J40" s="17">
        <v>0.7</v>
      </c>
      <c r="K40" s="12">
        <v>13.75</v>
      </c>
      <c r="L40" s="2">
        <f t="shared" si="5"/>
        <v>48.800000000000011</v>
      </c>
      <c r="M40" s="15">
        <f t="shared" si="4"/>
        <v>671.00000000000011</v>
      </c>
      <c r="N40" t="str">
        <f t="shared" si="1"/>
        <v>SP</v>
      </c>
      <c r="O40" t="str">
        <f t="shared" si="2"/>
        <v>São Paulo</v>
      </c>
    </row>
    <row r="41" spans="1:15" x14ac:dyDescent="0.3">
      <c r="A41" s="10">
        <v>45658</v>
      </c>
      <c r="B41" s="9" t="s">
        <v>3</v>
      </c>
      <c r="C41" t="s">
        <v>248</v>
      </c>
      <c r="D41" s="9">
        <v>19579</v>
      </c>
      <c r="E41" s="5" t="s">
        <v>409</v>
      </c>
      <c r="F41" t="s">
        <v>254</v>
      </c>
      <c r="G41">
        <v>2180</v>
      </c>
      <c r="H41">
        <v>794</v>
      </c>
      <c r="I41" s="8">
        <f t="shared" si="3"/>
        <v>0.36422018348623852</v>
      </c>
      <c r="J41" s="17">
        <v>0.7</v>
      </c>
      <c r="K41" s="12">
        <v>13.75</v>
      </c>
      <c r="L41" s="2">
        <f t="shared" si="5"/>
        <v>732</v>
      </c>
      <c r="M41" s="15">
        <f t="shared" si="4"/>
        <v>10065</v>
      </c>
      <c r="N41" t="str">
        <f t="shared" si="1"/>
        <v>SP</v>
      </c>
      <c r="O41" t="str">
        <f t="shared" si="2"/>
        <v>São Paulo</v>
      </c>
    </row>
    <row r="42" spans="1:15" x14ac:dyDescent="0.3">
      <c r="A42" s="10">
        <v>45658</v>
      </c>
      <c r="B42" s="9" t="s">
        <v>126</v>
      </c>
      <c r="C42" t="s">
        <v>127</v>
      </c>
      <c r="D42" s="9">
        <v>19623</v>
      </c>
      <c r="E42" s="5" t="s">
        <v>410</v>
      </c>
      <c r="F42" t="s">
        <v>128</v>
      </c>
      <c r="G42">
        <v>1781</v>
      </c>
      <c r="H42">
        <v>872</v>
      </c>
      <c r="I42" s="8">
        <f t="shared" si="3"/>
        <v>0.48961257720381807</v>
      </c>
      <c r="J42" s="17">
        <v>0.7</v>
      </c>
      <c r="K42" s="12">
        <v>13.75</v>
      </c>
      <c r="L42" s="2">
        <f t="shared" si="5"/>
        <v>374.70000000000005</v>
      </c>
      <c r="M42" s="15">
        <f t="shared" si="4"/>
        <v>5152.1250000000009</v>
      </c>
      <c r="N42" t="str">
        <f t="shared" si="1"/>
        <v>AL</v>
      </c>
      <c r="O42" t="str">
        <f t="shared" si="2"/>
        <v>Maceió</v>
      </c>
    </row>
    <row r="43" spans="1:15" x14ac:dyDescent="0.3">
      <c r="A43" s="10">
        <v>45658</v>
      </c>
      <c r="B43" s="9" t="s">
        <v>46</v>
      </c>
      <c r="C43" t="s">
        <v>47</v>
      </c>
      <c r="D43" s="9">
        <v>19693</v>
      </c>
      <c r="E43" s="5" t="s">
        <v>411</v>
      </c>
      <c r="F43" t="s">
        <v>51</v>
      </c>
      <c r="G43">
        <v>2325</v>
      </c>
      <c r="H43">
        <v>639</v>
      </c>
      <c r="I43" s="8">
        <f t="shared" si="3"/>
        <v>0.27483870967741936</v>
      </c>
      <c r="J43" s="17">
        <v>0.7</v>
      </c>
      <c r="K43" s="12">
        <v>13.75</v>
      </c>
      <c r="L43" s="2">
        <f t="shared" si="5"/>
        <v>988.49999999999977</v>
      </c>
      <c r="M43" s="15">
        <f t="shared" si="4"/>
        <v>13591.874999999996</v>
      </c>
      <c r="N43" t="str">
        <f t="shared" si="1"/>
        <v>DF</v>
      </c>
      <c r="O43" t="str">
        <f t="shared" si="2"/>
        <v>Brasília</v>
      </c>
    </row>
    <row r="44" spans="1:15" x14ac:dyDescent="0.3">
      <c r="A44" s="10">
        <v>45658</v>
      </c>
      <c r="B44" s="9" t="s">
        <v>15</v>
      </c>
      <c r="C44" t="s">
        <v>145</v>
      </c>
      <c r="D44" s="9">
        <v>19629</v>
      </c>
      <c r="E44" s="5" t="s">
        <v>412</v>
      </c>
      <c r="F44" t="s">
        <v>355</v>
      </c>
      <c r="G44">
        <v>1191</v>
      </c>
      <c r="H44">
        <v>529</v>
      </c>
      <c r="I44" s="8">
        <f t="shared" si="3"/>
        <v>0.4441645675902603</v>
      </c>
      <c r="J44" s="17">
        <v>0.7</v>
      </c>
      <c r="K44" s="12">
        <v>13.75</v>
      </c>
      <c r="L44" s="2">
        <f t="shared" si="5"/>
        <v>304.69999999999993</v>
      </c>
      <c r="M44" s="15">
        <f t="shared" si="4"/>
        <v>4189.6249999999991</v>
      </c>
      <c r="N44" t="str">
        <f t="shared" si="1"/>
        <v>RJ</v>
      </c>
      <c r="O44" t="str">
        <f t="shared" si="2"/>
        <v>Niterói</v>
      </c>
    </row>
    <row r="45" spans="1:15" x14ac:dyDescent="0.3">
      <c r="A45" s="10">
        <v>45658</v>
      </c>
      <c r="B45" s="9" t="s">
        <v>78</v>
      </c>
      <c r="C45" t="s">
        <v>79</v>
      </c>
      <c r="D45" s="9">
        <v>19730</v>
      </c>
      <c r="E45" s="5" t="s">
        <v>413</v>
      </c>
      <c r="F45" t="s">
        <v>80</v>
      </c>
      <c r="G45">
        <v>2725</v>
      </c>
      <c r="H45">
        <v>881</v>
      </c>
      <c r="I45" s="8">
        <f t="shared" si="3"/>
        <v>0.32330275229357797</v>
      </c>
      <c r="J45" s="17">
        <v>0.7</v>
      </c>
      <c r="K45" s="12">
        <v>13.75</v>
      </c>
      <c r="L45" s="2">
        <f t="shared" si="5"/>
        <v>1026.4999999999998</v>
      </c>
      <c r="M45" s="15">
        <f t="shared" si="4"/>
        <v>14114.374999999996</v>
      </c>
      <c r="N45" t="str">
        <f t="shared" si="1"/>
        <v>MT</v>
      </c>
      <c r="O45" t="str">
        <f t="shared" si="2"/>
        <v>Cuiabá</v>
      </c>
    </row>
    <row r="46" spans="1:15" x14ac:dyDescent="0.3">
      <c r="A46" s="10">
        <v>45658</v>
      </c>
      <c r="B46" s="9" t="s">
        <v>78</v>
      </c>
      <c r="C46" t="s">
        <v>79</v>
      </c>
      <c r="D46" s="9">
        <v>19794</v>
      </c>
      <c r="E46" s="5" t="s">
        <v>414</v>
      </c>
      <c r="F46" t="s">
        <v>81</v>
      </c>
      <c r="G46">
        <v>2763</v>
      </c>
      <c r="H46">
        <v>1176</v>
      </c>
      <c r="I46" s="8">
        <f t="shared" si="3"/>
        <v>0.42562432138979372</v>
      </c>
      <c r="J46" s="17">
        <v>0.7</v>
      </c>
      <c r="K46" s="12">
        <v>13.75</v>
      </c>
      <c r="L46" s="2">
        <f t="shared" si="5"/>
        <v>758.09999999999968</v>
      </c>
      <c r="M46" s="15">
        <f t="shared" si="4"/>
        <v>10423.874999999996</v>
      </c>
      <c r="N46" t="str">
        <f t="shared" si="1"/>
        <v>MT</v>
      </c>
      <c r="O46" t="str">
        <f t="shared" si="2"/>
        <v>Cuiabá</v>
      </c>
    </row>
    <row r="47" spans="1:15" x14ac:dyDescent="0.3">
      <c r="A47" s="10">
        <v>45658</v>
      </c>
      <c r="B47" s="9" t="s">
        <v>7</v>
      </c>
      <c r="C47" t="s">
        <v>99</v>
      </c>
      <c r="D47" s="9">
        <v>19691</v>
      </c>
      <c r="E47" s="5" t="s">
        <v>415</v>
      </c>
      <c r="F47" t="s">
        <v>100</v>
      </c>
      <c r="G47">
        <v>2691</v>
      </c>
      <c r="H47">
        <v>1201</v>
      </c>
      <c r="I47" s="8">
        <f t="shared" si="3"/>
        <v>0.44630248978075066</v>
      </c>
      <c r="J47" s="17">
        <v>0.7</v>
      </c>
      <c r="K47" s="12">
        <v>13.75</v>
      </c>
      <c r="L47" s="2">
        <f t="shared" si="5"/>
        <v>682.69999999999982</v>
      </c>
      <c r="M47" s="15">
        <f t="shared" si="4"/>
        <v>9387.1249999999982</v>
      </c>
      <c r="N47" t="str">
        <f t="shared" si="1"/>
        <v>GO</v>
      </c>
      <c r="O47" t="str">
        <f t="shared" si="2"/>
        <v>Goiânia</v>
      </c>
    </row>
    <row r="48" spans="1:15" x14ac:dyDescent="0.3">
      <c r="A48" s="10">
        <v>45658</v>
      </c>
      <c r="B48" s="9" t="s">
        <v>15</v>
      </c>
      <c r="C48" t="s">
        <v>358</v>
      </c>
      <c r="D48" s="9">
        <v>19505</v>
      </c>
      <c r="E48" s="5" t="s">
        <v>416</v>
      </c>
      <c r="F48" t="s">
        <v>204</v>
      </c>
      <c r="G48">
        <v>2539</v>
      </c>
      <c r="H48">
        <v>919</v>
      </c>
      <c r="I48" s="8">
        <f t="shared" si="3"/>
        <v>0.3619535250098464</v>
      </c>
      <c r="J48" s="17">
        <v>0.7</v>
      </c>
      <c r="K48" s="12">
        <v>13.75</v>
      </c>
      <c r="L48" s="2">
        <f t="shared" si="5"/>
        <v>858.3</v>
      </c>
      <c r="M48" s="15">
        <f t="shared" si="4"/>
        <v>11801.625</v>
      </c>
      <c r="N48" t="str">
        <f t="shared" si="1"/>
        <v>RJ</v>
      </c>
      <c r="O48" t="str">
        <f t="shared" si="2"/>
        <v>Rio De Janeiro</v>
      </c>
    </row>
    <row r="49" spans="1:15" x14ac:dyDescent="0.3">
      <c r="A49" s="10">
        <v>45658</v>
      </c>
      <c r="B49" s="9" t="s">
        <v>15</v>
      </c>
      <c r="C49" t="s">
        <v>358</v>
      </c>
      <c r="D49" s="9">
        <v>19515</v>
      </c>
      <c r="E49" s="5" t="s">
        <v>417</v>
      </c>
      <c r="F49" t="s">
        <v>205</v>
      </c>
      <c r="G49">
        <v>4044</v>
      </c>
      <c r="H49">
        <v>1559</v>
      </c>
      <c r="I49" s="8">
        <f t="shared" si="3"/>
        <v>0.38550939663699307</v>
      </c>
      <c r="J49" s="17">
        <v>0.7</v>
      </c>
      <c r="K49" s="12">
        <v>13.75</v>
      </c>
      <c r="L49" s="2">
        <f t="shared" si="5"/>
        <v>1271.7999999999997</v>
      </c>
      <c r="M49" s="15">
        <f t="shared" si="4"/>
        <v>17487.249999999996</v>
      </c>
      <c r="N49" t="str">
        <f t="shared" si="1"/>
        <v>RJ</v>
      </c>
      <c r="O49" t="str">
        <f t="shared" si="2"/>
        <v>Rio De Janeiro</v>
      </c>
    </row>
    <row r="50" spans="1:15" x14ac:dyDescent="0.3">
      <c r="A50" s="10">
        <v>45658</v>
      </c>
      <c r="B50" s="9" t="s">
        <v>15</v>
      </c>
      <c r="C50" t="s">
        <v>358</v>
      </c>
      <c r="D50" s="9">
        <v>19519</v>
      </c>
      <c r="E50" s="5" t="s">
        <v>418</v>
      </c>
      <c r="F50" t="s">
        <v>206</v>
      </c>
      <c r="G50">
        <v>6345</v>
      </c>
      <c r="H50">
        <v>2791</v>
      </c>
      <c r="I50" s="8">
        <f t="shared" si="3"/>
        <v>0.43987391646966117</v>
      </c>
      <c r="J50" s="17">
        <v>0.7</v>
      </c>
      <c r="K50" s="12">
        <v>13.75</v>
      </c>
      <c r="L50" s="2">
        <f t="shared" si="5"/>
        <v>1650.4999999999991</v>
      </c>
      <c r="M50" s="15">
        <f t="shared" si="4"/>
        <v>22694.374999999989</v>
      </c>
      <c r="N50" t="str">
        <f t="shared" si="1"/>
        <v>RJ</v>
      </c>
      <c r="O50" t="str">
        <f t="shared" si="2"/>
        <v>Rio De Janeiro</v>
      </c>
    </row>
    <row r="51" spans="1:15" x14ac:dyDescent="0.3">
      <c r="A51" s="10">
        <v>45658</v>
      </c>
      <c r="B51" s="9" t="s">
        <v>15</v>
      </c>
      <c r="C51" t="s">
        <v>358</v>
      </c>
      <c r="D51" s="9">
        <v>19518</v>
      </c>
      <c r="E51" s="5" t="s">
        <v>419</v>
      </c>
      <c r="F51" t="s">
        <v>207</v>
      </c>
      <c r="G51">
        <v>4755</v>
      </c>
      <c r="H51">
        <v>2106</v>
      </c>
      <c r="I51" s="8">
        <f t="shared" si="3"/>
        <v>0.44290220820189274</v>
      </c>
      <c r="J51" s="17">
        <v>0.7</v>
      </c>
      <c r="K51" s="12">
        <v>13.75</v>
      </c>
      <c r="L51" s="2">
        <f t="shared" si="5"/>
        <v>1222.4999999999995</v>
      </c>
      <c r="M51" s="15">
        <f t="shared" si="4"/>
        <v>16809.374999999993</v>
      </c>
      <c r="N51" t="str">
        <f t="shared" si="1"/>
        <v>RJ</v>
      </c>
      <c r="O51" t="str">
        <f t="shared" si="2"/>
        <v>Rio De Janeiro</v>
      </c>
    </row>
    <row r="52" spans="1:15" x14ac:dyDescent="0.3">
      <c r="A52" s="10">
        <v>45658</v>
      </c>
      <c r="B52" s="9" t="s">
        <v>15</v>
      </c>
      <c r="C52" t="s">
        <v>358</v>
      </c>
      <c r="D52" s="9">
        <v>19507</v>
      </c>
      <c r="E52" s="5" t="s">
        <v>420</v>
      </c>
      <c r="F52" t="s">
        <v>208</v>
      </c>
      <c r="G52">
        <v>3147</v>
      </c>
      <c r="H52">
        <v>1254</v>
      </c>
      <c r="I52" s="8">
        <f t="shared" si="3"/>
        <v>0.3984747378455672</v>
      </c>
      <c r="J52" s="17">
        <v>0.7</v>
      </c>
      <c r="K52" s="12">
        <v>13.75</v>
      </c>
      <c r="L52" s="2">
        <f t="shared" si="5"/>
        <v>948.90000000000009</v>
      </c>
      <c r="M52" s="15">
        <f t="shared" si="4"/>
        <v>13047.375000000002</v>
      </c>
      <c r="N52" t="str">
        <f t="shared" si="1"/>
        <v>RJ</v>
      </c>
      <c r="O52" t="str">
        <f t="shared" si="2"/>
        <v>Rio De Janeiro</v>
      </c>
    </row>
    <row r="53" spans="1:15" x14ac:dyDescent="0.3">
      <c r="A53" s="10">
        <v>45658</v>
      </c>
      <c r="B53" s="9" t="s">
        <v>15</v>
      </c>
      <c r="C53" t="s">
        <v>358</v>
      </c>
      <c r="D53" s="9">
        <v>19714</v>
      </c>
      <c r="E53" s="5" t="s">
        <v>421</v>
      </c>
      <c r="F53" t="s">
        <v>209</v>
      </c>
      <c r="G53">
        <v>2526</v>
      </c>
      <c r="H53">
        <v>959</v>
      </c>
      <c r="I53" s="8">
        <f t="shared" si="3"/>
        <v>0.37965162311955664</v>
      </c>
      <c r="J53" s="17">
        <v>0.7</v>
      </c>
      <c r="K53" s="12">
        <v>13.75</v>
      </c>
      <c r="L53" s="2">
        <f t="shared" si="5"/>
        <v>809.19999999999982</v>
      </c>
      <c r="M53" s="15">
        <f t="shared" si="4"/>
        <v>11126.499999999998</v>
      </c>
      <c r="N53" t="str">
        <f t="shared" si="1"/>
        <v>RJ</v>
      </c>
      <c r="O53" t="str">
        <f t="shared" si="2"/>
        <v>Rio De Janeiro</v>
      </c>
    </row>
    <row r="54" spans="1:15" x14ac:dyDescent="0.3">
      <c r="A54" s="10">
        <v>45658</v>
      </c>
      <c r="B54" s="9" t="s">
        <v>3</v>
      </c>
      <c r="C54" t="s">
        <v>248</v>
      </c>
      <c r="D54" s="9">
        <v>19804</v>
      </c>
      <c r="E54" s="5" t="s">
        <v>422</v>
      </c>
      <c r="F54" t="s">
        <v>255</v>
      </c>
      <c r="G54">
        <v>1358</v>
      </c>
      <c r="H54">
        <v>609</v>
      </c>
      <c r="I54" s="8">
        <f t="shared" si="3"/>
        <v>0.4484536082474227</v>
      </c>
      <c r="J54" s="17">
        <v>0.7</v>
      </c>
      <c r="K54" s="12">
        <v>13.75</v>
      </c>
      <c r="L54" s="2">
        <f t="shared" si="5"/>
        <v>341.59999999999991</v>
      </c>
      <c r="M54" s="15">
        <f t="shared" si="4"/>
        <v>4696.9999999999991</v>
      </c>
      <c r="N54" t="str">
        <f t="shared" si="1"/>
        <v>SP</v>
      </c>
      <c r="O54" t="str">
        <f t="shared" si="2"/>
        <v>São Paulo</v>
      </c>
    </row>
    <row r="55" spans="1:15" x14ac:dyDescent="0.3">
      <c r="A55" s="10">
        <v>45658</v>
      </c>
      <c r="B55" s="9" t="s">
        <v>3</v>
      </c>
      <c r="C55" t="s">
        <v>363</v>
      </c>
      <c r="D55" s="9">
        <v>19808</v>
      </c>
      <c r="E55" s="5" t="s">
        <v>423</v>
      </c>
      <c r="F55" t="s">
        <v>243</v>
      </c>
      <c r="G55">
        <v>1520</v>
      </c>
      <c r="H55">
        <v>447</v>
      </c>
      <c r="I55" s="8">
        <f t="shared" si="3"/>
        <v>0.29407894736842105</v>
      </c>
      <c r="J55" s="17">
        <v>0.7</v>
      </c>
      <c r="K55" s="12">
        <v>13.75</v>
      </c>
      <c r="L55" s="2">
        <f t="shared" si="5"/>
        <v>617</v>
      </c>
      <c r="M55" s="15">
        <f t="shared" si="4"/>
        <v>8483.75</v>
      </c>
      <c r="N55" t="str">
        <f t="shared" si="1"/>
        <v>SP</v>
      </c>
      <c r="O55" t="str">
        <f t="shared" si="2"/>
        <v>São Caetano Do Sul</v>
      </c>
    </row>
    <row r="56" spans="1:15" x14ac:dyDescent="0.3">
      <c r="A56" s="10">
        <v>45658</v>
      </c>
      <c r="B56" s="9" t="s">
        <v>3</v>
      </c>
      <c r="C56" t="s">
        <v>24</v>
      </c>
      <c r="D56" s="9">
        <v>19805</v>
      </c>
      <c r="E56" s="5" t="s">
        <v>424</v>
      </c>
      <c r="F56" t="s">
        <v>25</v>
      </c>
      <c r="G56">
        <v>1914</v>
      </c>
      <c r="H56">
        <v>891</v>
      </c>
      <c r="I56" s="8">
        <f t="shared" si="3"/>
        <v>0.46551724137931033</v>
      </c>
      <c r="J56" s="17">
        <v>0.7</v>
      </c>
      <c r="K56" s="12">
        <v>13.75</v>
      </c>
      <c r="L56" s="2">
        <f t="shared" si="5"/>
        <v>448.79999999999995</v>
      </c>
      <c r="M56" s="15">
        <f t="shared" si="4"/>
        <v>6170.9999999999991</v>
      </c>
      <c r="N56" t="str">
        <f t="shared" si="1"/>
        <v>SP</v>
      </c>
      <c r="O56" t="str">
        <f t="shared" si="2"/>
        <v>Barueri</v>
      </c>
    </row>
    <row r="57" spans="1:15" x14ac:dyDescent="0.3">
      <c r="A57" s="10">
        <v>45658</v>
      </c>
      <c r="B57" s="9" t="s">
        <v>3</v>
      </c>
      <c r="C57" t="s">
        <v>248</v>
      </c>
      <c r="D57" s="9">
        <v>19821</v>
      </c>
      <c r="E57" s="5" t="s">
        <v>425</v>
      </c>
      <c r="F57" t="s">
        <v>256</v>
      </c>
      <c r="G57">
        <v>1651</v>
      </c>
      <c r="H57">
        <v>448</v>
      </c>
      <c r="I57" s="8">
        <f t="shared" si="3"/>
        <v>0.27135069654754695</v>
      </c>
      <c r="J57" s="17">
        <v>0.7</v>
      </c>
      <c r="K57" s="12">
        <v>13.75</v>
      </c>
      <c r="L57" s="2">
        <f t="shared" si="5"/>
        <v>707.69999999999982</v>
      </c>
      <c r="M57" s="15">
        <f t="shared" si="4"/>
        <v>9730.8749999999982</v>
      </c>
      <c r="N57" t="str">
        <f t="shared" si="1"/>
        <v>SP</v>
      </c>
      <c r="O57" t="str">
        <f t="shared" si="2"/>
        <v>São Paulo</v>
      </c>
    </row>
    <row r="58" spans="1:15" x14ac:dyDescent="0.3">
      <c r="A58" s="10">
        <v>45658</v>
      </c>
      <c r="B58" s="9" t="s">
        <v>3</v>
      </c>
      <c r="C58" t="s">
        <v>362</v>
      </c>
      <c r="D58" s="9">
        <v>19825</v>
      </c>
      <c r="E58" s="5" t="s">
        <v>426</v>
      </c>
      <c r="F58" t="s">
        <v>241</v>
      </c>
      <c r="G58">
        <v>1179</v>
      </c>
      <c r="H58">
        <v>425</v>
      </c>
      <c r="I58" s="8">
        <f t="shared" si="3"/>
        <v>0.36047497879558948</v>
      </c>
      <c r="J58" s="17">
        <v>0.7</v>
      </c>
      <c r="K58" s="12">
        <v>13.75</v>
      </c>
      <c r="L58" s="2">
        <f t="shared" si="5"/>
        <v>400.29999999999995</v>
      </c>
      <c r="M58" s="15">
        <f t="shared" si="4"/>
        <v>5504.1249999999991</v>
      </c>
      <c r="N58" t="str">
        <f t="shared" si="1"/>
        <v>SP</v>
      </c>
      <c r="O58" t="str">
        <f t="shared" si="2"/>
        <v>São Bernardo Do Campo</v>
      </c>
    </row>
    <row r="59" spans="1:15" x14ac:dyDescent="0.3">
      <c r="A59" s="10">
        <v>45658</v>
      </c>
      <c r="B59" s="9" t="s">
        <v>3</v>
      </c>
      <c r="C59" t="s">
        <v>193</v>
      </c>
      <c r="D59" s="9">
        <v>19832</v>
      </c>
      <c r="E59" s="5" t="s">
        <v>427</v>
      </c>
      <c r="F59" t="s">
        <v>194</v>
      </c>
      <c r="G59">
        <v>1936</v>
      </c>
      <c r="H59">
        <v>613</v>
      </c>
      <c r="I59" s="8">
        <f t="shared" si="3"/>
        <v>0.31663223140495866</v>
      </c>
      <c r="J59" s="17">
        <v>0.7</v>
      </c>
      <c r="K59" s="12">
        <v>13.75</v>
      </c>
      <c r="L59" s="2">
        <f t="shared" si="5"/>
        <v>742.2</v>
      </c>
      <c r="M59" s="15">
        <f t="shared" si="4"/>
        <v>10205.25</v>
      </c>
      <c r="N59" t="str">
        <f t="shared" si="1"/>
        <v>SP</v>
      </c>
      <c r="O59" t="str">
        <f t="shared" si="2"/>
        <v>Ribeirão Preto</v>
      </c>
    </row>
    <row r="60" spans="1:15" x14ac:dyDescent="0.3">
      <c r="A60" s="10">
        <v>45658</v>
      </c>
      <c r="B60" s="9" t="s">
        <v>15</v>
      </c>
      <c r="C60" t="s">
        <v>358</v>
      </c>
      <c r="D60" s="9">
        <v>19844</v>
      </c>
      <c r="E60" s="5" t="s">
        <v>428</v>
      </c>
      <c r="F60" t="s">
        <v>210</v>
      </c>
      <c r="G60">
        <v>2073</v>
      </c>
      <c r="H60">
        <v>801</v>
      </c>
      <c r="I60" s="8">
        <f t="shared" si="3"/>
        <v>0.38639652677279307</v>
      </c>
      <c r="J60" s="17">
        <v>0.7</v>
      </c>
      <c r="K60" s="12">
        <v>13.75</v>
      </c>
      <c r="L60" s="2">
        <f t="shared" si="5"/>
        <v>650.09999999999968</v>
      </c>
      <c r="M60" s="15">
        <f t="shared" si="4"/>
        <v>8938.8749999999964</v>
      </c>
      <c r="N60" t="str">
        <f t="shared" si="1"/>
        <v>RJ</v>
      </c>
      <c r="O60" t="str">
        <f t="shared" si="2"/>
        <v>Rio De Janeiro</v>
      </c>
    </row>
    <row r="61" spans="1:15" x14ac:dyDescent="0.3">
      <c r="A61" s="10">
        <v>45658</v>
      </c>
      <c r="B61" s="9" t="s">
        <v>14</v>
      </c>
      <c r="C61" t="s">
        <v>29</v>
      </c>
      <c r="D61" s="9">
        <v>19704</v>
      </c>
      <c r="E61" s="5" t="s">
        <v>429</v>
      </c>
      <c r="F61" t="s">
        <v>30</v>
      </c>
      <c r="G61">
        <v>2624</v>
      </c>
      <c r="H61">
        <v>1191</v>
      </c>
      <c r="I61" s="8">
        <f t="shared" si="3"/>
        <v>0.45388719512195119</v>
      </c>
      <c r="J61" s="17">
        <v>0.7</v>
      </c>
      <c r="K61" s="12">
        <v>13.75</v>
      </c>
      <c r="L61" s="2">
        <f t="shared" si="5"/>
        <v>645.79999999999995</v>
      </c>
      <c r="M61" s="15">
        <f t="shared" si="4"/>
        <v>8879.75</v>
      </c>
      <c r="N61" t="str">
        <f t="shared" si="1"/>
        <v>MG</v>
      </c>
      <c r="O61" t="str">
        <f t="shared" si="2"/>
        <v>Belo Horizonte</v>
      </c>
    </row>
    <row r="62" spans="1:15" x14ac:dyDescent="0.3">
      <c r="A62" s="10">
        <v>45658</v>
      </c>
      <c r="B62" s="9" t="s">
        <v>15</v>
      </c>
      <c r="C62" t="s">
        <v>358</v>
      </c>
      <c r="D62" s="9">
        <v>19512</v>
      </c>
      <c r="E62" s="5" t="s">
        <v>430</v>
      </c>
      <c r="F62" t="s">
        <v>211</v>
      </c>
      <c r="G62">
        <v>2342</v>
      </c>
      <c r="H62">
        <v>802</v>
      </c>
      <c r="I62" s="8">
        <f t="shared" si="3"/>
        <v>0.34244235695986336</v>
      </c>
      <c r="J62" s="17">
        <v>0.7</v>
      </c>
      <c r="K62" s="12">
        <v>13.75</v>
      </c>
      <c r="L62" s="2">
        <f t="shared" si="5"/>
        <v>837.39999999999986</v>
      </c>
      <c r="M62" s="15">
        <f t="shared" si="4"/>
        <v>11514.249999999998</v>
      </c>
      <c r="N62" t="str">
        <f t="shared" si="1"/>
        <v>RJ</v>
      </c>
      <c r="O62" t="str">
        <f t="shared" si="2"/>
        <v>Rio De Janeiro</v>
      </c>
    </row>
    <row r="63" spans="1:15" x14ac:dyDescent="0.3">
      <c r="A63" s="10">
        <v>45658</v>
      </c>
      <c r="B63" s="9" t="s">
        <v>14</v>
      </c>
      <c r="C63" t="s">
        <v>29</v>
      </c>
      <c r="D63" s="9">
        <v>19562</v>
      </c>
      <c r="E63" s="5" t="s">
        <v>431</v>
      </c>
      <c r="F63" t="s">
        <v>31</v>
      </c>
      <c r="G63">
        <v>1808</v>
      </c>
      <c r="H63">
        <v>801</v>
      </c>
      <c r="I63" s="8">
        <f t="shared" si="3"/>
        <v>0.44303097345132741</v>
      </c>
      <c r="J63" s="17">
        <v>0.7</v>
      </c>
      <c r="K63" s="12">
        <v>13.75</v>
      </c>
      <c r="L63" s="2">
        <f t="shared" si="5"/>
        <v>464.59999999999991</v>
      </c>
      <c r="M63" s="15">
        <f t="shared" si="4"/>
        <v>6388.2499999999991</v>
      </c>
      <c r="N63" t="str">
        <f t="shared" si="1"/>
        <v>MG</v>
      </c>
      <c r="O63" t="str">
        <f t="shared" si="2"/>
        <v>Belo Horizonte</v>
      </c>
    </row>
    <row r="64" spans="1:15" x14ac:dyDescent="0.3">
      <c r="A64" s="10">
        <v>45658</v>
      </c>
      <c r="B64" s="9" t="s">
        <v>14</v>
      </c>
      <c r="C64" t="s">
        <v>29</v>
      </c>
      <c r="D64" s="9">
        <v>19748</v>
      </c>
      <c r="E64" s="5" t="s">
        <v>432</v>
      </c>
      <c r="F64" t="s">
        <v>32</v>
      </c>
      <c r="G64">
        <v>1895</v>
      </c>
      <c r="H64">
        <v>814</v>
      </c>
      <c r="I64" s="8">
        <f t="shared" si="3"/>
        <v>0.42955145118733506</v>
      </c>
      <c r="J64" s="17">
        <v>0.7</v>
      </c>
      <c r="K64" s="12">
        <v>13.75</v>
      </c>
      <c r="L64" s="2">
        <f t="shared" si="5"/>
        <v>512.5</v>
      </c>
      <c r="M64" s="15">
        <f t="shared" si="4"/>
        <v>7046.875</v>
      </c>
      <c r="N64" t="str">
        <f t="shared" si="1"/>
        <v>MG</v>
      </c>
      <c r="O64" t="str">
        <f t="shared" si="2"/>
        <v>Belo Horizonte</v>
      </c>
    </row>
    <row r="65" spans="1:15" x14ac:dyDescent="0.3">
      <c r="A65" s="10">
        <v>45658</v>
      </c>
      <c r="B65" s="9" t="s">
        <v>14</v>
      </c>
      <c r="C65" t="s">
        <v>29</v>
      </c>
      <c r="D65" s="9">
        <v>19561</v>
      </c>
      <c r="E65" s="5" t="s">
        <v>433</v>
      </c>
      <c r="F65" t="s">
        <v>33</v>
      </c>
      <c r="G65">
        <v>1404</v>
      </c>
      <c r="H65">
        <v>499</v>
      </c>
      <c r="I65" s="8">
        <f t="shared" si="3"/>
        <v>0.35541310541310539</v>
      </c>
      <c r="J65" s="17">
        <v>0.7</v>
      </c>
      <c r="K65" s="12">
        <v>13.75</v>
      </c>
      <c r="L65" s="2">
        <f t="shared" si="5"/>
        <v>483.79999999999995</v>
      </c>
      <c r="M65" s="15">
        <f t="shared" si="4"/>
        <v>6652.2499999999991</v>
      </c>
      <c r="N65" t="str">
        <f t="shared" si="1"/>
        <v>MG</v>
      </c>
      <c r="O65" t="str">
        <f t="shared" si="2"/>
        <v>Belo Horizonte</v>
      </c>
    </row>
    <row r="66" spans="1:15" x14ac:dyDescent="0.3">
      <c r="A66" s="10">
        <v>45658</v>
      </c>
      <c r="B66" s="9" t="s">
        <v>3</v>
      </c>
      <c r="C66" t="s">
        <v>248</v>
      </c>
      <c r="D66" s="9">
        <v>19855</v>
      </c>
      <c r="E66" s="5" t="s">
        <v>434</v>
      </c>
      <c r="F66" t="s">
        <v>257</v>
      </c>
      <c r="G66">
        <v>1581</v>
      </c>
      <c r="H66">
        <v>528</v>
      </c>
      <c r="I66" s="8">
        <f t="shared" si="3"/>
        <v>0.33396584440227706</v>
      </c>
      <c r="J66" s="17">
        <v>0.7</v>
      </c>
      <c r="K66" s="12">
        <v>13.75</v>
      </c>
      <c r="L66" s="2">
        <f t="shared" ref="L66:L97" si="6">H66*J66/I66-H66</f>
        <v>578.69999999999982</v>
      </c>
      <c r="M66" s="15">
        <f t="shared" si="4"/>
        <v>7957.1249999999973</v>
      </c>
      <c r="N66" t="str">
        <f t="shared" ref="N66:N129" si="7">B66</f>
        <v>SP</v>
      </c>
      <c r="O66" t="str">
        <f t="shared" ref="O66:O129" si="8">C66</f>
        <v>São Paulo</v>
      </c>
    </row>
    <row r="67" spans="1:15" x14ac:dyDescent="0.3">
      <c r="A67" s="10">
        <v>45658</v>
      </c>
      <c r="B67" s="9" t="s">
        <v>14</v>
      </c>
      <c r="C67" t="s">
        <v>29</v>
      </c>
      <c r="D67" s="9">
        <v>19560</v>
      </c>
      <c r="E67" s="5" t="s">
        <v>435</v>
      </c>
      <c r="F67" t="s">
        <v>34</v>
      </c>
      <c r="G67">
        <v>3532</v>
      </c>
      <c r="H67">
        <v>1518</v>
      </c>
      <c r="I67" s="8">
        <f t="shared" ref="I67:I130" si="9">H67/G67</f>
        <v>0.42978482446206118</v>
      </c>
      <c r="J67" s="17">
        <v>0.7</v>
      </c>
      <c r="K67" s="12">
        <v>13.75</v>
      </c>
      <c r="L67" s="2">
        <f t="shared" si="6"/>
        <v>954.39999999999964</v>
      </c>
      <c r="M67" s="15">
        <f t="shared" ref="M67:M130" si="10">L67*K67</f>
        <v>13122.999999999995</v>
      </c>
      <c r="N67" t="str">
        <f t="shared" si="7"/>
        <v>MG</v>
      </c>
      <c r="O67" t="str">
        <f t="shared" si="8"/>
        <v>Belo Horizonte</v>
      </c>
    </row>
    <row r="68" spans="1:15" x14ac:dyDescent="0.3">
      <c r="A68" s="10">
        <v>45658</v>
      </c>
      <c r="B68" s="9" t="s">
        <v>3</v>
      </c>
      <c r="C68" t="s">
        <v>248</v>
      </c>
      <c r="D68" s="9">
        <v>19859</v>
      </c>
      <c r="E68" s="5" t="s">
        <v>436</v>
      </c>
      <c r="F68" t="s">
        <v>258</v>
      </c>
      <c r="G68">
        <v>2260</v>
      </c>
      <c r="H68">
        <v>684</v>
      </c>
      <c r="I68" s="8">
        <f t="shared" si="9"/>
        <v>0.30265486725663715</v>
      </c>
      <c r="J68" s="17">
        <v>0.7</v>
      </c>
      <c r="K68" s="12">
        <v>13.75</v>
      </c>
      <c r="L68" s="2">
        <f t="shared" si="6"/>
        <v>898</v>
      </c>
      <c r="M68" s="15">
        <f t="shared" si="10"/>
        <v>12347.5</v>
      </c>
      <c r="N68" t="str">
        <f t="shared" si="7"/>
        <v>SP</v>
      </c>
      <c r="O68" t="str">
        <f t="shared" si="8"/>
        <v>São Paulo</v>
      </c>
    </row>
    <row r="69" spans="1:15" x14ac:dyDescent="0.3">
      <c r="A69" s="10">
        <v>45658</v>
      </c>
      <c r="B69" s="9" t="s">
        <v>14</v>
      </c>
      <c r="C69" t="s">
        <v>29</v>
      </c>
      <c r="D69" s="9">
        <v>19780</v>
      </c>
      <c r="E69" s="5" t="s">
        <v>437</v>
      </c>
      <c r="F69" t="s">
        <v>35</v>
      </c>
      <c r="G69">
        <v>1382</v>
      </c>
      <c r="H69">
        <v>764</v>
      </c>
      <c r="I69" s="8">
        <f t="shared" si="9"/>
        <v>0.55282199710564395</v>
      </c>
      <c r="J69" s="17">
        <v>0.7</v>
      </c>
      <c r="K69" s="12">
        <v>13.75</v>
      </c>
      <c r="L69" s="2">
        <f t="shared" si="6"/>
        <v>203.39999999999998</v>
      </c>
      <c r="M69" s="15">
        <f t="shared" si="10"/>
        <v>2796.7499999999995</v>
      </c>
      <c r="N69" t="str">
        <f t="shared" si="7"/>
        <v>MG</v>
      </c>
      <c r="O69" t="str">
        <f t="shared" si="8"/>
        <v>Belo Horizonte</v>
      </c>
    </row>
    <row r="70" spans="1:15" x14ac:dyDescent="0.3">
      <c r="A70" s="10">
        <v>45658</v>
      </c>
      <c r="B70" s="9" t="s">
        <v>3</v>
      </c>
      <c r="C70" t="s">
        <v>361</v>
      </c>
      <c r="D70" s="9">
        <v>19847</v>
      </c>
      <c r="E70" s="5" t="s">
        <v>438</v>
      </c>
      <c r="F70" t="s">
        <v>238</v>
      </c>
      <c r="G70">
        <v>2119</v>
      </c>
      <c r="H70">
        <v>696</v>
      </c>
      <c r="I70" s="8">
        <f t="shared" si="9"/>
        <v>0.32845681925436526</v>
      </c>
      <c r="J70" s="17">
        <v>0.7</v>
      </c>
      <c r="K70" s="12">
        <v>13.75</v>
      </c>
      <c r="L70" s="2">
        <f t="shared" si="6"/>
        <v>787.3</v>
      </c>
      <c r="M70" s="15">
        <f t="shared" si="10"/>
        <v>10825.375</v>
      </c>
      <c r="N70" t="str">
        <f t="shared" si="7"/>
        <v>SP</v>
      </c>
      <c r="O70" t="str">
        <f t="shared" si="8"/>
        <v>Santo André</v>
      </c>
    </row>
    <row r="71" spans="1:15" x14ac:dyDescent="0.3">
      <c r="A71" s="10">
        <v>45658</v>
      </c>
      <c r="B71" s="9" t="s">
        <v>3</v>
      </c>
      <c r="C71" t="s">
        <v>110</v>
      </c>
      <c r="D71" s="9">
        <v>19884</v>
      </c>
      <c r="E71" s="5" t="s">
        <v>439</v>
      </c>
      <c r="F71" t="s">
        <v>111</v>
      </c>
      <c r="G71">
        <v>2354</v>
      </c>
      <c r="H71">
        <v>788</v>
      </c>
      <c r="I71" s="8">
        <f t="shared" si="9"/>
        <v>0.33474936278674594</v>
      </c>
      <c r="J71" s="17">
        <v>0.7</v>
      </c>
      <c r="K71" s="12">
        <v>13.75</v>
      </c>
      <c r="L71" s="2">
        <f t="shared" si="6"/>
        <v>859.8</v>
      </c>
      <c r="M71" s="15">
        <f t="shared" si="10"/>
        <v>11822.25</v>
      </c>
      <c r="N71" t="str">
        <f t="shared" si="7"/>
        <v>SP</v>
      </c>
      <c r="O71" t="str">
        <f t="shared" si="8"/>
        <v>Guarulhos</v>
      </c>
    </row>
    <row r="72" spans="1:15" x14ac:dyDescent="0.3">
      <c r="A72" s="10">
        <v>45658</v>
      </c>
      <c r="B72" s="9" t="s">
        <v>3</v>
      </c>
      <c r="C72" t="s">
        <v>108</v>
      </c>
      <c r="D72" s="9">
        <v>19877</v>
      </c>
      <c r="E72" s="5" t="s">
        <v>440</v>
      </c>
      <c r="F72" t="s">
        <v>109</v>
      </c>
      <c r="G72">
        <v>3617</v>
      </c>
      <c r="H72">
        <v>1276</v>
      </c>
      <c r="I72" s="8">
        <f t="shared" si="9"/>
        <v>0.35277854575615153</v>
      </c>
      <c r="J72" s="17">
        <v>0.7</v>
      </c>
      <c r="K72" s="12">
        <v>13.75</v>
      </c>
      <c r="L72" s="2">
        <f t="shared" si="6"/>
        <v>1255.8999999999996</v>
      </c>
      <c r="M72" s="15">
        <f t="shared" si="10"/>
        <v>17268.624999999996</v>
      </c>
      <c r="N72" t="str">
        <f t="shared" si="7"/>
        <v>SP</v>
      </c>
      <c r="O72" t="str">
        <f t="shared" si="8"/>
        <v>Guarujá</v>
      </c>
    </row>
    <row r="73" spans="1:15" x14ac:dyDescent="0.3">
      <c r="A73" s="10">
        <v>45658</v>
      </c>
      <c r="B73" s="9" t="s">
        <v>3</v>
      </c>
      <c r="C73" t="s">
        <v>248</v>
      </c>
      <c r="D73" s="9">
        <v>19890</v>
      </c>
      <c r="E73" s="5" t="s">
        <v>441</v>
      </c>
      <c r="F73" t="s">
        <v>259</v>
      </c>
      <c r="G73">
        <v>1460</v>
      </c>
      <c r="H73">
        <v>491</v>
      </c>
      <c r="I73" s="8">
        <f t="shared" si="9"/>
        <v>0.33630136986301368</v>
      </c>
      <c r="J73" s="17">
        <v>0.7</v>
      </c>
      <c r="K73" s="12">
        <v>13.75</v>
      </c>
      <c r="L73" s="2">
        <f t="shared" si="6"/>
        <v>531</v>
      </c>
      <c r="M73" s="15">
        <f t="shared" si="10"/>
        <v>7301.25</v>
      </c>
      <c r="N73" t="str">
        <f t="shared" si="7"/>
        <v>SP</v>
      </c>
      <c r="O73" t="str">
        <f t="shared" si="8"/>
        <v>São Paulo</v>
      </c>
    </row>
    <row r="74" spans="1:15" x14ac:dyDescent="0.3">
      <c r="A74" s="10">
        <v>45658</v>
      </c>
      <c r="B74" s="9" t="s">
        <v>3</v>
      </c>
      <c r="C74" t="s">
        <v>248</v>
      </c>
      <c r="D74" s="9">
        <v>19891</v>
      </c>
      <c r="E74" s="5" t="s">
        <v>442</v>
      </c>
      <c r="F74" t="s">
        <v>260</v>
      </c>
      <c r="G74">
        <v>1093</v>
      </c>
      <c r="H74">
        <v>477</v>
      </c>
      <c r="I74" s="8">
        <f t="shared" si="9"/>
        <v>0.4364135407136322</v>
      </c>
      <c r="J74" s="17">
        <v>0.7</v>
      </c>
      <c r="K74" s="12">
        <v>13.75</v>
      </c>
      <c r="L74" s="2">
        <f t="shared" si="6"/>
        <v>288.09999999999991</v>
      </c>
      <c r="M74" s="15">
        <f t="shared" si="10"/>
        <v>3961.3749999999986</v>
      </c>
      <c r="N74" t="str">
        <f t="shared" si="7"/>
        <v>SP</v>
      </c>
      <c r="O74" t="str">
        <f t="shared" si="8"/>
        <v>São Paulo</v>
      </c>
    </row>
    <row r="75" spans="1:15" x14ac:dyDescent="0.3">
      <c r="A75" s="10">
        <v>45658</v>
      </c>
      <c r="B75" s="9" t="s">
        <v>3</v>
      </c>
      <c r="C75" t="s">
        <v>239</v>
      </c>
      <c r="D75" s="9">
        <v>19708</v>
      </c>
      <c r="E75" s="5" t="s">
        <v>443</v>
      </c>
      <c r="F75" t="s">
        <v>240</v>
      </c>
      <c r="G75">
        <v>3259</v>
      </c>
      <c r="H75">
        <v>1181</v>
      </c>
      <c r="I75" s="8">
        <f t="shared" si="9"/>
        <v>0.36238109849647132</v>
      </c>
      <c r="J75" s="17">
        <v>0.7</v>
      </c>
      <c r="K75" s="12">
        <v>13.75</v>
      </c>
      <c r="L75" s="2">
        <f t="shared" si="6"/>
        <v>1100.2999999999997</v>
      </c>
      <c r="M75" s="15">
        <f t="shared" si="10"/>
        <v>15129.124999999996</v>
      </c>
      <c r="N75" t="str">
        <f t="shared" si="7"/>
        <v>SP</v>
      </c>
      <c r="O75" t="str">
        <f t="shared" si="8"/>
        <v>Santos</v>
      </c>
    </row>
    <row r="76" spans="1:15" x14ac:dyDescent="0.3">
      <c r="A76" s="10">
        <v>45658</v>
      </c>
      <c r="B76" s="9" t="s">
        <v>15</v>
      </c>
      <c r="C76" t="s">
        <v>358</v>
      </c>
      <c r="D76" s="9">
        <v>19508</v>
      </c>
      <c r="E76" s="5" t="s">
        <v>444</v>
      </c>
      <c r="F76" t="s">
        <v>212</v>
      </c>
      <c r="G76">
        <v>3280</v>
      </c>
      <c r="H76">
        <v>1567</v>
      </c>
      <c r="I76" s="8">
        <f t="shared" si="9"/>
        <v>0.47774390243902437</v>
      </c>
      <c r="J76" s="17">
        <v>0.7</v>
      </c>
      <c r="K76" s="12">
        <v>13.75</v>
      </c>
      <c r="L76" s="2">
        <f t="shared" si="6"/>
        <v>729</v>
      </c>
      <c r="M76" s="15">
        <f t="shared" si="10"/>
        <v>10023.75</v>
      </c>
      <c r="N76" t="str">
        <f t="shared" si="7"/>
        <v>RJ</v>
      </c>
      <c r="O76" t="str">
        <f t="shared" si="8"/>
        <v>Rio De Janeiro</v>
      </c>
    </row>
    <row r="77" spans="1:15" x14ac:dyDescent="0.3">
      <c r="A77" s="10">
        <v>45658</v>
      </c>
      <c r="B77" s="9" t="s">
        <v>3</v>
      </c>
      <c r="C77" t="s">
        <v>362</v>
      </c>
      <c r="D77" s="9">
        <v>19820</v>
      </c>
      <c r="E77" s="5" t="s">
        <v>445</v>
      </c>
      <c r="F77" t="s">
        <v>242</v>
      </c>
      <c r="G77">
        <v>1381</v>
      </c>
      <c r="H77">
        <v>385</v>
      </c>
      <c r="I77" s="8">
        <f t="shared" si="9"/>
        <v>0.27878349022447502</v>
      </c>
      <c r="J77" s="17">
        <v>0.7</v>
      </c>
      <c r="K77" s="12">
        <v>13.75</v>
      </c>
      <c r="L77" s="2">
        <f t="shared" si="6"/>
        <v>581.70000000000005</v>
      </c>
      <c r="M77" s="15">
        <f t="shared" si="10"/>
        <v>7998.3750000000009</v>
      </c>
      <c r="N77" t="str">
        <f t="shared" si="7"/>
        <v>SP</v>
      </c>
      <c r="O77" t="str">
        <f t="shared" si="8"/>
        <v>São Bernardo Do Campo</v>
      </c>
    </row>
    <row r="78" spans="1:15" x14ac:dyDescent="0.3">
      <c r="A78" s="10">
        <v>45658</v>
      </c>
      <c r="B78" s="9" t="s">
        <v>15</v>
      </c>
      <c r="C78" t="s">
        <v>358</v>
      </c>
      <c r="D78" s="9">
        <v>19894</v>
      </c>
      <c r="E78" s="5" t="s">
        <v>446</v>
      </c>
      <c r="F78" t="s">
        <v>213</v>
      </c>
      <c r="G78">
        <v>2276</v>
      </c>
      <c r="H78">
        <v>761</v>
      </c>
      <c r="I78" s="8">
        <f t="shared" si="9"/>
        <v>0.3343585237258348</v>
      </c>
      <c r="J78" s="17">
        <v>0.7</v>
      </c>
      <c r="K78" s="12">
        <v>13.75</v>
      </c>
      <c r="L78" s="2">
        <f t="shared" si="6"/>
        <v>832.19999999999982</v>
      </c>
      <c r="M78" s="15">
        <f t="shared" si="10"/>
        <v>11442.749999999998</v>
      </c>
      <c r="N78" t="str">
        <f t="shared" si="7"/>
        <v>RJ</v>
      </c>
      <c r="O78" t="str">
        <f t="shared" si="8"/>
        <v>Rio De Janeiro</v>
      </c>
    </row>
    <row r="79" spans="1:15" x14ac:dyDescent="0.3">
      <c r="A79" s="10">
        <v>45658</v>
      </c>
      <c r="B79" s="9" t="s">
        <v>15</v>
      </c>
      <c r="C79" t="s">
        <v>358</v>
      </c>
      <c r="D79" s="9">
        <v>19526</v>
      </c>
      <c r="E79" s="5" t="s">
        <v>447</v>
      </c>
      <c r="F79" t="s">
        <v>214</v>
      </c>
      <c r="G79">
        <v>1636</v>
      </c>
      <c r="H79">
        <v>612</v>
      </c>
      <c r="I79" s="8">
        <f t="shared" si="9"/>
        <v>0.37408312958435208</v>
      </c>
      <c r="J79" s="17">
        <v>0.7</v>
      </c>
      <c r="K79" s="12">
        <v>13.75</v>
      </c>
      <c r="L79" s="2">
        <f t="shared" si="6"/>
        <v>533.19999999999982</v>
      </c>
      <c r="M79" s="15">
        <f t="shared" si="10"/>
        <v>7331.4999999999973</v>
      </c>
      <c r="N79" t="str">
        <f t="shared" si="7"/>
        <v>RJ</v>
      </c>
      <c r="O79" t="str">
        <f t="shared" si="8"/>
        <v>Rio De Janeiro</v>
      </c>
    </row>
    <row r="80" spans="1:15" x14ac:dyDescent="0.3">
      <c r="A80" s="10">
        <v>45658</v>
      </c>
      <c r="B80" s="9" t="s">
        <v>15</v>
      </c>
      <c r="C80" t="s">
        <v>358</v>
      </c>
      <c r="D80" s="9">
        <v>19509</v>
      </c>
      <c r="E80" s="5" t="s">
        <v>448</v>
      </c>
      <c r="F80" t="s">
        <v>215</v>
      </c>
      <c r="G80">
        <v>2491</v>
      </c>
      <c r="H80">
        <v>853</v>
      </c>
      <c r="I80" s="8">
        <f t="shared" si="9"/>
        <v>0.34243275792854277</v>
      </c>
      <c r="J80" s="17">
        <v>0.7</v>
      </c>
      <c r="K80" s="12">
        <v>13.75</v>
      </c>
      <c r="L80" s="2">
        <f t="shared" si="6"/>
        <v>890.69999999999959</v>
      </c>
      <c r="M80" s="15">
        <f t="shared" si="10"/>
        <v>12247.124999999995</v>
      </c>
      <c r="N80" t="str">
        <f t="shared" si="7"/>
        <v>RJ</v>
      </c>
      <c r="O80" t="str">
        <f t="shared" si="8"/>
        <v>Rio De Janeiro</v>
      </c>
    </row>
    <row r="81" spans="1:15" x14ac:dyDescent="0.3">
      <c r="A81" s="10">
        <v>45658</v>
      </c>
      <c r="B81" s="9" t="s">
        <v>3</v>
      </c>
      <c r="C81" t="s">
        <v>356</v>
      </c>
      <c r="D81" s="9">
        <v>19745</v>
      </c>
      <c r="E81" s="5" t="s">
        <v>449</v>
      </c>
      <c r="F81" t="s">
        <v>154</v>
      </c>
      <c r="G81">
        <v>1860</v>
      </c>
      <c r="H81">
        <v>772</v>
      </c>
      <c r="I81" s="8">
        <f t="shared" si="9"/>
        <v>0.4150537634408602</v>
      </c>
      <c r="J81" s="17">
        <v>0.7</v>
      </c>
      <c r="K81" s="12">
        <v>13.75</v>
      </c>
      <c r="L81" s="2">
        <f t="shared" si="6"/>
        <v>530</v>
      </c>
      <c r="M81" s="15">
        <f t="shared" si="10"/>
        <v>7287.5</v>
      </c>
      <c r="N81" t="str">
        <f t="shared" si="7"/>
        <v>SP</v>
      </c>
      <c r="O81" t="str">
        <f t="shared" si="8"/>
        <v>Osasco</v>
      </c>
    </row>
    <row r="82" spans="1:15" x14ac:dyDescent="0.3">
      <c r="A82" s="10">
        <v>45658</v>
      </c>
      <c r="B82" s="9" t="s">
        <v>3</v>
      </c>
      <c r="C82" t="s">
        <v>248</v>
      </c>
      <c r="D82" s="9">
        <v>19710</v>
      </c>
      <c r="E82" s="5" t="s">
        <v>450</v>
      </c>
      <c r="F82" t="s">
        <v>261</v>
      </c>
      <c r="G82">
        <v>1926</v>
      </c>
      <c r="H82">
        <v>873</v>
      </c>
      <c r="I82" s="8">
        <f t="shared" si="9"/>
        <v>0.45327102803738317</v>
      </c>
      <c r="J82" s="17">
        <v>0.7</v>
      </c>
      <c r="K82" s="12">
        <v>13.75</v>
      </c>
      <c r="L82" s="2">
        <f t="shared" si="6"/>
        <v>475.19999999999982</v>
      </c>
      <c r="M82" s="15">
        <f t="shared" si="10"/>
        <v>6533.9999999999973</v>
      </c>
      <c r="N82" t="str">
        <f t="shared" si="7"/>
        <v>SP</v>
      </c>
      <c r="O82" t="str">
        <f t="shared" si="8"/>
        <v>São Paulo</v>
      </c>
    </row>
    <row r="83" spans="1:15" x14ac:dyDescent="0.3">
      <c r="A83" s="10">
        <v>45658</v>
      </c>
      <c r="B83" s="9" t="s">
        <v>14</v>
      </c>
      <c r="C83" t="s">
        <v>29</v>
      </c>
      <c r="D83" s="9">
        <v>19720</v>
      </c>
      <c r="E83" s="5" t="s">
        <v>451</v>
      </c>
      <c r="F83" t="s">
        <v>36</v>
      </c>
      <c r="G83">
        <v>1674</v>
      </c>
      <c r="H83">
        <v>652</v>
      </c>
      <c r="I83" s="8">
        <f t="shared" si="9"/>
        <v>0.38948626045400236</v>
      </c>
      <c r="J83" s="17">
        <v>0.7</v>
      </c>
      <c r="K83" s="12">
        <v>13.75</v>
      </c>
      <c r="L83" s="2">
        <f t="shared" si="6"/>
        <v>519.79999999999995</v>
      </c>
      <c r="M83" s="15">
        <f t="shared" si="10"/>
        <v>7147.2499999999991</v>
      </c>
      <c r="N83" t="str">
        <f t="shared" si="7"/>
        <v>MG</v>
      </c>
      <c r="O83" t="str">
        <f t="shared" si="8"/>
        <v>Belo Horizonte</v>
      </c>
    </row>
    <row r="84" spans="1:15" x14ac:dyDescent="0.3">
      <c r="A84" s="10">
        <v>45658</v>
      </c>
      <c r="B84" s="9" t="s">
        <v>15</v>
      </c>
      <c r="C84" t="s">
        <v>358</v>
      </c>
      <c r="D84" s="9">
        <v>19635</v>
      </c>
      <c r="E84" s="5" t="s">
        <v>452</v>
      </c>
      <c r="F84" t="s">
        <v>216</v>
      </c>
      <c r="G84">
        <v>1853</v>
      </c>
      <c r="H84">
        <v>788</v>
      </c>
      <c r="I84" s="8">
        <f t="shared" si="9"/>
        <v>0.42525634106853749</v>
      </c>
      <c r="J84" s="17">
        <v>0.7</v>
      </c>
      <c r="K84" s="12">
        <v>13.75</v>
      </c>
      <c r="L84" s="2">
        <f t="shared" si="6"/>
        <v>509.09999999999991</v>
      </c>
      <c r="M84" s="15">
        <f t="shared" si="10"/>
        <v>7000.1249999999991</v>
      </c>
      <c r="N84" t="str">
        <f t="shared" si="7"/>
        <v>RJ</v>
      </c>
      <c r="O84" t="str">
        <f t="shared" si="8"/>
        <v>Rio De Janeiro</v>
      </c>
    </row>
    <row r="85" spans="1:15" x14ac:dyDescent="0.3">
      <c r="A85" s="10">
        <v>45658</v>
      </c>
      <c r="B85" s="9" t="s">
        <v>15</v>
      </c>
      <c r="C85" t="s">
        <v>358</v>
      </c>
      <c r="D85" s="9">
        <v>19665</v>
      </c>
      <c r="E85" s="5" t="s">
        <v>453</v>
      </c>
      <c r="F85" t="s">
        <v>217</v>
      </c>
      <c r="G85">
        <v>1894</v>
      </c>
      <c r="H85">
        <v>751</v>
      </c>
      <c r="I85" s="8">
        <f t="shared" si="9"/>
        <v>0.39651531151003166</v>
      </c>
      <c r="J85" s="17">
        <v>0.7</v>
      </c>
      <c r="K85" s="12">
        <v>13.75</v>
      </c>
      <c r="L85" s="2">
        <f t="shared" si="6"/>
        <v>574.79999999999995</v>
      </c>
      <c r="M85" s="15">
        <f t="shared" si="10"/>
        <v>7903.4999999999991</v>
      </c>
      <c r="N85" t="str">
        <f t="shared" si="7"/>
        <v>RJ</v>
      </c>
      <c r="O85" t="str">
        <f t="shared" si="8"/>
        <v>Rio De Janeiro</v>
      </c>
    </row>
    <row r="86" spans="1:15" x14ac:dyDescent="0.3">
      <c r="A86" s="10">
        <v>45658</v>
      </c>
      <c r="B86" s="9" t="s">
        <v>15</v>
      </c>
      <c r="C86" t="s">
        <v>358</v>
      </c>
      <c r="D86" s="9">
        <v>19504</v>
      </c>
      <c r="E86" s="5" t="s">
        <v>454</v>
      </c>
      <c r="F86" t="s">
        <v>218</v>
      </c>
      <c r="G86">
        <v>3773</v>
      </c>
      <c r="H86">
        <v>1559</v>
      </c>
      <c r="I86" s="8">
        <f t="shared" si="9"/>
        <v>0.41319904585210709</v>
      </c>
      <c r="J86" s="17">
        <v>0.7</v>
      </c>
      <c r="K86" s="12">
        <v>13.75</v>
      </c>
      <c r="L86" s="2">
        <f t="shared" si="6"/>
        <v>1082.0999999999999</v>
      </c>
      <c r="M86" s="15">
        <f t="shared" si="10"/>
        <v>14878.874999999998</v>
      </c>
      <c r="N86" t="str">
        <f t="shared" si="7"/>
        <v>RJ</v>
      </c>
      <c r="O86" t="str">
        <f t="shared" si="8"/>
        <v>Rio De Janeiro</v>
      </c>
    </row>
    <row r="87" spans="1:15" x14ac:dyDescent="0.3">
      <c r="A87" s="10">
        <v>45658</v>
      </c>
      <c r="B87" s="9" t="s">
        <v>15</v>
      </c>
      <c r="C87" t="s">
        <v>358</v>
      </c>
      <c r="D87" s="9">
        <v>19511</v>
      </c>
      <c r="E87" s="5" t="s">
        <v>455</v>
      </c>
      <c r="F87" t="s">
        <v>219</v>
      </c>
      <c r="G87">
        <v>3096</v>
      </c>
      <c r="H87">
        <v>1191</v>
      </c>
      <c r="I87" s="8">
        <f t="shared" si="9"/>
        <v>0.38468992248062017</v>
      </c>
      <c r="J87" s="17">
        <v>0.7</v>
      </c>
      <c r="K87" s="12">
        <v>13.75</v>
      </c>
      <c r="L87" s="2">
        <f t="shared" si="6"/>
        <v>976.19999999999982</v>
      </c>
      <c r="M87" s="15">
        <f t="shared" si="10"/>
        <v>13422.749999999998</v>
      </c>
      <c r="N87" t="str">
        <f t="shared" si="7"/>
        <v>RJ</v>
      </c>
      <c r="O87" t="str">
        <f t="shared" si="8"/>
        <v>Rio De Janeiro</v>
      </c>
    </row>
    <row r="88" spans="1:15" x14ac:dyDescent="0.3">
      <c r="A88" s="10">
        <v>45658</v>
      </c>
      <c r="B88" s="9" t="s">
        <v>14</v>
      </c>
      <c r="C88" t="s">
        <v>285</v>
      </c>
      <c r="D88" s="9">
        <v>19698</v>
      </c>
      <c r="E88" s="5" t="s">
        <v>456</v>
      </c>
      <c r="F88" t="s">
        <v>331</v>
      </c>
      <c r="G88">
        <v>2191</v>
      </c>
      <c r="H88">
        <v>825</v>
      </c>
      <c r="I88" s="8">
        <f t="shared" si="9"/>
        <v>0.3765403925148334</v>
      </c>
      <c r="J88" s="17">
        <v>0.7</v>
      </c>
      <c r="K88" s="12">
        <v>13.75</v>
      </c>
      <c r="L88" s="2">
        <f t="shared" si="6"/>
        <v>708.7</v>
      </c>
      <c r="M88" s="15">
        <f t="shared" si="10"/>
        <v>9744.625</v>
      </c>
      <c r="N88" t="str">
        <f t="shared" si="7"/>
        <v>MG</v>
      </c>
      <c r="O88" t="str">
        <f t="shared" si="8"/>
        <v>Uberlândia</v>
      </c>
    </row>
    <row r="89" spans="1:15" x14ac:dyDescent="0.3">
      <c r="A89" s="10">
        <v>45658</v>
      </c>
      <c r="B89" s="9" t="s">
        <v>15</v>
      </c>
      <c r="C89" t="s">
        <v>358</v>
      </c>
      <c r="D89" s="9">
        <v>19506</v>
      </c>
      <c r="E89" s="5" t="s">
        <v>457</v>
      </c>
      <c r="F89" t="s">
        <v>220</v>
      </c>
      <c r="G89">
        <v>2702</v>
      </c>
      <c r="H89">
        <v>929</v>
      </c>
      <c r="I89" s="8">
        <f t="shared" si="9"/>
        <v>0.34381939304219095</v>
      </c>
      <c r="J89" s="17">
        <v>0.7</v>
      </c>
      <c r="K89" s="12">
        <v>13.75</v>
      </c>
      <c r="L89" s="2">
        <f t="shared" si="6"/>
        <v>962.40000000000009</v>
      </c>
      <c r="M89" s="15">
        <f t="shared" si="10"/>
        <v>13233.000000000002</v>
      </c>
      <c r="N89" t="str">
        <f t="shared" si="7"/>
        <v>RJ</v>
      </c>
      <c r="O89" t="str">
        <f t="shared" si="8"/>
        <v>Rio De Janeiro</v>
      </c>
    </row>
    <row r="90" spans="1:15" x14ac:dyDescent="0.3">
      <c r="A90" s="10">
        <v>45658</v>
      </c>
      <c r="B90" s="9" t="s">
        <v>7</v>
      </c>
      <c r="C90" t="s">
        <v>8</v>
      </c>
      <c r="D90" s="9">
        <v>19700</v>
      </c>
      <c r="E90" s="5" t="s">
        <v>458</v>
      </c>
      <c r="F90" t="s">
        <v>9</v>
      </c>
      <c r="G90">
        <v>1989</v>
      </c>
      <c r="H90">
        <v>762</v>
      </c>
      <c r="I90" s="8">
        <f t="shared" si="9"/>
        <v>0.38310708898944196</v>
      </c>
      <c r="J90" s="17">
        <v>0.7</v>
      </c>
      <c r="K90" s="12">
        <v>13.75</v>
      </c>
      <c r="L90" s="2">
        <f t="shared" si="6"/>
        <v>630.29999999999995</v>
      </c>
      <c r="M90" s="15">
        <f t="shared" si="10"/>
        <v>8666.625</v>
      </c>
      <c r="N90" t="str">
        <f t="shared" si="7"/>
        <v>GO</v>
      </c>
      <c r="O90" t="str">
        <f t="shared" si="8"/>
        <v>Anápolis</v>
      </c>
    </row>
    <row r="91" spans="1:15" x14ac:dyDescent="0.3">
      <c r="A91" s="10">
        <v>45658</v>
      </c>
      <c r="B91" s="9" t="s">
        <v>14</v>
      </c>
      <c r="C91" t="s">
        <v>29</v>
      </c>
      <c r="D91" s="9">
        <v>19697</v>
      </c>
      <c r="E91" s="5" t="s">
        <v>459</v>
      </c>
      <c r="F91" t="s">
        <v>37</v>
      </c>
      <c r="G91">
        <v>2346</v>
      </c>
      <c r="H91">
        <v>997</v>
      </c>
      <c r="I91" s="8">
        <f t="shared" si="9"/>
        <v>0.42497868712702475</v>
      </c>
      <c r="J91" s="17">
        <v>0.7</v>
      </c>
      <c r="K91" s="12">
        <v>13.75</v>
      </c>
      <c r="L91" s="2">
        <f t="shared" si="6"/>
        <v>645.19999999999982</v>
      </c>
      <c r="M91" s="15">
        <f t="shared" si="10"/>
        <v>8871.4999999999982</v>
      </c>
      <c r="N91" t="str">
        <f t="shared" si="7"/>
        <v>MG</v>
      </c>
      <c r="O91" t="str">
        <f t="shared" si="8"/>
        <v>Belo Horizonte</v>
      </c>
    </row>
    <row r="92" spans="1:15" x14ac:dyDescent="0.3">
      <c r="A92" s="10">
        <v>45658</v>
      </c>
      <c r="B92" s="9" t="s">
        <v>46</v>
      </c>
      <c r="C92" t="s">
        <v>47</v>
      </c>
      <c r="D92" s="9">
        <v>19722</v>
      </c>
      <c r="E92" s="5" t="s">
        <v>460</v>
      </c>
      <c r="F92" t="s">
        <v>52</v>
      </c>
      <c r="G92">
        <v>953</v>
      </c>
      <c r="H92">
        <v>299</v>
      </c>
      <c r="I92" s="8">
        <f t="shared" si="9"/>
        <v>0.31374606505771246</v>
      </c>
      <c r="J92" s="17">
        <v>0.7</v>
      </c>
      <c r="K92" s="12">
        <v>13.75</v>
      </c>
      <c r="L92" s="2">
        <f t="shared" si="6"/>
        <v>368.1</v>
      </c>
      <c r="M92" s="15">
        <f t="shared" si="10"/>
        <v>5061.375</v>
      </c>
      <c r="N92" t="str">
        <f t="shared" si="7"/>
        <v>DF</v>
      </c>
      <c r="O92" t="str">
        <f t="shared" si="8"/>
        <v>Brasília</v>
      </c>
    </row>
    <row r="93" spans="1:15" x14ac:dyDescent="0.3">
      <c r="A93" s="10">
        <v>45658</v>
      </c>
      <c r="B93" s="9" t="s">
        <v>3</v>
      </c>
      <c r="C93" t="s">
        <v>248</v>
      </c>
      <c r="D93" s="9">
        <v>19716</v>
      </c>
      <c r="E93" s="5" t="s">
        <v>461</v>
      </c>
      <c r="F93" t="s">
        <v>262</v>
      </c>
      <c r="G93">
        <v>1725</v>
      </c>
      <c r="H93">
        <v>729</v>
      </c>
      <c r="I93" s="8">
        <f t="shared" si="9"/>
        <v>0.4226086956521739</v>
      </c>
      <c r="J93" s="17">
        <v>0.7</v>
      </c>
      <c r="K93" s="12">
        <v>13.75</v>
      </c>
      <c r="L93" s="2">
        <f t="shared" si="6"/>
        <v>478.5</v>
      </c>
      <c r="M93" s="15">
        <f t="shared" si="10"/>
        <v>6579.375</v>
      </c>
      <c r="N93" t="str">
        <f t="shared" si="7"/>
        <v>SP</v>
      </c>
      <c r="O93" t="str">
        <f t="shared" si="8"/>
        <v>São Paulo</v>
      </c>
    </row>
    <row r="94" spans="1:15" x14ac:dyDescent="0.3">
      <c r="A94" s="10">
        <v>45658</v>
      </c>
      <c r="B94" s="9" t="s">
        <v>3</v>
      </c>
      <c r="C94" t="s">
        <v>17</v>
      </c>
      <c r="D94" s="9">
        <v>19715</v>
      </c>
      <c r="E94" s="5" t="s">
        <v>462</v>
      </c>
      <c r="F94" t="s">
        <v>18</v>
      </c>
      <c r="G94">
        <v>1494</v>
      </c>
      <c r="H94">
        <v>911</v>
      </c>
      <c r="I94" s="8">
        <f t="shared" si="9"/>
        <v>0.60977242302543511</v>
      </c>
      <c r="J94" s="17">
        <v>0.7</v>
      </c>
      <c r="K94" s="12">
        <v>13.75</v>
      </c>
      <c r="L94" s="2">
        <f t="shared" si="6"/>
        <v>134.79999999999973</v>
      </c>
      <c r="M94" s="15">
        <f t="shared" si="10"/>
        <v>1853.4999999999964</v>
      </c>
      <c r="N94" t="str">
        <f t="shared" si="7"/>
        <v>SP</v>
      </c>
      <c r="O94" t="str">
        <f t="shared" si="8"/>
        <v>Atibaia</v>
      </c>
    </row>
    <row r="95" spans="1:15" x14ac:dyDescent="0.3">
      <c r="A95" s="10">
        <v>45658</v>
      </c>
      <c r="B95" s="9" t="s">
        <v>46</v>
      </c>
      <c r="C95" t="s">
        <v>47</v>
      </c>
      <c r="D95" s="9">
        <v>19550</v>
      </c>
      <c r="E95" s="5" t="s">
        <v>463</v>
      </c>
      <c r="F95" t="s">
        <v>342</v>
      </c>
      <c r="G95">
        <v>2538</v>
      </c>
      <c r="H95">
        <v>1126</v>
      </c>
      <c r="I95" s="8">
        <f t="shared" si="9"/>
        <v>0.44365642237982661</v>
      </c>
      <c r="J95" s="17">
        <v>0.7</v>
      </c>
      <c r="K95" s="12">
        <v>13.75</v>
      </c>
      <c r="L95" s="2">
        <f t="shared" si="6"/>
        <v>650.59999999999991</v>
      </c>
      <c r="M95" s="15">
        <f t="shared" si="10"/>
        <v>8945.7499999999982</v>
      </c>
      <c r="N95" t="str">
        <f t="shared" si="7"/>
        <v>DF</v>
      </c>
      <c r="O95" t="str">
        <f t="shared" si="8"/>
        <v>Brasília</v>
      </c>
    </row>
    <row r="96" spans="1:15" x14ac:dyDescent="0.3">
      <c r="A96" s="10">
        <v>45658</v>
      </c>
      <c r="B96" s="9" t="s">
        <v>21</v>
      </c>
      <c r="C96" t="s">
        <v>368</v>
      </c>
      <c r="D96" s="9">
        <v>19736</v>
      </c>
      <c r="E96" s="5" t="s">
        <v>464</v>
      </c>
      <c r="F96" t="s">
        <v>295</v>
      </c>
      <c r="G96">
        <v>3253</v>
      </c>
      <c r="H96">
        <v>1237</v>
      </c>
      <c r="I96" s="8">
        <f t="shared" si="9"/>
        <v>0.38026437134952351</v>
      </c>
      <c r="J96" s="17">
        <v>0.7</v>
      </c>
      <c r="K96" s="12">
        <v>13.75</v>
      </c>
      <c r="L96" s="2">
        <f t="shared" si="6"/>
        <v>1040.0999999999999</v>
      </c>
      <c r="M96" s="15">
        <f t="shared" si="10"/>
        <v>14301.374999999998</v>
      </c>
      <c r="N96" t="str">
        <f t="shared" si="7"/>
        <v>BA</v>
      </c>
      <c r="O96" t="str">
        <f t="shared" si="8"/>
        <v>Vitória Da Conquista</v>
      </c>
    </row>
    <row r="97" spans="1:15" x14ac:dyDescent="0.3">
      <c r="A97" s="10">
        <v>45658</v>
      </c>
      <c r="B97" s="9" t="s">
        <v>21</v>
      </c>
      <c r="C97" t="s">
        <v>228</v>
      </c>
      <c r="D97" s="9">
        <v>19740</v>
      </c>
      <c r="E97" s="5" t="s">
        <v>465</v>
      </c>
      <c r="F97" t="s">
        <v>229</v>
      </c>
      <c r="G97">
        <v>2029</v>
      </c>
      <c r="H97">
        <v>712</v>
      </c>
      <c r="I97" s="8">
        <f t="shared" si="9"/>
        <v>0.35091177920157712</v>
      </c>
      <c r="J97" s="17">
        <v>0.7</v>
      </c>
      <c r="K97" s="12">
        <v>13.75</v>
      </c>
      <c r="L97" s="2">
        <f t="shared" si="6"/>
        <v>708.3</v>
      </c>
      <c r="M97" s="15">
        <f t="shared" si="10"/>
        <v>9739.125</v>
      </c>
      <c r="N97" t="str">
        <f t="shared" si="7"/>
        <v>BA</v>
      </c>
      <c r="O97" t="str">
        <f t="shared" si="8"/>
        <v>Salvador</v>
      </c>
    </row>
    <row r="98" spans="1:15" x14ac:dyDescent="0.3">
      <c r="A98" s="10">
        <v>45658</v>
      </c>
      <c r="B98" s="9" t="s">
        <v>21</v>
      </c>
      <c r="C98" t="s">
        <v>352</v>
      </c>
      <c r="D98" s="9">
        <v>19738</v>
      </c>
      <c r="E98" s="5" t="s">
        <v>466</v>
      </c>
      <c r="F98" t="s">
        <v>118</v>
      </c>
      <c r="G98">
        <v>4691</v>
      </c>
      <c r="H98">
        <v>2338</v>
      </c>
      <c r="I98" s="8">
        <f t="shared" si="9"/>
        <v>0.49840119377531444</v>
      </c>
      <c r="J98" s="17">
        <v>0.7</v>
      </c>
      <c r="K98" s="12">
        <v>13.75</v>
      </c>
      <c r="L98" s="2">
        <f t="shared" ref="L98:L119" si="11">H98*J98/I98-H98</f>
        <v>945.69999999999982</v>
      </c>
      <c r="M98" s="15">
        <f t="shared" si="10"/>
        <v>13003.374999999998</v>
      </c>
      <c r="N98" t="str">
        <f t="shared" si="7"/>
        <v>BA</v>
      </c>
      <c r="O98" t="str">
        <f t="shared" si="8"/>
        <v>Lauro De Freitas</v>
      </c>
    </row>
    <row r="99" spans="1:15" x14ac:dyDescent="0.3">
      <c r="A99" s="10">
        <v>45658</v>
      </c>
      <c r="B99" s="9" t="s">
        <v>129</v>
      </c>
      <c r="C99" t="s">
        <v>130</v>
      </c>
      <c r="D99" s="9">
        <v>19742</v>
      </c>
      <c r="E99" s="5" t="s">
        <v>467</v>
      </c>
      <c r="F99" t="s">
        <v>131</v>
      </c>
      <c r="G99">
        <v>1495</v>
      </c>
      <c r="H99">
        <v>689</v>
      </c>
      <c r="I99" s="8">
        <f t="shared" si="9"/>
        <v>0.46086956521739131</v>
      </c>
      <c r="J99" s="17">
        <v>0.7</v>
      </c>
      <c r="K99" s="12">
        <v>13.75</v>
      </c>
      <c r="L99" s="2">
        <f t="shared" si="11"/>
        <v>357.5</v>
      </c>
      <c r="M99" s="15">
        <f t="shared" si="10"/>
        <v>4915.625</v>
      </c>
      <c r="N99" t="str">
        <f t="shared" si="7"/>
        <v>AM</v>
      </c>
      <c r="O99" t="str">
        <f t="shared" si="8"/>
        <v>Manaus</v>
      </c>
    </row>
    <row r="100" spans="1:15" x14ac:dyDescent="0.3">
      <c r="A100" s="10">
        <v>45658</v>
      </c>
      <c r="B100" s="9" t="s">
        <v>129</v>
      </c>
      <c r="C100" t="s">
        <v>130</v>
      </c>
      <c r="D100" s="9">
        <v>19785</v>
      </c>
      <c r="E100" s="5" t="s">
        <v>468</v>
      </c>
      <c r="F100" t="s">
        <v>132</v>
      </c>
      <c r="G100">
        <v>1831</v>
      </c>
      <c r="H100">
        <v>841</v>
      </c>
      <c r="I100" s="8">
        <f t="shared" si="9"/>
        <v>0.45931185144729658</v>
      </c>
      <c r="J100" s="17">
        <v>0.7</v>
      </c>
      <c r="K100" s="12">
        <v>13.75</v>
      </c>
      <c r="L100" s="2">
        <f t="shared" si="11"/>
        <v>440.69999999999982</v>
      </c>
      <c r="M100" s="15">
        <f t="shared" si="10"/>
        <v>6059.6249999999973</v>
      </c>
      <c r="N100" t="str">
        <f t="shared" si="7"/>
        <v>AM</v>
      </c>
      <c r="O100" t="str">
        <f t="shared" si="8"/>
        <v>Manaus</v>
      </c>
    </row>
    <row r="101" spans="1:15" x14ac:dyDescent="0.3">
      <c r="A101" s="10">
        <v>45658</v>
      </c>
      <c r="B101" s="9" t="s">
        <v>129</v>
      </c>
      <c r="C101" t="s">
        <v>130</v>
      </c>
      <c r="D101" s="9">
        <v>19843</v>
      </c>
      <c r="E101" s="5" t="s">
        <v>469</v>
      </c>
      <c r="F101" t="s">
        <v>133</v>
      </c>
      <c r="G101">
        <v>1398</v>
      </c>
      <c r="H101">
        <v>654</v>
      </c>
      <c r="I101" s="8">
        <f t="shared" si="9"/>
        <v>0.46781115879828328</v>
      </c>
      <c r="J101" s="17">
        <v>0.7</v>
      </c>
      <c r="K101" s="12">
        <v>13.75</v>
      </c>
      <c r="L101" s="2">
        <f t="shared" si="11"/>
        <v>324.59999999999991</v>
      </c>
      <c r="M101" s="15">
        <f t="shared" si="10"/>
        <v>4463.2499999999991</v>
      </c>
      <c r="N101" t="str">
        <f t="shared" si="7"/>
        <v>AM</v>
      </c>
      <c r="O101" t="str">
        <f t="shared" si="8"/>
        <v>Manaus</v>
      </c>
    </row>
    <row r="102" spans="1:15" x14ac:dyDescent="0.3">
      <c r="A102" s="10">
        <v>45658</v>
      </c>
      <c r="B102" s="9" t="s">
        <v>129</v>
      </c>
      <c r="C102" t="s">
        <v>130</v>
      </c>
      <c r="D102" s="9">
        <v>19879</v>
      </c>
      <c r="E102" s="5" t="s">
        <v>470</v>
      </c>
      <c r="F102" t="s">
        <v>134</v>
      </c>
      <c r="G102">
        <v>1536</v>
      </c>
      <c r="H102">
        <v>820</v>
      </c>
      <c r="I102" s="8">
        <f t="shared" si="9"/>
        <v>0.53385416666666663</v>
      </c>
      <c r="J102" s="17">
        <v>0.7</v>
      </c>
      <c r="K102" s="12">
        <v>13.75</v>
      </c>
      <c r="L102" s="2">
        <f t="shared" si="11"/>
        <v>255.20000000000005</v>
      </c>
      <c r="M102" s="15">
        <f t="shared" si="10"/>
        <v>3509.0000000000005</v>
      </c>
      <c r="N102" t="str">
        <f t="shared" si="7"/>
        <v>AM</v>
      </c>
      <c r="O102" t="str">
        <f t="shared" si="8"/>
        <v>Manaus</v>
      </c>
    </row>
    <row r="103" spans="1:15" x14ac:dyDescent="0.3">
      <c r="A103" s="10">
        <v>45658</v>
      </c>
      <c r="B103" s="9" t="s">
        <v>89</v>
      </c>
      <c r="C103" t="s">
        <v>346</v>
      </c>
      <c r="D103" s="9">
        <v>19735</v>
      </c>
      <c r="E103" s="5" t="s">
        <v>471</v>
      </c>
      <c r="F103" t="s">
        <v>90</v>
      </c>
      <c r="G103">
        <v>1794</v>
      </c>
      <c r="H103">
        <v>823</v>
      </c>
      <c r="I103" s="8">
        <f t="shared" si="9"/>
        <v>0.45875139353400224</v>
      </c>
      <c r="J103" s="17">
        <v>0.7</v>
      </c>
      <c r="K103" s="12">
        <v>13.75</v>
      </c>
      <c r="L103" s="2">
        <f t="shared" si="11"/>
        <v>432.79999999999973</v>
      </c>
      <c r="M103" s="15">
        <f t="shared" si="10"/>
        <v>5950.9999999999964</v>
      </c>
      <c r="N103" t="str">
        <f t="shared" si="7"/>
        <v>CE</v>
      </c>
      <c r="O103" t="str">
        <f t="shared" si="8"/>
        <v>Fortaleza</v>
      </c>
    </row>
    <row r="104" spans="1:15" x14ac:dyDescent="0.3">
      <c r="A104" s="10">
        <v>45658</v>
      </c>
      <c r="B104" s="9" t="s">
        <v>89</v>
      </c>
      <c r="C104" t="s">
        <v>346</v>
      </c>
      <c r="D104" s="9">
        <v>19607</v>
      </c>
      <c r="E104" s="5" t="s">
        <v>472</v>
      </c>
      <c r="F104" t="s">
        <v>91</v>
      </c>
      <c r="G104">
        <v>1951</v>
      </c>
      <c r="H104">
        <v>717</v>
      </c>
      <c r="I104" s="8">
        <f t="shared" si="9"/>
        <v>0.36750384418247051</v>
      </c>
      <c r="J104" s="17">
        <v>0.7</v>
      </c>
      <c r="K104" s="12">
        <v>13.75</v>
      </c>
      <c r="L104" s="2">
        <f t="shared" si="11"/>
        <v>648.70000000000005</v>
      </c>
      <c r="M104" s="15">
        <f t="shared" si="10"/>
        <v>8919.625</v>
      </c>
      <c r="N104" t="str">
        <f t="shared" si="7"/>
        <v>CE</v>
      </c>
      <c r="O104" t="str">
        <f t="shared" si="8"/>
        <v>Fortaleza</v>
      </c>
    </row>
    <row r="105" spans="1:15" x14ac:dyDescent="0.3">
      <c r="A105" s="10">
        <v>45658</v>
      </c>
      <c r="B105" s="9" t="s">
        <v>89</v>
      </c>
      <c r="C105" t="s">
        <v>346</v>
      </c>
      <c r="D105" s="9">
        <v>19642</v>
      </c>
      <c r="E105" s="5" t="s">
        <v>473</v>
      </c>
      <c r="F105" t="s">
        <v>92</v>
      </c>
      <c r="G105">
        <v>1824</v>
      </c>
      <c r="H105">
        <v>659</v>
      </c>
      <c r="I105" s="8">
        <f t="shared" si="9"/>
        <v>0.36129385964912281</v>
      </c>
      <c r="J105" s="17">
        <v>0.7</v>
      </c>
      <c r="K105" s="12">
        <v>13.75</v>
      </c>
      <c r="L105" s="2">
        <f t="shared" si="11"/>
        <v>617.79999999999995</v>
      </c>
      <c r="M105" s="15">
        <f t="shared" si="10"/>
        <v>8494.75</v>
      </c>
      <c r="N105" t="str">
        <f t="shared" si="7"/>
        <v>CE</v>
      </c>
      <c r="O105" t="str">
        <f t="shared" si="8"/>
        <v>Fortaleza</v>
      </c>
    </row>
    <row r="106" spans="1:15" x14ac:dyDescent="0.3">
      <c r="A106" s="10">
        <v>45658</v>
      </c>
      <c r="B106" s="9" t="s">
        <v>89</v>
      </c>
      <c r="C106" t="s">
        <v>346</v>
      </c>
      <c r="D106" s="9">
        <v>19725</v>
      </c>
      <c r="E106" s="5" t="s">
        <v>474</v>
      </c>
      <c r="F106" t="s">
        <v>93</v>
      </c>
      <c r="G106">
        <v>1343</v>
      </c>
      <c r="H106">
        <v>597</v>
      </c>
      <c r="I106" s="8">
        <f t="shared" si="9"/>
        <v>0.44452717795979152</v>
      </c>
      <c r="J106" s="17">
        <v>0.7</v>
      </c>
      <c r="K106" s="12">
        <v>13.75</v>
      </c>
      <c r="L106" s="2">
        <f t="shared" si="11"/>
        <v>343.09999999999991</v>
      </c>
      <c r="M106" s="15">
        <f t="shared" si="10"/>
        <v>4717.6249999999991</v>
      </c>
      <c r="N106" t="str">
        <f t="shared" si="7"/>
        <v>CE</v>
      </c>
      <c r="O106" t="str">
        <f t="shared" si="8"/>
        <v>Fortaleza</v>
      </c>
    </row>
    <row r="107" spans="1:15" x14ac:dyDescent="0.3">
      <c r="A107" s="10">
        <v>45658</v>
      </c>
      <c r="B107" s="9" t="s">
        <v>89</v>
      </c>
      <c r="C107" t="s">
        <v>346</v>
      </c>
      <c r="D107" s="9">
        <v>19902</v>
      </c>
      <c r="E107" s="5" t="s">
        <v>475</v>
      </c>
      <c r="F107" t="s">
        <v>94</v>
      </c>
      <c r="G107">
        <v>1788</v>
      </c>
      <c r="H107">
        <v>961</v>
      </c>
      <c r="I107" s="8">
        <f t="shared" si="9"/>
        <v>0.53747203579418346</v>
      </c>
      <c r="J107" s="17">
        <v>0.7</v>
      </c>
      <c r="K107" s="12">
        <v>13.75</v>
      </c>
      <c r="L107" s="2">
        <f t="shared" si="11"/>
        <v>290.59999999999991</v>
      </c>
      <c r="M107" s="15">
        <f t="shared" si="10"/>
        <v>3995.7499999999986</v>
      </c>
      <c r="N107" t="str">
        <f t="shared" si="7"/>
        <v>CE</v>
      </c>
      <c r="O107" t="str">
        <f t="shared" si="8"/>
        <v>Fortaleza</v>
      </c>
    </row>
    <row r="108" spans="1:15" x14ac:dyDescent="0.3">
      <c r="A108" s="10">
        <v>45658</v>
      </c>
      <c r="B108" s="9" t="s">
        <v>89</v>
      </c>
      <c r="C108" t="s">
        <v>346</v>
      </c>
      <c r="D108" s="9">
        <v>19903</v>
      </c>
      <c r="E108" s="5" t="s">
        <v>476</v>
      </c>
      <c r="F108" t="s">
        <v>95</v>
      </c>
      <c r="G108">
        <v>1884</v>
      </c>
      <c r="H108">
        <v>1131</v>
      </c>
      <c r="I108" s="8">
        <f t="shared" si="9"/>
        <v>0.60031847133757965</v>
      </c>
      <c r="J108" s="17">
        <v>0.7</v>
      </c>
      <c r="K108" s="12">
        <v>13.75</v>
      </c>
      <c r="L108" s="2">
        <f t="shared" si="11"/>
        <v>187.79999999999973</v>
      </c>
      <c r="M108" s="15">
        <f t="shared" si="10"/>
        <v>2582.2499999999964</v>
      </c>
      <c r="N108" t="str">
        <f t="shared" si="7"/>
        <v>CE</v>
      </c>
      <c r="O108" t="str">
        <f t="shared" si="8"/>
        <v>Fortaleza</v>
      </c>
    </row>
    <row r="109" spans="1:15" x14ac:dyDescent="0.3">
      <c r="A109" s="10">
        <v>45658</v>
      </c>
      <c r="B109" s="9" t="s">
        <v>82</v>
      </c>
      <c r="C109" t="s">
        <v>135</v>
      </c>
      <c r="D109" s="9">
        <v>19749</v>
      </c>
      <c r="E109" s="5" t="s">
        <v>477</v>
      </c>
      <c r="F109" t="s">
        <v>136</v>
      </c>
      <c r="G109">
        <v>1554</v>
      </c>
      <c r="H109">
        <v>466</v>
      </c>
      <c r="I109" s="8">
        <f t="shared" si="9"/>
        <v>0.29987129987129985</v>
      </c>
      <c r="J109" s="17">
        <v>0.7</v>
      </c>
      <c r="K109" s="12">
        <v>13.75</v>
      </c>
      <c r="L109" s="2">
        <f t="shared" si="11"/>
        <v>621.79999999999995</v>
      </c>
      <c r="M109" s="15">
        <f t="shared" si="10"/>
        <v>8549.75</v>
      </c>
      <c r="N109" t="str">
        <f t="shared" si="7"/>
        <v>PR</v>
      </c>
      <c r="O109" t="str">
        <f t="shared" si="8"/>
        <v>Maringá</v>
      </c>
    </row>
    <row r="110" spans="1:15" x14ac:dyDescent="0.3">
      <c r="A110" s="10">
        <v>45658</v>
      </c>
      <c r="B110" s="9" t="s">
        <v>82</v>
      </c>
      <c r="C110" t="s">
        <v>83</v>
      </c>
      <c r="D110" s="9">
        <v>19545</v>
      </c>
      <c r="E110" s="5" t="s">
        <v>478</v>
      </c>
      <c r="F110" t="s">
        <v>84</v>
      </c>
      <c r="G110">
        <v>3093</v>
      </c>
      <c r="H110">
        <v>1138</v>
      </c>
      <c r="I110" s="8">
        <f t="shared" si="9"/>
        <v>0.36792757840284512</v>
      </c>
      <c r="J110" s="17">
        <v>0.7</v>
      </c>
      <c r="K110" s="12">
        <v>13.75</v>
      </c>
      <c r="L110" s="2">
        <f t="shared" si="11"/>
        <v>1027.0999999999999</v>
      </c>
      <c r="M110" s="15">
        <f t="shared" si="10"/>
        <v>14122.624999999998</v>
      </c>
      <c r="N110" t="str">
        <f t="shared" si="7"/>
        <v>PR</v>
      </c>
      <c r="O110" t="str">
        <f t="shared" si="8"/>
        <v>Curitiba</v>
      </c>
    </row>
    <row r="111" spans="1:15" x14ac:dyDescent="0.3">
      <c r="A111" s="10">
        <v>45658</v>
      </c>
      <c r="B111" s="9" t="s">
        <v>82</v>
      </c>
      <c r="C111" t="s">
        <v>83</v>
      </c>
      <c r="D111" s="9">
        <v>19546</v>
      </c>
      <c r="E111" s="5" t="s">
        <v>479</v>
      </c>
      <c r="F111" t="s">
        <v>85</v>
      </c>
      <c r="G111">
        <v>2072</v>
      </c>
      <c r="H111">
        <v>712</v>
      </c>
      <c r="I111" s="8">
        <f t="shared" si="9"/>
        <v>0.34362934362934361</v>
      </c>
      <c r="J111" s="17">
        <v>0.7</v>
      </c>
      <c r="K111" s="12">
        <v>13.75</v>
      </c>
      <c r="L111" s="2">
        <f t="shared" si="11"/>
        <v>738.40000000000009</v>
      </c>
      <c r="M111" s="15">
        <f t="shared" si="10"/>
        <v>10153.000000000002</v>
      </c>
      <c r="N111" t="str">
        <f t="shared" si="7"/>
        <v>PR</v>
      </c>
      <c r="O111" t="str">
        <f t="shared" si="8"/>
        <v>Curitiba</v>
      </c>
    </row>
    <row r="112" spans="1:15" x14ac:dyDescent="0.3">
      <c r="A112" s="10">
        <v>45658</v>
      </c>
      <c r="B112" s="9" t="s">
        <v>3</v>
      </c>
      <c r="C112" t="s">
        <v>248</v>
      </c>
      <c r="D112" s="9">
        <v>19763</v>
      </c>
      <c r="E112" s="5" t="s">
        <v>480</v>
      </c>
      <c r="F112" t="s">
        <v>263</v>
      </c>
      <c r="G112">
        <v>822</v>
      </c>
      <c r="H112">
        <v>274</v>
      </c>
      <c r="I112" s="8">
        <f t="shared" si="9"/>
        <v>0.33333333333333331</v>
      </c>
      <c r="J112" s="17">
        <v>0.7</v>
      </c>
      <c r="K112" s="12">
        <v>13.75</v>
      </c>
      <c r="L112" s="2">
        <f t="shared" si="11"/>
        <v>301.39999999999998</v>
      </c>
      <c r="M112" s="15">
        <f t="shared" si="10"/>
        <v>4144.25</v>
      </c>
      <c r="N112" t="str">
        <f t="shared" si="7"/>
        <v>SP</v>
      </c>
      <c r="O112" t="str">
        <f t="shared" si="8"/>
        <v>São Paulo</v>
      </c>
    </row>
    <row r="113" spans="1:15" x14ac:dyDescent="0.3">
      <c r="A113" s="10">
        <v>45658</v>
      </c>
      <c r="B113" s="9" t="s">
        <v>3</v>
      </c>
      <c r="C113" t="s">
        <v>248</v>
      </c>
      <c r="D113" s="9">
        <v>19711</v>
      </c>
      <c r="E113" s="5" t="s">
        <v>481</v>
      </c>
      <c r="F113" t="s">
        <v>264</v>
      </c>
      <c r="G113">
        <v>1028</v>
      </c>
      <c r="H113">
        <v>403</v>
      </c>
      <c r="I113" s="8">
        <f t="shared" si="9"/>
        <v>0.39202334630350194</v>
      </c>
      <c r="J113" s="17">
        <v>0.7</v>
      </c>
      <c r="K113" s="12">
        <v>13.75</v>
      </c>
      <c r="L113" s="2">
        <f t="shared" si="11"/>
        <v>316.59999999999991</v>
      </c>
      <c r="M113" s="15">
        <f t="shared" si="10"/>
        <v>4353.2499999999991</v>
      </c>
      <c r="N113" t="str">
        <f t="shared" si="7"/>
        <v>SP</v>
      </c>
      <c r="O113" t="str">
        <f t="shared" si="8"/>
        <v>São Paulo</v>
      </c>
    </row>
    <row r="114" spans="1:15" x14ac:dyDescent="0.3">
      <c r="A114" s="10">
        <v>45658</v>
      </c>
      <c r="B114" s="9" t="s">
        <v>46</v>
      </c>
      <c r="C114" t="s">
        <v>47</v>
      </c>
      <c r="D114" s="9">
        <v>19755</v>
      </c>
      <c r="E114" s="5" t="s">
        <v>482</v>
      </c>
      <c r="F114" t="s">
        <v>53</v>
      </c>
      <c r="G114">
        <v>905</v>
      </c>
      <c r="H114">
        <v>345</v>
      </c>
      <c r="I114" s="8">
        <f t="shared" si="9"/>
        <v>0.38121546961325969</v>
      </c>
      <c r="J114" s="17">
        <v>0.7</v>
      </c>
      <c r="K114" s="12">
        <v>13.75</v>
      </c>
      <c r="L114" s="2">
        <f t="shared" si="11"/>
        <v>288.49999999999989</v>
      </c>
      <c r="M114" s="15">
        <f t="shared" si="10"/>
        <v>3966.8749999999986</v>
      </c>
      <c r="N114" t="str">
        <f t="shared" si="7"/>
        <v>DF</v>
      </c>
      <c r="O114" t="str">
        <f t="shared" si="8"/>
        <v>Brasília</v>
      </c>
    </row>
    <row r="115" spans="1:15" x14ac:dyDescent="0.3">
      <c r="A115" s="10">
        <v>45658</v>
      </c>
      <c r="B115" s="9" t="s">
        <v>3</v>
      </c>
      <c r="C115" t="s">
        <v>248</v>
      </c>
      <c r="D115" s="9">
        <v>19753</v>
      </c>
      <c r="E115" s="5" t="s">
        <v>483</v>
      </c>
      <c r="F115" t="s">
        <v>265</v>
      </c>
      <c r="G115">
        <v>1607</v>
      </c>
      <c r="H115">
        <v>693</v>
      </c>
      <c r="I115" s="8">
        <f t="shared" si="9"/>
        <v>0.43123833229620412</v>
      </c>
      <c r="J115" s="17">
        <v>0.7</v>
      </c>
      <c r="K115" s="12">
        <v>13.75</v>
      </c>
      <c r="L115" s="2">
        <f t="shared" si="11"/>
        <v>431.89999999999986</v>
      </c>
      <c r="M115" s="15">
        <f t="shared" si="10"/>
        <v>5938.6249999999982</v>
      </c>
      <c r="N115" t="str">
        <f t="shared" si="7"/>
        <v>SP</v>
      </c>
      <c r="O115" t="str">
        <f t="shared" si="8"/>
        <v>São Paulo</v>
      </c>
    </row>
    <row r="116" spans="1:15" x14ac:dyDescent="0.3">
      <c r="A116" s="10">
        <v>45658</v>
      </c>
      <c r="B116" s="9" t="s">
        <v>7</v>
      </c>
      <c r="C116" t="s">
        <v>99</v>
      </c>
      <c r="D116" s="9">
        <v>19754</v>
      </c>
      <c r="E116" s="5" t="s">
        <v>484</v>
      </c>
      <c r="F116" t="s">
        <v>101</v>
      </c>
      <c r="G116">
        <v>3232</v>
      </c>
      <c r="H116">
        <v>1390</v>
      </c>
      <c r="I116" s="8">
        <f t="shared" si="9"/>
        <v>0.43007425742574257</v>
      </c>
      <c r="J116" s="17">
        <v>0.7</v>
      </c>
      <c r="K116" s="12">
        <v>13.75</v>
      </c>
      <c r="L116" s="2">
        <f t="shared" si="11"/>
        <v>872.39999999999964</v>
      </c>
      <c r="M116" s="15">
        <f t="shared" si="10"/>
        <v>11995.499999999995</v>
      </c>
      <c r="N116" t="str">
        <f t="shared" si="7"/>
        <v>GO</v>
      </c>
      <c r="O116" t="str">
        <f t="shared" si="8"/>
        <v>Goiânia</v>
      </c>
    </row>
    <row r="117" spans="1:15" x14ac:dyDescent="0.3">
      <c r="A117" s="10">
        <v>45658</v>
      </c>
      <c r="B117" s="9" t="s">
        <v>14</v>
      </c>
      <c r="C117" t="s">
        <v>29</v>
      </c>
      <c r="D117" s="9">
        <v>19759</v>
      </c>
      <c r="E117" s="5" t="s">
        <v>485</v>
      </c>
      <c r="F117" t="s">
        <v>38</v>
      </c>
      <c r="G117">
        <v>1816</v>
      </c>
      <c r="H117">
        <v>942</v>
      </c>
      <c r="I117" s="8">
        <f t="shared" si="9"/>
        <v>0.5187224669603524</v>
      </c>
      <c r="J117" s="17">
        <v>0.7</v>
      </c>
      <c r="K117" s="12">
        <v>13.75</v>
      </c>
      <c r="L117" s="2">
        <f t="shared" si="11"/>
        <v>329.20000000000005</v>
      </c>
      <c r="M117" s="15">
        <f t="shared" si="10"/>
        <v>4526.5000000000009</v>
      </c>
      <c r="N117" t="str">
        <f t="shared" si="7"/>
        <v>MG</v>
      </c>
      <c r="O117" t="str">
        <f t="shared" si="8"/>
        <v>Belo Horizonte</v>
      </c>
    </row>
    <row r="118" spans="1:15" x14ac:dyDescent="0.3">
      <c r="A118" s="10">
        <v>45658</v>
      </c>
      <c r="B118" s="9" t="s">
        <v>195</v>
      </c>
      <c r="C118" t="s">
        <v>196</v>
      </c>
      <c r="D118" s="9">
        <v>19762</v>
      </c>
      <c r="E118" s="5" t="s">
        <v>486</v>
      </c>
      <c r="F118" t="s">
        <v>197</v>
      </c>
      <c r="G118">
        <v>1141</v>
      </c>
      <c r="H118">
        <v>565</v>
      </c>
      <c r="I118" s="8">
        <f t="shared" si="9"/>
        <v>0.49517966695880805</v>
      </c>
      <c r="J118" s="17">
        <v>0.7</v>
      </c>
      <c r="K118" s="12">
        <v>13.75</v>
      </c>
      <c r="L118" s="2">
        <f t="shared" si="11"/>
        <v>233.70000000000005</v>
      </c>
      <c r="M118" s="15">
        <f t="shared" si="10"/>
        <v>3213.3750000000005</v>
      </c>
      <c r="N118" t="str">
        <f t="shared" si="7"/>
        <v>AC</v>
      </c>
      <c r="O118" t="str">
        <f t="shared" si="8"/>
        <v>Rio Branco</v>
      </c>
    </row>
    <row r="119" spans="1:15" x14ac:dyDescent="0.3">
      <c r="A119" s="10">
        <v>45658</v>
      </c>
      <c r="B119" s="9" t="s">
        <v>82</v>
      </c>
      <c r="C119" t="s">
        <v>349</v>
      </c>
      <c r="D119" s="9">
        <v>19772</v>
      </c>
      <c r="E119" s="5" t="s">
        <v>487</v>
      </c>
      <c r="F119" t="s">
        <v>96</v>
      </c>
      <c r="G119">
        <v>1772</v>
      </c>
      <c r="H119">
        <v>1176</v>
      </c>
      <c r="I119" s="8">
        <f t="shared" si="9"/>
        <v>0.66365688487584651</v>
      </c>
      <c r="J119" s="17">
        <v>0.7</v>
      </c>
      <c r="K119" s="12">
        <v>13.75</v>
      </c>
      <c r="L119" s="2">
        <f t="shared" si="11"/>
        <v>64.399999999999864</v>
      </c>
      <c r="M119" s="15">
        <f t="shared" si="10"/>
        <v>885.49999999999818</v>
      </c>
      <c r="N119" t="str">
        <f t="shared" si="7"/>
        <v>PR</v>
      </c>
      <c r="O119" t="str">
        <f t="shared" si="8"/>
        <v>Foz Do Iguaçu</v>
      </c>
    </row>
    <row r="120" spans="1:15" x14ac:dyDescent="0.3">
      <c r="A120" s="10">
        <v>45658</v>
      </c>
      <c r="B120" s="9" t="s">
        <v>15</v>
      </c>
      <c r="C120" t="s">
        <v>345</v>
      </c>
      <c r="D120" s="9">
        <v>19687</v>
      </c>
      <c r="E120" s="5" t="s">
        <v>488</v>
      </c>
      <c r="F120" t="s">
        <v>88</v>
      </c>
      <c r="G120">
        <v>1643</v>
      </c>
      <c r="H120">
        <v>1306</v>
      </c>
      <c r="I120" s="8">
        <f t="shared" si="9"/>
        <v>0.79488740109555689</v>
      </c>
      <c r="J120" s="17">
        <v>0.7</v>
      </c>
      <c r="K120" s="12">
        <v>13.75</v>
      </c>
      <c r="L120" s="2">
        <f>G120-H120</f>
        <v>337</v>
      </c>
      <c r="M120" s="15">
        <f t="shared" si="10"/>
        <v>4633.75</v>
      </c>
      <c r="N120" t="str">
        <f t="shared" si="7"/>
        <v>RJ</v>
      </c>
      <c r="O120" t="str">
        <f t="shared" si="8"/>
        <v>Duque De Caxias</v>
      </c>
    </row>
    <row r="121" spans="1:15" x14ac:dyDescent="0.3">
      <c r="A121" s="10">
        <v>45658</v>
      </c>
      <c r="B121" s="9" t="s">
        <v>21</v>
      </c>
      <c r="C121" t="s">
        <v>181</v>
      </c>
      <c r="D121" s="9">
        <v>19778</v>
      </c>
      <c r="E121" s="5" t="s">
        <v>489</v>
      </c>
      <c r="F121" t="s">
        <v>182</v>
      </c>
      <c r="G121">
        <v>1806</v>
      </c>
      <c r="H121">
        <v>961</v>
      </c>
      <c r="I121" s="8">
        <f t="shared" si="9"/>
        <v>0.5321151716500554</v>
      </c>
      <c r="J121" s="17">
        <v>0.7</v>
      </c>
      <c r="K121" s="12">
        <v>13.75</v>
      </c>
      <c r="L121" s="2">
        <f>H121*J121/I121-H121</f>
        <v>303.19999999999982</v>
      </c>
      <c r="M121" s="15">
        <f t="shared" si="10"/>
        <v>4168.9999999999973</v>
      </c>
      <c r="N121" t="str">
        <f t="shared" si="7"/>
        <v>BA</v>
      </c>
      <c r="O121" t="str">
        <f t="shared" si="8"/>
        <v>Porto Seguro</v>
      </c>
    </row>
    <row r="122" spans="1:15" x14ac:dyDescent="0.3">
      <c r="A122" s="10">
        <v>45658</v>
      </c>
      <c r="B122" s="9" t="s">
        <v>21</v>
      </c>
      <c r="C122" t="s">
        <v>228</v>
      </c>
      <c r="D122" s="9">
        <v>19689</v>
      </c>
      <c r="E122" s="5" t="s">
        <v>490</v>
      </c>
      <c r="F122" t="s">
        <v>230</v>
      </c>
      <c r="G122">
        <v>2741</v>
      </c>
      <c r="H122">
        <v>1558</v>
      </c>
      <c r="I122" s="8">
        <f t="shared" si="9"/>
        <v>0.56840569135352059</v>
      </c>
      <c r="J122" s="17">
        <v>0.7</v>
      </c>
      <c r="K122" s="12">
        <v>13.75</v>
      </c>
      <c r="L122" s="2">
        <f>H122*J122/I122-H122</f>
        <v>360.69999999999982</v>
      </c>
      <c r="M122" s="15">
        <f t="shared" si="10"/>
        <v>4959.6249999999973</v>
      </c>
      <c r="N122" t="str">
        <f t="shared" si="7"/>
        <v>BA</v>
      </c>
      <c r="O122" t="str">
        <f t="shared" si="8"/>
        <v>Salvador</v>
      </c>
    </row>
    <row r="123" spans="1:15" x14ac:dyDescent="0.3">
      <c r="A123" s="10">
        <v>45658</v>
      </c>
      <c r="B123" s="9" t="s">
        <v>21</v>
      </c>
      <c r="C123" t="s">
        <v>228</v>
      </c>
      <c r="D123" s="9">
        <v>19625</v>
      </c>
      <c r="E123" s="5" t="s">
        <v>491</v>
      </c>
      <c r="F123" t="s">
        <v>231</v>
      </c>
      <c r="G123">
        <v>3007</v>
      </c>
      <c r="H123">
        <v>1316</v>
      </c>
      <c r="I123" s="8">
        <f t="shared" si="9"/>
        <v>0.43764549384768875</v>
      </c>
      <c r="J123" s="17">
        <v>0.7</v>
      </c>
      <c r="K123" s="12">
        <v>13.75</v>
      </c>
      <c r="L123" s="2">
        <f>H123*J123/I123-H123</f>
        <v>788.89999999999964</v>
      </c>
      <c r="M123" s="15">
        <f t="shared" si="10"/>
        <v>10847.374999999995</v>
      </c>
      <c r="N123" t="str">
        <f t="shared" si="7"/>
        <v>BA</v>
      </c>
      <c r="O123" t="str">
        <f t="shared" si="8"/>
        <v>Salvador</v>
      </c>
    </row>
    <row r="124" spans="1:15" x14ac:dyDescent="0.3">
      <c r="A124" s="10">
        <v>45658</v>
      </c>
      <c r="B124" s="9" t="s">
        <v>40</v>
      </c>
      <c r="C124" t="s">
        <v>41</v>
      </c>
      <c r="D124" s="9">
        <v>19787</v>
      </c>
      <c r="E124" s="5" t="s">
        <v>492</v>
      </c>
      <c r="F124" t="s">
        <v>42</v>
      </c>
      <c r="G124">
        <v>436</v>
      </c>
      <c r="H124">
        <v>135</v>
      </c>
      <c r="I124" s="8">
        <f t="shared" si="9"/>
        <v>0.30963302752293576</v>
      </c>
      <c r="J124" s="17">
        <v>0.7</v>
      </c>
      <c r="K124" s="12">
        <v>13.75</v>
      </c>
      <c r="L124" s="2">
        <f>H124*J124/I124-H124</f>
        <v>170.20000000000005</v>
      </c>
      <c r="M124" s="15">
        <f t="shared" si="10"/>
        <v>2340.2500000000005</v>
      </c>
      <c r="N124" t="str">
        <f t="shared" si="7"/>
        <v>RR</v>
      </c>
      <c r="O124" t="str">
        <f t="shared" si="8"/>
        <v>Boa Vista</v>
      </c>
    </row>
    <row r="125" spans="1:15" x14ac:dyDescent="0.3">
      <c r="A125" s="10">
        <v>45658</v>
      </c>
      <c r="B125" s="9" t="s">
        <v>40</v>
      </c>
      <c r="C125" t="s">
        <v>41</v>
      </c>
      <c r="D125" s="9">
        <v>19868</v>
      </c>
      <c r="E125" s="5" t="s">
        <v>493</v>
      </c>
      <c r="F125" t="s">
        <v>43</v>
      </c>
      <c r="G125">
        <v>1386</v>
      </c>
      <c r="H125">
        <v>1196</v>
      </c>
      <c r="I125" s="8">
        <f t="shared" si="9"/>
        <v>0.86291486291486297</v>
      </c>
      <c r="J125" s="17">
        <v>0.7</v>
      </c>
      <c r="K125" s="12">
        <v>13.75</v>
      </c>
      <c r="L125" s="2">
        <f>G125-H125</f>
        <v>190</v>
      </c>
      <c r="M125" s="15">
        <f t="shared" si="10"/>
        <v>2612.5</v>
      </c>
      <c r="N125" t="str">
        <f t="shared" si="7"/>
        <v>RR</v>
      </c>
      <c r="O125" t="str">
        <f t="shared" si="8"/>
        <v>Boa Vista</v>
      </c>
    </row>
    <row r="126" spans="1:15" x14ac:dyDescent="0.3">
      <c r="A126" s="10">
        <v>45658</v>
      </c>
      <c r="B126" s="9" t="s">
        <v>3</v>
      </c>
      <c r="C126" t="s">
        <v>364</v>
      </c>
      <c r="D126" s="9">
        <v>19777</v>
      </c>
      <c r="E126" s="5" t="s">
        <v>494</v>
      </c>
      <c r="F126" t="s">
        <v>365</v>
      </c>
      <c r="G126">
        <v>1230</v>
      </c>
      <c r="H126">
        <v>385</v>
      </c>
      <c r="I126" s="8">
        <f t="shared" si="9"/>
        <v>0.31300813008130079</v>
      </c>
      <c r="J126" s="17">
        <v>0.7</v>
      </c>
      <c r="K126" s="12">
        <v>13.75</v>
      </c>
      <c r="L126" s="2">
        <f t="shared" ref="L126:L189" si="12">H126*J126/I126-H126</f>
        <v>476</v>
      </c>
      <c r="M126" s="15">
        <f t="shared" si="10"/>
        <v>6545</v>
      </c>
      <c r="N126" t="str">
        <f t="shared" si="7"/>
        <v>SP</v>
      </c>
      <c r="O126" t="str">
        <f t="shared" si="8"/>
        <v>São José Dos Campos</v>
      </c>
    </row>
    <row r="127" spans="1:15" x14ac:dyDescent="0.3">
      <c r="A127" s="10">
        <v>45658</v>
      </c>
      <c r="B127" s="9" t="s">
        <v>71</v>
      </c>
      <c r="C127" t="s">
        <v>175</v>
      </c>
      <c r="D127" s="9">
        <v>19788</v>
      </c>
      <c r="E127" s="5" t="s">
        <v>495</v>
      </c>
      <c r="F127" t="s">
        <v>177</v>
      </c>
      <c r="G127">
        <v>3859</v>
      </c>
      <c r="H127">
        <v>1230</v>
      </c>
      <c r="I127" s="8">
        <f t="shared" si="9"/>
        <v>0.31873542368489244</v>
      </c>
      <c r="J127" s="17">
        <v>0.7</v>
      </c>
      <c r="K127" s="12">
        <v>13.75</v>
      </c>
      <c r="L127" s="2">
        <f t="shared" si="12"/>
        <v>1471.3000000000002</v>
      </c>
      <c r="M127" s="15">
        <f t="shared" si="10"/>
        <v>20230.375000000004</v>
      </c>
      <c r="N127" t="str">
        <f t="shared" si="7"/>
        <v>RS</v>
      </c>
      <c r="O127" t="str">
        <f t="shared" si="8"/>
        <v>Porto Alegre</v>
      </c>
    </row>
    <row r="128" spans="1:15" x14ac:dyDescent="0.3">
      <c r="A128" s="10">
        <v>45658</v>
      </c>
      <c r="B128" s="9" t="s">
        <v>14</v>
      </c>
      <c r="C128" t="s">
        <v>29</v>
      </c>
      <c r="D128" s="9">
        <v>19793</v>
      </c>
      <c r="E128" s="5" t="s">
        <v>496</v>
      </c>
      <c r="F128" t="s">
        <v>39</v>
      </c>
      <c r="G128">
        <v>1303</v>
      </c>
      <c r="H128">
        <v>519</v>
      </c>
      <c r="I128" s="8">
        <f t="shared" si="9"/>
        <v>0.39831158864159633</v>
      </c>
      <c r="J128" s="17">
        <v>0.7</v>
      </c>
      <c r="K128" s="12">
        <v>13.75</v>
      </c>
      <c r="L128" s="2">
        <f t="shared" si="12"/>
        <v>393.09999999999991</v>
      </c>
      <c r="M128" s="15">
        <f t="shared" si="10"/>
        <v>5405.1249999999991</v>
      </c>
      <c r="N128" t="str">
        <f t="shared" si="7"/>
        <v>MG</v>
      </c>
      <c r="O128" t="str">
        <f t="shared" si="8"/>
        <v>Belo Horizonte</v>
      </c>
    </row>
    <row r="129" spans="1:15" x14ac:dyDescent="0.3">
      <c r="A129" s="10">
        <v>45658</v>
      </c>
      <c r="B129" s="9" t="s">
        <v>21</v>
      </c>
      <c r="C129" t="s">
        <v>228</v>
      </c>
      <c r="D129" s="9">
        <v>19790</v>
      </c>
      <c r="E129" s="5" t="s">
        <v>497</v>
      </c>
      <c r="F129" t="s">
        <v>232</v>
      </c>
      <c r="G129">
        <v>2959</v>
      </c>
      <c r="H129">
        <v>1188</v>
      </c>
      <c r="I129" s="8">
        <f t="shared" si="9"/>
        <v>0.40148698884758366</v>
      </c>
      <c r="J129" s="17">
        <v>0.7</v>
      </c>
      <c r="K129" s="12">
        <v>13.75</v>
      </c>
      <c r="L129" s="2">
        <f t="shared" si="12"/>
        <v>883.29999999999973</v>
      </c>
      <c r="M129" s="15">
        <f t="shared" si="10"/>
        <v>12145.374999999996</v>
      </c>
      <c r="N129" t="str">
        <f t="shared" si="7"/>
        <v>BA</v>
      </c>
      <c r="O129" t="str">
        <f t="shared" si="8"/>
        <v>Salvador</v>
      </c>
    </row>
    <row r="130" spans="1:15" x14ac:dyDescent="0.3">
      <c r="A130" s="10">
        <v>45658</v>
      </c>
      <c r="B130" s="9" t="s">
        <v>71</v>
      </c>
      <c r="C130" t="s">
        <v>175</v>
      </c>
      <c r="D130" s="9">
        <v>19842</v>
      </c>
      <c r="E130" s="5" t="s">
        <v>498</v>
      </c>
      <c r="F130" t="s">
        <v>178</v>
      </c>
      <c r="G130">
        <v>2757</v>
      </c>
      <c r="H130">
        <v>984</v>
      </c>
      <c r="I130" s="8">
        <f t="shared" si="9"/>
        <v>0.35690968443960824</v>
      </c>
      <c r="J130" s="17">
        <v>0.7</v>
      </c>
      <c r="K130" s="12">
        <v>13.75</v>
      </c>
      <c r="L130" s="2">
        <f t="shared" si="12"/>
        <v>945.90000000000009</v>
      </c>
      <c r="M130" s="15">
        <f t="shared" si="10"/>
        <v>13006.125000000002</v>
      </c>
      <c r="N130" t="str">
        <f t="shared" ref="N130:N193" si="13">B130</f>
        <v>RS</v>
      </c>
      <c r="O130" t="str">
        <f t="shared" ref="O130:O193" si="14">C130</f>
        <v>Porto Alegre</v>
      </c>
    </row>
    <row r="131" spans="1:15" x14ac:dyDescent="0.3">
      <c r="A131" s="10">
        <v>45658</v>
      </c>
      <c r="B131" s="9" t="s">
        <v>59</v>
      </c>
      <c r="C131" t="s">
        <v>292</v>
      </c>
      <c r="D131" s="9">
        <v>19580</v>
      </c>
      <c r="E131" s="5" t="s">
        <v>499</v>
      </c>
      <c r="F131" t="s">
        <v>293</v>
      </c>
      <c r="G131">
        <v>2335</v>
      </c>
      <c r="H131">
        <v>635</v>
      </c>
      <c r="I131" s="8">
        <f t="shared" ref="I131:I194" si="15">H131/G131</f>
        <v>0.27194860813704497</v>
      </c>
      <c r="J131" s="17">
        <v>0.7</v>
      </c>
      <c r="K131" s="12">
        <v>13.75</v>
      </c>
      <c r="L131" s="2">
        <f t="shared" si="12"/>
        <v>999.5</v>
      </c>
      <c r="M131" s="15">
        <f t="shared" ref="M131:M194" si="16">L131*K131</f>
        <v>13743.125</v>
      </c>
      <c r="N131" t="str">
        <f t="shared" si="13"/>
        <v>ES</v>
      </c>
      <c r="O131" t="str">
        <f t="shared" si="14"/>
        <v>Vitória</v>
      </c>
    </row>
    <row r="132" spans="1:15" x14ac:dyDescent="0.3">
      <c r="A132" s="10">
        <v>45658</v>
      </c>
      <c r="B132" s="9" t="s">
        <v>59</v>
      </c>
      <c r="C132" t="s">
        <v>292</v>
      </c>
      <c r="D132" s="9">
        <v>19719</v>
      </c>
      <c r="E132" s="5" t="s">
        <v>500</v>
      </c>
      <c r="F132" t="s">
        <v>294</v>
      </c>
      <c r="G132">
        <v>2185</v>
      </c>
      <c r="H132">
        <v>812</v>
      </c>
      <c r="I132" s="8">
        <f t="shared" si="15"/>
        <v>0.37162471395881008</v>
      </c>
      <c r="J132" s="17">
        <v>0.7</v>
      </c>
      <c r="K132" s="12">
        <v>13.75</v>
      </c>
      <c r="L132" s="2">
        <f t="shared" si="12"/>
        <v>717.49999999999977</v>
      </c>
      <c r="M132" s="15">
        <f t="shared" si="16"/>
        <v>9865.6249999999964</v>
      </c>
      <c r="N132" t="str">
        <f t="shared" si="13"/>
        <v>ES</v>
      </c>
      <c r="O132" t="str">
        <f t="shared" si="14"/>
        <v>Vitória</v>
      </c>
    </row>
    <row r="133" spans="1:15" x14ac:dyDescent="0.3">
      <c r="A133" s="10">
        <v>45658</v>
      </c>
      <c r="B133" s="9" t="s">
        <v>59</v>
      </c>
      <c r="C133" t="s">
        <v>289</v>
      </c>
      <c r="D133" s="9">
        <v>19581</v>
      </c>
      <c r="E133" s="5" t="s">
        <v>501</v>
      </c>
      <c r="F133" t="s">
        <v>290</v>
      </c>
      <c r="G133">
        <v>2617</v>
      </c>
      <c r="H133">
        <v>951</v>
      </c>
      <c r="I133" s="8">
        <f t="shared" si="15"/>
        <v>0.3633931983186855</v>
      </c>
      <c r="J133" s="17">
        <v>0.7</v>
      </c>
      <c r="K133" s="12">
        <v>13.75</v>
      </c>
      <c r="L133" s="2">
        <f t="shared" si="12"/>
        <v>880.89999999999986</v>
      </c>
      <c r="M133" s="15">
        <f t="shared" si="16"/>
        <v>12112.374999999998</v>
      </c>
      <c r="N133" t="str">
        <f t="shared" si="13"/>
        <v>ES</v>
      </c>
      <c r="O133" t="str">
        <f t="shared" si="14"/>
        <v>Vila Velha</v>
      </c>
    </row>
    <row r="134" spans="1:15" x14ac:dyDescent="0.3">
      <c r="A134" s="10">
        <v>45658</v>
      </c>
      <c r="B134" s="9" t="s">
        <v>59</v>
      </c>
      <c r="C134" t="s">
        <v>289</v>
      </c>
      <c r="D134" s="9">
        <v>19876</v>
      </c>
      <c r="E134" s="5" t="s">
        <v>502</v>
      </c>
      <c r="F134" t="s">
        <v>291</v>
      </c>
      <c r="G134">
        <v>2893</v>
      </c>
      <c r="H134">
        <v>1055</v>
      </c>
      <c r="I134" s="8">
        <f t="shared" si="15"/>
        <v>0.36467334946422397</v>
      </c>
      <c r="J134" s="17">
        <v>0.7</v>
      </c>
      <c r="K134" s="12">
        <v>13.75</v>
      </c>
      <c r="L134" s="2">
        <f t="shared" si="12"/>
        <v>970.10000000000014</v>
      </c>
      <c r="M134" s="15">
        <f t="shared" si="16"/>
        <v>13338.875000000002</v>
      </c>
      <c r="N134" t="str">
        <f t="shared" si="13"/>
        <v>ES</v>
      </c>
      <c r="O134" t="str">
        <f t="shared" si="14"/>
        <v>Vila Velha</v>
      </c>
    </row>
    <row r="135" spans="1:15" x14ac:dyDescent="0.3">
      <c r="A135" s="10">
        <v>45658</v>
      </c>
      <c r="B135" s="9" t="s">
        <v>59</v>
      </c>
      <c r="C135" t="s">
        <v>271</v>
      </c>
      <c r="D135" s="9">
        <v>19775</v>
      </c>
      <c r="E135" s="5" t="s">
        <v>503</v>
      </c>
      <c r="F135" t="s">
        <v>272</v>
      </c>
      <c r="G135">
        <v>1944</v>
      </c>
      <c r="H135">
        <v>747</v>
      </c>
      <c r="I135" s="8">
        <f t="shared" si="15"/>
        <v>0.38425925925925924</v>
      </c>
      <c r="J135" s="17">
        <v>0.7</v>
      </c>
      <c r="K135" s="12">
        <v>13.75</v>
      </c>
      <c r="L135" s="2">
        <f t="shared" si="12"/>
        <v>613.79999999999995</v>
      </c>
      <c r="M135" s="15">
        <f t="shared" si="16"/>
        <v>8439.75</v>
      </c>
      <c r="N135" t="str">
        <f t="shared" si="13"/>
        <v>ES</v>
      </c>
      <c r="O135" t="str">
        <f t="shared" si="14"/>
        <v>Serra</v>
      </c>
    </row>
    <row r="136" spans="1:15" x14ac:dyDescent="0.3">
      <c r="A136" s="10">
        <v>45658</v>
      </c>
      <c r="B136" s="9" t="s">
        <v>71</v>
      </c>
      <c r="C136" t="s">
        <v>175</v>
      </c>
      <c r="D136" s="9">
        <v>19874</v>
      </c>
      <c r="E136" s="5" t="s">
        <v>504</v>
      </c>
      <c r="F136" t="s">
        <v>179</v>
      </c>
      <c r="G136">
        <v>3383</v>
      </c>
      <c r="H136">
        <v>1167</v>
      </c>
      <c r="I136" s="8">
        <f t="shared" si="15"/>
        <v>0.34496009459060006</v>
      </c>
      <c r="J136" s="17">
        <v>0.7</v>
      </c>
      <c r="K136" s="12">
        <v>13.75</v>
      </c>
      <c r="L136" s="2">
        <f t="shared" si="12"/>
        <v>1201.0999999999999</v>
      </c>
      <c r="M136" s="15">
        <f t="shared" si="16"/>
        <v>16515.125</v>
      </c>
      <c r="N136" t="str">
        <f t="shared" si="13"/>
        <v>RS</v>
      </c>
      <c r="O136" t="str">
        <f t="shared" si="14"/>
        <v>Porto Alegre</v>
      </c>
    </row>
    <row r="137" spans="1:15" x14ac:dyDescent="0.3">
      <c r="A137" s="10">
        <v>45658</v>
      </c>
      <c r="B137" s="9" t="s">
        <v>3</v>
      </c>
      <c r="C137" t="s">
        <v>165</v>
      </c>
      <c r="D137" s="9">
        <v>19761</v>
      </c>
      <c r="E137" s="5" t="s">
        <v>505</v>
      </c>
      <c r="F137" t="s">
        <v>166</v>
      </c>
      <c r="G137">
        <v>1467</v>
      </c>
      <c r="H137">
        <v>625</v>
      </c>
      <c r="I137" s="8">
        <f t="shared" si="15"/>
        <v>0.42603953646898435</v>
      </c>
      <c r="J137" s="17">
        <v>0.7</v>
      </c>
      <c r="K137" s="12">
        <v>13.75</v>
      </c>
      <c r="L137" s="2">
        <f t="shared" si="12"/>
        <v>401.89999999999986</v>
      </c>
      <c r="M137" s="15">
        <f t="shared" si="16"/>
        <v>5526.1249999999982</v>
      </c>
      <c r="N137" t="str">
        <f t="shared" si="13"/>
        <v>SP</v>
      </c>
      <c r="O137" t="str">
        <f t="shared" si="14"/>
        <v>Paulínia</v>
      </c>
    </row>
    <row r="138" spans="1:15" x14ac:dyDescent="0.3">
      <c r="A138" s="10">
        <v>45658</v>
      </c>
      <c r="B138" s="9" t="s">
        <v>89</v>
      </c>
      <c r="C138" t="s">
        <v>346</v>
      </c>
      <c r="D138" s="9">
        <v>19878</v>
      </c>
      <c r="E138" s="5" t="s">
        <v>506</v>
      </c>
      <c r="F138" t="s">
        <v>347</v>
      </c>
      <c r="G138">
        <v>2003</v>
      </c>
      <c r="H138">
        <v>898</v>
      </c>
      <c r="I138" s="8">
        <f t="shared" si="15"/>
        <v>0.44832750873689464</v>
      </c>
      <c r="J138" s="17">
        <v>0.7</v>
      </c>
      <c r="K138" s="12">
        <v>13.75</v>
      </c>
      <c r="L138" s="2">
        <f t="shared" si="12"/>
        <v>504.09999999999991</v>
      </c>
      <c r="M138" s="15">
        <f t="shared" si="16"/>
        <v>6931.3749999999991</v>
      </c>
      <c r="N138" t="str">
        <f t="shared" si="13"/>
        <v>CE</v>
      </c>
      <c r="O138" t="str">
        <f t="shared" si="14"/>
        <v>Fortaleza</v>
      </c>
    </row>
    <row r="139" spans="1:15" x14ac:dyDescent="0.3">
      <c r="A139" s="10">
        <v>45658</v>
      </c>
      <c r="B139" s="9" t="s">
        <v>46</v>
      </c>
      <c r="C139" t="s">
        <v>47</v>
      </c>
      <c r="D139" s="9">
        <v>19881</v>
      </c>
      <c r="E139" s="5" t="s">
        <v>507</v>
      </c>
      <c r="F139" t="s">
        <v>54</v>
      </c>
      <c r="G139">
        <v>2025</v>
      </c>
      <c r="H139">
        <v>811</v>
      </c>
      <c r="I139" s="8">
        <f t="shared" si="15"/>
        <v>0.40049382716049381</v>
      </c>
      <c r="J139" s="17">
        <v>0.7</v>
      </c>
      <c r="K139" s="12">
        <v>13.75</v>
      </c>
      <c r="L139" s="2">
        <f t="shared" si="12"/>
        <v>606.5</v>
      </c>
      <c r="M139" s="15">
        <f t="shared" si="16"/>
        <v>8339.375</v>
      </c>
      <c r="N139" t="str">
        <f t="shared" si="13"/>
        <v>DF</v>
      </c>
      <c r="O139" t="str">
        <f t="shared" si="14"/>
        <v>Brasília</v>
      </c>
    </row>
    <row r="140" spans="1:15" x14ac:dyDescent="0.3">
      <c r="A140" s="10">
        <v>45658</v>
      </c>
      <c r="B140" s="9" t="s">
        <v>3</v>
      </c>
      <c r="C140" t="s">
        <v>64</v>
      </c>
      <c r="D140" s="9">
        <v>19696</v>
      </c>
      <c r="E140" s="5" t="s">
        <v>508</v>
      </c>
      <c r="F140" t="s">
        <v>65</v>
      </c>
      <c r="G140">
        <v>1604</v>
      </c>
      <c r="H140">
        <v>643</v>
      </c>
      <c r="I140" s="8">
        <f t="shared" si="15"/>
        <v>0.4008728179551122</v>
      </c>
      <c r="J140" s="17">
        <v>0.7</v>
      </c>
      <c r="K140" s="12">
        <v>13.75</v>
      </c>
      <c r="L140" s="2">
        <f t="shared" si="12"/>
        <v>479.79999999999995</v>
      </c>
      <c r="M140" s="15">
        <f t="shared" si="16"/>
        <v>6597.2499999999991</v>
      </c>
      <c r="N140" t="str">
        <f t="shared" si="13"/>
        <v>SP</v>
      </c>
      <c r="O140" t="str">
        <f t="shared" si="14"/>
        <v>Campinas</v>
      </c>
    </row>
    <row r="141" spans="1:15" x14ac:dyDescent="0.3">
      <c r="A141" s="10">
        <v>45658</v>
      </c>
      <c r="B141" s="9" t="s">
        <v>71</v>
      </c>
      <c r="C141" t="s">
        <v>72</v>
      </c>
      <c r="D141" s="9">
        <v>19883</v>
      </c>
      <c r="E141" s="5" t="s">
        <v>509</v>
      </c>
      <c r="F141" t="s">
        <v>73</v>
      </c>
      <c r="G141">
        <v>1312</v>
      </c>
      <c r="H141">
        <v>436</v>
      </c>
      <c r="I141" s="8">
        <f t="shared" si="15"/>
        <v>0.33231707317073172</v>
      </c>
      <c r="J141" s="17">
        <v>0.7</v>
      </c>
      <c r="K141" s="12">
        <v>13.75</v>
      </c>
      <c r="L141" s="2">
        <f t="shared" si="12"/>
        <v>482.39999999999986</v>
      </c>
      <c r="M141" s="15">
        <f t="shared" si="16"/>
        <v>6632.9999999999982</v>
      </c>
      <c r="N141" t="str">
        <f t="shared" si="13"/>
        <v>RS</v>
      </c>
      <c r="O141" t="str">
        <f t="shared" si="14"/>
        <v>Canoas</v>
      </c>
    </row>
    <row r="142" spans="1:15" x14ac:dyDescent="0.3">
      <c r="A142" s="10">
        <v>45658</v>
      </c>
      <c r="B142" s="9" t="s">
        <v>15</v>
      </c>
      <c r="C142" t="s">
        <v>358</v>
      </c>
      <c r="D142" s="9">
        <v>19514</v>
      </c>
      <c r="E142" s="5" t="s">
        <v>510</v>
      </c>
      <c r="F142" t="s">
        <v>221</v>
      </c>
      <c r="G142">
        <v>3179</v>
      </c>
      <c r="H142">
        <v>1198</v>
      </c>
      <c r="I142" s="8">
        <f t="shared" si="15"/>
        <v>0.37684806542938032</v>
      </c>
      <c r="J142" s="17">
        <v>0.7</v>
      </c>
      <c r="K142" s="12">
        <v>13.75</v>
      </c>
      <c r="L142" s="2">
        <f t="shared" si="12"/>
        <v>1027.2999999999997</v>
      </c>
      <c r="M142" s="15">
        <f t="shared" si="16"/>
        <v>14125.374999999996</v>
      </c>
      <c r="N142" t="str">
        <f t="shared" si="13"/>
        <v>RJ</v>
      </c>
      <c r="O142" t="str">
        <f t="shared" si="14"/>
        <v>Rio De Janeiro</v>
      </c>
    </row>
    <row r="143" spans="1:15" x14ac:dyDescent="0.3">
      <c r="A143" s="10">
        <v>45658</v>
      </c>
      <c r="B143" s="9" t="s">
        <v>15</v>
      </c>
      <c r="C143" t="s">
        <v>358</v>
      </c>
      <c r="D143" s="9">
        <v>19600</v>
      </c>
      <c r="E143" s="5" t="s">
        <v>511</v>
      </c>
      <c r="F143" t="s">
        <v>222</v>
      </c>
      <c r="G143">
        <v>2692</v>
      </c>
      <c r="H143">
        <v>1077</v>
      </c>
      <c r="I143" s="8">
        <f t="shared" si="15"/>
        <v>0.40007429420505203</v>
      </c>
      <c r="J143" s="17">
        <v>0.7</v>
      </c>
      <c r="K143" s="12">
        <v>13.75</v>
      </c>
      <c r="L143" s="2">
        <f t="shared" si="12"/>
        <v>807.39999999999986</v>
      </c>
      <c r="M143" s="15">
        <f t="shared" si="16"/>
        <v>11101.749999999998</v>
      </c>
      <c r="N143" t="str">
        <f t="shared" si="13"/>
        <v>RJ</v>
      </c>
      <c r="O143" t="str">
        <f t="shared" si="14"/>
        <v>Rio De Janeiro</v>
      </c>
    </row>
    <row r="144" spans="1:15" x14ac:dyDescent="0.3">
      <c r="A144" s="10">
        <v>45658</v>
      </c>
      <c r="B144" s="9" t="s">
        <v>78</v>
      </c>
      <c r="C144" t="s">
        <v>277</v>
      </c>
      <c r="D144" s="9">
        <v>19896</v>
      </c>
      <c r="E144" s="5" t="s">
        <v>512</v>
      </c>
      <c r="F144" t="s">
        <v>278</v>
      </c>
      <c r="G144">
        <v>1475</v>
      </c>
      <c r="H144">
        <v>697</v>
      </c>
      <c r="I144" s="8">
        <f t="shared" si="15"/>
        <v>0.47254237288135592</v>
      </c>
      <c r="J144" s="17">
        <v>0.7</v>
      </c>
      <c r="K144" s="12">
        <v>13.75</v>
      </c>
      <c r="L144" s="2">
        <f t="shared" si="12"/>
        <v>335.5</v>
      </c>
      <c r="M144" s="15">
        <f t="shared" si="16"/>
        <v>4613.125</v>
      </c>
      <c r="N144" t="str">
        <f t="shared" si="13"/>
        <v>MT</v>
      </c>
      <c r="O144" t="str">
        <f t="shared" si="14"/>
        <v>Sorriso</v>
      </c>
    </row>
    <row r="145" spans="1:15" x14ac:dyDescent="0.3">
      <c r="A145" s="10">
        <v>45658</v>
      </c>
      <c r="B145" s="9" t="s">
        <v>14</v>
      </c>
      <c r="C145" t="s">
        <v>287</v>
      </c>
      <c r="D145" s="9">
        <v>19905</v>
      </c>
      <c r="E145" s="5" t="s">
        <v>513</v>
      </c>
      <c r="F145" t="s">
        <v>288</v>
      </c>
      <c r="G145">
        <v>1388</v>
      </c>
      <c r="H145">
        <v>611</v>
      </c>
      <c r="I145" s="8">
        <f t="shared" si="15"/>
        <v>0.44020172910662825</v>
      </c>
      <c r="J145" s="17">
        <v>0.7</v>
      </c>
      <c r="K145" s="12">
        <v>13.75</v>
      </c>
      <c r="L145" s="2">
        <f t="shared" si="12"/>
        <v>360.59999999999991</v>
      </c>
      <c r="M145" s="15">
        <f t="shared" si="16"/>
        <v>4958.2499999999991</v>
      </c>
      <c r="N145" t="str">
        <f t="shared" si="13"/>
        <v>MG</v>
      </c>
      <c r="O145" t="str">
        <f t="shared" si="14"/>
        <v>Varginha</v>
      </c>
    </row>
    <row r="146" spans="1:15" x14ac:dyDescent="0.3">
      <c r="A146" s="10">
        <v>45658</v>
      </c>
      <c r="B146" s="9" t="s">
        <v>3</v>
      </c>
      <c r="C146" t="s">
        <v>12</v>
      </c>
      <c r="D146" s="9">
        <v>19901</v>
      </c>
      <c r="E146" s="5" t="s">
        <v>514</v>
      </c>
      <c r="F146" t="s">
        <v>13</v>
      </c>
      <c r="G146">
        <v>991</v>
      </c>
      <c r="H146">
        <v>188</v>
      </c>
      <c r="I146" s="8">
        <f t="shared" si="15"/>
        <v>0.18970736629667004</v>
      </c>
      <c r="J146" s="17">
        <v>0.7</v>
      </c>
      <c r="K146" s="12">
        <v>13.75</v>
      </c>
      <c r="L146" s="2">
        <f t="shared" si="12"/>
        <v>505.69999999999993</v>
      </c>
      <c r="M146" s="15">
        <f t="shared" si="16"/>
        <v>6953.3749999999991</v>
      </c>
      <c r="N146" t="str">
        <f t="shared" si="13"/>
        <v>SP</v>
      </c>
      <c r="O146" t="str">
        <f t="shared" si="14"/>
        <v>Araras</v>
      </c>
    </row>
    <row r="147" spans="1:15" x14ac:dyDescent="0.3">
      <c r="A147" s="10">
        <v>45658</v>
      </c>
      <c r="B147" s="9" t="s">
        <v>14</v>
      </c>
      <c r="C147" t="s">
        <v>137</v>
      </c>
      <c r="D147" s="9">
        <v>19899</v>
      </c>
      <c r="E147" s="5" t="s">
        <v>515</v>
      </c>
      <c r="F147" t="s">
        <v>138</v>
      </c>
      <c r="G147">
        <v>1451</v>
      </c>
      <c r="H147">
        <v>699</v>
      </c>
      <c r="I147" s="8">
        <f t="shared" si="15"/>
        <v>0.48173673328738803</v>
      </c>
      <c r="J147" s="17">
        <v>0.7</v>
      </c>
      <c r="K147" s="12">
        <v>13.75</v>
      </c>
      <c r="L147" s="2">
        <f t="shared" si="12"/>
        <v>316.69999999999982</v>
      </c>
      <c r="M147" s="15">
        <f t="shared" si="16"/>
        <v>4354.6249999999973</v>
      </c>
      <c r="N147" t="str">
        <f t="shared" si="13"/>
        <v>MG</v>
      </c>
      <c r="O147" t="str">
        <f t="shared" si="14"/>
        <v>Montes Claros</v>
      </c>
    </row>
    <row r="148" spans="1:15" x14ac:dyDescent="0.3">
      <c r="A148" s="10">
        <v>45658</v>
      </c>
      <c r="B148" s="9" t="s">
        <v>14</v>
      </c>
      <c r="C148" t="s">
        <v>137</v>
      </c>
      <c r="D148" s="9">
        <v>19796</v>
      </c>
      <c r="E148" s="5" t="s">
        <v>516</v>
      </c>
      <c r="F148" t="s">
        <v>139</v>
      </c>
      <c r="G148">
        <v>2995</v>
      </c>
      <c r="H148">
        <v>1579</v>
      </c>
      <c r="I148" s="8">
        <f t="shared" si="15"/>
        <v>0.52721202003338896</v>
      </c>
      <c r="J148" s="17">
        <v>0.7</v>
      </c>
      <c r="K148" s="12">
        <v>13.75</v>
      </c>
      <c r="L148" s="2">
        <f t="shared" si="12"/>
        <v>517.5</v>
      </c>
      <c r="M148" s="15">
        <f t="shared" si="16"/>
        <v>7115.625</v>
      </c>
      <c r="N148" t="str">
        <f t="shared" si="13"/>
        <v>MG</v>
      </c>
      <c r="O148" t="str">
        <f t="shared" si="14"/>
        <v>Montes Claros</v>
      </c>
    </row>
    <row r="149" spans="1:15" x14ac:dyDescent="0.3">
      <c r="A149" s="10">
        <v>45658</v>
      </c>
      <c r="B149" s="9" t="s">
        <v>15</v>
      </c>
      <c r="C149" t="s">
        <v>358</v>
      </c>
      <c r="D149" s="9">
        <v>19528</v>
      </c>
      <c r="E149" s="5" t="s">
        <v>517</v>
      </c>
      <c r="F149" t="s">
        <v>223</v>
      </c>
      <c r="G149">
        <v>2535</v>
      </c>
      <c r="H149">
        <v>798</v>
      </c>
      <c r="I149" s="8">
        <f t="shared" si="15"/>
        <v>0.31479289940828403</v>
      </c>
      <c r="J149" s="17">
        <v>0.7</v>
      </c>
      <c r="K149" s="12">
        <v>13.75</v>
      </c>
      <c r="L149" s="2">
        <f t="shared" si="12"/>
        <v>976.49999999999977</v>
      </c>
      <c r="M149" s="15">
        <f t="shared" si="16"/>
        <v>13426.874999999996</v>
      </c>
      <c r="N149" t="str">
        <f t="shared" si="13"/>
        <v>RJ</v>
      </c>
      <c r="O149" t="str">
        <f t="shared" si="14"/>
        <v>Rio De Janeiro</v>
      </c>
    </row>
    <row r="150" spans="1:15" x14ac:dyDescent="0.3">
      <c r="A150" s="10">
        <v>45658</v>
      </c>
      <c r="B150" s="9" t="s">
        <v>3</v>
      </c>
      <c r="C150" t="s">
        <v>366</v>
      </c>
      <c r="D150" s="9">
        <v>19770</v>
      </c>
      <c r="E150" s="5" t="s">
        <v>518</v>
      </c>
      <c r="F150" t="s">
        <v>367</v>
      </c>
      <c r="G150">
        <v>997</v>
      </c>
      <c r="H150">
        <v>299</v>
      </c>
      <c r="I150" s="8">
        <f t="shared" si="15"/>
        <v>0.29989969909729186</v>
      </c>
      <c r="J150" s="17">
        <v>0.7</v>
      </c>
      <c r="K150" s="12">
        <v>13.75</v>
      </c>
      <c r="L150" s="2">
        <f t="shared" si="12"/>
        <v>398.9</v>
      </c>
      <c r="M150" s="15">
        <f t="shared" si="16"/>
        <v>5484.875</v>
      </c>
      <c r="N150" t="str">
        <f t="shared" si="13"/>
        <v>SP</v>
      </c>
      <c r="O150" t="str">
        <f t="shared" si="14"/>
        <v>Valinhos</v>
      </c>
    </row>
    <row r="151" spans="1:15" x14ac:dyDescent="0.3">
      <c r="A151" s="10">
        <v>45658</v>
      </c>
      <c r="B151" s="9" t="s">
        <v>6</v>
      </c>
      <c r="C151" t="s">
        <v>158</v>
      </c>
      <c r="D151" s="9">
        <v>19914</v>
      </c>
      <c r="E151" s="5" t="s">
        <v>519</v>
      </c>
      <c r="F151" t="s">
        <v>159</v>
      </c>
      <c r="G151">
        <v>3019</v>
      </c>
      <c r="H151">
        <v>1790</v>
      </c>
      <c r="I151" s="8">
        <f t="shared" si="15"/>
        <v>0.59291156011924473</v>
      </c>
      <c r="J151" s="17">
        <v>0.7</v>
      </c>
      <c r="K151" s="12">
        <v>13.75</v>
      </c>
      <c r="L151" s="2">
        <f t="shared" si="12"/>
        <v>323.30000000000018</v>
      </c>
      <c r="M151" s="15">
        <f t="shared" si="16"/>
        <v>4445.3750000000027</v>
      </c>
      <c r="N151" t="str">
        <f t="shared" si="13"/>
        <v>PA</v>
      </c>
      <c r="O151" t="str">
        <f t="shared" si="14"/>
        <v>Parauapebas</v>
      </c>
    </row>
    <row r="152" spans="1:15" x14ac:dyDescent="0.3">
      <c r="A152" s="10">
        <v>45658</v>
      </c>
      <c r="B152" s="9" t="s">
        <v>155</v>
      </c>
      <c r="C152" t="s">
        <v>156</v>
      </c>
      <c r="D152" s="9">
        <v>19916</v>
      </c>
      <c r="E152" s="5" t="s">
        <v>520</v>
      </c>
      <c r="F152" t="s">
        <v>157</v>
      </c>
      <c r="G152">
        <v>3200</v>
      </c>
      <c r="H152">
        <v>1750</v>
      </c>
      <c r="I152" s="8">
        <f t="shared" si="15"/>
        <v>0.546875</v>
      </c>
      <c r="J152" s="17">
        <v>0.7</v>
      </c>
      <c r="K152" s="12">
        <v>13.75</v>
      </c>
      <c r="L152" s="2">
        <f t="shared" si="12"/>
        <v>490</v>
      </c>
      <c r="M152" s="15">
        <f t="shared" si="16"/>
        <v>6737.5</v>
      </c>
      <c r="N152" t="str">
        <f t="shared" si="13"/>
        <v>TO</v>
      </c>
      <c r="O152" t="str">
        <f t="shared" si="14"/>
        <v>Palmas</v>
      </c>
    </row>
    <row r="153" spans="1:15" x14ac:dyDescent="0.3">
      <c r="A153" s="10">
        <v>45658</v>
      </c>
      <c r="B153" s="9" t="s">
        <v>15</v>
      </c>
      <c r="C153" t="s">
        <v>358</v>
      </c>
      <c r="D153" s="9">
        <v>19909</v>
      </c>
      <c r="E153" s="5" t="s">
        <v>521</v>
      </c>
      <c r="F153" t="s">
        <v>360</v>
      </c>
      <c r="G153">
        <v>1177</v>
      </c>
      <c r="H153">
        <v>490</v>
      </c>
      <c r="I153" s="8">
        <f t="shared" si="15"/>
        <v>0.41631265930331351</v>
      </c>
      <c r="J153" s="17">
        <v>0.7</v>
      </c>
      <c r="K153" s="12">
        <v>13.75</v>
      </c>
      <c r="L153" s="2">
        <f t="shared" si="12"/>
        <v>333.9</v>
      </c>
      <c r="M153" s="15">
        <f t="shared" si="16"/>
        <v>4591.125</v>
      </c>
      <c r="N153" t="str">
        <f t="shared" si="13"/>
        <v>RJ</v>
      </c>
      <c r="O153" t="str">
        <f t="shared" si="14"/>
        <v>Rio De Janeiro</v>
      </c>
    </row>
    <row r="154" spans="1:15" x14ac:dyDescent="0.3">
      <c r="A154" s="10">
        <v>45658</v>
      </c>
      <c r="B154" s="9" t="s">
        <v>74</v>
      </c>
      <c r="C154" t="s">
        <v>97</v>
      </c>
      <c r="D154" s="9">
        <v>19911</v>
      </c>
      <c r="E154" s="5" t="s">
        <v>522</v>
      </c>
      <c r="F154" t="s">
        <v>98</v>
      </c>
      <c r="G154">
        <v>1795</v>
      </c>
      <c r="H154">
        <v>936</v>
      </c>
      <c r="I154" s="8">
        <f t="shared" si="15"/>
        <v>0.52144846796657385</v>
      </c>
      <c r="J154" s="17">
        <v>0.7</v>
      </c>
      <c r="K154" s="12">
        <v>13.75</v>
      </c>
      <c r="L154" s="2">
        <f t="shared" si="12"/>
        <v>320.49999999999977</v>
      </c>
      <c r="M154" s="15">
        <f t="shared" si="16"/>
        <v>4406.8749999999973</v>
      </c>
      <c r="N154" t="str">
        <f t="shared" si="13"/>
        <v>PE</v>
      </c>
      <c r="O154" t="str">
        <f t="shared" si="14"/>
        <v>Garanhuns</v>
      </c>
    </row>
    <row r="155" spans="1:15" x14ac:dyDescent="0.3">
      <c r="A155" s="10">
        <v>45658</v>
      </c>
      <c r="B155" s="9" t="s">
        <v>15</v>
      </c>
      <c r="C155" t="s">
        <v>341</v>
      </c>
      <c r="D155" s="9">
        <v>19908</v>
      </c>
      <c r="E155" s="5" t="s">
        <v>523</v>
      </c>
      <c r="F155" t="s">
        <v>16</v>
      </c>
      <c r="G155">
        <v>2493</v>
      </c>
      <c r="H155">
        <v>1126</v>
      </c>
      <c r="I155" s="8">
        <f t="shared" si="15"/>
        <v>0.45166466105094266</v>
      </c>
      <c r="J155" s="17">
        <v>0.7</v>
      </c>
      <c r="K155" s="12">
        <v>13.75</v>
      </c>
      <c r="L155" s="2">
        <f t="shared" si="12"/>
        <v>619.09999999999968</v>
      </c>
      <c r="M155" s="15">
        <f t="shared" si="16"/>
        <v>8512.6249999999964</v>
      </c>
      <c r="N155" t="str">
        <f t="shared" si="13"/>
        <v>RJ</v>
      </c>
      <c r="O155" t="str">
        <f t="shared" si="14"/>
        <v>Armação Dos Búzios</v>
      </c>
    </row>
    <row r="156" spans="1:15" x14ac:dyDescent="0.3">
      <c r="A156" s="10">
        <v>45658</v>
      </c>
      <c r="B156" s="9" t="s">
        <v>21</v>
      </c>
      <c r="C156" t="s">
        <v>121</v>
      </c>
      <c r="D156" s="9">
        <v>19910</v>
      </c>
      <c r="E156" s="5" t="s">
        <v>524</v>
      </c>
      <c r="F156" t="s">
        <v>122</v>
      </c>
      <c r="G156">
        <v>1161</v>
      </c>
      <c r="H156">
        <v>559</v>
      </c>
      <c r="I156" s="8">
        <f t="shared" si="15"/>
        <v>0.48148148148148145</v>
      </c>
      <c r="J156" s="17">
        <v>0.7</v>
      </c>
      <c r="K156" s="12">
        <v>13.75</v>
      </c>
      <c r="L156" s="2">
        <f t="shared" si="12"/>
        <v>253.69999999999993</v>
      </c>
      <c r="M156" s="15">
        <f t="shared" si="16"/>
        <v>3488.3749999999991</v>
      </c>
      <c r="N156" t="str">
        <f t="shared" si="13"/>
        <v>BA</v>
      </c>
      <c r="O156" t="str">
        <f t="shared" si="14"/>
        <v>Luís Eduardo Magalhães</v>
      </c>
    </row>
    <row r="157" spans="1:15" x14ac:dyDescent="0.3">
      <c r="A157" s="10">
        <v>45658</v>
      </c>
      <c r="B157" s="9" t="s">
        <v>82</v>
      </c>
      <c r="C157" t="s">
        <v>173</v>
      </c>
      <c r="D157" s="9">
        <v>19926</v>
      </c>
      <c r="E157" s="5" t="s">
        <v>525</v>
      </c>
      <c r="F157" t="s">
        <v>174</v>
      </c>
      <c r="G157">
        <v>1106</v>
      </c>
      <c r="H157">
        <v>450</v>
      </c>
      <c r="I157" s="8">
        <f t="shared" si="15"/>
        <v>0.40687160940325495</v>
      </c>
      <c r="J157" s="17">
        <v>0.7</v>
      </c>
      <c r="K157" s="12">
        <v>13.75</v>
      </c>
      <c r="L157" s="2">
        <f t="shared" si="12"/>
        <v>324.20000000000005</v>
      </c>
      <c r="M157" s="15">
        <f t="shared" si="16"/>
        <v>4457.7500000000009</v>
      </c>
      <c r="N157" t="str">
        <f t="shared" si="13"/>
        <v>PR</v>
      </c>
      <c r="O157" t="str">
        <f t="shared" si="14"/>
        <v>Ponta Grossa</v>
      </c>
    </row>
    <row r="158" spans="1:15" x14ac:dyDescent="0.3">
      <c r="A158" s="10">
        <v>45658</v>
      </c>
      <c r="B158" s="9" t="s">
        <v>15</v>
      </c>
      <c r="C158" t="s">
        <v>358</v>
      </c>
      <c r="D158" s="9">
        <v>19523</v>
      </c>
      <c r="E158" s="5" t="s">
        <v>526</v>
      </c>
      <c r="F158" t="s">
        <v>224</v>
      </c>
      <c r="G158">
        <v>2939</v>
      </c>
      <c r="H158">
        <v>933</v>
      </c>
      <c r="I158" s="8">
        <f t="shared" si="15"/>
        <v>0.31745491663831238</v>
      </c>
      <c r="J158" s="17">
        <v>0.7</v>
      </c>
      <c r="K158" s="12">
        <v>13.75</v>
      </c>
      <c r="L158" s="2">
        <f t="shared" si="12"/>
        <v>1124.2999999999997</v>
      </c>
      <c r="M158" s="15">
        <f t="shared" si="16"/>
        <v>15459.124999999996</v>
      </c>
      <c r="N158" t="str">
        <f t="shared" si="13"/>
        <v>RJ</v>
      </c>
      <c r="O158" t="str">
        <f t="shared" si="14"/>
        <v>Rio De Janeiro</v>
      </c>
    </row>
    <row r="159" spans="1:15" x14ac:dyDescent="0.3">
      <c r="A159" s="10">
        <v>45658</v>
      </c>
      <c r="B159" s="9" t="s">
        <v>15</v>
      </c>
      <c r="C159" t="s">
        <v>358</v>
      </c>
      <c r="D159" s="9">
        <v>19652</v>
      </c>
      <c r="E159" s="5" t="s">
        <v>527</v>
      </c>
      <c r="F159" t="s">
        <v>225</v>
      </c>
      <c r="G159">
        <v>4398</v>
      </c>
      <c r="H159">
        <v>1448</v>
      </c>
      <c r="I159" s="8">
        <f t="shared" si="15"/>
        <v>0.32924056389267847</v>
      </c>
      <c r="J159" s="17">
        <v>0.7</v>
      </c>
      <c r="K159" s="12">
        <v>13.75</v>
      </c>
      <c r="L159" s="2">
        <f t="shared" si="12"/>
        <v>1630.6</v>
      </c>
      <c r="M159" s="15">
        <f t="shared" si="16"/>
        <v>22420.75</v>
      </c>
      <c r="N159" t="str">
        <f t="shared" si="13"/>
        <v>RJ</v>
      </c>
      <c r="O159" t="str">
        <f t="shared" si="14"/>
        <v>Rio De Janeiro</v>
      </c>
    </row>
    <row r="160" spans="1:15" x14ac:dyDescent="0.3">
      <c r="A160" s="10">
        <v>45658</v>
      </c>
      <c r="B160" s="9" t="s">
        <v>15</v>
      </c>
      <c r="C160" t="s">
        <v>358</v>
      </c>
      <c r="D160" s="9">
        <v>19529</v>
      </c>
      <c r="E160" s="5" t="s">
        <v>528</v>
      </c>
      <c r="F160" t="s">
        <v>226</v>
      </c>
      <c r="G160">
        <v>4454</v>
      </c>
      <c r="H160">
        <v>1520</v>
      </c>
      <c r="I160" s="8">
        <f t="shared" si="15"/>
        <v>0.34126627750336774</v>
      </c>
      <c r="J160" s="17">
        <v>0.7</v>
      </c>
      <c r="K160" s="12">
        <v>13.75</v>
      </c>
      <c r="L160" s="2">
        <f t="shared" si="12"/>
        <v>1597.8000000000002</v>
      </c>
      <c r="M160" s="15">
        <f t="shared" si="16"/>
        <v>21969.750000000004</v>
      </c>
      <c r="N160" t="str">
        <f t="shared" si="13"/>
        <v>RJ</v>
      </c>
      <c r="O160" t="str">
        <f t="shared" si="14"/>
        <v>Rio De Janeiro</v>
      </c>
    </row>
    <row r="161" spans="1:15" x14ac:dyDescent="0.3">
      <c r="A161" s="10">
        <v>45658</v>
      </c>
      <c r="B161" s="9" t="s">
        <v>3</v>
      </c>
      <c r="C161" t="s">
        <v>248</v>
      </c>
      <c r="D161" s="9">
        <v>19889</v>
      </c>
      <c r="E161" s="5" t="s">
        <v>529</v>
      </c>
      <c r="F161" t="s">
        <v>266</v>
      </c>
      <c r="G161">
        <v>1717</v>
      </c>
      <c r="H161">
        <v>603</v>
      </c>
      <c r="I161" s="8">
        <f t="shared" si="15"/>
        <v>0.35119394292370415</v>
      </c>
      <c r="J161" s="17">
        <v>0.7</v>
      </c>
      <c r="K161" s="12">
        <v>13.75</v>
      </c>
      <c r="L161" s="2">
        <f t="shared" si="12"/>
        <v>598.89999999999986</v>
      </c>
      <c r="M161" s="15">
        <f t="shared" si="16"/>
        <v>8234.8749999999982</v>
      </c>
      <c r="N161" t="str">
        <f t="shared" si="13"/>
        <v>SP</v>
      </c>
      <c r="O161" t="str">
        <f t="shared" si="14"/>
        <v>São Paulo</v>
      </c>
    </row>
    <row r="162" spans="1:15" x14ac:dyDescent="0.3">
      <c r="A162" s="10">
        <v>45658</v>
      </c>
      <c r="B162" s="9" t="s">
        <v>3</v>
      </c>
      <c r="C162" t="s">
        <v>248</v>
      </c>
      <c r="D162" s="9">
        <v>19888</v>
      </c>
      <c r="E162" s="5" t="s">
        <v>530</v>
      </c>
      <c r="F162" t="s">
        <v>267</v>
      </c>
      <c r="G162">
        <v>1557</v>
      </c>
      <c r="H162">
        <v>434</v>
      </c>
      <c r="I162" s="8">
        <f t="shared" si="15"/>
        <v>0.27874116891457934</v>
      </c>
      <c r="J162" s="17">
        <v>0.7</v>
      </c>
      <c r="K162" s="12">
        <v>13.75</v>
      </c>
      <c r="L162" s="2">
        <f t="shared" si="12"/>
        <v>655.89999999999986</v>
      </c>
      <c r="M162" s="15">
        <f t="shared" si="16"/>
        <v>9018.6249999999982</v>
      </c>
      <c r="N162" t="str">
        <f t="shared" si="13"/>
        <v>SP</v>
      </c>
      <c r="O162" t="str">
        <f t="shared" si="14"/>
        <v>São Paulo</v>
      </c>
    </row>
    <row r="163" spans="1:15" x14ac:dyDescent="0.3">
      <c r="A163" s="10">
        <v>45658</v>
      </c>
      <c r="B163" s="9" t="s">
        <v>82</v>
      </c>
      <c r="C163" t="s">
        <v>106</v>
      </c>
      <c r="D163" s="9">
        <v>19927</v>
      </c>
      <c r="E163" s="5" t="s">
        <v>531</v>
      </c>
      <c r="F163" t="s">
        <v>107</v>
      </c>
      <c r="G163">
        <v>760</v>
      </c>
      <c r="H163">
        <v>248</v>
      </c>
      <c r="I163" s="8">
        <f t="shared" si="15"/>
        <v>0.32631578947368423</v>
      </c>
      <c r="J163" s="17">
        <v>0.7</v>
      </c>
      <c r="K163" s="12">
        <v>13.75</v>
      </c>
      <c r="L163" s="2">
        <f t="shared" si="12"/>
        <v>284</v>
      </c>
      <c r="M163" s="15">
        <f t="shared" si="16"/>
        <v>3905</v>
      </c>
      <c r="N163" t="str">
        <f t="shared" si="13"/>
        <v>PR</v>
      </c>
      <c r="O163" t="str">
        <f t="shared" si="14"/>
        <v>Guarapuava</v>
      </c>
    </row>
    <row r="164" spans="1:15" x14ac:dyDescent="0.3">
      <c r="A164" s="10">
        <v>45658</v>
      </c>
      <c r="B164" s="9" t="s">
        <v>336</v>
      </c>
      <c r="C164" t="s">
        <v>337</v>
      </c>
      <c r="D164" s="9">
        <v>19929</v>
      </c>
      <c r="E164" s="5" t="s">
        <v>532</v>
      </c>
      <c r="F164" t="s">
        <v>338</v>
      </c>
      <c r="G164">
        <v>1063</v>
      </c>
      <c r="H164">
        <v>565</v>
      </c>
      <c r="I164" s="8">
        <f t="shared" si="15"/>
        <v>0.5315145813734713</v>
      </c>
      <c r="J164" s="17">
        <v>0.7</v>
      </c>
      <c r="K164" s="12">
        <v>13.75</v>
      </c>
      <c r="L164" s="2">
        <f t="shared" si="12"/>
        <v>179.10000000000002</v>
      </c>
      <c r="M164" s="15">
        <f t="shared" si="16"/>
        <v>2462.6250000000005</v>
      </c>
      <c r="N164" t="str">
        <f t="shared" si="13"/>
        <v>SE</v>
      </c>
      <c r="O164" t="str">
        <f t="shared" si="14"/>
        <v>Aracaju</v>
      </c>
    </row>
    <row r="165" spans="1:15" x14ac:dyDescent="0.3">
      <c r="A165" s="10">
        <v>45658</v>
      </c>
      <c r="B165" s="9" t="s">
        <v>3</v>
      </c>
      <c r="C165" t="s">
        <v>44</v>
      </c>
      <c r="D165" s="9">
        <v>19930</v>
      </c>
      <c r="E165" s="5" t="s">
        <v>533</v>
      </c>
      <c r="F165" t="s">
        <v>45</v>
      </c>
      <c r="G165">
        <v>1951</v>
      </c>
      <c r="H165">
        <v>1101</v>
      </c>
      <c r="I165" s="8">
        <f t="shared" si="15"/>
        <v>0.56432598667350076</v>
      </c>
      <c r="J165" s="17">
        <v>0.7</v>
      </c>
      <c r="K165" s="12">
        <v>13.75</v>
      </c>
      <c r="L165" s="2">
        <f t="shared" si="12"/>
        <v>264.69999999999982</v>
      </c>
      <c r="M165" s="15">
        <f t="shared" si="16"/>
        <v>3639.6249999999973</v>
      </c>
      <c r="N165" t="str">
        <f t="shared" si="13"/>
        <v>SP</v>
      </c>
      <c r="O165" t="str">
        <f t="shared" si="14"/>
        <v>Botucatu</v>
      </c>
    </row>
    <row r="166" spans="1:15" x14ac:dyDescent="0.3">
      <c r="A166" s="10">
        <v>45658</v>
      </c>
      <c r="B166" s="9" t="s">
        <v>3</v>
      </c>
      <c r="C166" t="s">
        <v>353</v>
      </c>
      <c r="D166" s="9">
        <v>19675</v>
      </c>
      <c r="E166" s="5" t="s">
        <v>534</v>
      </c>
      <c r="F166" t="s">
        <v>354</v>
      </c>
      <c r="G166">
        <v>894</v>
      </c>
      <c r="H166">
        <v>271</v>
      </c>
      <c r="I166" s="8">
        <f t="shared" si="15"/>
        <v>0.30313199105145416</v>
      </c>
      <c r="J166" s="17">
        <v>0.7</v>
      </c>
      <c r="K166" s="12">
        <v>13.75</v>
      </c>
      <c r="L166" s="2">
        <f t="shared" si="12"/>
        <v>354.79999999999995</v>
      </c>
      <c r="M166" s="15">
        <f t="shared" si="16"/>
        <v>4878.4999999999991</v>
      </c>
      <c r="N166" t="str">
        <f t="shared" si="13"/>
        <v>SP</v>
      </c>
      <c r="O166" t="str">
        <f t="shared" si="14"/>
        <v>Limeira</v>
      </c>
    </row>
    <row r="167" spans="1:15" x14ac:dyDescent="0.3">
      <c r="A167" s="10">
        <v>45658</v>
      </c>
      <c r="B167" s="9" t="s">
        <v>15</v>
      </c>
      <c r="C167" t="s">
        <v>358</v>
      </c>
      <c r="D167" s="9">
        <v>19609</v>
      </c>
      <c r="E167" s="5" t="s">
        <v>535</v>
      </c>
      <c r="F167" t="s">
        <v>227</v>
      </c>
      <c r="G167">
        <v>1911</v>
      </c>
      <c r="H167">
        <v>857</v>
      </c>
      <c r="I167" s="8">
        <f t="shared" si="15"/>
        <v>0.44845630559916272</v>
      </c>
      <c r="J167" s="17">
        <v>0.7</v>
      </c>
      <c r="K167" s="12">
        <v>13.75</v>
      </c>
      <c r="L167" s="2">
        <f t="shared" si="12"/>
        <v>480.70000000000005</v>
      </c>
      <c r="M167" s="15">
        <f t="shared" si="16"/>
        <v>6609.6250000000009</v>
      </c>
      <c r="N167" t="str">
        <f t="shared" si="13"/>
        <v>RJ</v>
      </c>
      <c r="O167" t="str">
        <f t="shared" si="14"/>
        <v>Rio De Janeiro</v>
      </c>
    </row>
    <row r="168" spans="1:15" x14ac:dyDescent="0.3">
      <c r="A168" s="10">
        <v>45658</v>
      </c>
      <c r="B168" s="9" t="s">
        <v>3</v>
      </c>
      <c r="C168" t="s">
        <v>4</v>
      </c>
      <c r="D168" s="9">
        <v>19928</v>
      </c>
      <c r="E168" s="5" t="s">
        <v>536</v>
      </c>
      <c r="F168" t="s">
        <v>5</v>
      </c>
      <c r="G168">
        <v>1394</v>
      </c>
      <c r="H168">
        <v>756</v>
      </c>
      <c r="I168" s="8">
        <f t="shared" si="15"/>
        <v>0.54232424677187951</v>
      </c>
      <c r="J168" s="17">
        <v>0.7</v>
      </c>
      <c r="K168" s="12">
        <v>13.75</v>
      </c>
      <c r="L168" s="2">
        <f t="shared" si="12"/>
        <v>219.79999999999984</v>
      </c>
      <c r="M168" s="15">
        <f t="shared" si="16"/>
        <v>3022.2499999999977</v>
      </c>
      <c r="N168" t="str">
        <f t="shared" si="13"/>
        <v>SP</v>
      </c>
      <c r="O168" t="str">
        <f t="shared" si="14"/>
        <v>Americana</v>
      </c>
    </row>
    <row r="169" spans="1:15" x14ac:dyDescent="0.3">
      <c r="A169" s="10">
        <v>45658</v>
      </c>
      <c r="B169" s="9" t="s">
        <v>15</v>
      </c>
      <c r="C169" t="s">
        <v>149</v>
      </c>
      <c r="D169" s="9">
        <v>19746</v>
      </c>
      <c r="E169" s="5" t="s">
        <v>537</v>
      </c>
      <c r="F169" t="s">
        <v>150</v>
      </c>
      <c r="G169">
        <v>2565</v>
      </c>
      <c r="H169">
        <v>1386</v>
      </c>
      <c r="I169" s="8">
        <f t="shared" si="15"/>
        <v>0.54035087719298247</v>
      </c>
      <c r="J169" s="17">
        <v>0.7</v>
      </c>
      <c r="K169" s="12">
        <v>13.75</v>
      </c>
      <c r="L169" s="2">
        <f t="shared" si="12"/>
        <v>409.49999999999977</v>
      </c>
      <c r="M169" s="15">
        <f t="shared" si="16"/>
        <v>5630.6249999999973</v>
      </c>
      <c r="N169" t="str">
        <f t="shared" si="13"/>
        <v>RJ</v>
      </c>
      <c r="O169" t="str">
        <f t="shared" si="14"/>
        <v>Nova Friburgo</v>
      </c>
    </row>
    <row r="170" spans="1:15" x14ac:dyDescent="0.3">
      <c r="A170" s="10">
        <v>45658</v>
      </c>
      <c r="B170" s="9" t="s">
        <v>71</v>
      </c>
      <c r="C170" t="s">
        <v>163</v>
      </c>
      <c r="D170" s="9">
        <v>19933</v>
      </c>
      <c r="E170" s="5" t="s">
        <v>538</v>
      </c>
      <c r="F170" t="s">
        <v>164</v>
      </c>
      <c r="G170">
        <v>823</v>
      </c>
      <c r="H170">
        <v>315</v>
      </c>
      <c r="I170" s="8">
        <f t="shared" si="15"/>
        <v>0.38274605103280679</v>
      </c>
      <c r="J170" s="17">
        <v>0.7</v>
      </c>
      <c r="K170" s="12">
        <v>13.75</v>
      </c>
      <c r="L170" s="2">
        <f t="shared" si="12"/>
        <v>261.10000000000002</v>
      </c>
      <c r="M170" s="15">
        <f t="shared" si="16"/>
        <v>3590.1250000000005</v>
      </c>
      <c r="N170" t="str">
        <f t="shared" si="13"/>
        <v>RS</v>
      </c>
      <c r="O170" t="str">
        <f t="shared" si="14"/>
        <v>Passo</v>
      </c>
    </row>
    <row r="171" spans="1:15" x14ac:dyDescent="0.3">
      <c r="A171" s="10">
        <v>45658</v>
      </c>
      <c r="B171" s="9" t="s">
        <v>59</v>
      </c>
      <c r="C171" t="s">
        <v>343</v>
      </c>
      <c r="D171" s="9">
        <v>19944</v>
      </c>
      <c r="E171" s="5" t="s">
        <v>539</v>
      </c>
      <c r="F171" t="s">
        <v>60</v>
      </c>
      <c r="G171">
        <v>1974</v>
      </c>
      <c r="H171">
        <v>908</v>
      </c>
      <c r="I171" s="8">
        <f t="shared" si="15"/>
        <v>0.45997973657548125</v>
      </c>
      <c r="J171" s="17">
        <v>0.7</v>
      </c>
      <c r="K171" s="12">
        <v>13.75</v>
      </c>
      <c r="L171" s="2">
        <f t="shared" si="12"/>
        <v>473.79999999999973</v>
      </c>
      <c r="M171" s="15">
        <f t="shared" si="16"/>
        <v>6514.7499999999964</v>
      </c>
      <c r="N171" t="str">
        <f t="shared" si="13"/>
        <v>ES</v>
      </c>
      <c r="O171" t="str">
        <f t="shared" si="14"/>
        <v>Cachoeira De Itapemirim</v>
      </c>
    </row>
    <row r="172" spans="1:15" x14ac:dyDescent="0.3">
      <c r="A172" s="10">
        <v>45658</v>
      </c>
      <c r="B172" s="9" t="s">
        <v>82</v>
      </c>
      <c r="C172" t="s">
        <v>83</v>
      </c>
      <c r="D172" s="9">
        <v>19936</v>
      </c>
      <c r="E172" s="5" t="s">
        <v>540</v>
      </c>
      <c r="F172" t="s">
        <v>86</v>
      </c>
      <c r="G172">
        <v>1749</v>
      </c>
      <c r="H172">
        <v>499</v>
      </c>
      <c r="I172" s="8">
        <f t="shared" si="15"/>
        <v>0.28530588907947396</v>
      </c>
      <c r="J172" s="17">
        <v>0.7</v>
      </c>
      <c r="K172" s="12">
        <v>13.75</v>
      </c>
      <c r="L172" s="2">
        <f t="shared" si="12"/>
        <v>725.3</v>
      </c>
      <c r="M172" s="15">
        <f t="shared" si="16"/>
        <v>9972.875</v>
      </c>
      <c r="N172" t="str">
        <f t="shared" si="13"/>
        <v>PR</v>
      </c>
      <c r="O172" t="str">
        <f t="shared" si="14"/>
        <v>Curitiba</v>
      </c>
    </row>
    <row r="173" spans="1:15" x14ac:dyDescent="0.3">
      <c r="A173" s="10">
        <v>45658</v>
      </c>
      <c r="B173" s="9" t="s">
        <v>21</v>
      </c>
      <c r="C173" t="s">
        <v>228</v>
      </c>
      <c r="D173" s="9">
        <v>19931</v>
      </c>
      <c r="E173" s="5" t="s">
        <v>541</v>
      </c>
      <c r="F173" t="s">
        <v>233</v>
      </c>
      <c r="G173">
        <v>1874</v>
      </c>
      <c r="H173">
        <v>881</v>
      </c>
      <c r="I173" s="8">
        <f t="shared" si="15"/>
        <v>0.47011739594450375</v>
      </c>
      <c r="J173" s="17">
        <v>0.7</v>
      </c>
      <c r="K173" s="12">
        <v>13.75</v>
      </c>
      <c r="L173" s="2">
        <f t="shared" si="12"/>
        <v>430.79999999999973</v>
      </c>
      <c r="M173" s="15">
        <f t="shared" si="16"/>
        <v>5923.4999999999964</v>
      </c>
      <c r="N173" t="str">
        <f t="shared" si="13"/>
        <v>BA</v>
      </c>
      <c r="O173" t="str">
        <f t="shared" si="14"/>
        <v>Salvador</v>
      </c>
    </row>
    <row r="174" spans="1:15" x14ac:dyDescent="0.3">
      <c r="A174" s="10">
        <v>45658</v>
      </c>
      <c r="B174" s="9" t="s">
        <v>14</v>
      </c>
      <c r="C174" t="s">
        <v>273</v>
      </c>
      <c r="D174" s="9">
        <v>19937</v>
      </c>
      <c r="E174" s="5" t="s">
        <v>542</v>
      </c>
      <c r="F174" t="s">
        <v>274</v>
      </c>
      <c r="G174">
        <v>1465</v>
      </c>
      <c r="H174">
        <v>729</v>
      </c>
      <c r="I174" s="8">
        <f t="shared" si="15"/>
        <v>0.49761092150170649</v>
      </c>
      <c r="J174" s="17">
        <v>0.7</v>
      </c>
      <c r="K174" s="12">
        <v>13.75</v>
      </c>
      <c r="L174" s="2">
        <f t="shared" si="12"/>
        <v>296.5</v>
      </c>
      <c r="M174" s="15">
        <f t="shared" si="16"/>
        <v>4076.875</v>
      </c>
      <c r="N174" t="str">
        <f t="shared" si="13"/>
        <v>MG</v>
      </c>
      <c r="O174" t="str">
        <f t="shared" si="14"/>
        <v>Sete Lagoas</v>
      </c>
    </row>
    <row r="175" spans="1:15" x14ac:dyDescent="0.3">
      <c r="A175" s="10">
        <v>45658</v>
      </c>
      <c r="B175" s="9" t="s">
        <v>46</v>
      </c>
      <c r="C175" t="s">
        <v>102</v>
      </c>
      <c r="D175" s="9">
        <v>19553</v>
      </c>
      <c r="E175" s="5" t="s">
        <v>543</v>
      </c>
      <c r="F175" t="s">
        <v>103</v>
      </c>
      <c r="G175">
        <v>2323</v>
      </c>
      <c r="H175">
        <v>887</v>
      </c>
      <c r="I175" s="8">
        <f t="shared" si="15"/>
        <v>0.3818338355574688</v>
      </c>
      <c r="J175" s="17">
        <v>0.7</v>
      </c>
      <c r="K175" s="12">
        <v>13.75</v>
      </c>
      <c r="L175" s="2">
        <f t="shared" si="12"/>
        <v>739.09999999999991</v>
      </c>
      <c r="M175" s="15">
        <f t="shared" si="16"/>
        <v>10162.624999999998</v>
      </c>
      <c r="N175" t="str">
        <f t="shared" si="13"/>
        <v>DF</v>
      </c>
      <c r="O175" t="str">
        <f t="shared" si="14"/>
        <v>Guará</v>
      </c>
    </row>
    <row r="176" spans="1:15" x14ac:dyDescent="0.3">
      <c r="A176" s="10">
        <v>45658</v>
      </c>
      <c r="B176" s="9" t="s">
        <v>89</v>
      </c>
      <c r="C176" t="s">
        <v>346</v>
      </c>
      <c r="D176" s="9">
        <v>19946</v>
      </c>
      <c r="E176" s="5" t="s">
        <v>544</v>
      </c>
      <c r="F176" t="s">
        <v>348</v>
      </c>
      <c r="G176">
        <v>866</v>
      </c>
      <c r="H176">
        <v>347</v>
      </c>
      <c r="I176" s="8">
        <f t="shared" si="15"/>
        <v>0.40069284064665128</v>
      </c>
      <c r="J176" s="17">
        <v>0.7</v>
      </c>
      <c r="K176" s="12">
        <v>13.75</v>
      </c>
      <c r="L176" s="2">
        <f t="shared" si="12"/>
        <v>259.19999999999993</v>
      </c>
      <c r="M176" s="15">
        <f t="shared" si="16"/>
        <v>3563.9999999999991</v>
      </c>
      <c r="N176" t="str">
        <f t="shared" si="13"/>
        <v>CE</v>
      </c>
      <c r="O176" t="str">
        <f t="shared" si="14"/>
        <v>Fortaleza</v>
      </c>
    </row>
    <row r="177" spans="1:15" x14ac:dyDescent="0.3">
      <c r="A177" s="10">
        <v>45658</v>
      </c>
      <c r="B177" s="9" t="s">
        <v>140</v>
      </c>
      <c r="C177" t="s">
        <v>141</v>
      </c>
      <c r="D177" s="9">
        <v>19940</v>
      </c>
      <c r="E177" s="5" t="s">
        <v>545</v>
      </c>
      <c r="F177" t="s">
        <v>142</v>
      </c>
      <c r="G177">
        <v>1697</v>
      </c>
      <c r="H177">
        <v>885</v>
      </c>
      <c r="I177" s="8">
        <f t="shared" si="15"/>
        <v>0.52150854449027695</v>
      </c>
      <c r="J177" s="17">
        <v>0.7</v>
      </c>
      <c r="K177" s="12">
        <v>13.75</v>
      </c>
      <c r="L177" s="2">
        <f t="shared" si="12"/>
        <v>302.90000000000009</v>
      </c>
      <c r="M177" s="15">
        <f t="shared" si="16"/>
        <v>4164.8750000000009</v>
      </c>
      <c r="N177" t="str">
        <f t="shared" si="13"/>
        <v>RN</v>
      </c>
      <c r="O177" t="str">
        <f t="shared" si="14"/>
        <v>Natal</v>
      </c>
    </row>
    <row r="178" spans="1:15" x14ac:dyDescent="0.3">
      <c r="A178" s="10">
        <v>45658</v>
      </c>
      <c r="B178" s="9" t="s">
        <v>123</v>
      </c>
      <c r="C178" t="s">
        <v>124</v>
      </c>
      <c r="D178" s="9">
        <v>19945</v>
      </c>
      <c r="E178" s="5" t="s">
        <v>546</v>
      </c>
      <c r="F178" t="s">
        <v>125</v>
      </c>
      <c r="G178">
        <v>1900</v>
      </c>
      <c r="H178">
        <v>1163</v>
      </c>
      <c r="I178" s="8">
        <f t="shared" si="15"/>
        <v>0.61210526315789471</v>
      </c>
      <c r="J178" s="17">
        <v>0.7</v>
      </c>
      <c r="K178" s="12">
        <v>13.75</v>
      </c>
      <c r="L178" s="2">
        <f t="shared" si="12"/>
        <v>167</v>
      </c>
      <c r="M178" s="15">
        <f t="shared" si="16"/>
        <v>2296.25</v>
      </c>
      <c r="N178" t="str">
        <f t="shared" si="13"/>
        <v>AP</v>
      </c>
      <c r="O178" t="str">
        <f t="shared" si="14"/>
        <v>Macapa</v>
      </c>
    </row>
    <row r="179" spans="1:15" x14ac:dyDescent="0.3">
      <c r="A179" s="10">
        <v>45658</v>
      </c>
      <c r="B179" s="9" t="s">
        <v>21</v>
      </c>
      <c r="C179" t="s">
        <v>228</v>
      </c>
      <c r="D179" s="9">
        <v>19907</v>
      </c>
      <c r="E179" s="5" t="s">
        <v>547</v>
      </c>
      <c r="F179" t="s">
        <v>234</v>
      </c>
      <c r="G179">
        <v>1724</v>
      </c>
      <c r="H179">
        <v>829</v>
      </c>
      <c r="I179" s="8">
        <f t="shared" si="15"/>
        <v>0.48085846867749421</v>
      </c>
      <c r="J179" s="17">
        <v>0.7</v>
      </c>
      <c r="K179" s="12">
        <v>13.75</v>
      </c>
      <c r="L179" s="2">
        <f t="shared" si="12"/>
        <v>377.79999999999995</v>
      </c>
      <c r="M179" s="15">
        <f t="shared" si="16"/>
        <v>5194.7499999999991</v>
      </c>
      <c r="N179" t="str">
        <f t="shared" si="13"/>
        <v>BA</v>
      </c>
      <c r="O179" t="str">
        <f t="shared" si="14"/>
        <v>Salvador</v>
      </c>
    </row>
    <row r="180" spans="1:15" x14ac:dyDescent="0.3">
      <c r="A180" s="10">
        <v>45658</v>
      </c>
      <c r="B180" s="9" t="s">
        <v>15</v>
      </c>
      <c r="C180" t="s">
        <v>145</v>
      </c>
      <c r="D180" s="9">
        <v>19538</v>
      </c>
      <c r="E180" s="5" t="s">
        <v>548</v>
      </c>
      <c r="F180" t="s">
        <v>146</v>
      </c>
      <c r="G180">
        <v>2581</v>
      </c>
      <c r="H180">
        <v>1103</v>
      </c>
      <c r="I180" s="8">
        <f t="shared" si="15"/>
        <v>0.42735373886090661</v>
      </c>
      <c r="J180" s="17">
        <v>0.7</v>
      </c>
      <c r="K180" s="12">
        <v>13.75</v>
      </c>
      <c r="L180" s="2">
        <f t="shared" si="12"/>
        <v>703.69999999999982</v>
      </c>
      <c r="M180" s="15">
        <f t="shared" si="16"/>
        <v>9675.8749999999982</v>
      </c>
      <c r="N180" t="str">
        <f t="shared" si="13"/>
        <v>RJ</v>
      </c>
      <c r="O180" t="str">
        <f t="shared" si="14"/>
        <v>Niterói</v>
      </c>
    </row>
    <row r="181" spans="1:15" x14ac:dyDescent="0.3">
      <c r="A181" s="10">
        <v>45658</v>
      </c>
      <c r="B181" s="9" t="s">
        <v>14</v>
      </c>
      <c r="C181" t="s">
        <v>339</v>
      </c>
      <c r="D181" s="9">
        <v>19932</v>
      </c>
      <c r="E181" s="5" t="s">
        <v>549</v>
      </c>
      <c r="F181" t="s">
        <v>340</v>
      </c>
      <c r="G181">
        <v>1363</v>
      </c>
      <c r="H181">
        <v>674</v>
      </c>
      <c r="I181" s="8">
        <f t="shared" si="15"/>
        <v>0.49449743213499631</v>
      </c>
      <c r="J181" s="17">
        <v>0.7</v>
      </c>
      <c r="K181" s="12">
        <v>13.75</v>
      </c>
      <c r="L181" s="2">
        <f t="shared" si="12"/>
        <v>280.09999999999991</v>
      </c>
      <c r="M181" s="15">
        <f t="shared" si="16"/>
        <v>3851.3749999999986</v>
      </c>
      <c r="N181" t="str">
        <f t="shared" si="13"/>
        <v>MG</v>
      </c>
      <c r="O181" t="str">
        <f t="shared" si="14"/>
        <v>Araxa</v>
      </c>
    </row>
    <row r="182" spans="1:15" x14ac:dyDescent="0.3">
      <c r="A182" s="10">
        <v>45658</v>
      </c>
      <c r="B182" s="9" t="s">
        <v>71</v>
      </c>
      <c r="C182" t="s">
        <v>175</v>
      </c>
      <c r="D182" s="9">
        <v>19947</v>
      </c>
      <c r="E182" s="5" t="s">
        <v>550</v>
      </c>
      <c r="F182" t="s">
        <v>180</v>
      </c>
      <c r="G182">
        <v>2620</v>
      </c>
      <c r="H182">
        <v>960</v>
      </c>
      <c r="I182" s="8">
        <f t="shared" si="15"/>
        <v>0.36641221374045801</v>
      </c>
      <c r="J182" s="17">
        <v>0.7</v>
      </c>
      <c r="K182" s="12">
        <v>13.75</v>
      </c>
      <c r="L182" s="2">
        <f t="shared" si="12"/>
        <v>874</v>
      </c>
      <c r="M182" s="15">
        <f t="shared" si="16"/>
        <v>12017.5</v>
      </c>
      <c r="N182" t="str">
        <f t="shared" si="13"/>
        <v>RS</v>
      </c>
      <c r="O182" t="str">
        <f t="shared" si="14"/>
        <v>Porto Alegre</v>
      </c>
    </row>
    <row r="183" spans="1:15" x14ac:dyDescent="0.3">
      <c r="A183" s="10">
        <v>45658</v>
      </c>
      <c r="B183" s="9" t="s">
        <v>14</v>
      </c>
      <c r="C183" t="s">
        <v>114</v>
      </c>
      <c r="D183" s="9">
        <v>19943</v>
      </c>
      <c r="E183" s="5" t="s">
        <v>551</v>
      </c>
      <c r="F183" t="s">
        <v>115</v>
      </c>
      <c r="G183">
        <v>1087</v>
      </c>
      <c r="H183">
        <v>514</v>
      </c>
      <c r="I183" s="8">
        <f t="shared" si="15"/>
        <v>0.47286108555657774</v>
      </c>
      <c r="J183" s="17">
        <v>0.7</v>
      </c>
      <c r="K183" s="12">
        <v>13.75</v>
      </c>
      <c r="L183" s="2">
        <f t="shared" si="12"/>
        <v>246.89999999999986</v>
      </c>
      <c r="M183" s="15">
        <f t="shared" si="16"/>
        <v>3394.8749999999982</v>
      </c>
      <c r="N183" t="str">
        <f t="shared" si="13"/>
        <v>MG</v>
      </c>
      <c r="O183" t="str">
        <f t="shared" si="14"/>
        <v>Ituiutaba</v>
      </c>
    </row>
    <row r="184" spans="1:15" x14ac:dyDescent="0.3">
      <c r="A184" s="10">
        <v>45658</v>
      </c>
      <c r="B184" s="9" t="s">
        <v>244</v>
      </c>
      <c r="C184" t="s">
        <v>245</v>
      </c>
      <c r="D184" s="9">
        <v>19617</v>
      </c>
      <c r="E184" s="5" t="s">
        <v>552</v>
      </c>
      <c r="F184" t="s">
        <v>246</v>
      </c>
      <c r="G184">
        <v>3679</v>
      </c>
      <c r="H184">
        <v>1612</v>
      </c>
      <c r="I184" s="8">
        <f t="shared" si="15"/>
        <v>0.43816254416961131</v>
      </c>
      <c r="J184" s="17">
        <v>0.7</v>
      </c>
      <c r="K184" s="12">
        <v>13.75</v>
      </c>
      <c r="L184" s="2">
        <f t="shared" si="12"/>
        <v>963.29999999999973</v>
      </c>
      <c r="M184" s="15">
        <f t="shared" si="16"/>
        <v>13245.374999999996</v>
      </c>
      <c r="N184" t="str">
        <f t="shared" si="13"/>
        <v>MA</v>
      </c>
      <c r="O184" t="str">
        <f t="shared" si="14"/>
        <v>São Luís</v>
      </c>
    </row>
    <row r="185" spans="1:15" x14ac:dyDescent="0.3">
      <c r="A185" s="10">
        <v>45658</v>
      </c>
      <c r="B185" s="9" t="s">
        <v>244</v>
      </c>
      <c r="C185" t="s">
        <v>245</v>
      </c>
      <c r="D185" s="9">
        <v>19595</v>
      </c>
      <c r="E185" s="5" t="s">
        <v>553</v>
      </c>
      <c r="F185" t="s">
        <v>247</v>
      </c>
      <c r="G185">
        <v>3335</v>
      </c>
      <c r="H185">
        <v>1478</v>
      </c>
      <c r="I185" s="8">
        <f t="shared" si="15"/>
        <v>0.44317841079460268</v>
      </c>
      <c r="J185" s="17">
        <v>0.7</v>
      </c>
      <c r="K185" s="12">
        <v>13.75</v>
      </c>
      <c r="L185" s="2">
        <f t="shared" si="12"/>
        <v>856.5</v>
      </c>
      <c r="M185" s="15">
        <f t="shared" si="16"/>
        <v>11776.875</v>
      </c>
      <c r="N185" t="str">
        <f t="shared" si="13"/>
        <v>MA</v>
      </c>
      <c r="O185" t="str">
        <f t="shared" si="14"/>
        <v>São Luís</v>
      </c>
    </row>
    <row r="186" spans="1:15" x14ac:dyDescent="0.3">
      <c r="A186" s="10">
        <v>45658</v>
      </c>
      <c r="B186" s="9" t="s">
        <v>14</v>
      </c>
      <c r="C186" t="s">
        <v>283</v>
      </c>
      <c r="D186" s="9">
        <v>19912</v>
      </c>
      <c r="E186" s="5" t="s">
        <v>554</v>
      </c>
      <c r="F186" t="s">
        <v>284</v>
      </c>
      <c r="G186">
        <v>509</v>
      </c>
      <c r="H186">
        <v>214</v>
      </c>
      <c r="I186" s="8">
        <f t="shared" si="15"/>
        <v>0.4204322200392927</v>
      </c>
      <c r="J186" s="17">
        <v>0.7</v>
      </c>
      <c r="K186" s="12">
        <v>13.75</v>
      </c>
      <c r="L186" s="2">
        <f t="shared" si="12"/>
        <v>142.29999999999995</v>
      </c>
      <c r="M186" s="15">
        <f t="shared" si="16"/>
        <v>1956.6249999999993</v>
      </c>
      <c r="N186" t="str">
        <f t="shared" si="13"/>
        <v>MG</v>
      </c>
      <c r="O186" t="str">
        <f t="shared" si="14"/>
        <v>Uberaba</v>
      </c>
    </row>
    <row r="187" spans="1:15" x14ac:dyDescent="0.3">
      <c r="A187" s="10">
        <v>45658</v>
      </c>
      <c r="B187" s="9" t="s">
        <v>3</v>
      </c>
      <c r="C187" t="s">
        <v>10</v>
      </c>
      <c r="D187" s="9">
        <v>19948</v>
      </c>
      <c r="E187" s="5" t="s">
        <v>555</v>
      </c>
      <c r="F187" t="s">
        <v>11</v>
      </c>
      <c r="G187">
        <v>863</v>
      </c>
      <c r="H187">
        <v>421</v>
      </c>
      <c r="I187" s="8">
        <f t="shared" si="15"/>
        <v>0.48783314020857477</v>
      </c>
      <c r="J187" s="17">
        <v>0.7</v>
      </c>
      <c r="K187" s="12">
        <v>13.75</v>
      </c>
      <c r="L187" s="2">
        <f t="shared" si="12"/>
        <v>183.09999999999991</v>
      </c>
      <c r="M187" s="15">
        <f t="shared" si="16"/>
        <v>2517.6249999999986</v>
      </c>
      <c r="N187" t="str">
        <f t="shared" si="13"/>
        <v>SP</v>
      </c>
      <c r="O187" t="str">
        <f t="shared" si="14"/>
        <v>Araraquara</v>
      </c>
    </row>
    <row r="188" spans="1:15" x14ac:dyDescent="0.3">
      <c r="A188" s="10">
        <v>45658</v>
      </c>
      <c r="B188" s="9" t="s">
        <v>74</v>
      </c>
      <c r="C188" t="s">
        <v>75</v>
      </c>
      <c r="D188" s="9">
        <v>19798</v>
      </c>
      <c r="E188" s="5" t="s">
        <v>556</v>
      </c>
      <c r="F188" t="s">
        <v>76</v>
      </c>
      <c r="G188">
        <v>2983</v>
      </c>
      <c r="H188">
        <v>1475</v>
      </c>
      <c r="I188" s="8">
        <f t="shared" si="15"/>
        <v>0.4944686557157224</v>
      </c>
      <c r="J188" s="17">
        <v>0.7</v>
      </c>
      <c r="K188" s="12">
        <v>13.75</v>
      </c>
      <c r="L188" s="2">
        <f t="shared" si="12"/>
        <v>613.09999999999991</v>
      </c>
      <c r="M188" s="15">
        <f t="shared" si="16"/>
        <v>8430.1249999999982</v>
      </c>
      <c r="N188" t="str">
        <f t="shared" si="13"/>
        <v>PE</v>
      </c>
      <c r="O188" t="str">
        <f t="shared" si="14"/>
        <v>Caruaru</v>
      </c>
    </row>
    <row r="189" spans="1:15" x14ac:dyDescent="0.3">
      <c r="A189" s="10">
        <v>45658</v>
      </c>
      <c r="B189" s="9" t="s">
        <v>15</v>
      </c>
      <c r="C189" t="s">
        <v>19</v>
      </c>
      <c r="D189" s="9">
        <v>19694</v>
      </c>
      <c r="E189" s="5" t="s">
        <v>557</v>
      </c>
      <c r="F189" t="s">
        <v>20</v>
      </c>
      <c r="G189">
        <v>2055</v>
      </c>
      <c r="H189">
        <v>1064</v>
      </c>
      <c r="I189" s="8">
        <f t="shared" si="15"/>
        <v>0.51776155717761552</v>
      </c>
      <c r="J189" s="17">
        <v>0.7</v>
      </c>
      <c r="K189" s="12">
        <v>13.75</v>
      </c>
      <c r="L189" s="2">
        <f t="shared" si="12"/>
        <v>374.5</v>
      </c>
      <c r="M189" s="15">
        <f t="shared" si="16"/>
        <v>5149.375</v>
      </c>
      <c r="N189" t="str">
        <f t="shared" si="13"/>
        <v>RJ</v>
      </c>
      <c r="O189" t="str">
        <f t="shared" si="14"/>
        <v>Barra Mansa</v>
      </c>
    </row>
    <row r="190" spans="1:15" x14ac:dyDescent="0.3">
      <c r="A190" s="10">
        <v>45658</v>
      </c>
      <c r="B190" s="9" t="s">
        <v>14</v>
      </c>
      <c r="C190" t="s">
        <v>112</v>
      </c>
      <c r="D190" s="9">
        <v>19951</v>
      </c>
      <c r="E190" s="5" t="s">
        <v>558</v>
      </c>
      <c r="F190" t="s">
        <v>113</v>
      </c>
      <c r="G190">
        <v>2304</v>
      </c>
      <c r="H190">
        <v>990</v>
      </c>
      <c r="I190" s="8">
        <f t="shared" si="15"/>
        <v>0.4296875</v>
      </c>
      <c r="J190" s="17">
        <v>0.7</v>
      </c>
      <c r="K190" s="12">
        <v>13.75</v>
      </c>
      <c r="L190" s="2">
        <f t="shared" ref="L190:L253" si="17">H190*J190/I190-H190</f>
        <v>622.79999999999995</v>
      </c>
      <c r="M190" s="15">
        <f t="shared" si="16"/>
        <v>8563.5</v>
      </c>
      <c r="N190" t="str">
        <f t="shared" si="13"/>
        <v>MG</v>
      </c>
      <c r="O190" t="str">
        <f t="shared" si="14"/>
        <v>Ipatinga</v>
      </c>
    </row>
    <row r="191" spans="1:15" x14ac:dyDescent="0.3">
      <c r="A191" s="10">
        <v>45658</v>
      </c>
      <c r="B191" s="9" t="s">
        <v>160</v>
      </c>
      <c r="C191" t="s">
        <v>161</v>
      </c>
      <c r="D191" s="9">
        <v>19954</v>
      </c>
      <c r="E191" s="5" t="s">
        <v>559</v>
      </c>
      <c r="F191" t="s">
        <v>162</v>
      </c>
      <c r="G191">
        <v>872</v>
      </c>
      <c r="H191">
        <v>516</v>
      </c>
      <c r="I191" s="8">
        <f t="shared" si="15"/>
        <v>0.59174311926605505</v>
      </c>
      <c r="J191" s="17">
        <v>0.7</v>
      </c>
      <c r="K191" s="12">
        <v>13.75</v>
      </c>
      <c r="L191" s="2">
        <f t="shared" si="17"/>
        <v>94.399999999999977</v>
      </c>
      <c r="M191" s="15">
        <f t="shared" si="16"/>
        <v>1297.9999999999998</v>
      </c>
      <c r="N191" t="str">
        <f t="shared" si="13"/>
        <v>PI</v>
      </c>
      <c r="O191" t="str">
        <f t="shared" si="14"/>
        <v>Parnaíba</v>
      </c>
    </row>
    <row r="192" spans="1:15" x14ac:dyDescent="0.3">
      <c r="A192" s="10">
        <v>45658</v>
      </c>
      <c r="B192" s="9" t="s">
        <v>14</v>
      </c>
      <c r="C192" t="s">
        <v>351</v>
      </c>
      <c r="D192" s="9">
        <v>19615</v>
      </c>
      <c r="E192" s="5" t="s">
        <v>560</v>
      </c>
      <c r="F192" t="s">
        <v>117</v>
      </c>
      <c r="G192">
        <v>2605</v>
      </c>
      <c r="H192">
        <v>863</v>
      </c>
      <c r="I192" s="8">
        <f t="shared" si="15"/>
        <v>0.33128598848368523</v>
      </c>
      <c r="J192" s="17">
        <v>0.7</v>
      </c>
      <c r="K192" s="12">
        <v>13.75</v>
      </c>
      <c r="L192" s="2">
        <f t="shared" si="17"/>
        <v>960.49999999999955</v>
      </c>
      <c r="M192" s="15">
        <f t="shared" si="16"/>
        <v>13206.874999999995</v>
      </c>
      <c r="N192" t="str">
        <f t="shared" si="13"/>
        <v>MG</v>
      </c>
      <c r="O192" t="str">
        <f t="shared" si="14"/>
        <v>Juiz De Fora</v>
      </c>
    </row>
    <row r="193" spans="1:15" x14ac:dyDescent="0.3">
      <c r="A193" s="10">
        <v>45658</v>
      </c>
      <c r="B193" s="9" t="s">
        <v>46</v>
      </c>
      <c r="C193" t="s">
        <v>47</v>
      </c>
      <c r="D193" s="9">
        <v>19647</v>
      </c>
      <c r="E193" s="5" t="s">
        <v>561</v>
      </c>
      <c r="F193" t="s">
        <v>55</v>
      </c>
      <c r="G193">
        <v>1667</v>
      </c>
      <c r="H193">
        <v>552</v>
      </c>
      <c r="I193" s="8">
        <f t="shared" si="15"/>
        <v>0.33113377324535093</v>
      </c>
      <c r="J193" s="17">
        <v>0.7</v>
      </c>
      <c r="K193" s="12">
        <v>13.75</v>
      </c>
      <c r="L193" s="2">
        <f t="shared" si="17"/>
        <v>614.89999999999986</v>
      </c>
      <c r="M193" s="15">
        <f t="shared" si="16"/>
        <v>8454.8749999999982</v>
      </c>
      <c r="N193" t="str">
        <f t="shared" si="13"/>
        <v>DF</v>
      </c>
      <c r="O193" t="str">
        <f t="shared" si="14"/>
        <v>Brasília</v>
      </c>
    </row>
    <row r="194" spans="1:15" x14ac:dyDescent="0.3">
      <c r="A194" s="10">
        <v>45658</v>
      </c>
      <c r="B194" s="9" t="s">
        <v>46</v>
      </c>
      <c r="C194" t="s">
        <v>47</v>
      </c>
      <c r="D194" s="9">
        <v>19898</v>
      </c>
      <c r="E194" s="5" t="s">
        <v>562</v>
      </c>
      <c r="F194" t="s">
        <v>56</v>
      </c>
      <c r="G194">
        <v>1297</v>
      </c>
      <c r="H194">
        <v>423</v>
      </c>
      <c r="I194" s="8">
        <f t="shared" si="15"/>
        <v>0.32613723978411718</v>
      </c>
      <c r="J194" s="17">
        <v>0.7</v>
      </c>
      <c r="K194" s="12">
        <v>13.75</v>
      </c>
      <c r="L194" s="2">
        <f t="shared" si="17"/>
        <v>484.9</v>
      </c>
      <c r="M194" s="15">
        <f t="shared" si="16"/>
        <v>6667.375</v>
      </c>
      <c r="N194" t="str">
        <f t="shared" ref="N194:N257" si="18">B194</f>
        <v>DF</v>
      </c>
      <c r="O194" t="str">
        <f t="shared" ref="O194:O257" si="19">C194</f>
        <v>Brasília</v>
      </c>
    </row>
    <row r="195" spans="1:15" x14ac:dyDescent="0.3">
      <c r="A195" s="10">
        <v>45658</v>
      </c>
      <c r="B195" s="9" t="s">
        <v>3</v>
      </c>
      <c r="C195" t="s">
        <v>64</v>
      </c>
      <c r="D195" s="9">
        <v>19616</v>
      </c>
      <c r="E195" s="5" t="s">
        <v>563</v>
      </c>
      <c r="F195" t="s">
        <v>66</v>
      </c>
      <c r="G195">
        <v>3470</v>
      </c>
      <c r="H195">
        <v>1318</v>
      </c>
      <c r="I195" s="8">
        <f t="shared" ref="I195:I258" si="20">H195/G195</f>
        <v>0.37982708933717579</v>
      </c>
      <c r="J195" s="17">
        <v>0.7</v>
      </c>
      <c r="K195" s="12">
        <v>13.75</v>
      </c>
      <c r="L195" s="2">
        <f t="shared" si="17"/>
        <v>1110.9999999999995</v>
      </c>
      <c r="M195" s="15">
        <f t="shared" ref="M195:M258" si="21">L195*K195</f>
        <v>15276.249999999995</v>
      </c>
      <c r="N195" t="str">
        <f t="shared" si="18"/>
        <v>SP</v>
      </c>
      <c r="O195" t="str">
        <f t="shared" si="19"/>
        <v>Campinas</v>
      </c>
    </row>
    <row r="196" spans="1:15" x14ac:dyDescent="0.3">
      <c r="A196" s="10">
        <v>45658</v>
      </c>
      <c r="B196" s="9" t="s">
        <v>3</v>
      </c>
      <c r="C196" t="s">
        <v>64</v>
      </c>
      <c r="D196" s="9">
        <v>19688</v>
      </c>
      <c r="E196" s="5" t="s">
        <v>564</v>
      </c>
      <c r="F196" t="s">
        <v>67</v>
      </c>
      <c r="G196">
        <v>2350</v>
      </c>
      <c r="H196">
        <v>1095</v>
      </c>
      <c r="I196" s="8">
        <f t="shared" si="20"/>
        <v>0.46595744680851064</v>
      </c>
      <c r="J196" s="17">
        <v>0.7</v>
      </c>
      <c r="K196" s="12">
        <v>13.75</v>
      </c>
      <c r="L196" s="2">
        <f t="shared" si="17"/>
        <v>550</v>
      </c>
      <c r="M196" s="15">
        <f t="shared" si="21"/>
        <v>7562.5</v>
      </c>
      <c r="N196" t="str">
        <f t="shared" si="18"/>
        <v>SP</v>
      </c>
      <c r="O196" t="str">
        <f t="shared" si="19"/>
        <v>Campinas</v>
      </c>
    </row>
    <row r="197" spans="1:15" x14ac:dyDescent="0.3">
      <c r="A197" s="10">
        <v>45658</v>
      </c>
      <c r="B197" s="9" t="s">
        <v>3</v>
      </c>
      <c r="C197" t="s">
        <v>275</v>
      </c>
      <c r="D197" s="9">
        <v>19721</v>
      </c>
      <c r="E197" s="5" t="s">
        <v>565</v>
      </c>
      <c r="F197" t="s">
        <v>276</v>
      </c>
      <c r="G197">
        <v>2422</v>
      </c>
      <c r="H197">
        <v>1109</v>
      </c>
      <c r="I197" s="8">
        <f t="shared" si="20"/>
        <v>0.45788604459124688</v>
      </c>
      <c r="J197" s="17">
        <v>0.7</v>
      </c>
      <c r="K197" s="12">
        <v>13.75</v>
      </c>
      <c r="L197" s="2">
        <f t="shared" si="17"/>
        <v>586.40000000000009</v>
      </c>
      <c r="M197" s="15">
        <f t="shared" si="21"/>
        <v>8063.0000000000009</v>
      </c>
      <c r="N197" t="str">
        <f t="shared" si="18"/>
        <v>SP</v>
      </c>
      <c r="O197" t="str">
        <f t="shared" si="19"/>
        <v>Sorocaba</v>
      </c>
    </row>
    <row r="198" spans="1:15" x14ac:dyDescent="0.3">
      <c r="A198" s="10">
        <v>45658</v>
      </c>
      <c r="B198" s="9" t="s">
        <v>3</v>
      </c>
      <c r="C198" t="s">
        <v>248</v>
      </c>
      <c r="D198" s="9">
        <v>19863</v>
      </c>
      <c r="E198" s="5" t="s">
        <v>566</v>
      </c>
      <c r="F198" t="s">
        <v>268</v>
      </c>
      <c r="G198">
        <v>2655</v>
      </c>
      <c r="H198">
        <v>924</v>
      </c>
      <c r="I198" s="8">
        <f t="shared" si="20"/>
        <v>0.34802259887005649</v>
      </c>
      <c r="J198" s="17">
        <v>0.7</v>
      </c>
      <c r="K198" s="12">
        <v>13.75</v>
      </c>
      <c r="L198" s="2">
        <f t="shared" si="17"/>
        <v>934.5</v>
      </c>
      <c r="M198" s="15">
        <f t="shared" si="21"/>
        <v>12849.375</v>
      </c>
      <c r="N198" t="str">
        <f t="shared" si="18"/>
        <v>SP</v>
      </c>
      <c r="O198" t="str">
        <f t="shared" si="19"/>
        <v>São Paulo</v>
      </c>
    </row>
    <row r="199" spans="1:15" x14ac:dyDescent="0.3">
      <c r="A199" s="10">
        <v>45658</v>
      </c>
      <c r="B199" s="9" t="s">
        <v>3</v>
      </c>
      <c r="C199" t="s">
        <v>248</v>
      </c>
      <c r="D199" s="9">
        <v>19817</v>
      </c>
      <c r="E199" s="5" t="s">
        <v>567</v>
      </c>
      <c r="F199" t="s">
        <v>269</v>
      </c>
      <c r="G199">
        <v>1626</v>
      </c>
      <c r="H199">
        <v>686</v>
      </c>
      <c r="I199" s="8">
        <f t="shared" si="20"/>
        <v>0.42189421894218943</v>
      </c>
      <c r="J199" s="17">
        <v>0.7</v>
      </c>
      <c r="K199" s="12">
        <v>13.75</v>
      </c>
      <c r="L199" s="2">
        <f t="shared" si="17"/>
        <v>452.20000000000005</v>
      </c>
      <c r="M199" s="15">
        <f t="shared" si="21"/>
        <v>6217.7500000000009</v>
      </c>
      <c r="N199" t="str">
        <f t="shared" si="18"/>
        <v>SP</v>
      </c>
      <c r="O199" t="str">
        <f t="shared" si="19"/>
        <v>São Paulo</v>
      </c>
    </row>
    <row r="200" spans="1:15" x14ac:dyDescent="0.3">
      <c r="A200" s="10">
        <v>45658</v>
      </c>
      <c r="B200" s="9" t="s">
        <v>3</v>
      </c>
      <c r="C200" t="s">
        <v>248</v>
      </c>
      <c r="D200" s="9">
        <v>19866</v>
      </c>
      <c r="E200" s="5" t="s">
        <v>568</v>
      </c>
      <c r="F200" t="s">
        <v>270</v>
      </c>
      <c r="G200">
        <v>1586</v>
      </c>
      <c r="H200">
        <v>641</v>
      </c>
      <c r="I200" s="8">
        <f t="shared" si="20"/>
        <v>0.40416141235813369</v>
      </c>
      <c r="J200" s="17">
        <v>0.7</v>
      </c>
      <c r="K200" s="12">
        <v>13.75</v>
      </c>
      <c r="L200" s="2">
        <f t="shared" si="17"/>
        <v>469.19999999999982</v>
      </c>
      <c r="M200" s="15">
        <f t="shared" si="21"/>
        <v>6451.4999999999973</v>
      </c>
      <c r="N200" t="str">
        <f t="shared" si="18"/>
        <v>SP</v>
      </c>
      <c r="O200" t="str">
        <f t="shared" si="19"/>
        <v>São Paulo</v>
      </c>
    </row>
    <row r="201" spans="1:15" x14ac:dyDescent="0.3">
      <c r="A201" s="10">
        <v>45658</v>
      </c>
      <c r="B201" s="9" t="s">
        <v>15</v>
      </c>
      <c r="C201" t="s">
        <v>171</v>
      </c>
      <c r="D201" s="9">
        <v>19520</v>
      </c>
      <c r="E201" s="5" t="s">
        <v>569</v>
      </c>
      <c r="F201" t="s">
        <v>172</v>
      </c>
      <c r="G201">
        <v>1359</v>
      </c>
      <c r="H201">
        <v>686</v>
      </c>
      <c r="I201" s="8">
        <f t="shared" si="20"/>
        <v>0.50478292862398821</v>
      </c>
      <c r="J201" s="17">
        <v>0.7</v>
      </c>
      <c r="K201" s="12">
        <v>13.75</v>
      </c>
      <c r="L201" s="2">
        <f t="shared" si="17"/>
        <v>265.29999999999995</v>
      </c>
      <c r="M201" s="15">
        <f t="shared" si="21"/>
        <v>3647.8749999999995</v>
      </c>
      <c r="N201" t="str">
        <f t="shared" si="18"/>
        <v>RJ</v>
      </c>
      <c r="O201" t="str">
        <f t="shared" si="19"/>
        <v>Petrópolis</v>
      </c>
    </row>
    <row r="202" spans="1:15" x14ac:dyDescent="0.3">
      <c r="A202" s="10">
        <v>45658</v>
      </c>
      <c r="B202" s="9" t="s">
        <v>68</v>
      </c>
      <c r="C202" t="s">
        <v>69</v>
      </c>
      <c r="D202" s="9">
        <v>19602</v>
      </c>
      <c r="E202" s="5" t="s">
        <v>570</v>
      </c>
      <c r="F202" t="s">
        <v>70</v>
      </c>
      <c r="G202">
        <v>465</v>
      </c>
      <c r="H202">
        <v>91</v>
      </c>
      <c r="I202" s="8">
        <f t="shared" si="20"/>
        <v>0.19569892473118281</v>
      </c>
      <c r="J202" s="17">
        <v>0.7</v>
      </c>
      <c r="K202" s="12">
        <v>13.75</v>
      </c>
      <c r="L202" s="2">
        <f t="shared" si="17"/>
        <v>234.49999999999994</v>
      </c>
      <c r="M202" s="15">
        <f t="shared" si="21"/>
        <v>3224.3749999999991</v>
      </c>
      <c r="N202" t="str">
        <f t="shared" si="18"/>
        <v>MS</v>
      </c>
      <c r="O202" t="str">
        <f t="shared" si="19"/>
        <v>Campo Grande</v>
      </c>
    </row>
    <row r="203" spans="1:15" x14ac:dyDescent="0.3">
      <c r="A203" s="10">
        <v>45658</v>
      </c>
      <c r="B203" s="9" t="s">
        <v>15</v>
      </c>
      <c r="C203" t="s">
        <v>332</v>
      </c>
      <c r="D203" s="9">
        <v>19679</v>
      </c>
      <c r="E203" s="5" t="s">
        <v>571</v>
      </c>
      <c r="F203" t="s">
        <v>333</v>
      </c>
      <c r="G203">
        <v>2101</v>
      </c>
      <c r="H203">
        <v>942</v>
      </c>
      <c r="I203" s="8">
        <f t="shared" si="20"/>
        <v>0.44835792479771536</v>
      </c>
      <c r="J203" s="17">
        <v>0.7</v>
      </c>
      <c r="K203" s="12">
        <v>13.75</v>
      </c>
      <c r="L203" s="2">
        <f t="shared" si="17"/>
        <v>528.70000000000005</v>
      </c>
      <c r="M203" s="15">
        <f t="shared" si="21"/>
        <v>7269.6250000000009</v>
      </c>
      <c r="N203" t="str">
        <f t="shared" si="18"/>
        <v>RJ</v>
      </c>
      <c r="O203" t="str">
        <f t="shared" si="19"/>
        <v>Macaé</v>
      </c>
    </row>
    <row r="204" spans="1:15" x14ac:dyDescent="0.3">
      <c r="A204" s="10">
        <v>45658</v>
      </c>
      <c r="B204" s="9" t="s">
        <v>59</v>
      </c>
      <c r="C204" t="s">
        <v>104</v>
      </c>
      <c r="D204" s="9">
        <v>19872</v>
      </c>
      <c r="E204" s="5" t="s">
        <v>572</v>
      </c>
      <c r="F204" t="s">
        <v>105</v>
      </c>
      <c r="G204">
        <v>5114</v>
      </c>
      <c r="H204">
        <v>2537</v>
      </c>
      <c r="I204" s="8">
        <f t="shared" si="20"/>
        <v>0.49608916699256944</v>
      </c>
      <c r="J204" s="17">
        <v>0.7</v>
      </c>
      <c r="K204" s="12">
        <v>13.75</v>
      </c>
      <c r="L204" s="2">
        <f t="shared" si="17"/>
        <v>1042.7999999999997</v>
      </c>
      <c r="M204" s="15">
        <f t="shared" si="21"/>
        <v>14338.499999999996</v>
      </c>
      <c r="N204" t="str">
        <f t="shared" si="18"/>
        <v>ES</v>
      </c>
      <c r="O204" t="str">
        <f t="shared" si="19"/>
        <v>Guarapari</v>
      </c>
    </row>
    <row r="205" spans="1:15" x14ac:dyDescent="0.3">
      <c r="A205" s="10">
        <v>45658</v>
      </c>
      <c r="B205" s="9" t="s">
        <v>82</v>
      </c>
      <c r="C205" t="s">
        <v>83</v>
      </c>
      <c r="D205" s="9">
        <v>19547</v>
      </c>
      <c r="E205" s="5" t="s">
        <v>573</v>
      </c>
      <c r="F205" t="s">
        <v>87</v>
      </c>
      <c r="G205">
        <v>2456</v>
      </c>
      <c r="H205">
        <v>775</v>
      </c>
      <c r="I205" s="8">
        <f t="shared" si="20"/>
        <v>0.31555374592833874</v>
      </c>
      <c r="J205" s="17">
        <v>0.7</v>
      </c>
      <c r="K205" s="12">
        <v>13.75</v>
      </c>
      <c r="L205" s="2">
        <f t="shared" si="17"/>
        <v>944.2</v>
      </c>
      <c r="M205" s="15">
        <f t="shared" si="21"/>
        <v>12982.75</v>
      </c>
      <c r="N205" t="str">
        <f t="shared" si="18"/>
        <v>PR</v>
      </c>
      <c r="O205" t="str">
        <f t="shared" si="19"/>
        <v>Curitiba</v>
      </c>
    </row>
    <row r="206" spans="1:15" x14ac:dyDescent="0.3">
      <c r="A206" s="10">
        <v>45658</v>
      </c>
      <c r="B206" s="9" t="s">
        <v>15</v>
      </c>
      <c r="C206" t="s">
        <v>145</v>
      </c>
      <c r="D206" s="9">
        <v>19513</v>
      </c>
      <c r="E206" s="5" t="s">
        <v>574</v>
      </c>
      <c r="F206" t="s">
        <v>147</v>
      </c>
      <c r="G206">
        <v>2704</v>
      </c>
      <c r="H206">
        <v>905</v>
      </c>
      <c r="I206" s="8">
        <f t="shared" si="20"/>
        <v>0.33468934911242604</v>
      </c>
      <c r="J206" s="17">
        <v>0.7</v>
      </c>
      <c r="K206" s="12">
        <v>13.75</v>
      </c>
      <c r="L206" s="2">
        <f t="shared" si="17"/>
        <v>987.8</v>
      </c>
      <c r="M206" s="15">
        <f t="shared" si="21"/>
        <v>13582.25</v>
      </c>
      <c r="N206" t="str">
        <f t="shared" si="18"/>
        <v>RJ</v>
      </c>
      <c r="O206" t="str">
        <f t="shared" si="19"/>
        <v>Niterói</v>
      </c>
    </row>
    <row r="207" spans="1:15" x14ac:dyDescent="0.3">
      <c r="A207" s="10">
        <v>45658</v>
      </c>
      <c r="B207" s="9" t="s">
        <v>15</v>
      </c>
      <c r="C207" t="s">
        <v>145</v>
      </c>
      <c r="D207" s="9">
        <v>19525</v>
      </c>
      <c r="E207" s="5" t="s">
        <v>575</v>
      </c>
      <c r="F207" t="s">
        <v>148</v>
      </c>
      <c r="G207">
        <v>4043</v>
      </c>
      <c r="H207">
        <v>1474</v>
      </c>
      <c r="I207" s="8">
        <f t="shared" si="20"/>
        <v>0.36458075686371505</v>
      </c>
      <c r="J207" s="17">
        <v>0.7</v>
      </c>
      <c r="K207" s="12">
        <v>13.75</v>
      </c>
      <c r="L207" s="2">
        <f t="shared" si="17"/>
        <v>1356.1</v>
      </c>
      <c r="M207" s="15">
        <f t="shared" si="21"/>
        <v>18646.375</v>
      </c>
      <c r="N207" t="str">
        <f t="shared" si="18"/>
        <v>RJ</v>
      </c>
      <c r="O207" t="str">
        <f t="shared" si="19"/>
        <v>Niterói</v>
      </c>
    </row>
    <row r="208" spans="1:15" x14ac:dyDescent="0.3">
      <c r="A208" s="10">
        <v>45658</v>
      </c>
      <c r="B208" s="9" t="s">
        <v>21</v>
      </c>
      <c r="C208" t="s">
        <v>228</v>
      </c>
      <c r="D208" s="9">
        <v>19771</v>
      </c>
      <c r="E208" s="5" t="s">
        <v>576</v>
      </c>
      <c r="F208" t="s">
        <v>235</v>
      </c>
      <c r="G208">
        <v>1585</v>
      </c>
      <c r="H208">
        <v>690</v>
      </c>
      <c r="I208" s="8">
        <f t="shared" si="20"/>
        <v>0.43533123028391169</v>
      </c>
      <c r="J208" s="17">
        <v>0.7</v>
      </c>
      <c r="K208" s="12">
        <v>13.75</v>
      </c>
      <c r="L208" s="2">
        <f t="shared" si="17"/>
        <v>419.49999999999977</v>
      </c>
      <c r="M208" s="15">
        <f t="shared" si="21"/>
        <v>5768.1249999999973</v>
      </c>
      <c r="N208" t="str">
        <f t="shared" si="18"/>
        <v>BA</v>
      </c>
      <c r="O208" t="str">
        <f t="shared" si="19"/>
        <v>Salvador</v>
      </c>
    </row>
    <row r="209" spans="1:15" x14ac:dyDescent="0.3">
      <c r="A209" s="10">
        <v>45658</v>
      </c>
      <c r="B209" s="9" t="s">
        <v>15</v>
      </c>
      <c r="C209" t="s">
        <v>358</v>
      </c>
      <c r="D209" s="9">
        <v>19685</v>
      </c>
      <c r="E209" s="5" t="s">
        <v>359</v>
      </c>
      <c r="F209" t="s">
        <v>198</v>
      </c>
      <c r="G209">
        <v>1532</v>
      </c>
      <c r="H209">
        <v>714</v>
      </c>
      <c r="I209" s="8">
        <f t="shared" si="20"/>
        <v>0.4660574412532637</v>
      </c>
      <c r="J209" s="17">
        <v>0.7</v>
      </c>
      <c r="K209" s="12">
        <v>13.75</v>
      </c>
      <c r="L209" s="2">
        <f t="shared" si="17"/>
        <v>358.39999999999986</v>
      </c>
      <c r="M209" s="15">
        <f t="shared" si="21"/>
        <v>4927.9999999999982</v>
      </c>
      <c r="N209" t="str">
        <f t="shared" si="18"/>
        <v>RJ</v>
      </c>
      <c r="O209" t="str">
        <f t="shared" si="19"/>
        <v>Rio De Janeiro</v>
      </c>
    </row>
    <row r="210" spans="1:15" x14ac:dyDescent="0.3">
      <c r="A210" s="10">
        <v>45689</v>
      </c>
      <c r="B210" s="9" t="s">
        <v>71</v>
      </c>
      <c r="C210" t="s">
        <v>175</v>
      </c>
      <c r="D210" s="9">
        <v>19540</v>
      </c>
      <c r="E210" s="5" t="s">
        <v>370</v>
      </c>
      <c r="F210" t="s">
        <v>176</v>
      </c>
      <c r="G210">
        <v>3698</v>
      </c>
      <c r="H210">
        <v>1532</v>
      </c>
      <c r="I210" s="8">
        <f t="shared" si="20"/>
        <v>0.4142779881016766</v>
      </c>
      <c r="J210" s="17">
        <v>0.7</v>
      </c>
      <c r="K210" s="12">
        <v>13.75</v>
      </c>
      <c r="L210" s="2">
        <f t="shared" si="17"/>
        <v>1056.5999999999995</v>
      </c>
      <c r="M210" s="15">
        <f t="shared" si="21"/>
        <v>14528.249999999993</v>
      </c>
      <c r="N210" t="str">
        <f t="shared" si="18"/>
        <v>RS</v>
      </c>
      <c r="O210" t="str">
        <f t="shared" si="19"/>
        <v>Porto Alegre</v>
      </c>
    </row>
    <row r="211" spans="1:15" x14ac:dyDescent="0.3">
      <c r="A211" s="10">
        <v>45689</v>
      </c>
      <c r="B211" s="9" t="s">
        <v>15</v>
      </c>
      <c r="C211" t="s">
        <v>358</v>
      </c>
      <c r="D211" s="9">
        <v>19521</v>
      </c>
      <c r="E211" s="5" t="s">
        <v>371</v>
      </c>
      <c r="F211" t="s">
        <v>199</v>
      </c>
      <c r="G211">
        <v>2889</v>
      </c>
      <c r="H211">
        <v>1453</v>
      </c>
      <c r="I211" s="8">
        <f t="shared" si="20"/>
        <v>0.50294219453097955</v>
      </c>
      <c r="J211" s="17">
        <v>0.7</v>
      </c>
      <c r="K211" s="12">
        <v>13.75</v>
      </c>
      <c r="L211" s="2">
        <f t="shared" si="17"/>
        <v>569.29999999999995</v>
      </c>
      <c r="M211" s="15">
        <f t="shared" si="21"/>
        <v>7827.8749999999991</v>
      </c>
      <c r="N211" t="str">
        <f t="shared" si="18"/>
        <v>RJ</v>
      </c>
      <c r="O211" t="str">
        <f t="shared" si="19"/>
        <v>Rio De Janeiro</v>
      </c>
    </row>
    <row r="212" spans="1:15" x14ac:dyDescent="0.3">
      <c r="A212" s="10">
        <v>45689</v>
      </c>
      <c r="B212" s="9" t="s">
        <v>6</v>
      </c>
      <c r="C212" t="s">
        <v>236</v>
      </c>
      <c r="D212" s="9">
        <v>19606</v>
      </c>
      <c r="E212" s="5" t="s">
        <v>372</v>
      </c>
      <c r="F212" t="s">
        <v>237</v>
      </c>
      <c r="G212">
        <v>1646</v>
      </c>
      <c r="H212">
        <v>822</v>
      </c>
      <c r="I212" s="8">
        <f t="shared" si="20"/>
        <v>0.49939246658566222</v>
      </c>
      <c r="J212" s="17">
        <v>0.7</v>
      </c>
      <c r="K212" s="12">
        <v>13.75</v>
      </c>
      <c r="L212" s="2">
        <f t="shared" si="17"/>
        <v>330.20000000000005</v>
      </c>
      <c r="M212" s="15">
        <f t="shared" si="21"/>
        <v>4540.2500000000009</v>
      </c>
      <c r="N212" t="str">
        <f t="shared" si="18"/>
        <v>PA</v>
      </c>
      <c r="O212" t="str">
        <f t="shared" si="19"/>
        <v>Santarém</v>
      </c>
    </row>
    <row r="213" spans="1:15" x14ac:dyDescent="0.3">
      <c r="A213" s="10">
        <v>45689</v>
      </c>
      <c r="B213" s="9" t="s">
        <v>61</v>
      </c>
      <c r="C213" t="s">
        <v>344</v>
      </c>
      <c r="D213" s="9">
        <v>19706</v>
      </c>
      <c r="E213" s="5" t="s">
        <v>373</v>
      </c>
      <c r="F213" t="s">
        <v>77</v>
      </c>
      <c r="G213">
        <v>2315</v>
      </c>
      <c r="H213">
        <v>926</v>
      </c>
      <c r="I213" s="8">
        <f t="shared" si="20"/>
        <v>0.4</v>
      </c>
      <c r="J213" s="17">
        <v>0.7</v>
      </c>
      <c r="K213" s="12">
        <v>13.75</v>
      </c>
      <c r="L213" s="2">
        <f t="shared" si="17"/>
        <v>694.49999999999977</v>
      </c>
      <c r="M213" s="15">
        <f t="shared" si="21"/>
        <v>9549.3749999999964</v>
      </c>
      <c r="N213" t="str">
        <f t="shared" si="18"/>
        <v>PB</v>
      </c>
      <c r="O213" t="str">
        <f t="shared" si="19"/>
        <v>Coronel João Pessoa</v>
      </c>
    </row>
    <row r="214" spans="1:15" x14ac:dyDescent="0.3">
      <c r="A214" s="10">
        <v>45689</v>
      </c>
      <c r="B214" s="9" t="s">
        <v>14</v>
      </c>
      <c r="C214" t="s">
        <v>285</v>
      </c>
      <c r="D214" s="9">
        <v>19563</v>
      </c>
      <c r="E214" s="5" t="s">
        <v>374</v>
      </c>
      <c r="F214" t="s">
        <v>286</v>
      </c>
      <c r="G214">
        <v>2502</v>
      </c>
      <c r="H214">
        <v>870</v>
      </c>
      <c r="I214" s="8">
        <f t="shared" si="20"/>
        <v>0.34772182254196643</v>
      </c>
      <c r="J214" s="17">
        <v>0.7</v>
      </c>
      <c r="K214" s="12">
        <v>13.75</v>
      </c>
      <c r="L214" s="2">
        <f t="shared" si="17"/>
        <v>881.40000000000009</v>
      </c>
      <c r="M214" s="15">
        <f t="shared" si="21"/>
        <v>12119.250000000002</v>
      </c>
      <c r="N214" t="str">
        <f t="shared" si="18"/>
        <v>MG</v>
      </c>
      <c r="O214" t="str">
        <f t="shared" si="19"/>
        <v>Uberlândia</v>
      </c>
    </row>
    <row r="215" spans="1:15" x14ac:dyDescent="0.3">
      <c r="A215" s="10">
        <v>45689</v>
      </c>
      <c r="B215" s="9" t="s">
        <v>6</v>
      </c>
      <c r="C215" t="s">
        <v>26</v>
      </c>
      <c r="D215" s="9">
        <v>19597</v>
      </c>
      <c r="E215" s="5" t="s">
        <v>375</v>
      </c>
      <c r="F215" t="s">
        <v>27</v>
      </c>
      <c r="G215">
        <v>2782</v>
      </c>
      <c r="H215">
        <v>1458</v>
      </c>
      <c r="I215" s="8">
        <f t="shared" si="20"/>
        <v>0.52408339324227171</v>
      </c>
      <c r="J215" s="17">
        <v>0.7</v>
      </c>
      <c r="K215" s="12">
        <v>13.75</v>
      </c>
      <c r="L215" s="2">
        <f t="shared" si="17"/>
        <v>489.39999999999986</v>
      </c>
      <c r="M215" s="15">
        <f t="shared" si="21"/>
        <v>6729.2499999999982</v>
      </c>
      <c r="N215" t="str">
        <f t="shared" si="18"/>
        <v>PA</v>
      </c>
      <c r="O215" t="str">
        <f t="shared" si="19"/>
        <v>Belém</v>
      </c>
    </row>
    <row r="216" spans="1:15" x14ac:dyDescent="0.3">
      <c r="A216" s="10">
        <v>45689</v>
      </c>
      <c r="B216" s="9" t="s">
        <v>15</v>
      </c>
      <c r="C216" t="s">
        <v>296</v>
      </c>
      <c r="D216" s="9">
        <v>19524</v>
      </c>
      <c r="E216" s="5" t="s">
        <v>376</v>
      </c>
      <c r="F216" t="s">
        <v>297</v>
      </c>
      <c r="G216">
        <v>1906</v>
      </c>
      <c r="H216">
        <v>846</v>
      </c>
      <c r="I216" s="8">
        <f t="shared" si="20"/>
        <v>0.44386149003147951</v>
      </c>
      <c r="J216" s="17">
        <v>0.7</v>
      </c>
      <c r="K216" s="12">
        <v>13.75</v>
      </c>
      <c r="L216" s="2">
        <f t="shared" si="17"/>
        <v>488.19999999999982</v>
      </c>
      <c r="M216" s="15">
        <f t="shared" si="21"/>
        <v>6712.7499999999973</v>
      </c>
      <c r="N216" t="str">
        <f t="shared" si="18"/>
        <v>RJ</v>
      </c>
      <c r="O216" t="str">
        <f t="shared" si="19"/>
        <v>Volta Redonda</v>
      </c>
    </row>
    <row r="217" spans="1:15" x14ac:dyDescent="0.3">
      <c r="A217" s="10">
        <v>45689</v>
      </c>
      <c r="B217" s="9" t="s">
        <v>15</v>
      </c>
      <c r="C217" t="s">
        <v>151</v>
      </c>
      <c r="D217" s="9">
        <v>19599</v>
      </c>
      <c r="E217" s="5" t="s">
        <v>377</v>
      </c>
      <c r="F217" t="s">
        <v>152</v>
      </c>
      <c r="G217">
        <v>2242</v>
      </c>
      <c r="H217">
        <v>1094</v>
      </c>
      <c r="I217" s="8">
        <f t="shared" si="20"/>
        <v>0.48795718108831398</v>
      </c>
      <c r="J217" s="17">
        <v>0.7</v>
      </c>
      <c r="K217" s="12">
        <v>13.75</v>
      </c>
      <c r="L217" s="2">
        <f t="shared" si="17"/>
        <v>475.39999999999986</v>
      </c>
      <c r="M217" s="15">
        <f t="shared" si="21"/>
        <v>6536.7499999999982</v>
      </c>
      <c r="N217" t="str">
        <f t="shared" si="18"/>
        <v>RJ</v>
      </c>
      <c r="O217" t="str">
        <f t="shared" si="19"/>
        <v>Nova Iguaçu</v>
      </c>
    </row>
    <row r="218" spans="1:15" x14ac:dyDescent="0.3">
      <c r="A218" s="10">
        <v>45689</v>
      </c>
      <c r="B218" s="9" t="s">
        <v>160</v>
      </c>
      <c r="C218" t="s">
        <v>279</v>
      </c>
      <c r="D218" s="9">
        <v>19564</v>
      </c>
      <c r="E218" s="5" t="s">
        <v>378</v>
      </c>
      <c r="F218" t="s">
        <v>280</v>
      </c>
      <c r="G218">
        <v>1321</v>
      </c>
      <c r="H218">
        <v>613</v>
      </c>
      <c r="I218" s="8">
        <f t="shared" si="20"/>
        <v>0.46404239212717641</v>
      </c>
      <c r="J218" s="17">
        <v>0.7</v>
      </c>
      <c r="K218" s="12">
        <v>13.75</v>
      </c>
      <c r="L218" s="2">
        <f t="shared" si="17"/>
        <v>311.69999999999993</v>
      </c>
      <c r="M218" s="15">
        <f t="shared" si="21"/>
        <v>4285.8749999999991</v>
      </c>
      <c r="N218" t="str">
        <f t="shared" si="18"/>
        <v>PI</v>
      </c>
      <c r="O218" t="str">
        <f t="shared" si="19"/>
        <v>Teresina</v>
      </c>
    </row>
    <row r="219" spans="1:15" x14ac:dyDescent="0.3">
      <c r="A219" s="10">
        <v>45689</v>
      </c>
      <c r="B219" s="9" t="s">
        <v>15</v>
      </c>
      <c r="C219" t="s">
        <v>358</v>
      </c>
      <c r="D219" s="9">
        <v>19536</v>
      </c>
      <c r="E219" s="5" t="s">
        <v>379</v>
      </c>
      <c r="F219" t="s">
        <v>200</v>
      </c>
      <c r="G219">
        <v>2183</v>
      </c>
      <c r="H219">
        <v>774</v>
      </c>
      <c r="I219" s="8">
        <f t="shared" si="20"/>
        <v>0.35455794777828675</v>
      </c>
      <c r="J219" s="17">
        <v>0.7</v>
      </c>
      <c r="K219" s="12">
        <v>13.75</v>
      </c>
      <c r="L219" s="2">
        <f t="shared" si="17"/>
        <v>754.09999999999991</v>
      </c>
      <c r="M219" s="15">
        <f t="shared" si="21"/>
        <v>10368.874999999998</v>
      </c>
      <c r="N219" t="str">
        <f t="shared" si="18"/>
        <v>RJ</v>
      </c>
      <c r="O219" t="str">
        <f t="shared" si="19"/>
        <v>Rio De Janeiro</v>
      </c>
    </row>
    <row r="220" spans="1:15" x14ac:dyDescent="0.3">
      <c r="A220" s="10">
        <v>45689</v>
      </c>
      <c r="B220" s="9" t="s">
        <v>15</v>
      </c>
      <c r="C220" t="s">
        <v>358</v>
      </c>
      <c r="D220" s="9">
        <v>19727</v>
      </c>
      <c r="E220" s="5" t="s">
        <v>380</v>
      </c>
      <c r="F220" t="s">
        <v>201</v>
      </c>
      <c r="G220">
        <v>1546</v>
      </c>
      <c r="H220">
        <v>637</v>
      </c>
      <c r="I220" s="8">
        <f t="shared" si="20"/>
        <v>0.41203104786545924</v>
      </c>
      <c r="J220" s="17">
        <v>0.7</v>
      </c>
      <c r="K220" s="12">
        <v>13.75</v>
      </c>
      <c r="L220" s="2">
        <f t="shared" si="17"/>
        <v>445.20000000000005</v>
      </c>
      <c r="M220" s="15">
        <f t="shared" si="21"/>
        <v>6121.5000000000009</v>
      </c>
      <c r="N220" t="str">
        <f t="shared" si="18"/>
        <v>RJ</v>
      </c>
      <c r="O220" t="str">
        <f t="shared" si="19"/>
        <v>Rio De Janeiro</v>
      </c>
    </row>
    <row r="221" spans="1:15" x14ac:dyDescent="0.3">
      <c r="A221" s="10">
        <v>45689</v>
      </c>
      <c r="B221" s="9" t="s">
        <v>3</v>
      </c>
      <c r="C221" t="s">
        <v>248</v>
      </c>
      <c r="D221" s="9">
        <v>19572</v>
      </c>
      <c r="E221" s="5" t="s">
        <v>381</v>
      </c>
      <c r="F221" t="s">
        <v>249</v>
      </c>
      <c r="G221">
        <v>4208</v>
      </c>
      <c r="H221">
        <v>1672</v>
      </c>
      <c r="I221" s="8">
        <f t="shared" si="20"/>
        <v>0.39733840304182511</v>
      </c>
      <c r="J221" s="17">
        <v>0.7</v>
      </c>
      <c r="K221" s="12">
        <v>13.75</v>
      </c>
      <c r="L221" s="2">
        <f t="shared" si="17"/>
        <v>1273.5999999999995</v>
      </c>
      <c r="M221" s="15">
        <f t="shared" si="21"/>
        <v>17511.999999999993</v>
      </c>
      <c r="N221" t="str">
        <f t="shared" si="18"/>
        <v>SP</v>
      </c>
      <c r="O221" t="str">
        <f t="shared" si="19"/>
        <v>São Paulo</v>
      </c>
    </row>
    <row r="222" spans="1:15" x14ac:dyDescent="0.3">
      <c r="A222" s="10">
        <v>45689</v>
      </c>
      <c r="B222" s="9" t="s">
        <v>3</v>
      </c>
      <c r="C222" t="s">
        <v>167</v>
      </c>
      <c r="D222" s="9">
        <v>19578</v>
      </c>
      <c r="E222" s="5" t="s">
        <v>382</v>
      </c>
      <c r="F222" t="s">
        <v>168</v>
      </c>
      <c r="G222">
        <v>1756</v>
      </c>
      <c r="H222">
        <v>716</v>
      </c>
      <c r="I222" s="8">
        <f t="shared" si="20"/>
        <v>0.40774487471526194</v>
      </c>
      <c r="J222" s="17">
        <v>0.7</v>
      </c>
      <c r="K222" s="12">
        <v>13.75</v>
      </c>
      <c r="L222" s="2">
        <f t="shared" si="17"/>
        <v>513.20000000000005</v>
      </c>
      <c r="M222" s="15">
        <f t="shared" si="21"/>
        <v>7056.5000000000009</v>
      </c>
      <c r="N222" t="str">
        <f t="shared" si="18"/>
        <v>SP</v>
      </c>
      <c r="O222" t="str">
        <f t="shared" si="19"/>
        <v>Perdizes</v>
      </c>
    </row>
    <row r="223" spans="1:15" x14ac:dyDescent="0.3">
      <c r="A223" s="10">
        <v>45689</v>
      </c>
      <c r="B223" s="9" t="s">
        <v>3</v>
      </c>
      <c r="C223" t="s">
        <v>248</v>
      </c>
      <c r="D223" s="9">
        <v>19774</v>
      </c>
      <c r="E223" s="5" t="s">
        <v>383</v>
      </c>
      <c r="F223" t="s">
        <v>250</v>
      </c>
      <c r="G223">
        <v>3235</v>
      </c>
      <c r="H223">
        <v>1115</v>
      </c>
      <c r="I223" s="8">
        <f t="shared" si="20"/>
        <v>0.34466769706336942</v>
      </c>
      <c r="J223" s="17">
        <v>0.7</v>
      </c>
      <c r="K223" s="12">
        <v>13.75</v>
      </c>
      <c r="L223" s="2">
        <f t="shared" si="17"/>
        <v>1149.5</v>
      </c>
      <c r="M223" s="15">
        <f t="shared" si="21"/>
        <v>15805.625</v>
      </c>
      <c r="N223" t="str">
        <f t="shared" si="18"/>
        <v>SP</v>
      </c>
      <c r="O223" t="str">
        <f t="shared" si="19"/>
        <v>São Paulo</v>
      </c>
    </row>
    <row r="224" spans="1:15" x14ac:dyDescent="0.3">
      <c r="A224" s="10">
        <v>45689</v>
      </c>
      <c r="B224" s="9" t="s">
        <v>46</v>
      </c>
      <c r="C224" t="s">
        <v>47</v>
      </c>
      <c r="D224" s="9">
        <v>19551</v>
      </c>
      <c r="E224" s="5" t="s">
        <v>384</v>
      </c>
      <c r="F224" t="s">
        <v>48</v>
      </c>
      <c r="G224">
        <v>2160</v>
      </c>
      <c r="H224">
        <v>850</v>
      </c>
      <c r="I224" s="8">
        <f t="shared" si="20"/>
        <v>0.39351851851851855</v>
      </c>
      <c r="J224" s="17">
        <v>0.7</v>
      </c>
      <c r="K224" s="12">
        <v>13.75</v>
      </c>
      <c r="L224" s="2">
        <f t="shared" si="17"/>
        <v>662</v>
      </c>
      <c r="M224" s="15">
        <f t="shared" si="21"/>
        <v>9102.5</v>
      </c>
      <c r="N224" t="str">
        <f t="shared" si="18"/>
        <v>DF</v>
      </c>
      <c r="O224" t="str">
        <f t="shared" si="19"/>
        <v>Brasília</v>
      </c>
    </row>
    <row r="225" spans="1:15" x14ac:dyDescent="0.3">
      <c r="A225" s="10">
        <v>45689</v>
      </c>
      <c r="B225" s="9" t="s">
        <v>15</v>
      </c>
      <c r="C225" t="s">
        <v>151</v>
      </c>
      <c r="D225" s="9">
        <v>19596</v>
      </c>
      <c r="E225" s="5" t="s">
        <v>385</v>
      </c>
      <c r="F225" t="s">
        <v>153</v>
      </c>
      <c r="G225">
        <v>1976</v>
      </c>
      <c r="H225">
        <v>760</v>
      </c>
      <c r="I225" s="8">
        <f t="shared" si="20"/>
        <v>0.38461538461538464</v>
      </c>
      <c r="J225" s="17">
        <v>0.7</v>
      </c>
      <c r="K225" s="12">
        <v>13.75</v>
      </c>
      <c r="L225" s="2">
        <f t="shared" si="17"/>
        <v>623.19999999999982</v>
      </c>
      <c r="M225" s="15">
        <f t="shared" si="21"/>
        <v>8568.9999999999982</v>
      </c>
      <c r="N225" t="str">
        <f t="shared" si="18"/>
        <v>RJ</v>
      </c>
      <c r="O225" t="str">
        <f t="shared" si="19"/>
        <v>Nova Iguaçu</v>
      </c>
    </row>
    <row r="226" spans="1:15" x14ac:dyDescent="0.3">
      <c r="A226" s="10">
        <v>45689</v>
      </c>
      <c r="B226" s="9" t="s">
        <v>15</v>
      </c>
      <c r="C226" t="s">
        <v>358</v>
      </c>
      <c r="D226" s="9">
        <v>19618</v>
      </c>
      <c r="E226" s="5" t="s">
        <v>386</v>
      </c>
      <c r="F226" t="s">
        <v>202</v>
      </c>
      <c r="G226">
        <v>2327</v>
      </c>
      <c r="H226">
        <v>973</v>
      </c>
      <c r="I226" s="8">
        <f t="shared" si="20"/>
        <v>0.4181349376880103</v>
      </c>
      <c r="J226" s="17">
        <v>0.7</v>
      </c>
      <c r="K226" s="12">
        <v>13.75</v>
      </c>
      <c r="L226" s="2">
        <f t="shared" si="17"/>
        <v>655.89999999999986</v>
      </c>
      <c r="M226" s="15">
        <f t="shared" si="21"/>
        <v>9018.6249999999982</v>
      </c>
      <c r="N226" t="str">
        <f t="shared" si="18"/>
        <v>RJ</v>
      </c>
      <c r="O226" t="str">
        <f t="shared" si="19"/>
        <v>Rio De Janeiro</v>
      </c>
    </row>
    <row r="227" spans="1:15" x14ac:dyDescent="0.3">
      <c r="A227" s="10">
        <v>45689</v>
      </c>
      <c r="B227" s="9" t="s">
        <v>21</v>
      </c>
      <c r="C227" t="s">
        <v>22</v>
      </c>
      <c r="D227" s="9">
        <v>19741</v>
      </c>
      <c r="E227" s="5" t="s">
        <v>387</v>
      </c>
      <c r="F227" t="s">
        <v>23</v>
      </c>
      <c r="G227">
        <v>1413</v>
      </c>
      <c r="H227">
        <v>744</v>
      </c>
      <c r="I227" s="8">
        <f t="shared" si="20"/>
        <v>0.52653927813163481</v>
      </c>
      <c r="J227" s="17">
        <v>0.7</v>
      </c>
      <c r="K227" s="12">
        <v>13.75</v>
      </c>
      <c r="L227" s="2">
        <f t="shared" si="17"/>
        <v>245.09999999999991</v>
      </c>
      <c r="M227" s="15">
        <f t="shared" si="21"/>
        <v>3370.1249999999986</v>
      </c>
      <c r="N227" t="str">
        <f t="shared" si="18"/>
        <v>BA</v>
      </c>
      <c r="O227" t="str">
        <f t="shared" si="19"/>
        <v>Barreiras</v>
      </c>
    </row>
    <row r="228" spans="1:15" x14ac:dyDescent="0.3">
      <c r="A228" s="10">
        <v>45689</v>
      </c>
      <c r="B228" s="9" t="s">
        <v>74</v>
      </c>
      <c r="C228" t="s">
        <v>169</v>
      </c>
      <c r="D228" s="9">
        <v>19897</v>
      </c>
      <c r="E228" s="5" t="s">
        <v>388</v>
      </c>
      <c r="F228" t="s">
        <v>170</v>
      </c>
      <c r="G228">
        <v>1490</v>
      </c>
      <c r="H228">
        <v>657</v>
      </c>
      <c r="I228" s="8">
        <f t="shared" si="20"/>
        <v>0.44093959731543625</v>
      </c>
      <c r="J228" s="17">
        <v>0.7</v>
      </c>
      <c r="K228" s="12">
        <v>13.75</v>
      </c>
      <c r="L228" s="2">
        <f t="shared" si="17"/>
        <v>386</v>
      </c>
      <c r="M228" s="15">
        <f t="shared" si="21"/>
        <v>5307.5</v>
      </c>
      <c r="N228" t="str">
        <f t="shared" si="18"/>
        <v>PE</v>
      </c>
      <c r="O228" t="str">
        <f t="shared" si="19"/>
        <v>Petrolina</v>
      </c>
    </row>
    <row r="229" spans="1:15" x14ac:dyDescent="0.3">
      <c r="A229" s="10">
        <v>45689</v>
      </c>
      <c r="B229" s="9" t="s">
        <v>61</v>
      </c>
      <c r="C229" t="s">
        <v>62</v>
      </c>
      <c r="D229" s="9">
        <v>19633</v>
      </c>
      <c r="E229" s="5" t="s">
        <v>389</v>
      </c>
      <c r="F229" t="s">
        <v>63</v>
      </c>
      <c r="G229">
        <v>1740</v>
      </c>
      <c r="H229">
        <v>974</v>
      </c>
      <c r="I229" s="8">
        <f t="shared" si="20"/>
        <v>0.55977011494252871</v>
      </c>
      <c r="J229" s="17">
        <v>0.7</v>
      </c>
      <c r="K229" s="12">
        <v>13.75</v>
      </c>
      <c r="L229" s="2">
        <f t="shared" si="17"/>
        <v>244</v>
      </c>
      <c r="M229" s="15">
        <f t="shared" si="21"/>
        <v>3355</v>
      </c>
      <c r="N229" t="str">
        <f t="shared" si="18"/>
        <v>PB</v>
      </c>
      <c r="O229" t="str">
        <f t="shared" si="19"/>
        <v>Campina Grande</v>
      </c>
    </row>
    <row r="230" spans="1:15" x14ac:dyDescent="0.3">
      <c r="A230" s="10">
        <v>45689</v>
      </c>
      <c r="B230" s="9" t="s">
        <v>6</v>
      </c>
      <c r="C230" t="s">
        <v>26</v>
      </c>
      <c r="D230" s="9">
        <v>19622</v>
      </c>
      <c r="E230" s="5" t="s">
        <v>390</v>
      </c>
      <c r="F230" t="s">
        <v>28</v>
      </c>
      <c r="G230">
        <v>1417</v>
      </c>
      <c r="H230">
        <v>796</v>
      </c>
      <c r="I230" s="8">
        <f t="shared" si="20"/>
        <v>0.56175017642907554</v>
      </c>
      <c r="J230" s="17">
        <v>0.7</v>
      </c>
      <c r="K230" s="12">
        <v>13.75</v>
      </c>
      <c r="L230" s="2">
        <f t="shared" si="17"/>
        <v>195.89999999999986</v>
      </c>
      <c r="M230" s="15">
        <f t="shared" si="21"/>
        <v>2693.6249999999982</v>
      </c>
      <c r="N230" t="str">
        <f t="shared" si="18"/>
        <v>PA</v>
      </c>
      <c r="O230" t="str">
        <f t="shared" si="19"/>
        <v>Belém</v>
      </c>
    </row>
    <row r="231" spans="1:15" x14ac:dyDescent="0.3">
      <c r="A231" s="10">
        <v>45689</v>
      </c>
      <c r="B231" s="9" t="s">
        <v>46</v>
      </c>
      <c r="C231" t="s">
        <v>47</v>
      </c>
      <c r="D231" s="9">
        <v>19666</v>
      </c>
      <c r="E231" s="5" t="s">
        <v>391</v>
      </c>
      <c r="F231" t="s">
        <v>624</v>
      </c>
      <c r="G231">
        <v>2365</v>
      </c>
      <c r="H231">
        <v>894</v>
      </c>
      <c r="I231" s="8">
        <f t="shared" si="20"/>
        <v>0.37801268498942919</v>
      </c>
      <c r="J231" s="17">
        <v>0.7</v>
      </c>
      <c r="K231" s="12">
        <v>13.75</v>
      </c>
      <c r="L231" s="2">
        <f t="shared" si="17"/>
        <v>761.49999999999977</v>
      </c>
      <c r="M231" s="15">
        <f t="shared" si="21"/>
        <v>10470.624999999996</v>
      </c>
      <c r="N231" t="str">
        <f t="shared" si="18"/>
        <v>DF</v>
      </c>
      <c r="O231" t="str">
        <f t="shared" si="19"/>
        <v>Brasília</v>
      </c>
    </row>
    <row r="232" spans="1:15" x14ac:dyDescent="0.3">
      <c r="A232" s="10">
        <v>45689</v>
      </c>
      <c r="B232" s="9" t="s">
        <v>15</v>
      </c>
      <c r="C232" t="s">
        <v>358</v>
      </c>
      <c r="D232" s="9">
        <v>19632</v>
      </c>
      <c r="E232" s="5" t="s">
        <v>392</v>
      </c>
      <c r="F232" t="s">
        <v>203</v>
      </c>
      <c r="G232">
        <v>2132</v>
      </c>
      <c r="H232">
        <v>959</v>
      </c>
      <c r="I232" s="8">
        <f t="shared" si="20"/>
        <v>0.44981238273921198</v>
      </c>
      <c r="J232" s="17">
        <v>0.7</v>
      </c>
      <c r="K232" s="12">
        <v>13.75</v>
      </c>
      <c r="L232" s="2">
        <f t="shared" si="17"/>
        <v>533.40000000000009</v>
      </c>
      <c r="M232" s="15">
        <f t="shared" si="21"/>
        <v>7334.2500000000009</v>
      </c>
      <c r="N232" t="str">
        <f t="shared" si="18"/>
        <v>RJ</v>
      </c>
      <c r="O232" t="str">
        <f t="shared" si="19"/>
        <v>Rio De Janeiro</v>
      </c>
    </row>
    <row r="233" spans="1:15" x14ac:dyDescent="0.3">
      <c r="A233" s="10">
        <v>45689</v>
      </c>
      <c r="B233" s="9" t="s">
        <v>46</v>
      </c>
      <c r="C233" t="s">
        <v>47</v>
      </c>
      <c r="D233" s="9">
        <v>19552</v>
      </c>
      <c r="E233" s="5" t="s">
        <v>393</v>
      </c>
      <c r="F233" t="s">
        <v>50</v>
      </c>
      <c r="G233">
        <v>2958</v>
      </c>
      <c r="H233">
        <v>1241</v>
      </c>
      <c r="I233" s="8">
        <f t="shared" si="20"/>
        <v>0.41954022988505746</v>
      </c>
      <c r="J233" s="17">
        <v>0.7</v>
      </c>
      <c r="K233" s="12">
        <v>13.75</v>
      </c>
      <c r="L233" s="2">
        <f t="shared" si="17"/>
        <v>829.59999999999991</v>
      </c>
      <c r="M233" s="15">
        <f t="shared" si="21"/>
        <v>11406.999999999998</v>
      </c>
      <c r="N233" t="str">
        <f t="shared" si="18"/>
        <v>DF</v>
      </c>
      <c r="O233" t="str">
        <f t="shared" si="19"/>
        <v>Brasília</v>
      </c>
    </row>
    <row r="234" spans="1:15" x14ac:dyDescent="0.3">
      <c r="A234" s="10">
        <v>45689</v>
      </c>
      <c r="B234" s="9" t="s">
        <v>15</v>
      </c>
      <c r="C234" t="s">
        <v>191</v>
      </c>
      <c r="D234" s="9">
        <v>19636</v>
      </c>
      <c r="E234" s="5" t="s">
        <v>394</v>
      </c>
      <c r="F234" t="s">
        <v>192</v>
      </c>
      <c r="G234">
        <v>1860</v>
      </c>
      <c r="H234">
        <v>732</v>
      </c>
      <c r="I234" s="8">
        <f t="shared" si="20"/>
        <v>0.3935483870967742</v>
      </c>
      <c r="J234" s="17">
        <v>0.7</v>
      </c>
      <c r="K234" s="12">
        <v>13.75</v>
      </c>
      <c r="L234" s="2">
        <f t="shared" si="17"/>
        <v>570</v>
      </c>
      <c r="M234" s="15">
        <f t="shared" si="21"/>
        <v>7837.5</v>
      </c>
      <c r="N234" t="str">
        <f t="shared" si="18"/>
        <v>RJ</v>
      </c>
      <c r="O234" t="str">
        <f t="shared" si="19"/>
        <v>Resende</v>
      </c>
    </row>
    <row r="235" spans="1:15" x14ac:dyDescent="0.3">
      <c r="A235" s="10">
        <v>45689</v>
      </c>
      <c r="B235" s="9" t="s">
        <v>74</v>
      </c>
      <c r="C235" t="s">
        <v>186</v>
      </c>
      <c r="D235" s="9">
        <v>19649</v>
      </c>
      <c r="E235" s="5" t="s">
        <v>395</v>
      </c>
      <c r="F235" t="s">
        <v>187</v>
      </c>
      <c r="G235">
        <v>2685</v>
      </c>
      <c r="H235">
        <v>1156</v>
      </c>
      <c r="I235" s="8">
        <f t="shared" si="20"/>
        <v>0.43054003724394785</v>
      </c>
      <c r="J235" s="17">
        <v>0.7</v>
      </c>
      <c r="K235" s="12">
        <v>13.75</v>
      </c>
      <c r="L235" s="2">
        <f t="shared" si="17"/>
        <v>723.49999999999977</v>
      </c>
      <c r="M235" s="15">
        <f t="shared" si="21"/>
        <v>9948.1249999999964</v>
      </c>
      <c r="N235" t="str">
        <f t="shared" si="18"/>
        <v>PE</v>
      </c>
      <c r="O235" t="str">
        <f t="shared" si="19"/>
        <v>Recife</v>
      </c>
    </row>
    <row r="236" spans="1:15" x14ac:dyDescent="0.3">
      <c r="A236" s="10">
        <v>45689</v>
      </c>
      <c r="B236" s="9" t="s">
        <v>74</v>
      </c>
      <c r="C236" t="s">
        <v>186</v>
      </c>
      <c r="D236" s="9">
        <v>19601</v>
      </c>
      <c r="E236" s="5" t="s">
        <v>396</v>
      </c>
      <c r="F236" t="s">
        <v>188</v>
      </c>
      <c r="G236">
        <v>2505</v>
      </c>
      <c r="H236">
        <v>1053</v>
      </c>
      <c r="I236" s="8">
        <f t="shared" si="20"/>
        <v>0.42035928143712575</v>
      </c>
      <c r="J236" s="17">
        <v>0.7</v>
      </c>
      <c r="K236" s="12">
        <v>13.75</v>
      </c>
      <c r="L236" s="2">
        <f t="shared" si="17"/>
        <v>700.49999999999977</v>
      </c>
      <c r="M236" s="15">
        <f t="shared" si="21"/>
        <v>9631.8749999999964</v>
      </c>
      <c r="N236" t="str">
        <f t="shared" si="18"/>
        <v>PE</v>
      </c>
      <c r="O236" t="str">
        <f t="shared" si="19"/>
        <v>Recife</v>
      </c>
    </row>
    <row r="237" spans="1:15" x14ac:dyDescent="0.3">
      <c r="A237" s="10">
        <v>45689</v>
      </c>
      <c r="B237" s="9" t="s">
        <v>74</v>
      </c>
      <c r="C237" t="s">
        <v>186</v>
      </c>
      <c r="D237" s="9">
        <v>19565</v>
      </c>
      <c r="E237" s="5" t="s">
        <v>397</v>
      </c>
      <c r="F237" t="s">
        <v>189</v>
      </c>
      <c r="G237">
        <v>2555</v>
      </c>
      <c r="H237">
        <v>860</v>
      </c>
      <c r="I237" s="8">
        <f t="shared" si="20"/>
        <v>0.33659491193737767</v>
      </c>
      <c r="J237" s="17">
        <v>0.7</v>
      </c>
      <c r="K237" s="12">
        <v>13.75</v>
      </c>
      <c r="L237" s="2">
        <f t="shared" si="17"/>
        <v>928.5</v>
      </c>
      <c r="M237" s="15">
        <f t="shared" si="21"/>
        <v>12766.875</v>
      </c>
      <c r="N237" t="str">
        <f t="shared" si="18"/>
        <v>PE</v>
      </c>
      <c r="O237" t="str">
        <f t="shared" si="19"/>
        <v>Recife</v>
      </c>
    </row>
    <row r="238" spans="1:15" x14ac:dyDescent="0.3">
      <c r="A238" s="10">
        <v>45689</v>
      </c>
      <c r="B238" s="9" t="s">
        <v>74</v>
      </c>
      <c r="C238" t="s">
        <v>186</v>
      </c>
      <c r="D238" s="9">
        <v>19654</v>
      </c>
      <c r="E238" s="5" t="s">
        <v>398</v>
      </c>
      <c r="F238" t="s">
        <v>190</v>
      </c>
      <c r="G238">
        <v>2070</v>
      </c>
      <c r="H238">
        <v>700</v>
      </c>
      <c r="I238" s="8">
        <f t="shared" si="20"/>
        <v>0.33816425120772947</v>
      </c>
      <c r="J238" s="17">
        <v>0.7</v>
      </c>
      <c r="K238" s="12">
        <v>13.75</v>
      </c>
      <c r="L238" s="2">
        <f t="shared" si="17"/>
        <v>748.99999999999977</v>
      </c>
      <c r="M238" s="15">
        <f t="shared" si="21"/>
        <v>10298.749999999996</v>
      </c>
      <c r="N238" t="str">
        <f t="shared" si="18"/>
        <v>PE</v>
      </c>
      <c r="O238" t="str">
        <f t="shared" si="19"/>
        <v>Recife</v>
      </c>
    </row>
    <row r="239" spans="1:15" x14ac:dyDescent="0.3">
      <c r="A239" s="10">
        <v>45689</v>
      </c>
      <c r="B239" s="9" t="s">
        <v>74</v>
      </c>
      <c r="C239" t="s">
        <v>350</v>
      </c>
      <c r="D239" s="9">
        <v>19624</v>
      </c>
      <c r="E239" s="5" t="s">
        <v>399</v>
      </c>
      <c r="F239" t="s">
        <v>116</v>
      </c>
      <c r="G239">
        <v>1471</v>
      </c>
      <c r="H239">
        <v>574</v>
      </c>
      <c r="I239" s="8">
        <f t="shared" si="20"/>
        <v>0.39021074099252212</v>
      </c>
      <c r="J239" s="17">
        <v>0.7</v>
      </c>
      <c r="K239" s="12">
        <v>13.75</v>
      </c>
      <c r="L239" s="2">
        <f t="shared" si="17"/>
        <v>455.69999999999982</v>
      </c>
      <c r="M239" s="15">
        <f t="shared" si="21"/>
        <v>6265.8749999999973</v>
      </c>
      <c r="N239" t="str">
        <f t="shared" si="18"/>
        <v>PE</v>
      </c>
      <c r="O239" t="str">
        <f t="shared" si="19"/>
        <v>Jaboatão Dos Guararapes</v>
      </c>
    </row>
    <row r="240" spans="1:15" x14ac:dyDescent="0.3">
      <c r="A240" s="10">
        <v>45689</v>
      </c>
      <c r="B240" s="9" t="s">
        <v>15</v>
      </c>
      <c r="C240" t="s">
        <v>143</v>
      </c>
      <c r="D240" s="9">
        <v>19648</v>
      </c>
      <c r="E240" s="5" t="s">
        <v>400</v>
      </c>
      <c r="F240" t="s">
        <v>144</v>
      </c>
      <c r="G240">
        <v>1793</v>
      </c>
      <c r="H240">
        <v>551</v>
      </c>
      <c r="I240" s="8">
        <f t="shared" si="20"/>
        <v>0.30730619074177357</v>
      </c>
      <c r="J240" s="17">
        <v>0.7</v>
      </c>
      <c r="K240" s="12">
        <v>13.75</v>
      </c>
      <c r="L240" s="2">
        <f t="shared" si="17"/>
        <v>704.09999999999991</v>
      </c>
      <c r="M240" s="15">
        <f t="shared" si="21"/>
        <v>9681.3749999999982</v>
      </c>
      <c r="N240" t="str">
        <f t="shared" si="18"/>
        <v>RJ</v>
      </c>
      <c r="O240" t="str">
        <f t="shared" si="19"/>
        <v>Nilópolis</v>
      </c>
    </row>
    <row r="241" spans="1:15" x14ac:dyDescent="0.3">
      <c r="A241" s="10">
        <v>45689</v>
      </c>
      <c r="B241" s="9" t="s">
        <v>15</v>
      </c>
      <c r="C241" t="s">
        <v>57</v>
      </c>
      <c r="D241" s="9">
        <v>19657</v>
      </c>
      <c r="E241" s="5" t="s">
        <v>401</v>
      </c>
      <c r="F241" t="s">
        <v>58</v>
      </c>
      <c r="G241">
        <v>1433</v>
      </c>
      <c r="H241">
        <v>670</v>
      </c>
      <c r="I241" s="8">
        <f t="shared" si="20"/>
        <v>0.46755059316120029</v>
      </c>
      <c r="J241" s="17">
        <v>0.7</v>
      </c>
      <c r="K241" s="12">
        <v>13.75</v>
      </c>
      <c r="L241" s="2">
        <f t="shared" si="17"/>
        <v>333.09999999999991</v>
      </c>
      <c r="M241" s="15">
        <f t="shared" si="21"/>
        <v>4580.1249999999991</v>
      </c>
      <c r="N241" t="str">
        <f t="shared" si="18"/>
        <v>RJ</v>
      </c>
      <c r="O241" t="str">
        <f t="shared" si="19"/>
        <v>Cabo Frio</v>
      </c>
    </row>
    <row r="242" spans="1:15" x14ac:dyDescent="0.3">
      <c r="A242" s="10">
        <v>45689</v>
      </c>
      <c r="B242" s="9" t="s">
        <v>74</v>
      </c>
      <c r="C242" t="s">
        <v>186</v>
      </c>
      <c r="D242" s="9">
        <v>19658</v>
      </c>
      <c r="E242" s="5" t="s">
        <v>402</v>
      </c>
      <c r="F242" t="s">
        <v>357</v>
      </c>
      <c r="G242">
        <v>1432</v>
      </c>
      <c r="H242">
        <v>646</v>
      </c>
      <c r="I242" s="8">
        <f t="shared" si="20"/>
        <v>0.4511173184357542</v>
      </c>
      <c r="J242" s="17">
        <v>0.7</v>
      </c>
      <c r="K242" s="12">
        <v>13.75</v>
      </c>
      <c r="L242" s="2">
        <f t="shared" si="17"/>
        <v>356.4</v>
      </c>
      <c r="M242" s="15">
        <f t="shared" si="21"/>
        <v>4900.5</v>
      </c>
      <c r="N242" t="str">
        <f t="shared" si="18"/>
        <v>PE</v>
      </c>
      <c r="O242" t="str">
        <f t="shared" si="19"/>
        <v>Recife</v>
      </c>
    </row>
    <row r="243" spans="1:15" x14ac:dyDescent="0.3">
      <c r="A243" s="10">
        <v>45689</v>
      </c>
      <c r="B243" s="9" t="s">
        <v>82</v>
      </c>
      <c r="C243" t="s">
        <v>119</v>
      </c>
      <c r="D243" s="9">
        <v>19661</v>
      </c>
      <c r="E243" s="5" t="s">
        <v>403</v>
      </c>
      <c r="F243" t="s">
        <v>120</v>
      </c>
      <c r="G243">
        <v>2868</v>
      </c>
      <c r="H243">
        <v>1080</v>
      </c>
      <c r="I243" s="8">
        <f t="shared" si="20"/>
        <v>0.37656903765690375</v>
      </c>
      <c r="J243" s="17">
        <v>0.7</v>
      </c>
      <c r="K243" s="12">
        <v>13.75</v>
      </c>
      <c r="L243" s="2">
        <f t="shared" si="17"/>
        <v>927.60000000000014</v>
      </c>
      <c r="M243" s="15">
        <f t="shared" si="21"/>
        <v>12754.500000000002</v>
      </c>
      <c r="N243" t="str">
        <f t="shared" si="18"/>
        <v>PR</v>
      </c>
      <c r="O243" t="str">
        <f t="shared" si="19"/>
        <v>Londrina</v>
      </c>
    </row>
    <row r="244" spans="1:15" x14ac:dyDescent="0.3">
      <c r="A244" s="10">
        <v>45689</v>
      </c>
      <c r="B244" s="9" t="s">
        <v>183</v>
      </c>
      <c r="C244" t="s">
        <v>184</v>
      </c>
      <c r="D244" s="9">
        <v>19752</v>
      </c>
      <c r="E244" s="5" t="s">
        <v>404</v>
      </c>
      <c r="F244" t="s">
        <v>185</v>
      </c>
      <c r="G244">
        <v>1213</v>
      </c>
      <c r="H244">
        <v>679</v>
      </c>
      <c r="I244" s="8">
        <f t="shared" si="20"/>
        <v>0.55976916735366855</v>
      </c>
      <c r="J244" s="17">
        <v>0.7</v>
      </c>
      <c r="K244" s="12">
        <v>13.75</v>
      </c>
      <c r="L244" s="2">
        <f t="shared" si="17"/>
        <v>170.10000000000002</v>
      </c>
      <c r="M244" s="15">
        <f t="shared" si="21"/>
        <v>2338.8750000000005</v>
      </c>
      <c r="N244" t="str">
        <f t="shared" si="18"/>
        <v>RO</v>
      </c>
      <c r="O244" t="str">
        <f t="shared" si="19"/>
        <v>Porto Velho</v>
      </c>
    </row>
    <row r="245" spans="1:15" x14ac:dyDescent="0.3">
      <c r="A245" s="10">
        <v>45689</v>
      </c>
      <c r="B245" s="9" t="s">
        <v>15</v>
      </c>
      <c r="C245" t="s">
        <v>281</v>
      </c>
      <c r="D245" s="9">
        <v>19671</v>
      </c>
      <c r="E245" s="5" t="s">
        <v>405</v>
      </c>
      <c r="F245" t="s">
        <v>282</v>
      </c>
      <c r="G245">
        <v>2120</v>
      </c>
      <c r="H245">
        <v>1001</v>
      </c>
      <c r="I245" s="8">
        <f t="shared" si="20"/>
        <v>0.4721698113207547</v>
      </c>
      <c r="J245" s="17">
        <v>0.7</v>
      </c>
      <c r="K245" s="12">
        <v>13.75</v>
      </c>
      <c r="L245" s="2">
        <f t="shared" si="17"/>
        <v>483</v>
      </c>
      <c r="M245" s="15">
        <f t="shared" si="21"/>
        <v>6641.25</v>
      </c>
      <c r="N245" t="str">
        <f t="shared" si="18"/>
        <v>RJ</v>
      </c>
      <c r="O245" t="str">
        <f t="shared" si="19"/>
        <v>Teresópolis</v>
      </c>
    </row>
    <row r="246" spans="1:15" x14ac:dyDescent="0.3">
      <c r="A246" s="10">
        <v>45689</v>
      </c>
      <c r="B246" s="9" t="s">
        <v>3</v>
      </c>
      <c r="C246" t="s">
        <v>248</v>
      </c>
      <c r="D246" s="9">
        <v>19674</v>
      </c>
      <c r="E246" s="5" t="s">
        <v>406</v>
      </c>
      <c r="F246" t="s">
        <v>251</v>
      </c>
      <c r="G246">
        <v>1905</v>
      </c>
      <c r="H246">
        <v>788</v>
      </c>
      <c r="I246" s="8">
        <f t="shared" si="20"/>
        <v>0.41364829396325459</v>
      </c>
      <c r="J246" s="17">
        <v>0.7</v>
      </c>
      <c r="K246" s="12">
        <v>13.75</v>
      </c>
      <c r="L246" s="2">
        <f t="shared" si="17"/>
        <v>545.49999999999977</v>
      </c>
      <c r="M246" s="15">
        <f t="shared" si="21"/>
        <v>7500.6249999999973</v>
      </c>
      <c r="N246" t="str">
        <f t="shared" si="18"/>
        <v>SP</v>
      </c>
      <c r="O246" t="str">
        <f t="shared" si="19"/>
        <v>São Paulo</v>
      </c>
    </row>
    <row r="247" spans="1:15" x14ac:dyDescent="0.3">
      <c r="A247" s="10">
        <v>45689</v>
      </c>
      <c r="B247" s="9" t="s">
        <v>3</v>
      </c>
      <c r="C247" t="s">
        <v>248</v>
      </c>
      <c r="D247" s="9">
        <v>19756</v>
      </c>
      <c r="E247" s="5" t="s">
        <v>407</v>
      </c>
      <c r="F247" t="s">
        <v>252</v>
      </c>
      <c r="G247">
        <v>1694</v>
      </c>
      <c r="H247">
        <v>705</v>
      </c>
      <c r="I247" s="8">
        <f t="shared" si="20"/>
        <v>0.41617473435655256</v>
      </c>
      <c r="J247" s="17">
        <v>0.7</v>
      </c>
      <c r="K247" s="12">
        <v>13.75</v>
      </c>
      <c r="L247" s="2">
        <f t="shared" si="17"/>
        <v>480.79999999999973</v>
      </c>
      <c r="M247" s="15">
        <f t="shared" si="21"/>
        <v>6610.9999999999964</v>
      </c>
      <c r="N247" t="str">
        <f t="shared" si="18"/>
        <v>SP</v>
      </c>
      <c r="O247" t="str">
        <f t="shared" si="19"/>
        <v>São Paulo</v>
      </c>
    </row>
    <row r="248" spans="1:15" x14ac:dyDescent="0.3">
      <c r="A248" s="10">
        <v>45689</v>
      </c>
      <c r="B248" s="9" t="s">
        <v>3</v>
      </c>
      <c r="C248" t="s">
        <v>248</v>
      </c>
      <c r="D248" s="9">
        <v>19579</v>
      </c>
      <c r="E248" s="5" t="s">
        <v>409</v>
      </c>
      <c r="F248" t="s">
        <v>254</v>
      </c>
      <c r="G248">
        <v>1866</v>
      </c>
      <c r="H248">
        <v>715</v>
      </c>
      <c r="I248" s="8">
        <f t="shared" si="20"/>
        <v>0.38317256162915325</v>
      </c>
      <c r="J248" s="17">
        <v>0.7</v>
      </c>
      <c r="K248" s="12">
        <v>13.75</v>
      </c>
      <c r="L248" s="2">
        <f t="shared" si="17"/>
        <v>591.19999999999982</v>
      </c>
      <c r="M248" s="15">
        <f t="shared" si="21"/>
        <v>8128.9999999999973</v>
      </c>
      <c r="N248" t="str">
        <f t="shared" si="18"/>
        <v>SP</v>
      </c>
      <c r="O248" t="str">
        <f t="shared" si="19"/>
        <v>São Paulo</v>
      </c>
    </row>
    <row r="249" spans="1:15" x14ac:dyDescent="0.3">
      <c r="A249" s="10">
        <v>45689</v>
      </c>
      <c r="B249" s="9" t="s">
        <v>126</v>
      </c>
      <c r="C249" t="s">
        <v>127</v>
      </c>
      <c r="D249" s="9">
        <v>19623</v>
      </c>
      <c r="E249" s="5" t="s">
        <v>410</v>
      </c>
      <c r="F249" t="s">
        <v>128</v>
      </c>
      <c r="G249">
        <v>1270</v>
      </c>
      <c r="H249">
        <v>620</v>
      </c>
      <c r="I249" s="8">
        <f t="shared" si="20"/>
        <v>0.48818897637795278</v>
      </c>
      <c r="J249" s="17">
        <v>0.7</v>
      </c>
      <c r="K249" s="12">
        <v>13.75</v>
      </c>
      <c r="L249" s="2">
        <f t="shared" si="17"/>
        <v>269</v>
      </c>
      <c r="M249" s="15">
        <f t="shared" si="21"/>
        <v>3698.75</v>
      </c>
      <c r="N249" t="str">
        <f t="shared" si="18"/>
        <v>AL</v>
      </c>
      <c r="O249" t="str">
        <f t="shared" si="19"/>
        <v>Maceió</v>
      </c>
    </row>
    <row r="250" spans="1:15" x14ac:dyDescent="0.3">
      <c r="A250" s="10">
        <v>45689</v>
      </c>
      <c r="B250" s="9" t="s">
        <v>46</v>
      </c>
      <c r="C250" t="s">
        <v>47</v>
      </c>
      <c r="D250" s="9">
        <v>19693</v>
      </c>
      <c r="E250" s="5" t="s">
        <v>411</v>
      </c>
      <c r="F250" t="s">
        <v>51</v>
      </c>
      <c r="G250">
        <v>2082</v>
      </c>
      <c r="H250">
        <v>531</v>
      </c>
      <c r="I250" s="8">
        <f t="shared" si="20"/>
        <v>0.25504322766570603</v>
      </c>
      <c r="J250" s="17">
        <v>0.7</v>
      </c>
      <c r="K250" s="12">
        <v>13.75</v>
      </c>
      <c r="L250" s="2">
        <f t="shared" si="17"/>
        <v>926.40000000000009</v>
      </c>
      <c r="M250" s="15">
        <f t="shared" si="21"/>
        <v>12738.000000000002</v>
      </c>
      <c r="N250" t="str">
        <f t="shared" si="18"/>
        <v>DF</v>
      </c>
      <c r="O250" t="str">
        <f t="shared" si="19"/>
        <v>Brasília</v>
      </c>
    </row>
    <row r="251" spans="1:15" x14ac:dyDescent="0.3">
      <c r="A251" s="10">
        <v>45689</v>
      </c>
      <c r="B251" s="9" t="s">
        <v>15</v>
      </c>
      <c r="C251" t="s">
        <v>145</v>
      </c>
      <c r="D251" s="9">
        <v>19629</v>
      </c>
      <c r="E251" s="5" t="s">
        <v>412</v>
      </c>
      <c r="F251" t="s">
        <v>355</v>
      </c>
      <c r="G251">
        <v>614</v>
      </c>
      <c r="H251">
        <v>279</v>
      </c>
      <c r="I251" s="8">
        <f t="shared" si="20"/>
        <v>0.4543973941368078</v>
      </c>
      <c r="J251" s="17">
        <v>0.7</v>
      </c>
      <c r="K251" s="12">
        <v>13.75</v>
      </c>
      <c r="L251" s="2">
        <f t="shared" si="17"/>
        <v>150.79999999999995</v>
      </c>
      <c r="M251" s="15">
        <f t="shared" si="21"/>
        <v>2073.4999999999995</v>
      </c>
      <c r="N251" t="str">
        <f t="shared" si="18"/>
        <v>RJ</v>
      </c>
      <c r="O251" t="str">
        <f t="shared" si="19"/>
        <v>Niterói</v>
      </c>
    </row>
    <row r="252" spans="1:15" x14ac:dyDescent="0.3">
      <c r="A252" s="10">
        <v>45689</v>
      </c>
      <c r="B252" s="9" t="s">
        <v>78</v>
      </c>
      <c r="C252" t="s">
        <v>79</v>
      </c>
      <c r="D252" s="9">
        <v>19730</v>
      </c>
      <c r="E252" s="5" t="s">
        <v>413</v>
      </c>
      <c r="F252" t="s">
        <v>80</v>
      </c>
      <c r="G252">
        <v>2377</v>
      </c>
      <c r="H252">
        <v>779</v>
      </c>
      <c r="I252" s="8">
        <f t="shared" si="20"/>
        <v>0.32772402187631466</v>
      </c>
      <c r="J252" s="17">
        <v>0.7</v>
      </c>
      <c r="K252" s="12">
        <v>13.75</v>
      </c>
      <c r="L252" s="2">
        <f t="shared" si="17"/>
        <v>884.89999999999986</v>
      </c>
      <c r="M252" s="15">
        <f t="shared" si="21"/>
        <v>12167.374999999998</v>
      </c>
      <c r="N252" t="str">
        <f t="shared" si="18"/>
        <v>MT</v>
      </c>
      <c r="O252" t="str">
        <f t="shared" si="19"/>
        <v>Cuiabá</v>
      </c>
    </row>
    <row r="253" spans="1:15" x14ac:dyDescent="0.3">
      <c r="A253" s="10">
        <v>45689</v>
      </c>
      <c r="B253" s="9" t="s">
        <v>78</v>
      </c>
      <c r="C253" t="s">
        <v>79</v>
      </c>
      <c r="D253" s="9">
        <v>19794</v>
      </c>
      <c r="E253" s="5" t="s">
        <v>414</v>
      </c>
      <c r="F253" t="s">
        <v>81</v>
      </c>
      <c r="G253">
        <v>2382</v>
      </c>
      <c r="H253">
        <v>996</v>
      </c>
      <c r="I253" s="8">
        <f t="shared" si="20"/>
        <v>0.41813602015113349</v>
      </c>
      <c r="J253" s="17">
        <v>0.7</v>
      </c>
      <c r="K253" s="12">
        <v>13.75</v>
      </c>
      <c r="L253" s="2">
        <f t="shared" si="17"/>
        <v>671.39999999999986</v>
      </c>
      <c r="M253" s="15">
        <f t="shared" si="21"/>
        <v>9231.7499999999982</v>
      </c>
      <c r="N253" t="str">
        <f t="shared" si="18"/>
        <v>MT</v>
      </c>
      <c r="O253" t="str">
        <f t="shared" si="19"/>
        <v>Cuiabá</v>
      </c>
    </row>
    <row r="254" spans="1:15" x14ac:dyDescent="0.3">
      <c r="A254" s="10">
        <v>45689</v>
      </c>
      <c r="B254" s="9" t="s">
        <v>7</v>
      </c>
      <c r="C254" t="s">
        <v>99</v>
      </c>
      <c r="D254" s="9">
        <v>19691</v>
      </c>
      <c r="E254" s="5" t="s">
        <v>415</v>
      </c>
      <c r="F254" t="s">
        <v>100</v>
      </c>
      <c r="G254">
        <v>2290</v>
      </c>
      <c r="H254">
        <v>1030</v>
      </c>
      <c r="I254" s="8">
        <f t="shared" si="20"/>
        <v>0.44978165938864628</v>
      </c>
      <c r="J254" s="17">
        <v>0.7</v>
      </c>
      <c r="K254" s="12">
        <v>13.75</v>
      </c>
      <c r="L254" s="2">
        <f t="shared" ref="L254:L317" si="22">H254*J254/I254-H254</f>
        <v>573</v>
      </c>
      <c r="M254" s="15">
        <f t="shared" si="21"/>
        <v>7878.75</v>
      </c>
      <c r="N254" t="str">
        <f t="shared" si="18"/>
        <v>GO</v>
      </c>
      <c r="O254" t="str">
        <f t="shared" si="19"/>
        <v>Goiânia</v>
      </c>
    </row>
    <row r="255" spans="1:15" x14ac:dyDescent="0.3">
      <c r="A255" s="10">
        <v>45689</v>
      </c>
      <c r="B255" s="9" t="s">
        <v>15</v>
      </c>
      <c r="C255" t="s">
        <v>358</v>
      </c>
      <c r="D255" s="9">
        <v>19505</v>
      </c>
      <c r="E255" s="5" t="s">
        <v>416</v>
      </c>
      <c r="F255" t="s">
        <v>204</v>
      </c>
      <c r="G255">
        <v>2216</v>
      </c>
      <c r="H255">
        <v>857</v>
      </c>
      <c r="I255" s="8">
        <f t="shared" si="20"/>
        <v>0.38673285198555957</v>
      </c>
      <c r="J255" s="17">
        <v>0.7</v>
      </c>
      <c r="K255" s="12">
        <v>13.75</v>
      </c>
      <c r="L255" s="2">
        <f t="shared" si="22"/>
        <v>694.2</v>
      </c>
      <c r="M255" s="15">
        <f t="shared" si="21"/>
        <v>9545.25</v>
      </c>
      <c r="N255" t="str">
        <f t="shared" si="18"/>
        <v>RJ</v>
      </c>
      <c r="O255" t="str">
        <f t="shared" si="19"/>
        <v>Rio De Janeiro</v>
      </c>
    </row>
    <row r="256" spans="1:15" x14ac:dyDescent="0.3">
      <c r="A256" s="10">
        <v>45689</v>
      </c>
      <c r="B256" s="9" t="s">
        <v>15</v>
      </c>
      <c r="C256" t="s">
        <v>358</v>
      </c>
      <c r="D256" s="9">
        <v>19515</v>
      </c>
      <c r="E256" s="5" t="s">
        <v>417</v>
      </c>
      <c r="F256" t="s">
        <v>205</v>
      </c>
      <c r="G256">
        <v>3430</v>
      </c>
      <c r="H256">
        <v>1303</v>
      </c>
      <c r="I256" s="8">
        <f t="shared" si="20"/>
        <v>0.37988338192419824</v>
      </c>
      <c r="J256" s="17">
        <v>0.7</v>
      </c>
      <c r="K256" s="12">
        <v>13.75</v>
      </c>
      <c r="L256" s="2">
        <f t="shared" si="22"/>
        <v>1098</v>
      </c>
      <c r="M256" s="15">
        <f t="shared" si="21"/>
        <v>15097.5</v>
      </c>
      <c r="N256" t="str">
        <f t="shared" si="18"/>
        <v>RJ</v>
      </c>
      <c r="O256" t="str">
        <f t="shared" si="19"/>
        <v>Rio De Janeiro</v>
      </c>
    </row>
    <row r="257" spans="1:15" x14ac:dyDescent="0.3">
      <c r="A257" s="10">
        <v>45689</v>
      </c>
      <c r="B257" s="9" t="s">
        <v>15</v>
      </c>
      <c r="C257" t="s">
        <v>358</v>
      </c>
      <c r="D257" s="9">
        <v>19519</v>
      </c>
      <c r="E257" s="5" t="s">
        <v>418</v>
      </c>
      <c r="F257" t="s">
        <v>206</v>
      </c>
      <c r="G257">
        <v>5839</v>
      </c>
      <c r="H257">
        <v>2681</v>
      </c>
      <c r="I257" s="8">
        <f t="shared" si="20"/>
        <v>0.45915396471998632</v>
      </c>
      <c r="J257" s="17">
        <v>0.7</v>
      </c>
      <c r="K257" s="12">
        <v>13.75</v>
      </c>
      <c r="L257" s="2">
        <f t="shared" si="22"/>
        <v>1406.2999999999993</v>
      </c>
      <c r="M257" s="15">
        <f t="shared" si="21"/>
        <v>19336.624999999989</v>
      </c>
      <c r="N257" t="str">
        <f t="shared" si="18"/>
        <v>RJ</v>
      </c>
      <c r="O257" t="str">
        <f t="shared" si="19"/>
        <v>Rio De Janeiro</v>
      </c>
    </row>
    <row r="258" spans="1:15" x14ac:dyDescent="0.3">
      <c r="A258" s="10">
        <v>45689</v>
      </c>
      <c r="B258" s="9" t="s">
        <v>15</v>
      </c>
      <c r="C258" t="s">
        <v>358</v>
      </c>
      <c r="D258" s="9">
        <v>19518</v>
      </c>
      <c r="E258" s="5" t="s">
        <v>419</v>
      </c>
      <c r="F258" t="s">
        <v>207</v>
      </c>
      <c r="G258">
        <v>4167</v>
      </c>
      <c r="H258">
        <v>1800</v>
      </c>
      <c r="I258" s="8">
        <f t="shared" si="20"/>
        <v>0.43196544276457882</v>
      </c>
      <c r="J258" s="17">
        <v>0.7</v>
      </c>
      <c r="K258" s="12">
        <v>13.75</v>
      </c>
      <c r="L258" s="2">
        <f t="shared" si="22"/>
        <v>1116.9000000000001</v>
      </c>
      <c r="M258" s="15">
        <f t="shared" si="21"/>
        <v>15357.375000000002</v>
      </c>
      <c r="N258" t="str">
        <f t="shared" ref="N258:N321" si="23">B258</f>
        <v>RJ</v>
      </c>
      <c r="O258" t="str">
        <f t="shared" ref="O258:O321" si="24">C258</f>
        <v>Rio De Janeiro</v>
      </c>
    </row>
    <row r="259" spans="1:15" x14ac:dyDescent="0.3">
      <c r="A259" s="10">
        <v>45689</v>
      </c>
      <c r="B259" s="9" t="s">
        <v>15</v>
      </c>
      <c r="C259" t="s">
        <v>358</v>
      </c>
      <c r="D259" s="9">
        <v>19507</v>
      </c>
      <c r="E259" s="5" t="s">
        <v>420</v>
      </c>
      <c r="F259" t="s">
        <v>208</v>
      </c>
      <c r="G259">
        <v>2898</v>
      </c>
      <c r="H259">
        <v>1152</v>
      </c>
      <c r="I259" s="8">
        <f t="shared" ref="I259:I322" si="25">H259/G259</f>
        <v>0.39751552795031053</v>
      </c>
      <c r="J259" s="17">
        <v>0.7</v>
      </c>
      <c r="K259" s="12">
        <v>13.75</v>
      </c>
      <c r="L259" s="2">
        <f t="shared" si="22"/>
        <v>876.60000000000014</v>
      </c>
      <c r="M259" s="15">
        <f t="shared" ref="M259:M322" si="26">L259*K259</f>
        <v>12053.250000000002</v>
      </c>
      <c r="N259" t="str">
        <f t="shared" si="23"/>
        <v>RJ</v>
      </c>
      <c r="O259" t="str">
        <f t="shared" si="24"/>
        <v>Rio De Janeiro</v>
      </c>
    </row>
    <row r="260" spans="1:15" x14ac:dyDescent="0.3">
      <c r="A260" s="10">
        <v>45689</v>
      </c>
      <c r="B260" s="9" t="s">
        <v>15</v>
      </c>
      <c r="C260" t="s">
        <v>358</v>
      </c>
      <c r="D260" s="9">
        <v>19714</v>
      </c>
      <c r="E260" s="5" t="s">
        <v>421</v>
      </c>
      <c r="F260" t="s">
        <v>209</v>
      </c>
      <c r="G260">
        <v>2356</v>
      </c>
      <c r="H260">
        <v>917</v>
      </c>
      <c r="I260" s="8">
        <f t="shared" si="25"/>
        <v>0.3892190152801358</v>
      </c>
      <c r="J260" s="17">
        <v>0.7</v>
      </c>
      <c r="K260" s="12">
        <v>13.75</v>
      </c>
      <c r="L260" s="2">
        <f t="shared" si="22"/>
        <v>732.2</v>
      </c>
      <c r="M260" s="15">
        <f t="shared" si="26"/>
        <v>10067.75</v>
      </c>
      <c r="N260" t="str">
        <f t="shared" si="23"/>
        <v>RJ</v>
      </c>
      <c r="O260" t="str">
        <f t="shared" si="24"/>
        <v>Rio De Janeiro</v>
      </c>
    </row>
    <row r="261" spans="1:15" x14ac:dyDescent="0.3">
      <c r="A261" s="10">
        <v>45689</v>
      </c>
      <c r="B261" s="9" t="s">
        <v>3</v>
      </c>
      <c r="C261" t="s">
        <v>248</v>
      </c>
      <c r="D261" s="9">
        <v>19804</v>
      </c>
      <c r="E261" s="5" t="s">
        <v>422</v>
      </c>
      <c r="F261" t="s">
        <v>255</v>
      </c>
      <c r="G261">
        <v>1110</v>
      </c>
      <c r="H261">
        <v>519</v>
      </c>
      <c r="I261" s="8">
        <f t="shared" si="25"/>
        <v>0.46756756756756757</v>
      </c>
      <c r="J261" s="17">
        <v>0.7</v>
      </c>
      <c r="K261" s="12">
        <v>13.75</v>
      </c>
      <c r="L261" s="2">
        <f t="shared" si="22"/>
        <v>257.99999999999989</v>
      </c>
      <c r="M261" s="15">
        <f t="shared" si="26"/>
        <v>3547.4999999999986</v>
      </c>
      <c r="N261" t="str">
        <f t="shared" si="23"/>
        <v>SP</v>
      </c>
      <c r="O261" t="str">
        <f t="shared" si="24"/>
        <v>São Paulo</v>
      </c>
    </row>
    <row r="262" spans="1:15" x14ac:dyDescent="0.3">
      <c r="A262" s="10">
        <v>45689</v>
      </c>
      <c r="B262" s="9" t="s">
        <v>3</v>
      </c>
      <c r="C262" t="s">
        <v>363</v>
      </c>
      <c r="D262" s="9">
        <v>19808</v>
      </c>
      <c r="E262" s="5" t="s">
        <v>423</v>
      </c>
      <c r="F262" t="s">
        <v>243</v>
      </c>
      <c r="G262">
        <v>1258</v>
      </c>
      <c r="H262">
        <v>367</v>
      </c>
      <c r="I262" s="8">
        <f t="shared" si="25"/>
        <v>0.29173290937996821</v>
      </c>
      <c r="J262" s="17">
        <v>0.7</v>
      </c>
      <c r="K262" s="12">
        <v>13.75</v>
      </c>
      <c r="L262" s="2">
        <f t="shared" si="22"/>
        <v>513.59999999999991</v>
      </c>
      <c r="M262" s="15">
        <f t="shared" si="26"/>
        <v>7061.9999999999991</v>
      </c>
      <c r="N262" t="str">
        <f t="shared" si="23"/>
        <v>SP</v>
      </c>
      <c r="O262" t="str">
        <f t="shared" si="24"/>
        <v>São Caetano Do Sul</v>
      </c>
    </row>
    <row r="263" spans="1:15" x14ac:dyDescent="0.3">
      <c r="A263" s="10">
        <v>45689</v>
      </c>
      <c r="B263" s="9" t="s">
        <v>3</v>
      </c>
      <c r="C263" t="s">
        <v>24</v>
      </c>
      <c r="D263" s="9">
        <v>19805</v>
      </c>
      <c r="E263" s="5" t="s">
        <v>424</v>
      </c>
      <c r="F263" t="s">
        <v>25</v>
      </c>
      <c r="G263">
        <v>1528</v>
      </c>
      <c r="H263">
        <v>767</v>
      </c>
      <c r="I263" s="8">
        <f t="shared" si="25"/>
        <v>0.50196335078534027</v>
      </c>
      <c r="J263" s="17">
        <v>0.7</v>
      </c>
      <c r="K263" s="12">
        <v>13.75</v>
      </c>
      <c r="L263" s="2">
        <f t="shared" si="22"/>
        <v>302.60000000000014</v>
      </c>
      <c r="M263" s="15">
        <f t="shared" si="26"/>
        <v>4160.7500000000018</v>
      </c>
      <c r="N263" t="str">
        <f t="shared" si="23"/>
        <v>SP</v>
      </c>
      <c r="O263" t="str">
        <f t="shared" si="24"/>
        <v>Barueri</v>
      </c>
    </row>
    <row r="264" spans="1:15" x14ac:dyDescent="0.3">
      <c r="A264" s="10">
        <v>45689</v>
      </c>
      <c r="B264" s="9" t="s">
        <v>3</v>
      </c>
      <c r="C264" t="s">
        <v>248</v>
      </c>
      <c r="D264" s="9">
        <v>19821</v>
      </c>
      <c r="E264" s="5" t="s">
        <v>425</v>
      </c>
      <c r="F264" t="s">
        <v>256</v>
      </c>
      <c r="G264">
        <v>1372</v>
      </c>
      <c r="H264">
        <v>301</v>
      </c>
      <c r="I264" s="8">
        <f t="shared" si="25"/>
        <v>0.21938775510204081</v>
      </c>
      <c r="J264" s="17">
        <v>0.7</v>
      </c>
      <c r="K264" s="12">
        <v>13.75</v>
      </c>
      <c r="L264" s="2">
        <f t="shared" si="22"/>
        <v>659.4</v>
      </c>
      <c r="M264" s="15">
        <f t="shared" si="26"/>
        <v>9066.75</v>
      </c>
      <c r="N264" t="str">
        <f t="shared" si="23"/>
        <v>SP</v>
      </c>
      <c r="O264" t="str">
        <f t="shared" si="24"/>
        <v>São Paulo</v>
      </c>
    </row>
    <row r="265" spans="1:15" x14ac:dyDescent="0.3">
      <c r="A265" s="10">
        <v>45689</v>
      </c>
      <c r="B265" s="9" t="s">
        <v>3</v>
      </c>
      <c r="C265" t="s">
        <v>362</v>
      </c>
      <c r="D265" s="9">
        <v>19825</v>
      </c>
      <c r="E265" s="5" t="s">
        <v>426</v>
      </c>
      <c r="F265" t="s">
        <v>241</v>
      </c>
      <c r="G265">
        <v>1378</v>
      </c>
      <c r="H265">
        <v>451</v>
      </c>
      <c r="I265" s="8">
        <f t="shared" si="25"/>
        <v>0.32728592162554426</v>
      </c>
      <c r="J265" s="17">
        <v>0.7</v>
      </c>
      <c r="K265" s="12">
        <v>13.75</v>
      </c>
      <c r="L265" s="2">
        <f t="shared" si="22"/>
        <v>513.6</v>
      </c>
      <c r="M265" s="15">
        <f t="shared" si="26"/>
        <v>7062</v>
      </c>
      <c r="N265" t="str">
        <f t="shared" si="23"/>
        <v>SP</v>
      </c>
      <c r="O265" t="str">
        <f t="shared" si="24"/>
        <v>São Bernardo Do Campo</v>
      </c>
    </row>
    <row r="266" spans="1:15" x14ac:dyDescent="0.3">
      <c r="A266" s="10">
        <v>45689</v>
      </c>
      <c r="B266" s="9" t="s">
        <v>3</v>
      </c>
      <c r="C266" t="s">
        <v>193</v>
      </c>
      <c r="D266" s="9">
        <v>19832</v>
      </c>
      <c r="E266" s="5" t="s">
        <v>427</v>
      </c>
      <c r="F266" t="s">
        <v>194</v>
      </c>
      <c r="G266">
        <v>1498</v>
      </c>
      <c r="H266">
        <v>507</v>
      </c>
      <c r="I266" s="8">
        <f t="shared" si="25"/>
        <v>0.33845126835781042</v>
      </c>
      <c r="J266" s="17">
        <v>0.7</v>
      </c>
      <c r="K266" s="12">
        <v>13.75</v>
      </c>
      <c r="L266" s="2">
        <f t="shared" si="22"/>
        <v>541.59999999999991</v>
      </c>
      <c r="M266" s="15">
        <f t="shared" si="26"/>
        <v>7446.9999999999991</v>
      </c>
      <c r="N266" t="str">
        <f t="shared" si="23"/>
        <v>SP</v>
      </c>
      <c r="O266" t="str">
        <f t="shared" si="24"/>
        <v>Ribeirão Preto</v>
      </c>
    </row>
    <row r="267" spans="1:15" x14ac:dyDescent="0.3">
      <c r="A267" s="10">
        <v>45689</v>
      </c>
      <c r="B267" s="9" t="s">
        <v>15</v>
      </c>
      <c r="C267" t="s">
        <v>358</v>
      </c>
      <c r="D267" s="9">
        <v>19844</v>
      </c>
      <c r="E267" s="5" t="s">
        <v>428</v>
      </c>
      <c r="F267" t="s">
        <v>210</v>
      </c>
      <c r="G267">
        <v>1871</v>
      </c>
      <c r="H267">
        <v>756</v>
      </c>
      <c r="I267" s="8">
        <f t="shared" si="25"/>
        <v>0.40406199893105293</v>
      </c>
      <c r="J267" s="17">
        <v>0.7</v>
      </c>
      <c r="K267" s="12">
        <v>13.75</v>
      </c>
      <c r="L267" s="2">
        <f t="shared" si="22"/>
        <v>553.69999999999982</v>
      </c>
      <c r="M267" s="15">
        <f t="shared" si="26"/>
        <v>7613.3749999999973</v>
      </c>
      <c r="N267" t="str">
        <f t="shared" si="23"/>
        <v>RJ</v>
      </c>
      <c r="O267" t="str">
        <f t="shared" si="24"/>
        <v>Rio De Janeiro</v>
      </c>
    </row>
    <row r="268" spans="1:15" x14ac:dyDescent="0.3">
      <c r="A268" s="10">
        <v>45689</v>
      </c>
      <c r="B268" s="9" t="s">
        <v>14</v>
      </c>
      <c r="C268" t="s">
        <v>29</v>
      </c>
      <c r="D268" s="9">
        <v>19704</v>
      </c>
      <c r="E268" s="5" t="s">
        <v>429</v>
      </c>
      <c r="F268" t="s">
        <v>30</v>
      </c>
      <c r="G268">
        <v>2346</v>
      </c>
      <c r="H268">
        <v>1103</v>
      </c>
      <c r="I268" s="8">
        <f t="shared" si="25"/>
        <v>0.47016197783461211</v>
      </c>
      <c r="J268" s="17">
        <v>0.7</v>
      </c>
      <c r="K268" s="12">
        <v>13.75</v>
      </c>
      <c r="L268" s="2">
        <f t="shared" si="22"/>
        <v>539.19999999999982</v>
      </c>
      <c r="M268" s="15">
        <f t="shared" si="26"/>
        <v>7413.9999999999973</v>
      </c>
      <c r="N268" t="str">
        <f t="shared" si="23"/>
        <v>MG</v>
      </c>
      <c r="O268" t="str">
        <f t="shared" si="24"/>
        <v>Belo Horizonte</v>
      </c>
    </row>
    <row r="269" spans="1:15" x14ac:dyDescent="0.3">
      <c r="A269" s="10">
        <v>45689</v>
      </c>
      <c r="B269" s="9" t="s">
        <v>15</v>
      </c>
      <c r="C269" t="s">
        <v>358</v>
      </c>
      <c r="D269" s="9">
        <v>19512</v>
      </c>
      <c r="E269" s="5" t="s">
        <v>430</v>
      </c>
      <c r="F269" t="s">
        <v>211</v>
      </c>
      <c r="G269">
        <v>2008</v>
      </c>
      <c r="H269">
        <v>696</v>
      </c>
      <c r="I269" s="8">
        <f t="shared" si="25"/>
        <v>0.34661354581673309</v>
      </c>
      <c r="J269" s="17">
        <v>0.7</v>
      </c>
      <c r="K269" s="12">
        <v>13.75</v>
      </c>
      <c r="L269" s="2">
        <f t="shared" si="22"/>
        <v>709.59999999999991</v>
      </c>
      <c r="M269" s="15">
        <f t="shared" si="26"/>
        <v>9756.9999999999982</v>
      </c>
      <c r="N269" t="str">
        <f t="shared" si="23"/>
        <v>RJ</v>
      </c>
      <c r="O269" t="str">
        <f t="shared" si="24"/>
        <v>Rio De Janeiro</v>
      </c>
    </row>
    <row r="270" spans="1:15" x14ac:dyDescent="0.3">
      <c r="A270" s="10">
        <v>45689</v>
      </c>
      <c r="B270" s="9" t="s">
        <v>14</v>
      </c>
      <c r="C270" t="s">
        <v>29</v>
      </c>
      <c r="D270" s="9">
        <v>19562</v>
      </c>
      <c r="E270" s="5" t="s">
        <v>431</v>
      </c>
      <c r="F270" t="s">
        <v>31</v>
      </c>
      <c r="G270">
        <v>1578</v>
      </c>
      <c r="H270">
        <v>663</v>
      </c>
      <c r="I270" s="8">
        <f t="shared" si="25"/>
        <v>0.42015209125475284</v>
      </c>
      <c r="J270" s="17">
        <v>0.7</v>
      </c>
      <c r="K270" s="12">
        <v>13.75</v>
      </c>
      <c r="L270" s="2">
        <f t="shared" si="22"/>
        <v>441.59999999999991</v>
      </c>
      <c r="M270" s="15">
        <f t="shared" si="26"/>
        <v>6071.9999999999991</v>
      </c>
      <c r="N270" t="str">
        <f t="shared" si="23"/>
        <v>MG</v>
      </c>
      <c r="O270" t="str">
        <f t="shared" si="24"/>
        <v>Belo Horizonte</v>
      </c>
    </row>
    <row r="271" spans="1:15" x14ac:dyDescent="0.3">
      <c r="A271" s="10">
        <v>45689</v>
      </c>
      <c r="B271" s="9" t="s">
        <v>14</v>
      </c>
      <c r="C271" t="s">
        <v>29</v>
      </c>
      <c r="D271" s="9">
        <v>19748</v>
      </c>
      <c r="E271" s="5" t="s">
        <v>432</v>
      </c>
      <c r="F271" t="s">
        <v>32</v>
      </c>
      <c r="G271">
        <v>1708</v>
      </c>
      <c r="H271">
        <v>757</v>
      </c>
      <c r="I271" s="8">
        <f t="shared" si="25"/>
        <v>0.44320843091334894</v>
      </c>
      <c r="J271" s="17">
        <v>0.7</v>
      </c>
      <c r="K271" s="12">
        <v>13.75</v>
      </c>
      <c r="L271" s="2">
        <f t="shared" si="22"/>
        <v>438.59999999999991</v>
      </c>
      <c r="M271" s="15">
        <f t="shared" si="26"/>
        <v>6030.7499999999991</v>
      </c>
      <c r="N271" t="str">
        <f t="shared" si="23"/>
        <v>MG</v>
      </c>
      <c r="O271" t="str">
        <f t="shared" si="24"/>
        <v>Belo Horizonte</v>
      </c>
    </row>
    <row r="272" spans="1:15" x14ac:dyDescent="0.3">
      <c r="A272" s="10">
        <v>45689</v>
      </c>
      <c r="B272" s="9" t="s">
        <v>14</v>
      </c>
      <c r="C272" t="s">
        <v>29</v>
      </c>
      <c r="D272" s="9">
        <v>19561</v>
      </c>
      <c r="E272" s="5" t="s">
        <v>433</v>
      </c>
      <c r="F272" t="s">
        <v>33</v>
      </c>
      <c r="G272">
        <v>1450</v>
      </c>
      <c r="H272">
        <v>499</v>
      </c>
      <c r="I272" s="8">
        <f t="shared" si="25"/>
        <v>0.34413793103448276</v>
      </c>
      <c r="J272" s="17">
        <v>0.7</v>
      </c>
      <c r="K272" s="12">
        <v>13.75</v>
      </c>
      <c r="L272" s="2">
        <f t="shared" si="22"/>
        <v>515.99999999999989</v>
      </c>
      <c r="M272" s="15">
        <f t="shared" si="26"/>
        <v>7094.9999999999982</v>
      </c>
      <c r="N272" t="str">
        <f t="shared" si="23"/>
        <v>MG</v>
      </c>
      <c r="O272" t="str">
        <f t="shared" si="24"/>
        <v>Belo Horizonte</v>
      </c>
    </row>
    <row r="273" spans="1:15" x14ac:dyDescent="0.3">
      <c r="A273" s="10">
        <v>45689</v>
      </c>
      <c r="B273" s="9" t="s">
        <v>3</v>
      </c>
      <c r="C273" t="s">
        <v>248</v>
      </c>
      <c r="D273" s="9">
        <v>19855</v>
      </c>
      <c r="E273" s="5" t="s">
        <v>434</v>
      </c>
      <c r="F273" t="s">
        <v>257</v>
      </c>
      <c r="G273">
        <v>1225</v>
      </c>
      <c r="H273">
        <v>424</v>
      </c>
      <c r="I273" s="8">
        <f t="shared" si="25"/>
        <v>0.34612244897959182</v>
      </c>
      <c r="J273" s="17">
        <v>0.7</v>
      </c>
      <c r="K273" s="12">
        <v>13.75</v>
      </c>
      <c r="L273" s="2">
        <f t="shared" si="22"/>
        <v>433.49999999999989</v>
      </c>
      <c r="M273" s="15">
        <f t="shared" si="26"/>
        <v>5960.6249999999982</v>
      </c>
      <c r="N273" t="str">
        <f t="shared" si="23"/>
        <v>SP</v>
      </c>
      <c r="O273" t="str">
        <f t="shared" si="24"/>
        <v>São Paulo</v>
      </c>
    </row>
    <row r="274" spans="1:15" x14ac:dyDescent="0.3">
      <c r="A274" s="10">
        <v>45689</v>
      </c>
      <c r="B274" s="9" t="s">
        <v>14</v>
      </c>
      <c r="C274" t="s">
        <v>29</v>
      </c>
      <c r="D274" s="9">
        <v>19560</v>
      </c>
      <c r="E274" s="5" t="s">
        <v>435</v>
      </c>
      <c r="F274" t="s">
        <v>34</v>
      </c>
      <c r="G274">
        <v>3163</v>
      </c>
      <c r="H274">
        <v>1521</v>
      </c>
      <c r="I274" s="8">
        <f t="shared" si="25"/>
        <v>0.48087258931394244</v>
      </c>
      <c r="J274" s="17">
        <v>0.7</v>
      </c>
      <c r="K274" s="12">
        <v>13.75</v>
      </c>
      <c r="L274" s="2">
        <f t="shared" si="22"/>
        <v>693.10000000000036</v>
      </c>
      <c r="M274" s="15">
        <f t="shared" si="26"/>
        <v>9530.1250000000055</v>
      </c>
      <c r="N274" t="str">
        <f t="shared" si="23"/>
        <v>MG</v>
      </c>
      <c r="O274" t="str">
        <f t="shared" si="24"/>
        <v>Belo Horizonte</v>
      </c>
    </row>
    <row r="275" spans="1:15" x14ac:dyDescent="0.3">
      <c r="A275" s="10">
        <v>45689</v>
      </c>
      <c r="B275" s="9" t="s">
        <v>3</v>
      </c>
      <c r="C275" t="s">
        <v>248</v>
      </c>
      <c r="D275" s="9">
        <v>19859</v>
      </c>
      <c r="E275" s="5" t="s">
        <v>436</v>
      </c>
      <c r="F275" t="s">
        <v>258</v>
      </c>
      <c r="G275">
        <v>1927</v>
      </c>
      <c r="H275">
        <v>585</v>
      </c>
      <c r="I275" s="8">
        <f t="shared" si="25"/>
        <v>0.30358069538142191</v>
      </c>
      <c r="J275" s="17">
        <v>0.7</v>
      </c>
      <c r="K275" s="12">
        <v>13.75</v>
      </c>
      <c r="L275" s="2">
        <f t="shared" si="22"/>
        <v>763.89999999999986</v>
      </c>
      <c r="M275" s="15">
        <f t="shared" si="26"/>
        <v>10503.624999999998</v>
      </c>
      <c r="N275" t="str">
        <f t="shared" si="23"/>
        <v>SP</v>
      </c>
      <c r="O275" t="str">
        <f t="shared" si="24"/>
        <v>São Paulo</v>
      </c>
    </row>
    <row r="276" spans="1:15" x14ac:dyDescent="0.3">
      <c r="A276" s="10">
        <v>45689</v>
      </c>
      <c r="B276" s="9" t="s">
        <v>14</v>
      </c>
      <c r="C276" t="s">
        <v>29</v>
      </c>
      <c r="D276" s="9">
        <v>19780</v>
      </c>
      <c r="E276" s="5" t="s">
        <v>437</v>
      </c>
      <c r="F276" t="s">
        <v>35</v>
      </c>
      <c r="G276">
        <v>1182</v>
      </c>
      <c r="H276">
        <v>633</v>
      </c>
      <c r="I276" s="8">
        <f t="shared" si="25"/>
        <v>0.53553299492385786</v>
      </c>
      <c r="J276" s="17">
        <v>0.7</v>
      </c>
      <c r="K276" s="12">
        <v>13.75</v>
      </c>
      <c r="L276" s="2">
        <f t="shared" si="22"/>
        <v>194.39999999999998</v>
      </c>
      <c r="M276" s="15">
        <f t="shared" si="26"/>
        <v>2672.9999999999995</v>
      </c>
      <c r="N276" t="str">
        <f t="shared" si="23"/>
        <v>MG</v>
      </c>
      <c r="O276" t="str">
        <f t="shared" si="24"/>
        <v>Belo Horizonte</v>
      </c>
    </row>
    <row r="277" spans="1:15" x14ac:dyDescent="0.3">
      <c r="A277" s="10">
        <v>45689</v>
      </c>
      <c r="B277" s="9" t="s">
        <v>3</v>
      </c>
      <c r="C277" t="s">
        <v>361</v>
      </c>
      <c r="D277" s="9">
        <v>19847</v>
      </c>
      <c r="E277" s="5" t="s">
        <v>438</v>
      </c>
      <c r="F277" t="s">
        <v>238</v>
      </c>
      <c r="G277">
        <v>1814</v>
      </c>
      <c r="H277">
        <v>589</v>
      </c>
      <c r="I277" s="8">
        <f t="shared" si="25"/>
        <v>0.32469680264608602</v>
      </c>
      <c r="J277" s="17">
        <v>0.7</v>
      </c>
      <c r="K277" s="12">
        <v>13.75</v>
      </c>
      <c r="L277" s="2">
        <f t="shared" si="22"/>
        <v>680.79999999999973</v>
      </c>
      <c r="M277" s="15">
        <f t="shared" si="26"/>
        <v>9360.9999999999964</v>
      </c>
      <c r="N277" t="str">
        <f t="shared" si="23"/>
        <v>SP</v>
      </c>
      <c r="O277" t="str">
        <f t="shared" si="24"/>
        <v>Santo André</v>
      </c>
    </row>
    <row r="278" spans="1:15" x14ac:dyDescent="0.3">
      <c r="A278" s="10">
        <v>45689</v>
      </c>
      <c r="B278" s="9" t="s">
        <v>3</v>
      </c>
      <c r="C278" t="s">
        <v>110</v>
      </c>
      <c r="D278" s="9">
        <v>19884</v>
      </c>
      <c r="E278" s="5" t="s">
        <v>439</v>
      </c>
      <c r="F278" t="s">
        <v>111</v>
      </c>
      <c r="G278">
        <v>1993</v>
      </c>
      <c r="H278">
        <v>645</v>
      </c>
      <c r="I278" s="8">
        <f t="shared" si="25"/>
        <v>0.32363271450075265</v>
      </c>
      <c r="J278" s="17">
        <v>0.7</v>
      </c>
      <c r="K278" s="12">
        <v>13.75</v>
      </c>
      <c r="L278" s="2">
        <f t="shared" si="22"/>
        <v>750.09999999999968</v>
      </c>
      <c r="M278" s="15">
        <f t="shared" si="26"/>
        <v>10313.874999999996</v>
      </c>
      <c r="N278" t="str">
        <f t="shared" si="23"/>
        <v>SP</v>
      </c>
      <c r="O278" t="str">
        <f t="shared" si="24"/>
        <v>Guarulhos</v>
      </c>
    </row>
    <row r="279" spans="1:15" x14ac:dyDescent="0.3">
      <c r="A279" s="10">
        <v>45689</v>
      </c>
      <c r="B279" s="9" t="s">
        <v>3</v>
      </c>
      <c r="C279" t="s">
        <v>108</v>
      </c>
      <c r="D279" s="9">
        <v>19877</v>
      </c>
      <c r="E279" s="5" t="s">
        <v>440</v>
      </c>
      <c r="F279" t="s">
        <v>109</v>
      </c>
      <c r="G279">
        <v>2356</v>
      </c>
      <c r="H279">
        <v>886</v>
      </c>
      <c r="I279" s="8">
        <f t="shared" si="25"/>
        <v>0.37606112054329371</v>
      </c>
      <c r="J279" s="17">
        <v>0.7</v>
      </c>
      <c r="K279" s="12">
        <v>13.75</v>
      </c>
      <c r="L279" s="2">
        <f t="shared" si="22"/>
        <v>763.19999999999982</v>
      </c>
      <c r="M279" s="15">
        <f t="shared" si="26"/>
        <v>10493.999999999998</v>
      </c>
      <c r="N279" t="str">
        <f t="shared" si="23"/>
        <v>SP</v>
      </c>
      <c r="O279" t="str">
        <f t="shared" si="24"/>
        <v>Guarujá</v>
      </c>
    </row>
    <row r="280" spans="1:15" x14ac:dyDescent="0.3">
      <c r="A280" s="10">
        <v>45689</v>
      </c>
      <c r="B280" s="9" t="s">
        <v>3</v>
      </c>
      <c r="C280" t="s">
        <v>248</v>
      </c>
      <c r="D280" s="9">
        <v>19890</v>
      </c>
      <c r="E280" s="5" t="s">
        <v>441</v>
      </c>
      <c r="F280" t="s">
        <v>259</v>
      </c>
      <c r="G280">
        <v>974</v>
      </c>
      <c r="H280">
        <v>327</v>
      </c>
      <c r="I280" s="8">
        <f t="shared" si="25"/>
        <v>0.33572895277207393</v>
      </c>
      <c r="J280" s="17">
        <v>0.7</v>
      </c>
      <c r="K280" s="12">
        <v>13.75</v>
      </c>
      <c r="L280" s="2">
        <f t="shared" si="22"/>
        <v>354.79999999999995</v>
      </c>
      <c r="M280" s="15">
        <f t="shared" si="26"/>
        <v>4878.4999999999991</v>
      </c>
      <c r="N280" t="str">
        <f t="shared" si="23"/>
        <v>SP</v>
      </c>
      <c r="O280" t="str">
        <f t="shared" si="24"/>
        <v>São Paulo</v>
      </c>
    </row>
    <row r="281" spans="1:15" x14ac:dyDescent="0.3">
      <c r="A281" s="10">
        <v>45689</v>
      </c>
      <c r="B281" s="9" t="s">
        <v>3</v>
      </c>
      <c r="C281" t="s">
        <v>248</v>
      </c>
      <c r="D281" s="9">
        <v>19891</v>
      </c>
      <c r="E281" s="5" t="s">
        <v>442</v>
      </c>
      <c r="F281" t="s">
        <v>260</v>
      </c>
      <c r="G281">
        <v>1221</v>
      </c>
      <c r="H281">
        <v>560</v>
      </c>
      <c r="I281" s="8">
        <f t="shared" si="25"/>
        <v>0.45864045864045866</v>
      </c>
      <c r="J281" s="17">
        <v>0.7</v>
      </c>
      <c r="K281" s="12">
        <v>13.75</v>
      </c>
      <c r="L281" s="2">
        <f t="shared" si="22"/>
        <v>294.69999999999993</v>
      </c>
      <c r="M281" s="15">
        <f t="shared" si="26"/>
        <v>4052.1249999999991</v>
      </c>
      <c r="N281" t="str">
        <f t="shared" si="23"/>
        <v>SP</v>
      </c>
      <c r="O281" t="str">
        <f t="shared" si="24"/>
        <v>São Paulo</v>
      </c>
    </row>
    <row r="282" spans="1:15" x14ac:dyDescent="0.3">
      <c r="A282" s="10">
        <v>45689</v>
      </c>
      <c r="B282" s="9" t="s">
        <v>3</v>
      </c>
      <c r="C282" t="s">
        <v>239</v>
      </c>
      <c r="D282" s="9">
        <v>19708</v>
      </c>
      <c r="E282" s="5" t="s">
        <v>443</v>
      </c>
      <c r="F282" t="s">
        <v>240</v>
      </c>
      <c r="G282">
        <v>2313</v>
      </c>
      <c r="H282">
        <v>829</v>
      </c>
      <c r="I282" s="8">
        <f t="shared" si="25"/>
        <v>0.35840899265023779</v>
      </c>
      <c r="J282" s="17">
        <v>0.7</v>
      </c>
      <c r="K282" s="12">
        <v>13.75</v>
      </c>
      <c r="L282" s="2">
        <f t="shared" si="22"/>
        <v>790.09999999999991</v>
      </c>
      <c r="M282" s="15">
        <f t="shared" si="26"/>
        <v>10863.874999999998</v>
      </c>
      <c r="N282" t="str">
        <f t="shared" si="23"/>
        <v>SP</v>
      </c>
      <c r="O282" t="str">
        <f t="shared" si="24"/>
        <v>Santos</v>
      </c>
    </row>
    <row r="283" spans="1:15" x14ac:dyDescent="0.3">
      <c r="A283" s="10">
        <v>45689</v>
      </c>
      <c r="B283" s="9" t="s">
        <v>15</v>
      </c>
      <c r="C283" t="s">
        <v>358</v>
      </c>
      <c r="D283" s="9">
        <v>19508</v>
      </c>
      <c r="E283" s="5" t="s">
        <v>444</v>
      </c>
      <c r="F283" t="s">
        <v>212</v>
      </c>
      <c r="G283">
        <v>3180</v>
      </c>
      <c r="H283">
        <v>1526</v>
      </c>
      <c r="I283" s="8">
        <f t="shared" si="25"/>
        <v>0.47987421383647799</v>
      </c>
      <c r="J283" s="17">
        <v>0.7</v>
      </c>
      <c r="K283" s="12">
        <v>13.75</v>
      </c>
      <c r="L283" s="2">
        <f t="shared" si="22"/>
        <v>700</v>
      </c>
      <c r="M283" s="15">
        <f t="shared" si="26"/>
        <v>9625</v>
      </c>
      <c r="N283" t="str">
        <f t="shared" si="23"/>
        <v>RJ</v>
      </c>
      <c r="O283" t="str">
        <f t="shared" si="24"/>
        <v>Rio De Janeiro</v>
      </c>
    </row>
    <row r="284" spans="1:15" x14ac:dyDescent="0.3">
      <c r="A284" s="10">
        <v>45689</v>
      </c>
      <c r="B284" s="9" t="s">
        <v>3</v>
      </c>
      <c r="C284" t="s">
        <v>362</v>
      </c>
      <c r="D284" s="9">
        <v>19820</v>
      </c>
      <c r="E284" s="5" t="s">
        <v>445</v>
      </c>
      <c r="F284" t="s">
        <v>242</v>
      </c>
      <c r="G284">
        <v>1149</v>
      </c>
      <c r="H284">
        <v>374</v>
      </c>
      <c r="I284" s="8">
        <f t="shared" si="25"/>
        <v>0.32550043516100957</v>
      </c>
      <c r="J284" s="17">
        <v>0.7</v>
      </c>
      <c r="K284" s="12">
        <v>13.75</v>
      </c>
      <c r="L284" s="2">
        <f t="shared" si="22"/>
        <v>430.30000000000007</v>
      </c>
      <c r="M284" s="15">
        <f t="shared" si="26"/>
        <v>5916.6250000000009</v>
      </c>
      <c r="N284" t="str">
        <f t="shared" si="23"/>
        <v>SP</v>
      </c>
      <c r="O284" t="str">
        <f t="shared" si="24"/>
        <v>São Bernardo Do Campo</v>
      </c>
    </row>
    <row r="285" spans="1:15" x14ac:dyDescent="0.3">
      <c r="A285" s="10">
        <v>45689</v>
      </c>
      <c r="B285" s="9" t="s">
        <v>15</v>
      </c>
      <c r="C285" t="s">
        <v>358</v>
      </c>
      <c r="D285" s="9">
        <v>19894</v>
      </c>
      <c r="E285" s="5" t="s">
        <v>446</v>
      </c>
      <c r="F285" t="s">
        <v>213</v>
      </c>
      <c r="G285">
        <v>1928</v>
      </c>
      <c r="H285">
        <v>700</v>
      </c>
      <c r="I285" s="8">
        <f t="shared" si="25"/>
        <v>0.36307053941908712</v>
      </c>
      <c r="J285" s="17">
        <v>0.7</v>
      </c>
      <c r="K285" s="12">
        <v>13.75</v>
      </c>
      <c r="L285" s="2">
        <f t="shared" si="22"/>
        <v>649.59999999999991</v>
      </c>
      <c r="M285" s="15">
        <f t="shared" si="26"/>
        <v>8931.9999999999982</v>
      </c>
      <c r="N285" t="str">
        <f t="shared" si="23"/>
        <v>RJ</v>
      </c>
      <c r="O285" t="str">
        <f t="shared" si="24"/>
        <v>Rio De Janeiro</v>
      </c>
    </row>
    <row r="286" spans="1:15" x14ac:dyDescent="0.3">
      <c r="A286" s="10">
        <v>45689</v>
      </c>
      <c r="B286" s="9" t="s">
        <v>15</v>
      </c>
      <c r="C286" t="s">
        <v>358</v>
      </c>
      <c r="D286" s="9">
        <v>19526</v>
      </c>
      <c r="E286" s="5" t="s">
        <v>447</v>
      </c>
      <c r="F286" t="s">
        <v>214</v>
      </c>
      <c r="G286">
        <v>1473</v>
      </c>
      <c r="H286">
        <v>566</v>
      </c>
      <c r="I286" s="8">
        <f t="shared" si="25"/>
        <v>0.38424983027834353</v>
      </c>
      <c r="J286" s="17">
        <v>0.7</v>
      </c>
      <c r="K286" s="12">
        <v>13.75</v>
      </c>
      <c r="L286" s="2">
        <f t="shared" si="22"/>
        <v>465.09999999999991</v>
      </c>
      <c r="M286" s="15">
        <f t="shared" si="26"/>
        <v>6395.1249999999991</v>
      </c>
      <c r="N286" t="str">
        <f t="shared" si="23"/>
        <v>RJ</v>
      </c>
      <c r="O286" t="str">
        <f t="shared" si="24"/>
        <v>Rio De Janeiro</v>
      </c>
    </row>
    <row r="287" spans="1:15" x14ac:dyDescent="0.3">
      <c r="A287" s="10">
        <v>45689</v>
      </c>
      <c r="B287" s="9" t="s">
        <v>15</v>
      </c>
      <c r="C287" t="s">
        <v>358</v>
      </c>
      <c r="D287" s="9">
        <v>19509</v>
      </c>
      <c r="E287" s="5" t="s">
        <v>448</v>
      </c>
      <c r="F287" t="s">
        <v>215</v>
      </c>
      <c r="G287">
        <v>2178</v>
      </c>
      <c r="H287">
        <v>806</v>
      </c>
      <c r="I287" s="8">
        <f t="shared" si="25"/>
        <v>0.37006427915518825</v>
      </c>
      <c r="J287" s="17">
        <v>0.7</v>
      </c>
      <c r="K287" s="12">
        <v>13.75</v>
      </c>
      <c r="L287" s="2">
        <f t="shared" si="22"/>
        <v>718.59999999999991</v>
      </c>
      <c r="M287" s="15">
        <f t="shared" si="26"/>
        <v>9880.7499999999982</v>
      </c>
      <c r="N287" t="str">
        <f t="shared" si="23"/>
        <v>RJ</v>
      </c>
      <c r="O287" t="str">
        <f t="shared" si="24"/>
        <v>Rio De Janeiro</v>
      </c>
    </row>
    <row r="288" spans="1:15" x14ac:dyDescent="0.3">
      <c r="A288" s="10">
        <v>45689</v>
      </c>
      <c r="B288" s="9" t="s">
        <v>3</v>
      </c>
      <c r="C288" t="s">
        <v>356</v>
      </c>
      <c r="D288" s="9">
        <v>19745</v>
      </c>
      <c r="E288" s="5" t="s">
        <v>449</v>
      </c>
      <c r="F288" t="s">
        <v>154</v>
      </c>
      <c r="G288">
        <v>1468</v>
      </c>
      <c r="H288">
        <v>640</v>
      </c>
      <c r="I288" s="8">
        <f t="shared" si="25"/>
        <v>0.43596730245231607</v>
      </c>
      <c r="J288" s="17">
        <v>0.7</v>
      </c>
      <c r="K288" s="12">
        <v>13.75</v>
      </c>
      <c r="L288" s="2">
        <f t="shared" si="22"/>
        <v>387.59999999999991</v>
      </c>
      <c r="M288" s="15">
        <f t="shared" si="26"/>
        <v>5329.4999999999991</v>
      </c>
      <c r="N288" t="str">
        <f t="shared" si="23"/>
        <v>SP</v>
      </c>
      <c r="O288" t="str">
        <f t="shared" si="24"/>
        <v>Osasco</v>
      </c>
    </row>
    <row r="289" spans="1:15" x14ac:dyDescent="0.3">
      <c r="A289" s="10">
        <v>45689</v>
      </c>
      <c r="B289" s="9" t="s">
        <v>3</v>
      </c>
      <c r="C289" t="s">
        <v>248</v>
      </c>
      <c r="D289" s="9">
        <v>19710</v>
      </c>
      <c r="E289" s="5" t="s">
        <v>450</v>
      </c>
      <c r="F289" t="s">
        <v>261</v>
      </c>
      <c r="G289">
        <v>1655</v>
      </c>
      <c r="H289">
        <v>741</v>
      </c>
      <c r="I289" s="8">
        <f t="shared" si="25"/>
        <v>0.44773413897280967</v>
      </c>
      <c r="J289" s="17">
        <v>0.7</v>
      </c>
      <c r="K289" s="12">
        <v>13.75</v>
      </c>
      <c r="L289" s="2">
        <f t="shared" si="22"/>
        <v>417.49999999999977</v>
      </c>
      <c r="M289" s="15">
        <f t="shared" si="26"/>
        <v>5740.6249999999973</v>
      </c>
      <c r="N289" t="str">
        <f t="shared" si="23"/>
        <v>SP</v>
      </c>
      <c r="O289" t="str">
        <f t="shared" si="24"/>
        <v>São Paulo</v>
      </c>
    </row>
    <row r="290" spans="1:15" x14ac:dyDescent="0.3">
      <c r="A290" s="10">
        <v>45689</v>
      </c>
      <c r="B290" s="9" t="s">
        <v>14</v>
      </c>
      <c r="C290" t="s">
        <v>29</v>
      </c>
      <c r="D290" s="9">
        <v>19720</v>
      </c>
      <c r="E290" s="5" t="s">
        <v>451</v>
      </c>
      <c r="F290" t="s">
        <v>36</v>
      </c>
      <c r="G290">
        <v>1084</v>
      </c>
      <c r="H290">
        <v>463</v>
      </c>
      <c r="I290" s="8">
        <f t="shared" si="25"/>
        <v>0.42712177121771217</v>
      </c>
      <c r="J290" s="17">
        <v>0.7</v>
      </c>
      <c r="K290" s="12">
        <v>13.75</v>
      </c>
      <c r="L290" s="2">
        <f t="shared" si="22"/>
        <v>295.79999999999995</v>
      </c>
      <c r="M290" s="15">
        <f t="shared" si="26"/>
        <v>4067.2499999999995</v>
      </c>
      <c r="N290" t="str">
        <f t="shared" si="23"/>
        <v>MG</v>
      </c>
      <c r="O290" t="str">
        <f t="shared" si="24"/>
        <v>Belo Horizonte</v>
      </c>
    </row>
    <row r="291" spans="1:15" x14ac:dyDescent="0.3">
      <c r="A291" s="10">
        <v>45689</v>
      </c>
      <c r="B291" s="9" t="s">
        <v>15</v>
      </c>
      <c r="C291" t="s">
        <v>358</v>
      </c>
      <c r="D291" s="9">
        <v>19635</v>
      </c>
      <c r="E291" s="5" t="s">
        <v>452</v>
      </c>
      <c r="F291" t="s">
        <v>216</v>
      </c>
      <c r="G291">
        <v>1547</v>
      </c>
      <c r="H291">
        <v>663</v>
      </c>
      <c r="I291" s="8">
        <f t="shared" si="25"/>
        <v>0.42857142857142855</v>
      </c>
      <c r="J291" s="17">
        <v>0.7</v>
      </c>
      <c r="K291" s="12">
        <v>13.75</v>
      </c>
      <c r="L291" s="2">
        <f t="shared" si="22"/>
        <v>419.90000000000009</v>
      </c>
      <c r="M291" s="15">
        <f t="shared" si="26"/>
        <v>5773.6250000000009</v>
      </c>
      <c r="N291" t="str">
        <f t="shared" si="23"/>
        <v>RJ</v>
      </c>
      <c r="O291" t="str">
        <f t="shared" si="24"/>
        <v>Rio De Janeiro</v>
      </c>
    </row>
    <row r="292" spans="1:15" x14ac:dyDescent="0.3">
      <c r="A292" s="10">
        <v>45689</v>
      </c>
      <c r="B292" s="9" t="s">
        <v>15</v>
      </c>
      <c r="C292" t="s">
        <v>358</v>
      </c>
      <c r="D292" s="9">
        <v>19665</v>
      </c>
      <c r="E292" s="5" t="s">
        <v>453</v>
      </c>
      <c r="F292" t="s">
        <v>217</v>
      </c>
      <c r="G292">
        <v>1624</v>
      </c>
      <c r="H292">
        <v>637</v>
      </c>
      <c r="I292" s="8">
        <f t="shared" si="25"/>
        <v>0.39224137931034481</v>
      </c>
      <c r="J292" s="17">
        <v>0.7</v>
      </c>
      <c r="K292" s="12">
        <v>13.75</v>
      </c>
      <c r="L292" s="2">
        <f t="shared" si="22"/>
        <v>499.79999999999995</v>
      </c>
      <c r="M292" s="15">
        <f t="shared" si="26"/>
        <v>6872.2499999999991</v>
      </c>
      <c r="N292" t="str">
        <f t="shared" si="23"/>
        <v>RJ</v>
      </c>
      <c r="O292" t="str">
        <f t="shared" si="24"/>
        <v>Rio De Janeiro</v>
      </c>
    </row>
    <row r="293" spans="1:15" x14ac:dyDescent="0.3">
      <c r="A293" s="10">
        <v>45689</v>
      </c>
      <c r="B293" s="9" t="s">
        <v>15</v>
      </c>
      <c r="C293" t="s">
        <v>358</v>
      </c>
      <c r="D293" s="9">
        <v>19504</v>
      </c>
      <c r="E293" s="5" t="s">
        <v>454</v>
      </c>
      <c r="F293" t="s">
        <v>218</v>
      </c>
      <c r="G293">
        <v>3053</v>
      </c>
      <c r="H293">
        <v>1354</v>
      </c>
      <c r="I293" s="8">
        <f t="shared" si="25"/>
        <v>0.44349819849328531</v>
      </c>
      <c r="J293" s="17">
        <v>0.7</v>
      </c>
      <c r="K293" s="12">
        <v>13.75</v>
      </c>
      <c r="L293" s="2">
        <f t="shared" si="22"/>
        <v>783.09999999999991</v>
      </c>
      <c r="M293" s="15">
        <f t="shared" si="26"/>
        <v>10767.624999999998</v>
      </c>
      <c r="N293" t="str">
        <f t="shared" si="23"/>
        <v>RJ</v>
      </c>
      <c r="O293" t="str">
        <f t="shared" si="24"/>
        <v>Rio De Janeiro</v>
      </c>
    </row>
    <row r="294" spans="1:15" x14ac:dyDescent="0.3">
      <c r="A294" s="10">
        <v>45689</v>
      </c>
      <c r="B294" s="9" t="s">
        <v>15</v>
      </c>
      <c r="C294" t="s">
        <v>358</v>
      </c>
      <c r="D294" s="9">
        <v>19511</v>
      </c>
      <c r="E294" s="5" t="s">
        <v>455</v>
      </c>
      <c r="F294" t="s">
        <v>219</v>
      </c>
      <c r="G294">
        <v>2629</v>
      </c>
      <c r="H294">
        <v>937</v>
      </c>
      <c r="I294" s="8">
        <f t="shared" si="25"/>
        <v>0.35640928109547354</v>
      </c>
      <c r="J294" s="17">
        <v>0.7</v>
      </c>
      <c r="K294" s="12">
        <v>13.75</v>
      </c>
      <c r="L294" s="2">
        <f t="shared" si="22"/>
        <v>903.3</v>
      </c>
      <c r="M294" s="15">
        <f t="shared" si="26"/>
        <v>12420.375</v>
      </c>
      <c r="N294" t="str">
        <f t="shared" si="23"/>
        <v>RJ</v>
      </c>
      <c r="O294" t="str">
        <f t="shared" si="24"/>
        <v>Rio De Janeiro</v>
      </c>
    </row>
    <row r="295" spans="1:15" x14ac:dyDescent="0.3">
      <c r="A295" s="10">
        <v>45689</v>
      </c>
      <c r="B295" s="9" t="s">
        <v>14</v>
      </c>
      <c r="C295" t="s">
        <v>285</v>
      </c>
      <c r="D295" s="9">
        <v>19698</v>
      </c>
      <c r="E295" s="5" t="s">
        <v>456</v>
      </c>
      <c r="F295" t="s">
        <v>331</v>
      </c>
      <c r="G295">
        <v>1967</v>
      </c>
      <c r="H295">
        <v>742</v>
      </c>
      <c r="I295" s="8">
        <f t="shared" si="25"/>
        <v>0.37722419928825623</v>
      </c>
      <c r="J295" s="17">
        <v>0.7</v>
      </c>
      <c r="K295" s="12">
        <v>13.75</v>
      </c>
      <c r="L295" s="2">
        <f t="shared" si="22"/>
        <v>634.89999999999986</v>
      </c>
      <c r="M295" s="15">
        <f t="shared" si="26"/>
        <v>8729.8749999999982</v>
      </c>
      <c r="N295" t="str">
        <f t="shared" si="23"/>
        <v>MG</v>
      </c>
      <c r="O295" t="str">
        <f t="shared" si="24"/>
        <v>Uberlândia</v>
      </c>
    </row>
    <row r="296" spans="1:15" x14ac:dyDescent="0.3">
      <c r="A296" s="10">
        <v>45689</v>
      </c>
      <c r="B296" s="9" t="s">
        <v>15</v>
      </c>
      <c r="C296" t="s">
        <v>358</v>
      </c>
      <c r="D296" s="9">
        <v>19506</v>
      </c>
      <c r="E296" s="5" t="s">
        <v>457</v>
      </c>
      <c r="F296" t="s">
        <v>220</v>
      </c>
      <c r="G296">
        <v>2337</v>
      </c>
      <c r="H296">
        <v>813</v>
      </c>
      <c r="I296" s="8">
        <f t="shared" si="25"/>
        <v>0.34788189987163032</v>
      </c>
      <c r="J296" s="17">
        <v>0.7</v>
      </c>
      <c r="K296" s="12">
        <v>13.75</v>
      </c>
      <c r="L296" s="2">
        <f t="shared" si="22"/>
        <v>822.89999999999964</v>
      </c>
      <c r="M296" s="15">
        <f t="shared" si="26"/>
        <v>11314.874999999995</v>
      </c>
      <c r="N296" t="str">
        <f t="shared" si="23"/>
        <v>RJ</v>
      </c>
      <c r="O296" t="str">
        <f t="shared" si="24"/>
        <v>Rio De Janeiro</v>
      </c>
    </row>
    <row r="297" spans="1:15" x14ac:dyDescent="0.3">
      <c r="A297" s="10">
        <v>45689</v>
      </c>
      <c r="B297" s="9" t="s">
        <v>7</v>
      </c>
      <c r="C297" t="s">
        <v>8</v>
      </c>
      <c r="D297" s="9">
        <v>19700</v>
      </c>
      <c r="E297" s="5" t="s">
        <v>458</v>
      </c>
      <c r="F297" t="s">
        <v>9</v>
      </c>
      <c r="G297">
        <v>1681</v>
      </c>
      <c r="H297">
        <v>691</v>
      </c>
      <c r="I297" s="8">
        <f t="shared" si="25"/>
        <v>0.41106484235574065</v>
      </c>
      <c r="J297" s="17">
        <v>0.7</v>
      </c>
      <c r="K297" s="12">
        <v>13.75</v>
      </c>
      <c r="L297" s="2">
        <f t="shared" si="22"/>
        <v>485.69999999999982</v>
      </c>
      <c r="M297" s="15">
        <f t="shared" si="26"/>
        <v>6678.3749999999973</v>
      </c>
      <c r="N297" t="str">
        <f t="shared" si="23"/>
        <v>GO</v>
      </c>
      <c r="O297" t="str">
        <f t="shared" si="24"/>
        <v>Anápolis</v>
      </c>
    </row>
    <row r="298" spans="1:15" x14ac:dyDescent="0.3">
      <c r="A298" s="10">
        <v>45689</v>
      </c>
      <c r="B298" s="9" t="s">
        <v>14</v>
      </c>
      <c r="C298" t="s">
        <v>29</v>
      </c>
      <c r="D298" s="9">
        <v>19697</v>
      </c>
      <c r="E298" s="5" t="s">
        <v>459</v>
      </c>
      <c r="F298" t="s">
        <v>37</v>
      </c>
      <c r="G298">
        <v>2157</v>
      </c>
      <c r="H298">
        <v>943</v>
      </c>
      <c r="I298" s="8">
        <f t="shared" si="25"/>
        <v>0.43718127028280018</v>
      </c>
      <c r="J298" s="17">
        <v>0.7</v>
      </c>
      <c r="K298" s="12">
        <v>13.75</v>
      </c>
      <c r="L298" s="2">
        <f t="shared" si="22"/>
        <v>566.89999999999986</v>
      </c>
      <c r="M298" s="15">
        <f t="shared" si="26"/>
        <v>7794.8749999999982</v>
      </c>
      <c r="N298" t="str">
        <f t="shared" si="23"/>
        <v>MG</v>
      </c>
      <c r="O298" t="str">
        <f t="shared" si="24"/>
        <v>Belo Horizonte</v>
      </c>
    </row>
    <row r="299" spans="1:15" x14ac:dyDescent="0.3">
      <c r="A299" s="10">
        <v>45689</v>
      </c>
      <c r="B299" s="9" t="s">
        <v>46</v>
      </c>
      <c r="C299" t="s">
        <v>47</v>
      </c>
      <c r="D299" s="9">
        <v>19722</v>
      </c>
      <c r="E299" s="5" t="s">
        <v>460</v>
      </c>
      <c r="F299" t="s">
        <v>52</v>
      </c>
      <c r="G299">
        <v>1266</v>
      </c>
      <c r="H299">
        <v>341</v>
      </c>
      <c r="I299" s="8">
        <f t="shared" si="25"/>
        <v>0.26935229067930488</v>
      </c>
      <c r="J299" s="17">
        <v>0.7</v>
      </c>
      <c r="K299" s="12">
        <v>13.75</v>
      </c>
      <c r="L299" s="2">
        <f t="shared" si="22"/>
        <v>545.20000000000005</v>
      </c>
      <c r="M299" s="15">
        <f t="shared" si="26"/>
        <v>7496.5000000000009</v>
      </c>
      <c r="N299" t="str">
        <f t="shared" si="23"/>
        <v>DF</v>
      </c>
      <c r="O299" t="str">
        <f t="shared" si="24"/>
        <v>Brasília</v>
      </c>
    </row>
    <row r="300" spans="1:15" x14ac:dyDescent="0.3">
      <c r="A300" s="10">
        <v>45689</v>
      </c>
      <c r="B300" s="9" t="s">
        <v>3</v>
      </c>
      <c r="C300" t="s">
        <v>248</v>
      </c>
      <c r="D300" s="9">
        <v>19716</v>
      </c>
      <c r="E300" s="5" t="s">
        <v>461</v>
      </c>
      <c r="F300" t="s">
        <v>262</v>
      </c>
      <c r="G300">
        <v>1547</v>
      </c>
      <c r="H300">
        <v>651</v>
      </c>
      <c r="I300" s="8">
        <f t="shared" si="25"/>
        <v>0.42081447963800905</v>
      </c>
      <c r="J300" s="17">
        <v>0.7</v>
      </c>
      <c r="K300" s="12">
        <v>13.75</v>
      </c>
      <c r="L300" s="2">
        <f t="shared" si="22"/>
        <v>431.89999999999986</v>
      </c>
      <c r="M300" s="15">
        <f t="shared" si="26"/>
        <v>5938.6249999999982</v>
      </c>
      <c r="N300" t="str">
        <f t="shared" si="23"/>
        <v>SP</v>
      </c>
      <c r="O300" t="str">
        <f t="shared" si="24"/>
        <v>São Paulo</v>
      </c>
    </row>
    <row r="301" spans="1:15" x14ac:dyDescent="0.3">
      <c r="A301" s="10">
        <v>45689</v>
      </c>
      <c r="B301" s="9" t="s">
        <v>3</v>
      </c>
      <c r="C301" t="s">
        <v>17</v>
      </c>
      <c r="D301" s="9">
        <v>19715</v>
      </c>
      <c r="E301" s="5" t="s">
        <v>462</v>
      </c>
      <c r="F301" t="s">
        <v>18</v>
      </c>
      <c r="G301">
        <v>1709</v>
      </c>
      <c r="H301">
        <v>957</v>
      </c>
      <c r="I301" s="8">
        <f t="shared" si="25"/>
        <v>0.55997659449970738</v>
      </c>
      <c r="J301" s="17">
        <v>0.7</v>
      </c>
      <c r="K301" s="12">
        <v>13.75</v>
      </c>
      <c r="L301" s="2">
        <f t="shared" si="22"/>
        <v>239.29999999999995</v>
      </c>
      <c r="M301" s="15">
        <f t="shared" si="26"/>
        <v>3290.3749999999995</v>
      </c>
      <c r="N301" t="str">
        <f t="shared" si="23"/>
        <v>SP</v>
      </c>
      <c r="O301" t="str">
        <f t="shared" si="24"/>
        <v>Atibaia</v>
      </c>
    </row>
    <row r="302" spans="1:15" x14ac:dyDescent="0.3">
      <c r="A302" s="10">
        <v>45689</v>
      </c>
      <c r="B302" s="9" t="s">
        <v>46</v>
      </c>
      <c r="C302" t="s">
        <v>47</v>
      </c>
      <c r="D302" s="9">
        <v>19550</v>
      </c>
      <c r="E302" s="5" t="s">
        <v>463</v>
      </c>
      <c r="F302" t="s">
        <v>342</v>
      </c>
      <c r="G302">
        <v>2287</v>
      </c>
      <c r="H302">
        <v>1052</v>
      </c>
      <c r="I302" s="8">
        <f t="shared" si="25"/>
        <v>0.45999125491910803</v>
      </c>
      <c r="J302" s="17">
        <v>0.7</v>
      </c>
      <c r="K302" s="12">
        <v>13.75</v>
      </c>
      <c r="L302" s="2">
        <f t="shared" si="22"/>
        <v>548.89999999999986</v>
      </c>
      <c r="M302" s="15">
        <f t="shared" si="26"/>
        <v>7547.3749999999982</v>
      </c>
      <c r="N302" t="str">
        <f t="shared" si="23"/>
        <v>DF</v>
      </c>
      <c r="O302" t="str">
        <f t="shared" si="24"/>
        <v>Brasília</v>
      </c>
    </row>
    <row r="303" spans="1:15" x14ac:dyDescent="0.3">
      <c r="A303" s="10">
        <v>45689</v>
      </c>
      <c r="B303" s="9" t="s">
        <v>21</v>
      </c>
      <c r="C303" t="s">
        <v>368</v>
      </c>
      <c r="D303" s="9">
        <v>19736</v>
      </c>
      <c r="E303" s="5" t="s">
        <v>464</v>
      </c>
      <c r="F303" t="s">
        <v>295</v>
      </c>
      <c r="G303">
        <v>3042</v>
      </c>
      <c r="H303">
        <v>1146</v>
      </c>
      <c r="I303" s="8">
        <f t="shared" si="25"/>
        <v>0.37672583826429978</v>
      </c>
      <c r="J303" s="17">
        <v>0.7</v>
      </c>
      <c r="K303" s="12">
        <v>13.75</v>
      </c>
      <c r="L303" s="2">
        <f t="shared" si="22"/>
        <v>983.40000000000009</v>
      </c>
      <c r="M303" s="15">
        <f t="shared" si="26"/>
        <v>13521.750000000002</v>
      </c>
      <c r="N303" t="str">
        <f t="shared" si="23"/>
        <v>BA</v>
      </c>
      <c r="O303" t="str">
        <f t="shared" si="24"/>
        <v>Vitória Da Conquista</v>
      </c>
    </row>
    <row r="304" spans="1:15" x14ac:dyDescent="0.3">
      <c r="A304" s="10">
        <v>45689</v>
      </c>
      <c r="B304" s="9" t="s">
        <v>21</v>
      </c>
      <c r="C304" t="s">
        <v>228</v>
      </c>
      <c r="D304" s="9">
        <v>19740</v>
      </c>
      <c r="E304" s="5" t="s">
        <v>465</v>
      </c>
      <c r="F304" t="s">
        <v>229</v>
      </c>
      <c r="G304">
        <v>1791</v>
      </c>
      <c r="H304">
        <v>610</v>
      </c>
      <c r="I304" s="8">
        <f t="shared" si="25"/>
        <v>0.34059184812953658</v>
      </c>
      <c r="J304" s="17">
        <v>0.7</v>
      </c>
      <c r="K304" s="12">
        <v>13.75</v>
      </c>
      <c r="L304" s="2">
        <f t="shared" si="22"/>
        <v>643.70000000000005</v>
      </c>
      <c r="M304" s="15">
        <f t="shared" si="26"/>
        <v>8850.875</v>
      </c>
      <c r="N304" t="str">
        <f t="shared" si="23"/>
        <v>BA</v>
      </c>
      <c r="O304" t="str">
        <f t="shared" si="24"/>
        <v>Salvador</v>
      </c>
    </row>
    <row r="305" spans="1:15" x14ac:dyDescent="0.3">
      <c r="A305" s="10">
        <v>45689</v>
      </c>
      <c r="B305" s="9" t="s">
        <v>21</v>
      </c>
      <c r="C305" t="s">
        <v>352</v>
      </c>
      <c r="D305" s="9">
        <v>19738</v>
      </c>
      <c r="E305" s="5" t="s">
        <v>466</v>
      </c>
      <c r="F305" t="s">
        <v>118</v>
      </c>
      <c r="G305">
        <v>3964</v>
      </c>
      <c r="H305">
        <v>2119</v>
      </c>
      <c r="I305" s="8">
        <f t="shared" si="25"/>
        <v>0.53456104944500504</v>
      </c>
      <c r="J305" s="17">
        <v>0.7</v>
      </c>
      <c r="K305" s="12">
        <v>13.75</v>
      </c>
      <c r="L305" s="2">
        <f t="shared" si="22"/>
        <v>655.79999999999973</v>
      </c>
      <c r="M305" s="15">
        <f t="shared" si="26"/>
        <v>9017.2499999999964</v>
      </c>
      <c r="N305" t="str">
        <f t="shared" si="23"/>
        <v>BA</v>
      </c>
      <c r="O305" t="str">
        <f t="shared" si="24"/>
        <v>Lauro De Freitas</v>
      </c>
    </row>
    <row r="306" spans="1:15" x14ac:dyDescent="0.3">
      <c r="A306" s="10">
        <v>45689</v>
      </c>
      <c r="B306" s="9" t="s">
        <v>129</v>
      </c>
      <c r="C306" t="s">
        <v>130</v>
      </c>
      <c r="D306" s="9">
        <v>19742</v>
      </c>
      <c r="E306" s="5" t="s">
        <v>467</v>
      </c>
      <c r="F306" t="s">
        <v>131</v>
      </c>
      <c r="G306">
        <v>1456</v>
      </c>
      <c r="H306">
        <v>685</v>
      </c>
      <c r="I306" s="8">
        <f t="shared" si="25"/>
        <v>0.47046703296703296</v>
      </c>
      <c r="J306" s="17">
        <v>0.7</v>
      </c>
      <c r="K306" s="12">
        <v>13.75</v>
      </c>
      <c r="L306" s="2">
        <f t="shared" si="22"/>
        <v>334.19999999999993</v>
      </c>
      <c r="M306" s="15">
        <f t="shared" si="26"/>
        <v>4595.2499999999991</v>
      </c>
      <c r="N306" t="str">
        <f t="shared" si="23"/>
        <v>AM</v>
      </c>
      <c r="O306" t="str">
        <f t="shared" si="24"/>
        <v>Manaus</v>
      </c>
    </row>
    <row r="307" spans="1:15" x14ac:dyDescent="0.3">
      <c r="A307" s="10">
        <v>45689</v>
      </c>
      <c r="B307" s="9" t="s">
        <v>129</v>
      </c>
      <c r="C307" t="s">
        <v>130</v>
      </c>
      <c r="D307" s="9">
        <v>19785</v>
      </c>
      <c r="E307" s="5" t="s">
        <v>468</v>
      </c>
      <c r="F307" t="s">
        <v>132</v>
      </c>
      <c r="G307">
        <v>1556</v>
      </c>
      <c r="H307">
        <v>735</v>
      </c>
      <c r="I307" s="8">
        <f t="shared" si="25"/>
        <v>0.47236503856041129</v>
      </c>
      <c r="J307" s="17">
        <v>0.7</v>
      </c>
      <c r="K307" s="12">
        <v>13.75</v>
      </c>
      <c r="L307" s="2">
        <f t="shared" si="22"/>
        <v>354.20000000000005</v>
      </c>
      <c r="M307" s="15">
        <f t="shared" si="26"/>
        <v>4870.2500000000009</v>
      </c>
      <c r="N307" t="str">
        <f t="shared" si="23"/>
        <v>AM</v>
      </c>
      <c r="O307" t="str">
        <f t="shared" si="24"/>
        <v>Manaus</v>
      </c>
    </row>
    <row r="308" spans="1:15" x14ac:dyDescent="0.3">
      <c r="A308" s="10">
        <v>45689</v>
      </c>
      <c r="B308" s="9" t="s">
        <v>129</v>
      </c>
      <c r="C308" t="s">
        <v>130</v>
      </c>
      <c r="D308" s="9">
        <v>19843</v>
      </c>
      <c r="E308" s="5" t="s">
        <v>469</v>
      </c>
      <c r="F308" t="s">
        <v>133</v>
      </c>
      <c r="G308">
        <v>1078</v>
      </c>
      <c r="H308">
        <v>520</v>
      </c>
      <c r="I308" s="8">
        <f t="shared" si="25"/>
        <v>0.48237476808905383</v>
      </c>
      <c r="J308" s="17">
        <v>0.7</v>
      </c>
      <c r="K308" s="12">
        <v>13.75</v>
      </c>
      <c r="L308" s="2">
        <f t="shared" si="22"/>
        <v>234.59999999999991</v>
      </c>
      <c r="M308" s="15">
        <f t="shared" si="26"/>
        <v>3225.7499999999986</v>
      </c>
      <c r="N308" t="str">
        <f t="shared" si="23"/>
        <v>AM</v>
      </c>
      <c r="O308" t="str">
        <f t="shared" si="24"/>
        <v>Manaus</v>
      </c>
    </row>
    <row r="309" spans="1:15" x14ac:dyDescent="0.3">
      <c r="A309" s="10">
        <v>45689</v>
      </c>
      <c r="B309" s="9" t="s">
        <v>129</v>
      </c>
      <c r="C309" t="s">
        <v>130</v>
      </c>
      <c r="D309" s="9">
        <v>19879</v>
      </c>
      <c r="E309" s="5" t="s">
        <v>470</v>
      </c>
      <c r="F309" t="s">
        <v>134</v>
      </c>
      <c r="G309">
        <v>1488</v>
      </c>
      <c r="H309">
        <v>820</v>
      </c>
      <c r="I309" s="8">
        <f t="shared" si="25"/>
        <v>0.55107526881720426</v>
      </c>
      <c r="J309" s="17">
        <v>0.7</v>
      </c>
      <c r="K309" s="12">
        <v>13.75</v>
      </c>
      <c r="L309" s="2">
        <f t="shared" si="22"/>
        <v>221.60000000000014</v>
      </c>
      <c r="M309" s="15">
        <f t="shared" si="26"/>
        <v>3047.0000000000018</v>
      </c>
      <c r="N309" t="str">
        <f t="shared" si="23"/>
        <v>AM</v>
      </c>
      <c r="O309" t="str">
        <f t="shared" si="24"/>
        <v>Manaus</v>
      </c>
    </row>
    <row r="310" spans="1:15" x14ac:dyDescent="0.3">
      <c r="A310" s="10">
        <v>45689</v>
      </c>
      <c r="B310" s="9" t="s">
        <v>89</v>
      </c>
      <c r="C310" t="s">
        <v>346</v>
      </c>
      <c r="D310" s="9">
        <v>19735</v>
      </c>
      <c r="E310" s="5" t="s">
        <v>471</v>
      </c>
      <c r="F310" t="s">
        <v>90</v>
      </c>
      <c r="G310">
        <v>1293</v>
      </c>
      <c r="H310">
        <v>625</v>
      </c>
      <c r="I310" s="8">
        <f t="shared" si="25"/>
        <v>0.4833720030935808</v>
      </c>
      <c r="J310" s="17">
        <v>0.7</v>
      </c>
      <c r="K310" s="12">
        <v>13.75</v>
      </c>
      <c r="L310" s="2">
        <f t="shared" si="22"/>
        <v>280.10000000000002</v>
      </c>
      <c r="M310" s="15">
        <f t="shared" si="26"/>
        <v>3851.3750000000005</v>
      </c>
      <c r="N310" t="str">
        <f t="shared" si="23"/>
        <v>CE</v>
      </c>
      <c r="O310" t="str">
        <f t="shared" si="24"/>
        <v>Fortaleza</v>
      </c>
    </row>
    <row r="311" spans="1:15" x14ac:dyDescent="0.3">
      <c r="A311" s="10">
        <v>45689</v>
      </c>
      <c r="B311" s="9" t="s">
        <v>89</v>
      </c>
      <c r="C311" t="s">
        <v>346</v>
      </c>
      <c r="D311" s="9">
        <v>19607</v>
      </c>
      <c r="E311" s="5" t="s">
        <v>472</v>
      </c>
      <c r="F311" t="s">
        <v>91</v>
      </c>
      <c r="G311">
        <v>1660</v>
      </c>
      <c r="H311">
        <v>689</v>
      </c>
      <c r="I311" s="8">
        <f t="shared" si="25"/>
        <v>0.41506024096385541</v>
      </c>
      <c r="J311" s="17">
        <v>0.7</v>
      </c>
      <c r="K311" s="12">
        <v>13.75</v>
      </c>
      <c r="L311" s="2">
        <f t="shared" si="22"/>
        <v>473</v>
      </c>
      <c r="M311" s="15">
        <f t="shared" si="26"/>
        <v>6503.75</v>
      </c>
      <c r="N311" t="str">
        <f t="shared" si="23"/>
        <v>CE</v>
      </c>
      <c r="O311" t="str">
        <f t="shared" si="24"/>
        <v>Fortaleza</v>
      </c>
    </row>
    <row r="312" spans="1:15" x14ac:dyDescent="0.3">
      <c r="A312" s="10">
        <v>45689</v>
      </c>
      <c r="B312" s="9" t="s">
        <v>89</v>
      </c>
      <c r="C312" t="s">
        <v>346</v>
      </c>
      <c r="D312" s="9">
        <v>19642</v>
      </c>
      <c r="E312" s="5" t="s">
        <v>473</v>
      </c>
      <c r="F312" t="s">
        <v>92</v>
      </c>
      <c r="G312">
        <v>1484</v>
      </c>
      <c r="H312">
        <v>563</v>
      </c>
      <c r="I312" s="8">
        <f t="shared" si="25"/>
        <v>0.37938005390835577</v>
      </c>
      <c r="J312" s="17">
        <v>0.7</v>
      </c>
      <c r="K312" s="12">
        <v>13.75</v>
      </c>
      <c r="L312" s="2">
        <f t="shared" si="22"/>
        <v>475.79999999999995</v>
      </c>
      <c r="M312" s="15">
        <f t="shared" si="26"/>
        <v>6542.2499999999991</v>
      </c>
      <c r="N312" t="str">
        <f t="shared" si="23"/>
        <v>CE</v>
      </c>
      <c r="O312" t="str">
        <f t="shared" si="24"/>
        <v>Fortaleza</v>
      </c>
    </row>
    <row r="313" spans="1:15" x14ac:dyDescent="0.3">
      <c r="A313" s="10">
        <v>45689</v>
      </c>
      <c r="B313" s="9" t="s">
        <v>89</v>
      </c>
      <c r="C313" t="s">
        <v>346</v>
      </c>
      <c r="D313" s="9">
        <v>19725</v>
      </c>
      <c r="E313" s="5" t="s">
        <v>474</v>
      </c>
      <c r="F313" t="s">
        <v>93</v>
      </c>
      <c r="G313">
        <v>1099</v>
      </c>
      <c r="H313">
        <v>498</v>
      </c>
      <c r="I313" s="8">
        <f t="shared" si="25"/>
        <v>0.45313921747042768</v>
      </c>
      <c r="J313" s="17">
        <v>0.7</v>
      </c>
      <c r="K313" s="12">
        <v>13.75</v>
      </c>
      <c r="L313" s="2">
        <f t="shared" si="22"/>
        <v>271.29999999999984</v>
      </c>
      <c r="M313" s="15">
        <f t="shared" si="26"/>
        <v>3730.3749999999977</v>
      </c>
      <c r="N313" t="str">
        <f t="shared" si="23"/>
        <v>CE</v>
      </c>
      <c r="O313" t="str">
        <f t="shared" si="24"/>
        <v>Fortaleza</v>
      </c>
    </row>
    <row r="314" spans="1:15" x14ac:dyDescent="0.3">
      <c r="A314" s="10">
        <v>45689</v>
      </c>
      <c r="B314" s="9" t="s">
        <v>89</v>
      </c>
      <c r="C314" t="s">
        <v>346</v>
      </c>
      <c r="D314" s="9">
        <v>19902</v>
      </c>
      <c r="E314" s="5" t="s">
        <v>475</v>
      </c>
      <c r="F314" t="s">
        <v>94</v>
      </c>
      <c r="G314">
        <v>1332</v>
      </c>
      <c r="H314">
        <v>694</v>
      </c>
      <c r="I314" s="8">
        <f t="shared" si="25"/>
        <v>0.52102102102102099</v>
      </c>
      <c r="J314" s="17">
        <v>0.7</v>
      </c>
      <c r="K314" s="12">
        <v>13.75</v>
      </c>
      <c r="L314" s="2">
        <f t="shared" si="22"/>
        <v>238.39999999999998</v>
      </c>
      <c r="M314" s="15">
        <f t="shared" si="26"/>
        <v>3277.9999999999995</v>
      </c>
      <c r="N314" t="str">
        <f t="shared" si="23"/>
        <v>CE</v>
      </c>
      <c r="O314" t="str">
        <f t="shared" si="24"/>
        <v>Fortaleza</v>
      </c>
    </row>
    <row r="315" spans="1:15" x14ac:dyDescent="0.3">
      <c r="A315" s="10">
        <v>45689</v>
      </c>
      <c r="B315" s="9" t="s">
        <v>89</v>
      </c>
      <c r="C315" t="s">
        <v>346</v>
      </c>
      <c r="D315" s="9">
        <v>19903</v>
      </c>
      <c r="E315" s="5" t="s">
        <v>476</v>
      </c>
      <c r="F315" t="s">
        <v>95</v>
      </c>
      <c r="G315">
        <v>1066</v>
      </c>
      <c r="H315">
        <v>642</v>
      </c>
      <c r="I315" s="8">
        <f t="shared" si="25"/>
        <v>0.60225140712945591</v>
      </c>
      <c r="J315" s="17">
        <v>0.7</v>
      </c>
      <c r="K315" s="12">
        <v>13.75</v>
      </c>
      <c r="L315" s="2">
        <f t="shared" si="22"/>
        <v>104.19999999999993</v>
      </c>
      <c r="M315" s="15">
        <f t="shared" si="26"/>
        <v>1432.7499999999991</v>
      </c>
      <c r="N315" t="str">
        <f t="shared" si="23"/>
        <v>CE</v>
      </c>
      <c r="O315" t="str">
        <f t="shared" si="24"/>
        <v>Fortaleza</v>
      </c>
    </row>
    <row r="316" spans="1:15" x14ac:dyDescent="0.3">
      <c r="A316" s="10">
        <v>45689</v>
      </c>
      <c r="B316" s="9" t="s">
        <v>82</v>
      </c>
      <c r="C316" t="s">
        <v>135</v>
      </c>
      <c r="D316" s="9">
        <v>19749</v>
      </c>
      <c r="E316" s="5" t="s">
        <v>477</v>
      </c>
      <c r="F316" t="s">
        <v>136</v>
      </c>
      <c r="G316">
        <v>1347</v>
      </c>
      <c r="H316">
        <v>410</v>
      </c>
      <c r="I316" s="8">
        <f t="shared" si="25"/>
        <v>0.30438010393466963</v>
      </c>
      <c r="J316" s="17">
        <v>0.7</v>
      </c>
      <c r="K316" s="12">
        <v>13.75</v>
      </c>
      <c r="L316" s="2">
        <f t="shared" si="22"/>
        <v>532.9</v>
      </c>
      <c r="M316" s="15">
        <f t="shared" si="26"/>
        <v>7327.375</v>
      </c>
      <c r="N316" t="str">
        <f t="shared" si="23"/>
        <v>PR</v>
      </c>
      <c r="O316" t="str">
        <f t="shared" si="24"/>
        <v>Maringá</v>
      </c>
    </row>
    <row r="317" spans="1:15" x14ac:dyDescent="0.3">
      <c r="A317" s="10">
        <v>45689</v>
      </c>
      <c r="B317" s="9" t="s">
        <v>82</v>
      </c>
      <c r="C317" t="s">
        <v>83</v>
      </c>
      <c r="D317" s="9">
        <v>19545</v>
      </c>
      <c r="E317" s="5" t="s">
        <v>478</v>
      </c>
      <c r="F317" t="s">
        <v>84</v>
      </c>
      <c r="G317">
        <v>2432</v>
      </c>
      <c r="H317">
        <v>964</v>
      </c>
      <c r="I317" s="8">
        <f t="shared" si="25"/>
        <v>0.39638157894736842</v>
      </c>
      <c r="J317" s="17">
        <v>0.7</v>
      </c>
      <c r="K317" s="12">
        <v>13.75</v>
      </c>
      <c r="L317" s="2">
        <f t="shared" si="22"/>
        <v>738.39999999999986</v>
      </c>
      <c r="M317" s="15">
        <f t="shared" si="26"/>
        <v>10152.999999999998</v>
      </c>
      <c r="N317" t="str">
        <f t="shared" si="23"/>
        <v>PR</v>
      </c>
      <c r="O317" t="str">
        <f t="shared" si="24"/>
        <v>Curitiba</v>
      </c>
    </row>
    <row r="318" spans="1:15" x14ac:dyDescent="0.3">
      <c r="A318" s="10">
        <v>45689</v>
      </c>
      <c r="B318" s="9" t="s">
        <v>82</v>
      </c>
      <c r="C318" t="s">
        <v>83</v>
      </c>
      <c r="D318" s="9">
        <v>19546</v>
      </c>
      <c r="E318" s="5" t="s">
        <v>479</v>
      </c>
      <c r="F318" t="s">
        <v>85</v>
      </c>
      <c r="G318">
        <v>1733</v>
      </c>
      <c r="H318">
        <v>592</v>
      </c>
      <c r="I318" s="8">
        <f t="shared" si="25"/>
        <v>0.34160415464512406</v>
      </c>
      <c r="J318" s="17">
        <v>0.7</v>
      </c>
      <c r="K318" s="12">
        <v>13.75</v>
      </c>
      <c r="L318" s="2">
        <f t="shared" ref="L318:L326" si="27">H318*J318/I318-H318</f>
        <v>621.09999999999991</v>
      </c>
      <c r="M318" s="15">
        <f t="shared" si="26"/>
        <v>8540.1249999999982</v>
      </c>
      <c r="N318" t="str">
        <f t="shared" si="23"/>
        <v>PR</v>
      </c>
      <c r="O318" t="str">
        <f t="shared" si="24"/>
        <v>Curitiba</v>
      </c>
    </row>
    <row r="319" spans="1:15" x14ac:dyDescent="0.3">
      <c r="A319" s="10">
        <v>45689</v>
      </c>
      <c r="B319" s="9" t="s">
        <v>3</v>
      </c>
      <c r="C319" t="s">
        <v>248</v>
      </c>
      <c r="D319" s="9">
        <v>19763</v>
      </c>
      <c r="E319" s="5" t="s">
        <v>480</v>
      </c>
      <c r="F319" t="s">
        <v>263</v>
      </c>
      <c r="G319">
        <v>1121</v>
      </c>
      <c r="H319">
        <v>402</v>
      </c>
      <c r="I319" s="8">
        <f t="shared" si="25"/>
        <v>0.35860838537020517</v>
      </c>
      <c r="J319" s="17">
        <v>0.7</v>
      </c>
      <c r="K319" s="12">
        <v>13.75</v>
      </c>
      <c r="L319" s="2">
        <f t="shared" si="27"/>
        <v>382.69999999999993</v>
      </c>
      <c r="M319" s="15">
        <f t="shared" si="26"/>
        <v>5262.1249999999991</v>
      </c>
      <c r="N319" t="str">
        <f t="shared" si="23"/>
        <v>SP</v>
      </c>
      <c r="O319" t="str">
        <f t="shared" si="24"/>
        <v>São Paulo</v>
      </c>
    </row>
    <row r="320" spans="1:15" x14ac:dyDescent="0.3">
      <c r="A320" s="10">
        <v>45689</v>
      </c>
      <c r="B320" s="9" t="s">
        <v>3</v>
      </c>
      <c r="C320" t="s">
        <v>248</v>
      </c>
      <c r="D320" s="9">
        <v>19711</v>
      </c>
      <c r="E320" s="5" t="s">
        <v>481</v>
      </c>
      <c r="F320" t="s">
        <v>264</v>
      </c>
      <c r="G320">
        <v>1210</v>
      </c>
      <c r="H320">
        <v>479</v>
      </c>
      <c r="I320" s="8">
        <f t="shared" si="25"/>
        <v>0.3958677685950413</v>
      </c>
      <c r="J320" s="17">
        <v>0.7</v>
      </c>
      <c r="K320" s="12">
        <v>13.75</v>
      </c>
      <c r="L320" s="2">
        <f t="shared" si="27"/>
        <v>367.99999999999989</v>
      </c>
      <c r="M320" s="15">
        <f t="shared" si="26"/>
        <v>5059.9999999999982</v>
      </c>
      <c r="N320" t="str">
        <f t="shared" si="23"/>
        <v>SP</v>
      </c>
      <c r="O320" t="str">
        <f t="shared" si="24"/>
        <v>São Paulo</v>
      </c>
    </row>
    <row r="321" spans="1:15" x14ac:dyDescent="0.3">
      <c r="A321" s="10">
        <v>45689</v>
      </c>
      <c r="B321" s="9" t="s">
        <v>46</v>
      </c>
      <c r="C321" t="s">
        <v>47</v>
      </c>
      <c r="D321" s="9">
        <v>19755</v>
      </c>
      <c r="E321" s="5" t="s">
        <v>482</v>
      </c>
      <c r="F321" t="s">
        <v>53</v>
      </c>
      <c r="G321">
        <v>781</v>
      </c>
      <c r="H321">
        <v>355</v>
      </c>
      <c r="I321" s="8">
        <f t="shared" si="25"/>
        <v>0.45454545454545453</v>
      </c>
      <c r="J321" s="17">
        <v>0.7</v>
      </c>
      <c r="K321" s="12">
        <v>13.75</v>
      </c>
      <c r="L321" s="2">
        <f t="shared" si="27"/>
        <v>191.69999999999993</v>
      </c>
      <c r="M321" s="15">
        <f t="shared" si="26"/>
        <v>2635.8749999999991</v>
      </c>
      <c r="N321" t="str">
        <f t="shared" si="23"/>
        <v>DF</v>
      </c>
      <c r="O321" t="str">
        <f t="shared" si="24"/>
        <v>Brasília</v>
      </c>
    </row>
    <row r="322" spans="1:15" x14ac:dyDescent="0.3">
      <c r="A322" s="10">
        <v>45689</v>
      </c>
      <c r="B322" s="9" t="s">
        <v>3</v>
      </c>
      <c r="C322" t="s">
        <v>248</v>
      </c>
      <c r="D322" s="9">
        <v>19753</v>
      </c>
      <c r="E322" s="5" t="s">
        <v>483</v>
      </c>
      <c r="F322" t="s">
        <v>265</v>
      </c>
      <c r="G322">
        <v>2216</v>
      </c>
      <c r="H322">
        <v>914</v>
      </c>
      <c r="I322" s="8">
        <f t="shared" si="25"/>
        <v>0.41245487364620936</v>
      </c>
      <c r="J322" s="17">
        <v>0.7</v>
      </c>
      <c r="K322" s="12">
        <v>13.75</v>
      </c>
      <c r="L322" s="2">
        <f t="shared" si="27"/>
        <v>637.20000000000005</v>
      </c>
      <c r="M322" s="15">
        <f t="shared" si="26"/>
        <v>8761.5</v>
      </c>
      <c r="N322" t="str">
        <f t="shared" ref="N322:N385" si="28">B322</f>
        <v>SP</v>
      </c>
      <c r="O322" t="str">
        <f t="shared" ref="O322:O385" si="29">C322</f>
        <v>São Paulo</v>
      </c>
    </row>
    <row r="323" spans="1:15" x14ac:dyDescent="0.3">
      <c r="A323" s="10">
        <v>45689</v>
      </c>
      <c r="B323" s="9" t="s">
        <v>7</v>
      </c>
      <c r="C323" t="s">
        <v>99</v>
      </c>
      <c r="D323" s="9">
        <v>19754</v>
      </c>
      <c r="E323" s="5" t="s">
        <v>484</v>
      </c>
      <c r="F323" t="s">
        <v>101</v>
      </c>
      <c r="G323">
        <v>2711</v>
      </c>
      <c r="H323">
        <v>1150</v>
      </c>
      <c r="I323" s="8">
        <f t="shared" ref="I323:I386" si="30">H323/G323</f>
        <v>0.42419771302102544</v>
      </c>
      <c r="J323" s="17">
        <v>0.7</v>
      </c>
      <c r="K323" s="12">
        <v>13.75</v>
      </c>
      <c r="L323" s="2">
        <f t="shared" si="27"/>
        <v>747.7</v>
      </c>
      <c r="M323" s="15">
        <f t="shared" ref="M323:M386" si="31">L323*K323</f>
        <v>10280.875</v>
      </c>
      <c r="N323" t="str">
        <f t="shared" si="28"/>
        <v>GO</v>
      </c>
      <c r="O323" t="str">
        <f t="shared" si="29"/>
        <v>Goiânia</v>
      </c>
    </row>
    <row r="324" spans="1:15" x14ac:dyDescent="0.3">
      <c r="A324" s="10">
        <v>45689</v>
      </c>
      <c r="B324" s="9" t="s">
        <v>14</v>
      </c>
      <c r="C324" t="s">
        <v>29</v>
      </c>
      <c r="D324" s="9">
        <v>19759</v>
      </c>
      <c r="E324" s="5" t="s">
        <v>485</v>
      </c>
      <c r="F324" t="s">
        <v>38</v>
      </c>
      <c r="G324">
        <v>1626</v>
      </c>
      <c r="H324">
        <v>820</v>
      </c>
      <c r="I324" s="8">
        <f t="shared" si="30"/>
        <v>0.50430504305043056</v>
      </c>
      <c r="J324" s="17">
        <v>0.7</v>
      </c>
      <c r="K324" s="12">
        <v>13.75</v>
      </c>
      <c r="L324" s="2">
        <f t="shared" si="27"/>
        <v>318.19999999999982</v>
      </c>
      <c r="M324" s="15">
        <f t="shared" si="31"/>
        <v>4375.2499999999973</v>
      </c>
      <c r="N324" t="str">
        <f t="shared" si="28"/>
        <v>MG</v>
      </c>
      <c r="O324" t="str">
        <f t="shared" si="29"/>
        <v>Belo Horizonte</v>
      </c>
    </row>
    <row r="325" spans="1:15" x14ac:dyDescent="0.3">
      <c r="A325" s="10">
        <v>45689</v>
      </c>
      <c r="B325" s="9" t="s">
        <v>195</v>
      </c>
      <c r="C325" t="s">
        <v>196</v>
      </c>
      <c r="D325" s="9">
        <v>19762</v>
      </c>
      <c r="E325" s="5" t="s">
        <v>486</v>
      </c>
      <c r="F325" t="s">
        <v>197</v>
      </c>
      <c r="G325">
        <v>1083</v>
      </c>
      <c r="H325">
        <v>580</v>
      </c>
      <c r="I325" s="8">
        <f t="shared" si="30"/>
        <v>0.53554939981532779</v>
      </c>
      <c r="J325" s="17">
        <v>0.7</v>
      </c>
      <c r="K325" s="12">
        <v>13.75</v>
      </c>
      <c r="L325" s="2">
        <f t="shared" si="27"/>
        <v>178.10000000000002</v>
      </c>
      <c r="M325" s="15">
        <f t="shared" si="31"/>
        <v>2448.8750000000005</v>
      </c>
      <c r="N325" t="str">
        <f t="shared" si="28"/>
        <v>AC</v>
      </c>
      <c r="O325" t="str">
        <f t="shared" si="29"/>
        <v>Rio Branco</v>
      </c>
    </row>
    <row r="326" spans="1:15" x14ac:dyDescent="0.3">
      <c r="A326" s="10">
        <v>45689</v>
      </c>
      <c r="B326" s="9" t="s">
        <v>82</v>
      </c>
      <c r="C326" t="s">
        <v>349</v>
      </c>
      <c r="D326" s="9">
        <v>19772</v>
      </c>
      <c r="E326" s="5" t="s">
        <v>487</v>
      </c>
      <c r="F326" t="s">
        <v>96</v>
      </c>
      <c r="G326">
        <v>1238</v>
      </c>
      <c r="H326">
        <v>740</v>
      </c>
      <c r="I326" s="8">
        <f t="shared" si="30"/>
        <v>0.59773828756058156</v>
      </c>
      <c r="J326" s="17">
        <v>0.7</v>
      </c>
      <c r="K326" s="12">
        <v>13.75</v>
      </c>
      <c r="L326" s="2">
        <f t="shared" si="27"/>
        <v>126.60000000000002</v>
      </c>
      <c r="M326" s="15">
        <f t="shared" si="31"/>
        <v>1740.7500000000002</v>
      </c>
      <c r="N326" t="str">
        <f t="shared" si="28"/>
        <v>PR</v>
      </c>
      <c r="O326" t="str">
        <f t="shared" si="29"/>
        <v>Foz Do Iguaçu</v>
      </c>
    </row>
    <row r="327" spans="1:15" x14ac:dyDescent="0.3">
      <c r="A327" s="10">
        <v>45689</v>
      </c>
      <c r="B327" s="9" t="s">
        <v>15</v>
      </c>
      <c r="C327" t="s">
        <v>345</v>
      </c>
      <c r="D327" s="9">
        <v>19687</v>
      </c>
      <c r="E327" s="5" t="s">
        <v>488</v>
      </c>
      <c r="F327" t="s">
        <v>88</v>
      </c>
      <c r="G327">
        <v>1334</v>
      </c>
      <c r="H327">
        <v>1071</v>
      </c>
      <c r="I327" s="8">
        <f t="shared" si="30"/>
        <v>0.80284857571214396</v>
      </c>
      <c r="J327" s="17">
        <v>0.7</v>
      </c>
      <c r="K327" s="12">
        <v>13.75</v>
      </c>
      <c r="L327" s="2">
        <f>G327-H327</f>
        <v>263</v>
      </c>
      <c r="M327" s="15">
        <f t="shared" si="31"/>
        <v>3616.25</v>
      </c>
      <c r="N327" t="str">
        <f t="shared" si="28"/>
        <v>RJ</v>
      </c>
      <c r="O327" t="str">
        <f t="shared" si="29"/>
        <v>Duque De Caxias</v>
      </c>
    </row>
    <row r="328" spans="1:15" x14ac:dyDescent="0.3">
      <c r="A328" s="10">
        <v>45689</v>
      </c>
      <c r="B328" s="9" t="s">
        <v>21</v>
      </c>
      <c r="C328" t="s">
        <v>181</v>
      </c>
      <c r="D328" s="9">
        <v>19778</v>
      </c>
      <c r="E328" s="5" t="s">
        <v>489</v>
      </c>
      <c r="F328" t="s">
        <v>182</v>
      </c>
      <c r="G328">
        <v>957</v>
      </c>
      <c r="H328">
        <v>454</v>
      </c>
      <c r="I328" s="8">
        <f t="shared" si="30"/>
        <v>0.47439916405433646</v>
      </c>
      <c r="J328" s="17">
        <v>0.7</v>
      </c>
      <c r="K328" s="12">
        <v>13.75</v>
      </c>
      <c r="L328" s="2">
        <f>H328*J328/I328-H328</f>
        <v>215.89999999999986</v>
      </c>
      <c r="M328" s="15">
        <f t="shared" si="31"/>
        <v>2968.6249999999982</v>
      </c>
      <c r="N328" t="str">
        <f t="shared" si="28"/>
        <v>BA</v>
      </c>
      <c r="O328" t="str">
        <f t="shared" si="29"/>
        <v>Porto Seguro</v>
      </c>
    </row>
    <row r="329" spans="1:15" x14ac:dyDescent="0.3">
      <c r="A329" s="10">
        <v>45689</v>
      </c>
      <c r="B329" s="9" t="s">
        <v>21</v>
      </c>
      <c r="C329" t="s">
        <v>228</v>
      </c>
      <c r="D329" s="9">
        <v>19689</v>
      </c>
      <c r="E329" s="5" t="s">
        <v>490</v>
      </c>
      <c r="F329" t="s">
        <v>230</v>
      </c>
      <c r="G329">
        <v>1720</v>
      </c>
      <c r="H329">
        <v>972</v>
      </c>
      <c r="I329" s="8">
        <f t="shared" si="30"/>
        <v>0.56511627906976747</v>
      </c>
      <c r="J329" s="17">
        <v>0.7</v>
      </c>
      <c r="K329" s="12">
        <v>13.75</v>
      </c>
      <c r="L329" s="2">
        <f>H329*J329/I329-H329</f>
        <v>232</v>
      </c>
      <c r="M329" s="15">
        <f t="shared" si="31"/>
        <v>3190</v>
      </c>
      <c r="N329" t="str">
        <f t="shared" si="28"/>
        <v>BA</v>
      </c>
      <c r="O329" t="str">
        <f t="shared" si="29"/>
        <v>Salvador</v>
      </c>
    </row>
    <row r="330" spans="1:15" x14ac:dyDescent="0.3">
      <c r="A330" s="10">
        <v>45689</v>
      </c>
      <c r="B330" s="9" t="s">
        <v>21</v>
      </c>
      <c r="C330" t="s">
        <v>228</v>
      </c>
      <c r="D330" s="9">
        <v>19625</v>
      </c>
      <c r="E330" s="5" t="s">
        <v>491</v>
      </c>
      <c r="F330" t="s">
        <v>231</v>
      </c>
      <c r="G330">
        <v>2780</v>
      </c>
      <c r="H330">
        <v>1294</v>
      </c>
      <c r="I330" s="8">
        <f t="shared" si="30"/>
        <v>0.46546762589928059</v>
      </c>
      <c r="J330" s="17">
        <v>0.7</v>
      </c>
      <c r="K330" s="12">
        <v>13.75</v>
      </c>
      <c r="L330" s="2">
        <f>H330*J330/I330-H330</f>
        <v>651.99999999999977</v>
      </c>
      <c r="M330" s="15">
        <f t="shared" si="31"/>
        <v>8964.9999999999964</v>
      </c>
      <c r="N330" t="str">
        <f t="shared" si="28"/>
        <v>BA</v>
      </c>
      <c r="O330" t="str">
        <f t="shared" si="29"/>
        <v>Salvador</v>
      </c>
    </row>
    <row r="331" spans="1:15" x14ac:dyDescent="0.3">
      <c r="A331" s="10">
        <v>45689</v>
      </c>
      <c r="B331" s="9" t="s">
        <v>40</v>
      </c>
      <c r="C331" t="s">
        <v>41</v>
      </c>
      <c r="D331" s="9">
        <v>19787</v>
      </c>
      <c r="E331" s="5" t="s">
        <v>492</v>
      </c>
      <c r="F331" t="s">
        <v>42</v>
      </c>
      <c r="G331">
        <v>341</v>
      </c>
      <c r="H331">
        <v>90</v>
      </c>
      <c r="I331" s="8">
        <f t="shared" si="30"/>
        <v>0.26392961876832843</v>
      </c>
      <c r="J331" s="17">
        <v>0.7</v>
      </c>
      <c r="K331" s="12">
        <v>13.75</v>
      </c>
      <c r="L331" s="2">
        <f>H331*J331/I331-H331</f>
        <v>148.69999999999999</v>
      </c>
      <c r="M331" s="15">
        <f t="shared" si="31"/>
        <v>2044.6249999999998</v>
      </c>
      <c r="N331" t="str">
        <f t="shared" si="28"/>
        <v>RR</v>
      </c>
      <c r="O331" t="str">
        <f t="shared" si="29"/>
        <v>Boa Vista</v>
      </c>
    </row>
    <row r="332" spans="1:15" x14ac:dyDescent="0.3">
      <c r="A332" s="10">
        <v>45689</v>
      </c>
      <c r="B332" s="9" t="s">
        <v>40</v>
      </c>
      <c r="C332" t="s">
        <v>41</v>
      </c>
      <c r="D332" s="9">
        <v>19868</v>
      </c>
      <c r="E332" s="5" t="s">
        <v>493</v>
      </c>
      <c r="F332" t="s">
        <v>43</v>
      </c>
      <c r="G332">
        <v>926</v>
      </c>
      <c r="H332">
        <v>816</v>
      </c>
      <c r="I332" s="8">
        <f t="shared" si="30"/>
        <v>0.88120950323974079</v>
      </c>
      <c r="J332" s="17">
        <v>0.7</v>
      </c>
      <c r="K332" s="12">
        <v>13.75</v>
      </c>
      <c r="L332" s="2">
        <f>G332-H332</f>
        <v>110</v>
      </c>
      <c r="M332" s="15">
        <f t="shared" si="31"/>
        <v>1512.5</v>
      </c>
      <c r="N332" t="str">
        <f t="shared" si="28"/>
        <v>RR</v>
      </c>
      <c r="O332" t="str">
        <f t="shared" si="29"/>
        <v>Boa Vista</v>
      </c>
    </row>
    <row r="333" spans="1:15" x14ac:dyDescent="0.3">
      <c r="A333" s="10">
        <v>45689</v>
      </c>
      <c r="B333" s="9" t="s">
        <v>3</v>
      </c>
      <c r="C333" t="s">
        <v>364</v>
      </c>
      <c r="D333" s="9">
        <v>19777</v>
      </c>
      <c r="E333" s="5" t="s">
        <v>494</v>
      </c>
      <c r="F333" t="s">
        <v>365</v>
      </c>
      <c r="G333">
        <v>1073</v>
      </c>
      <c r="H333">
        <v>329</v>
      </c>
      <c r="I333" s="8">
        <f t="shared" si="30"/>
        <v>0.30661696178937559</v>
      </c>
      <c r="J333" s="17">
        <v>0.7</v>
      </c>
      <c r="K333" s="12">
        <v>13.75</v>
      </c>
      <c r="L333" s="2">
        <f t="shared" ref="L333:L364" si="32">H333*J333/I333-H333</f>
        <v>422.09999999999991</v>
      </c>
      <c r="M333" s="15">
        <f t="shared" si="31"/>
        <v>5803.8749999999991</v>
      </c>
      <c r="N333" t="str">
        <f t="shared" si="28"/>
        <v>SP</v>
      </c>
      <c r="O333" t="str">
        <f t="shared" si="29"/>
        <v>São José Dos Campos</v>
      </c>
    </row>
    <row r="334" spans="1:15" x14ac:dyDescent="0.3">
      <c r="A334" s="10">
        <v>45689</v>
      </c>
      <c r="B334" s="9" t="s">
        <v>71</v>
      </c>
      <c r="C334" t="s">
        <v>175</v>
      </c>
      <c r="D334" s="9">
        <v>19788</v>
      </c>
      <c r="E334" s="5" t="s">
        <v>495</v>
      </c>
      <c r="F334" t="s">
        <v>177</v>
      </c>
      <c r="G334">
        <v>3639</v>
      </c>
      <c r="H334">
        <v>1209</v>
      </c>
      <c r="I334" s="8">
        <f t="shared" si="30"/>
        <v>0.3322341302555647</v>
      </c>
      <c r="J334" s="17">
        <v>0.7</v>
      </c>
      <c r="K334" s="12">
        <v>13.75</v>
      </c>
      <c r="L334" s="2">
        <f t="shared" si="32"/>
        <v>1338.3000000000002</v>
      </c>
      <c r="M334" s="15">
        <f t="shared" si="31"/>
        <v>18401.625000000004</v>
      </c>
      <c r="N334" t="str">
        <f t="shared" si="28"/>
        <v>RS</v>
      </c>
      <c r="O334" t="str">
        <f t="shared" si="29"/>
        <v>Porto Alegre</v>
      </c>
    </row>
    <row r="335" spans="1:15" x14ac:dyDescent="0.3">
      <c r="A335" s="10">
        <v>45689</v>
      </c>
      <c r="B335" s="9" t="s">
        <v>14</v>
      </c>
      <c r="C335" t="s">
        <v>29</v>
      </c>
      <c r="D335" s="9">
        <v>19793</v>
      </c>
      <c r="E335" s="5" t="s">
        <v>496</v>
      </c>
      <c r="F335" t="s">
        <v>39</v>
      </c>
      <c r="G335">
        <v>1127</v>
      </c>
      <c r="H335">
        <v>494</v>
      </c>
      <c r="I335" s="8">
        <f t="shared" si="30"/>
        <v>0.43833185448092282</v>
      </c>
      <c r="J335" s="17">
        <v>0.7</v>
      </c>
      <c r="K335" s="12">
        <v>13.75</v>
      </c>
      <c r="L335" s="2">
        <f t="shared" si="32"/>
        <v>294.89999999999986</v>
      </c>
      <c r="M335" s="15">
        <f t="shared" si="31"/>
        <v>4054.8749999999982</v>
      </c>
      <c r="N335" t="str">
        <f t="shared" si="28"/>
        <v>MG</v>
      </c>
      <c r="O335" t="str">
        <f t="shared" si="29"/>
        <v>Belo Horizonte</v>
      </c>
    </row>
    <row r="336" spans="1:15" x14ac:dyDescent="0.3">
      <c r="A336" s="10">
        <v>45689</v>
      </c>
      <c r="B336" s="9" t="s">
        <v>21</v>
      </c>
      <c r="C336" t="s">
        <v>228</v>
      </c>
      <c r="D336" s="9">
        <v>19790</v>
      </c>
      <c r="E336" s="5" t="s">
        <v>497</v>
      </c>
      <c r="F336" t="s">
        <v>232</v>
      </c>
      <c r="G336">
        <v>2320</v>
      </c>
      <c r="H336">
        <v>911</v>
      </c>
      <c r="I336" s="8">
        <f t="shared" si="30"/>
        <v>0.39267241379310347</v>
      </c>
      <c r="J336" s="17">
        <v>0.7</v>
      </c>
      <c r="K336" s="12">
        <v>13.75</v>
      </c>
      <c r="L336" s="2">
        <f t="shared" si="32"/>
        <v>712.99999999999977</v>
      </c>
      <c r="M336" s="15">
        <f t="shared" si="31"/>
        <v>9803.7499999999964</v>
      </c>
      <c r="N336" t="str">
        <f t="shared" si="28"/>
        <v>BA</v>
      </c>
      <c r="O336" t="str">
        <f t="shared" si="29"/>
        <v>Salvador</v>
      </c>
    </row>
    <row r="337" spans="1:15" x14ac:dyDescent="0.3">
      <c r="A337" s="10">
        <v>45689</v>
      </c>
      <c r="B337" s="9" t="s">
        <v>71</v>
      </c>
      <c r="C337" t="s">
        <v>175</v>
      </c>
      <c r="D337" s="9">
        <v>19842</v>
      </c>
      <c r="E337" s="5" t="s">
        <v>498</v>
      </c>
      <c r="F337" t="s">
        <v>178</v>
      </c>
      <c r="G337">
        <v>2238</v>
      </c>
      <c r="H337">
        <v>756</v>
      </c>
      <c r="I337" s="8">
        <f t="shared" si="30"/>
        <v>0.33780160857908847</v>
      </c>
      <c r="J337" s="17">
        <v>0.7</v>
      </c>
      <c r="K337" s="12">
        <v>13.75</v>
      </c>
      <c r="L337" s="2">
        <f t="shared" si="32"/>
        <v>810.59999999999968</v>
      </c>
      <c r="M337" s="15">
        <f t="shared" si="31"/>
        <v>11145.749999999996</v>
      </c>
      <c r="N337" t="str">
        <f t="shared" si="28"/>
        <v>RS</v>
      </c>
      <c r="O337" t="str">
        <f t="shared" si="29"/>
        <v>Porto Alegre</v>
      </c>
    </row>
    <row r="338" spans="1:15" x14ac:dyDescent="0.3">
      <c r="A338" s="10">
        <v>45689</v>
      </c>
      <c r="B338" s="9" t="s">
        <v>59</v>
      </c>
      <c r="C338" t="s">
        <v>292</v>
      </c>
      <c r="D338" s="9">
        <v>19580</v>
      </c>
      <c r="E338" s="5" t="s">
        <v>499</v>
      </c>
      <c r="F338" t="s">
        <v>293</v>
      </c>
      <c r="G338">
        <v>2033</v>
      </c>
      <c r="H338">
        <v>677</v>
      </c>
      <c r="I338" s="8">
        <f t="shared" si="30"/>
        <v>0.33300541072306933</v>
      </c>
      <c r="J338" s="17">
        <v>0.7</v>
      </c>
      <c r="K338" s="12">
        <v>13.75</v>
      </c>
      <c r="L338" s="2">
        <f t="shared" si="32"/>
        <v>746.10000000000014</v>
      </c>
      <c r="M338" s="15">
        <f t="shared" si="31"/>
        <v>10258.875000000002</v>
      </c>
      <c r="N338" t="str">
        <f t="shared" si="28"/>
        <v>ES</v>
      </c>
      <c r="O338" t="str">
        <f t="shared" si="29"/>
        <v>Vitória</v>
      </c>
    </row>
    <row r="339" spans="1:15" x14ac:dyDescent="0.3">
      <c r="A339" s="10">
        <v>45689</v>
      </c>
      <c r="B339" s="9" t="s">
        <v>59</v>
      </c>
      <c r="C339" t="s">
        <v>292</v>
      </c>
      <c r="D339" s="9">
        <v>19719</v>
      </c>
      <c r="E339" s="5" t="s">
        <v>500</v>
      </c>
      <c r="F339" t="s">
        <v>294</v>
      </c>
      <c r="G339">
        <v>1584</v>
      </c>
      <c r="H339">
        <v>566</v>
      </c>
      <c r="I339" s="8">
        <f t="shared" si="30"/>
        <v>0.35732323232323232</v>
      </c>
      <c r="J339" s="17">
        <v>0.7</v>
      </c>
      <c r="K339" s="12">
        <v>13.75</v>
      </c>
      <c r="L339" s="2">
        <f t="shared" si="32"/>
        <v>542.79999999999995</v>
      </c>
      <c r="M339" s="15">
        <f t="shared" si="31"/>
        <v>7463.4999999999991</v>
      </c>
      <c r="N339" t="str">
        <f t="shared" si="28"/>
        <v>ES</v>
      </c>
      <c r="O339" t="str">
        <f t="shared" si="29"/>
        <v>Vitória</v>
      </c>
    </row>
    <row r="340" spans="1:15" x14ac:dyDescent="0.3">
      <c r="A340" s="10">
        <v>45689</v>
      </c>
      <c r="B340" s="9" t="s">
        <v>59</v>
      </c>
      <c r="C340" t="s">
        <v>289</v>
      </c>
      <c r="D340" s="9">
        <v>19581</v>
      </c>
      <c r="E340" s="5" t="s">
        <v>501</v>
      </c>
      <c r="F340" t="s">
        <v>290</v>
      </c>
      <c r="G340">
        <v>2265</v>
      </c>
      <c r="H340">
        <v>769</v>
      </c>
      <c r="I340" s="8">
        <f t="shared" si="30"/>
        <v>0.33951434878587194</v>
      </c>
      <c r="J340" s="17">
        <v>0.7</v>
      </c>
      <c r="K340" s="12">
        <v>13.75</v>
      </c>
      <c r="L340" s="2">
        <f t="shared" si="32"/>
        <v>816.5</v>
      </c>
      <c r="M340" s="15">
        <f t="shared" si="31"/>
        <v>11226.875</v>
      </c>
      <c r="N340" t="str">
        <f t="shared" si="28"/>
        <v>ES</v>
      </c>
      <c r="O340" t="str">
        <f t="shared" si="29"/>
        <v>Vila Velha</v>
      </c>
    </row>
    <row r="341" spans="1:15" x14ac:dyDescent="0.3">
      <c r="A341" s="10">
        <v>45689</v>
      </c>
      <c r="B341" s="9" t="s">
        <v>59</v>
      </c>
      <c r="C341" t="s">
        <v>289</v>
      </c>
      <c r="D341" s="9">
        <v>19876</v>
      </c>
      <c r="E341" s="5" t="s">
        <v>502</v>
      </c>
      <c r="F341" t="s">
        <v>291</v>
      </c>
      <c r="G341">
        <v>2384</v>
      </c>
      <c r="H341">
        <v>798</v>
      </c>
      <c r="I341" s="8">
        <f t="shared" si="30"/>
        <v>0.33473154362416108</v>
      </c>
      <c r="J341" s="17">
        <v>0.7</v>
      </c>
      <c r="K341" s="12">
        <v>13.75</v>
      </c>
      <c r="L341" s="2">
        <f t="shared" si="32"/>
        <v>870.79999999999973</v>
      </c>
      <c r="M341" s="15">
        <f t="shared" si="31"/>
        <v>11973.499999999996</v>
      </c>
      <c r="N341" t="str">
        <f t="shared" si="28"/>
        <v>ES</v>
      </c>
      <c r="O341" t="str">
        <f t="shared" si="29"/>
        <v>Vila Velha</v>
      </c>
    </row>
    <row r="342" spans="1:15" x14ac:dyDescent="0.3">
      <c r="A342" s="10">
        <v>45689</v>
      </c>
      <c r="B342" s="9" t="s">
        <v>59</v>
      </c>
      <c r="C342" t="s">
        <v>271</v>
      </c>
      <c r="D342" s="9">
        <v>19775</v>
      </c>
      <c r="E342" s="5" t="s">
        <v>503</v>
      </c>
      <c r="F342" t="s">
        <v>272</v>
      </c>
      <c r="G342">
        <v>1653</v>
      </c>
      <c r="H342">
        <v>696</v>
      </c>
      <c r="I342" s="8">
        <f t="shared" si="30"/>
        <v>0.42105263157894735</v>
      </c>
      <c r="J342" s="17">
        <v>0.7</v>
      </c>
      <c r="K342" s="12">
        <v>13.75</v>
      </c>
      <c r="L342" s="2">
        <f t="shared" si="32"/>
        <v>461.10000000000014</v>
      </c>
      <c r="M342" s="15">
        <f t="shared" si="31"/>
        <v>6340.1250000000018</v>
      </c>
      <c r="N342" t="str">
        <f t="shared" si="28"/>
        <v>ES</v>
      </c>
      <c r="O342" t="str">
        <f t="shared" si="29"/>
        <v>Serra</v>
      </c>
    </row>
    <row r="343" spans="1:15" x14ac:dyDescent="0.3">
      <c r="A343" s="10">
        <v>45689</v>
      </c>
      <c r="B343" s="9" t="s">
        <v>71</v>
      </c>
      <c r="C343" t="s">
        <v>175</v>
      </c>
      <c r="D343" s="9">
        <v>19874</v>
      </c>
      <c r="E343" s="5" t="s">
        <v>504</v>
      </c>
      <c r="F343" t="s">
        <v>179</v>
      </c>
      <c r="G343">
        <v>2806</v>
      </c>
      <c r="H343">
        <v>973</v>
      </c>
      <c r="I343" s="8">
        <f t="shared" si="30"/>
        <v>0.34675694939415536</v>
      </c>
      <c r="J343" s="17">
        <v>0.7</v>
      </c>
      <c r="K343" s="12">
        <v>13.75</v>
      </c>
      <c r="L343" s="2">
        <f t="shared" si="32"/>
        <v>991.19999999999982</v>
      </c>
      <c r="M343" s="15">
        <f t="shared" si="31"/>
        <v>13628.999999999998</v>
      </c>
      <c r="N343" t="str">
        <f t="shared" si="28"/>
        <v>RS</v>
      </c>
      <c r="O343" t="str">
        <f t="shared" si="29"/>
        <v>Porto Alegre</v>
      </c>
    </row>
    <row r="344" spans="1:15" x14ac:dyDescent="0.3">
      <c r="A344" s="10">
        <v>45689</v>
      </c>
      <c r="B344" s="9" t="s">
        <v>3</v>
      </c>
      <c r="C344" t="s">
        <v>165</v>
      </c>
      <c r="D344" s="9">
        <v>19761</v>
      </c>
      <c r="E344" s="5" t="s">
        <v>505</v>
      </c>
      <c r="F344" t="s">
        <v>166</v>
      </c>
      <c r="G344">
        <v>1356</v>
      </c>
      <c r="H344">
        <v>521</v>
      </c>
      <c r="I344" s="8">
        <f t="shared" si="30"/>
        <v>0.38421828908554573</v>
      </c>
      <c r="J344" s="17">
        <v>0.7</v>
      </c>
      <c r="K344" s="12">
        <v>13.75</v>
      </c>
      <c r="L344" s="2">
        <f t="shared" si="32"/>
        <v>428.19999999999993</v>
      </c>
      <c r="M344" s="15">
        <f t="shared" si="31"/>
        <v>5887.7499999999991</v>
      </c>
      <c r="N344" t="str">
        <f t="shared" si="28"/>
        <v>SP</v>
      </c>
      <c r="O344" t="str">
        <f t="shared" si="29"/>
        <v>Paulínia</v>
      </c>
    </row>
    <row r="345" spans="1:15" x14ac:dyDescent="0.3">
      <c r="A345" s="10">
        <v>45689</v>
      </c>
      <c r="B345" s="9" t="s">
        <v>89</v>
      </c>
      <c r="C345" t="s">
        <v>346</v>
      </c>
      <c r="D345" s="9">
        <v>19878</v>
      </c>
      <c r="E345" s="5" t="s">
        <v>506</v>
      </c>
      <c r="F345" t="s">
        <v>347</v>
      </c>
      <c r="G345">
        <v>966</v>
      </c>
      <c r="H345">
        <v>440</v>
      </c>
      <c r="I345" s="8">
        <f t="shared" si="30"/>
        <v>0.45548654244306419</v>
      </c>
      <c r="J345" s="17">
        <v>0.7</v>
      </c>
      <c r="K345" s="12">
        <v>13.75</v>
      </c>
      <c r="L345" s="2">
        <f t="shared" si="32"/>
        <v>236.19999999999993</v>
      </c>
      <c r="M345" s="15">
        <f t="shared" si="31"/>
        <v>3247.7499999999991</v>
      </c>
      <c r="N345" t="str">
        <f t="shared" si="28"/>
        <v>CE</v>
      </c>
      <c r="O345" t="str">
        <f t="shared" si="29"/>
        <v>Fortaleza</v>
      </c>
    </row>
    <row r="346" spans="1:15" x14ac:dyDescent="0.3">
      <c r="A346" s="10">
        <v>45689</v>
      </c>
      <c r="B346" s="9" t="s">
        <v>46</v>
      </c>
      <c r="C346" t="s">
        <v>47</v>
      </c>
      <c r="D346" s="9">
        <v>19881</v>
      </c>
      <c r="E346" s="5" t="s">
        <v>507</v>
      </c>
      <c r="F346" t="s">
        <v>54</v>
      </c>
      <c r="G346">
        <v>1847</v>
      </c>
      <c r="H346">
        <v>755</v>
      </c>
      <c r="I346" s="8">
        <f t="shared" si="30"/>
        <v>0.40877097996751488</v>
      </c>
      <c r="J346" s="17">
        <v>0.7</v>
      </c>
      <c r="K346" s="12">
        <v>13.75</v>
      </c>
      <c r="L346" s="2">
        <f t="shared" si="32"/>
        <v>537.90000000000009</v>
      </c>
      <c r="M346" s="15">
        <f t="shared" si="31"/>
        <v>7396.1250000000009</v>
      </c>
      <c r="N346" t="str">
        <f t="shared" si="28"/>
        <v>DF</v>
      </c>
      <c r="O346" t="str">
        <f t="shared" si="29"/>
        <v>Brasília</v>
      </c>
    </row>
    <row r="347" spans="1:15" x14ac:dyDescent="0.3">
      <c r="A347" s="10">
        <v>45689</v>
      </c>
      <c r="B347" s="9" t="s">
        <v>3</v>
      </c>
      <c r="C347" t="s">
        <v>64</v>
      </c>
      <c r="D347" s="9">
        <v>19696</v>
      </c>
      <c r="E347" s="5" t="s">
        <v>508</v>
      </c>
      <c r="F347" t="s">
        <v>65</v>
      </c>
      <c r="G347">
        <v>1506</v>
      </c>
      <c r="H347">
        <v>598</v>
      </c>
      <c r="I347" s="8">
        <f t="shared" si="30"/>
        <v>0.39707835325365204</v>
      </c>
      <c r="J347" s="17">
        <v>0.7</v>
      </c>
      <c r="K347" s="12">
        <v>13.75</v>
      </c>
      <c r="L347" s="2">
        <f t="shared" si="32"/>
        <v>456.20000000000005</v>
      </c>
      <c r="M347" s="15">
        <f t="shared" si="31"/>
        <v>6272.7500000000009</v>
      </c>
      <c r="N347" t="str">
        <f t="shared" si="28"/>
        <v>SP</v>
      </c>
      <c r="O347" t="str">
        <f t="shared" si="29"/>
        <v>Campinas</v>
      </c>
    </row>
    <row r="348" spans="1:15" x14ac:dyDescent="0.3">
      <c r="A348" s="10">
        <v>45689</v>
      </c>
      <c r="B348" s="9" t="s">
        <v>71</v>
      </c>
      <c r="C348" t="s">
        <v>72</v>
      </c>
      <c r="D348" s="9">
        <v>19883</v>
      </c>
      <c r="E348" s="5" t="s">
        <v>509</v>
      </c>
      <c r="F348" t="s">
        <v>73</v>
      </c>
      <c r="G348">
        <v>1130</v>
      </c>
      <c r="H348">
        <v>362</v>
      </c>
      <c r="I348" s="8">
        <f t="shared" si="30"/>
        <v>0.32035398230088497</v>
      </c>
      <c r="J348" s="17">
        <v>0.7</v>
      </c>
      <c r="K348" s="12">
        <v>13.75</v>
      </c>
      <c r="L348" s="2">
        <f t="shared" si="32"/>
        <v>428.99999999999989</v>
      </c>
      <c r="M348" s="15">
        <f t="shared" si="31"/>
        <v>5898.7499999999982</v>
      </c>
      <c r="N348" t="str">
        <f t="shared" si="28"/>
        <v>RS</v>
      </c>
      <c r="O348" t="str">
        <f t="shared" si="29"/>
        <v>Canoas</v>
      </c>
    </row>
    <row r="349" spans="1:15" x14ac:dyDescent="0.3">
      <c r="A349" s="10">
        <v>45689</v>
      </c>
      <c r="B349" s="9" t="s">
        <v>15</v>
      </c>
      <c r="C349" t="s">
        <v>358</v>
      </c>
      <c r="D349" s="9">
        <v>19514</v>
      </c>
      <c r="E349" s="5" t="s">
        <v>510</v>
      </c>
      <c r="F349" t="s">
        <v>221</v>
      </c>
      <c r="G349">
        <v>2600</v>
      </c>
      <c r="H349">
        <v>1079</v>
      </c>
      <c r="I349" s="8">
        <f t="shared" si="30"/>
        <v>0.41499999999999998</v>
      </c>
      <c r="J349" s="17">
        <v>0.7</v>
      </c>
      <c r="K349" s="12">
        <v>13.75</v>
      </c>
      <c r="L349" s="2">
        <f t="shared" si="32"/>
        <v>741</v>
      </c>
      <c r="M349" s="15">
        <f t="shared" si="31"/>
        <v>10188.75</v>
      </c>
      <c r="N349" t="str">
        <f t="shared" si="28"/>
        <v>RJ</v>
      </c>
      <c r="O349" t="str">
        <f t="shared" si="29"/>
        <v>Rio De Janeiro</v>
      </c>
    </row>
    <row r="350" spans="1:15" x14ac:dyDescent="0.3">
      <c r="A350" s="10">
        <v>45689</v>
      </c>
      <c r="B350" s="9" t="s">
        <v>15</v>
      </c>
      <c r="C350" t="s">
        <v>358</v>
      </c>
      <c r="D350" s="9">
        <v>19600</v>
      </c>
      <c r="E350" s="5" t="s">
        <v>511</v>
      </c>
      <c r="F350" t="s">
        <v>222</v>
      </c>
      <c r="G350">
        <v>2186</v>
      </c>
      <c r="H350">
        <v>903</v>
      </c>
      <c r="I350" s="8">
        <f t="shared" si="30"/>
        <v>0.41308325709057642</v>
      </c>
      <c r="J350" s="17">
        <v>0.7</v>
      </c>
      <c r="K350" s="12">
        <v>13.75</v>
      </c>
      <c r="L350" s="2">
        <f t="shared" si="32"/>
        <v>627.19999999999959</v>
      </c>
      <c r="M350" s="15">
        <f t="shared" si="31"/>
        <v>8623.9999999999945</v>
      </c>
      <c r="N350" t="str">
        <f t="shared" si="28"/>
        <v>RJ</v>
      </c>
      <c r="O350" t="str">
        <f t="shared" si="29"/>
        <v>Rio De Janeiro</v>
      </c>
    </row>
    <row r="351" spans="1:15" x14ac:dyDescent="0.3">
      <c r="A351" s="10">
        <v>45689</v>
      </c>
      <c r="B351" s="9" t="s">
        <v>78</v>
      </c>
      <c r="C351" t="s">
        <v>277</v>
      </c>
      <c r="D351" s="9">
        <v>19896</v>
      </c>
      <c r="E351" s="5" t="s">
        <v>512</v>
      </c>
      <c r="F351" t="s">
        <v>278</v>
      </c>
      <c r="G351">
        <v>1293</v>
      </c>
      <c r="H351">
        <v>596</v>
      </c>
      <c r="I351" s="8">
        <f t="shared" si="30"/>
        <v>0.46094354215003869</v>
      </c>
      <c r="J351" s="17">
        <v>0.7</v>
      </c>
      <c r="K351" s="12">
        <v>13.75</v>
      </c>
      <c r="L351" s="2">
        <f t="shared" si="32"/>
        <v>309.09999999999991</v>
      </c>
      <c r="M351" s="15">
        <f t="shared" si="31"/>
        <v>4250.1249999999991</v>
      </c>
      <c r="N351" t="str">
        <f t="shared" si="28"/>
        <v>MT</v>
      </c>
      <c r="O351" t="str">
        <f t="shared" si="29"/>
        <v>Sorriso</v>
      </c>
    </row>
    <row r="352" spans="1:15" x14ac:dyDescent="0.3">
      <c r="A352" s="10">
        <v>45689</v>
      </c>
      <c r="B352" s="9" t="s">
        <v>14</v>
      </c>
      <c r="C352" t="s">
        <v>287</v>
      </c>
      <c r="D352" s="9">
        <v>19905</v>
      </c>
      <c r="E352" s="5" t="s">
        <v>513</v>
      </c>
      <c r="F352" t="s">
        <v>288</v>
      </c>
      <c r="G352">
        <v>1168</v>
      </c>
      <c r="H352">
        <v>475</v>
      </c>
      <c r="I352" s="8">
        <f t="shared" si="30"/>
        <v>0.40667808219178081</v>
      </c>
      <c r="J352" s="17">
        <v>0.7</v>
      </c>
      <c r="K352" s="12">
        <v>13.75</v>
      </c>
      <c r="L352" s="2">
        <f t="shared" si="32"/>
        <v>342.6</v>
      </c>
      <c r="M352" s="15">
        <f t="shared" si="31"/>
        <v>4710.75</v>
      </c>
      <c r="N352" t="str">
        <f t="shared" si="28"/>
        <v>MG</v>
      </c>
      <c r="O352" t="str">
        <f t="shared" si="29"/>
        <v>Varginha</v>
      </c>
    </row>
    <row r="353" spans="1:15" x14ac:dyDescent="0.3">
      <c r="A353" s="10">
        <v>45689</v>
      </c>
      <c r="B353" s="9" t="s">
        <v>3</v>
      </c>
      <c r="C353" t="s">
        <v>12</v>
      </c>
      <c r="D353" s="9">
        <v>19901</v>
      </c>
      <c r="E353" s="5" t="s">
        <v>514</v>
      </c>
      <c r="F353" t="s">
        <v>13</v>
      </c>
      <c r="G353">
        <v>796</v>
      </c>
      <c r="H353">
        <v>204</v>
      </c>
      <c r="I353" s="8">
        <f t="shared" si="30"/>
        <v>0.25628140703517588</v>
      </c>
      <c r="J353" s="17">
        <v>0.7</v>
      </c>
      <c r="K353" s="12">
        <v>13.75</v>
      </c>
      <c r="L353" s="2">
        <f t="shared" si="32"/>
        <v>353.19999999999993</v>
      </c>
      <c r="M353" s="15">
        <f t="shared" si="31"/>
        <v>4856.4999999999991</v>
      </c>
      <c r="N353" t="str">
        <f t="shared" si="28"/>
        <v>SP</v>
      </c>
      <c r="O353" t="str">
        <f t="shared" si="29"/>
        <v>Araras</v>
      </c>
    </row>
    <row r="354" spans="1:15" x14ac:dyDescent="0.3">
      <c r="A354" s="10">
        <v>45689</v>
      </c>
      <c r="B354" s="9" t="s">
        <v>14</v>
      </c>
      <c r="C354" t="s">
        <v>137</v>
      </c>
      <c r="D354" s="9">
        <v>19899</v>
      </c>
      <c r="E354" s="5" t="s">
        <v>515</v>
      </c>
      <c r="F354" t="s">
        <v>138</v>
      </c>
      <c r="G354">
        <v>1298</v>
      </c>
      <c r="H354">
        <v>605</v>
      </c>
      <c r="I354" s="8">
        <f t="shared" si="30"/>
        <v>0.46610169491525422</v>
      </c>
      <c r="J354" s="17">
        <v>0.7</v>
      </c>
      <c r="K354" s="12">
        <v>13.75</v>
      </c>
      <c r="L354" s="2">
        <f t="shared" si="32"/>
        <v>303.60000000000002</v>
      </c>
      <c r="M354" s="15">
        <f t="shared" si="31"/>
        <v>4174.5</v>
      </c>
      <c r="N354" t="str">
        <f t="shared" si="28"/>
        <v>MG</v>
      </c>
      <c r="O354" t="str">
        <f t="shared" si="29"/>
        <v>Montes Claros</v>
      </c>
    </row>
    <row r="355" spans="1:15" x14ac:dyDescent="0.3">
      <c r="A355" s="10">
        <v>45689</v>
      </c>
      <c r="B355" s="9" t="s">
        <v>14</v>
      </c>
      <c r="C355" t="s">
        <v>137</v>
      </c>
      <c r="D355" s="9">
        <v>19796</v>
      </c>
      <c r="E355" s="5" t="s">
        <v>516</v>
      </c>
      <c r="F355" t="s">
        <v>139</v>
      </c>
      <c r="G355">
        <v>2641</v>
      </c>
      <c r="H355">
        <v>1412</v>
      </c>
      <c r="I355" s="8">
        <f t="shared" si="30"/>
        <v>0.53464596743657711</v>
      </c>
      <c r="J355" s="17">
        <v>0.7</v>
      </c>
      <c r="K355" s="12">
        <v>13.75</v>
      </c>
      <c r="L355" s="2">
        <f t="shared" si="32"/>
        <v>436.69999999999982</v>
      </c>
      <c r="M355" s="15">
        <f t="shared" si="31"/>
        <v>6004.6249999999973</v>
      </c>
      <c r="N355" t="str">
        <f t="shared" si="28"/>
        <v>MG</v>
      </c>
      <c r="O355" t="str">
        <f t="shared" si="29"/>
        <v>Montes Claros</v>
      </c>
    </row>
    <row r="356" spans="1:15" x14ac:dyDescent="0.3">
      <c r="A356" s="10">
        <v>45689</v>
      </c>
      <c r="B356" s="9" t="s">
        <v>15</v>
      </c>
      <c r="C356" t="s">
        <v>358</v>
      </c>
      <c r="D356" s="9">
        <v>19528</v>
      </c>
      <c r="E356" s="5" t="s">
        <v>517</v>
      </c>
      <c r="F356" t="s">
        <v>223</v>
      </c>
      <c r="G356">
        <v>2169</v>
      </c>
      <c r="H356">
        <v>688</v>
      </c>
      <c r="I356" s="8">
        <f t="shared" si="30"/>
        <v>0.31719686491470722</v>
      </c>
      <c r="J356" s="17">
        <v>0.7</v>
      </c>
      <c r="K356" s="12">
        <v>13.75</v>
      </c>
      <c r="L356" s="2">
        <f t="shared" si="32"/>
        <v>830.3</v>
      </c>
      <c r="M356" s="15">
        <f t="shared" si="31"/>
        <v>11416.625</v>
      </c>
      <c r="N356" t="str">
        <f t="shared" si="28"/>
        <v>RJ</v>
      </c>
      <c r="O356" t="str">
        <f t="shared" si="29"/>
        <v>Rio De Janeiro</v>
      </c>
    </row>
    <row r="357" spans="1:15" x14ac:dyDescent="0.3">
      <c r="A357" s="10">
        <v>45689</v>
      </c>
      <c r="B357" s="9" t="s">
        <v>3</v>
      </c>
      <c r="C357" t="s">
        <v>366</v>
      </c>
      <c r="D357" s="9">
        <v>19770</v>
      </c>
      <c r="E357" s="5" t="s">
        <v>518</v>
      </c>
      <c r="F357" t="s">
        <v>367</v>
      </c>
      <c r="G357">
        <v>774</v>
      </c>
      <c r="H357">
        <v>236</v>
      </c>
      <c r="I357" s="8">
        <f t="shared" si="30"/>
        <v>0.30490956072351422</v>
      </c>
      <c r="J357" s="17">
        <v>0.7</v>
      </c>
      <c r="K357" s="12">
        <v>13.75</v>
      </c>
      <c r="L357" s="2">
        <f t="shared" si="32"/>
        <v>305.79999999999995</v>
      </c>
      <c r="M357" s="15">
        <f t="shared" si="31"/>
        <v>4204.7499999999991</v>
      </c>
      <c r="N357" t="str">
        <f t="shared" si="28"/>
        <v>SP</v>
      </c>
      <c r="O357" t="str">
        <f t="shared" si="29"/>
        <v>Valinhos</v>
      </c>
    </row>
    <row r="358" spans="1:15" x14ac:dyDescent="0.3">
      <c r="A358" s="10">
        <v>45689</v>
      </c>
      <c r="B358" s="9" t="s">
        <v>6</v>
      </c>
      <c r="C358" t="s">
        <v>158</v>
      </c>
      <c r="D358" s="9">
        <v>19914</v>
      </c>
      <c r="E358" s="5" t="s">
        <v>519</v>
      </c>
      <c r="F358" t="s">
        <v>159</v>
      </c>
      <c r="G358">
        <v>2785</v>
      </c>
      <c r="H358">
        <v>1789</v>
      </c>
      <c r="I358" s="8">
        <f t="shared" si="30"/>
        <v>0.64236983842010775</v>
      </c>
      <c r="J358" s="17">
        <v>0.7</v>
      </c>
      <c r="K358" s="12">
        <v>13.75</v>
      </c>
      <c r="L358" s="2">
        <f t="shared" si="32"/>
        <v>160.49999999999977</v>
      </c>
      <c r="M358" s="15">
        <f t="shared" si="31"/>
        <v>2206.8749999999968</v>
      </c>
      <c r="N358" t="str">
        <f t="shared" si="28"/>
        <v>PA</v>
      </c>
      <c r="O358" t="str">
        <f t="shared" si="29"/>
        <v>Parauapebas</v>
      </c>
    </row>
    <row r="359" spans="1:15" x14ac:dyDescent="0.3">
      <c r="A359" s="10">
        <v>45689</v>
      </c>
      <c r="B359" s="9" t="s">
        <v>155</v>
      </c>
      <c r="C359" t="s">
        <v>156</v>
      </c>
      <c r="D359" s="9">
        <v>19916</v>
      </c>
      <c r="E359" s="5" t="s">
        <v>520</v>
      </c>
      <c r="F359" t="s">
        <v>157</v>
      </c>
      <c r="G359">
        <v>2530</v>
      </c>
      <c r="H359">
        <v>1252</v>
      </c>
      <c r="I359" s="8">
        <f t="shared" si="30"/>
        <v>0.49486166007905136</v>
      </c>
      <c r="J359" s="17">
        <v>0.7</v>
      </c>
      <c r="K359" s="12">
        <v>13.75</v>
      </c>
      <c r="L359" s="2">
        <f t="shared" si="32"/>
        <v>519</v>
      </c>
      <c r="M359" s="15">
        <f t="shared" si="31"/>
        <v>7136.25</v>
      </c>
      <c r="N359" t="str">
        <f t="shared" si="28"/>
        <v>TO</v>
      </c>
      <c r="O359" t="str">
        <f t="shared" si="29"/>
        <v>Palmas</v>
      </c>
    </row>
    <row r="360" spans="1:15" x14ac:dyDescent="0.3">
      <c r="A360" s="10">
        <v>45689</v>
      </c>
      <c r="B360" s="9" t="s">
        <v>15</v>
      </c>
      <c r="C360" t="s">
        <v>358</v>
      </c>
      <c r="D360" s="9">
        <v>19909</v>
      </c>
      <c r="E360" s="5" t="s">
        <v>521</v>
      </c>
      <c r="F360" t="s">
        <v>360</v>
      </c>
      <c r="G360">
        <v>211</v>
      </c>
      <c r="H360">
        <v>97</v>
      </c>
      <c r="I360" s="8">
        <f t="shared" si="30"/>
        <v>0.45971563981042651</v>
      </c>
      <c r="J360" s="17">
        <v>0.7</v>
      </c>
      <c r="K360" s="12">
        <v>13.75</v>
      </c>
      <c r="L360" s="2">
        <f t="shared" si="32"/>
        <v>50.699999999999989</v>
      </c>
      <c r="M360" s="15">
        <f t="shared" si="31"/>
        <v>697.12499999999989</v>
      </c>
      <c r="N360" t="str">
        <f t="shared" si="28"/>
        <v>RJ</v>
      </c>
      <c r="O360" t="str">
        <f t="shared" si="29"/>
        <v>Rio De Janeiro</v>
      </c>
    </row>
    <row r="361" spans="1:15" x14ac:dyDescent="0.3">
      <c r="A361" s="10">
        <v>45689</v>
      </c>
      <c r="B361" s="9" t="s">
        <v>74</v>
      </c>
      <c r="C361" t="s">
        <v>97</v>
      </c>
      <c r="D361" s="9">
        <v>19911</v>
      </c>
      <c r="E361" s="5" t="s">
        <v>522</v>
      </c>
      <c r="F361" t="s">
        <v>98</v>
      </c>
      <c r="G361">
        <v>1719</v>
      </c>
      <c r="H361">
        <v>870</v>
      </c>
      <c r="I361" s="8">
        <f t="shared" si="30"/>
        <v>0.50610820244328103</v>
      </c>
      <c r="J361" s="17">
        <v>0.7</v>
      </c>
      <c r="K361" s="12">
        <v>13.75</v>
      </c>
      <c r="L361" s="2">
        <f t="shared" si="32"/>
        <v>333.29999999999995</v>
      </c>
      <c r="M361" s="15">
        <f t="shared" si="31"/>
        <v>4582.8749999999991</v>
      </c>
      <c r="N361" t="str">
        <f t="shared" si="28"/>
        <v>PE</v>
      </c>
      <c r="O361" t="str">
        <f t="shared" si="29"/>
        <v>Garanhuns</v>
      </c>
    </row>
    <row r="362" spans="1:15" x14ac:dyDescent="0.3">
      <c r="A362" s="10">
        <v>45689</v>
      </c>
      <c r="B362" s="9" t="s">
        <v>15</v>
      </c>
      <c r="C362" t="s">
        <v>341</v>
      </c>
      <c r="D362" s="9">
        <v>19908</v>
      </c>
      <c r="E362" s="5" t="s">
        <v>523</v>
      </c>
      <c r="F362" t="s">
        <v>16</v>
      </c>
      <c r="G362">
        <v>1427</v>
      </c>
      <c r="H362">
        <v>832</v>
      </c>
      <c r="I362" s="8">
        <f t="shared" si="30"/>
        <v>0.58304134548002806</v>
      </c>
      <c r="J362" s="17">
        <v>0.7</v>
      </c>
      <c r="K362" s="12">
        <v>13.75</v>
      </c>
      <c r="L362" s="2">
        <f t="shared" si="32"/>
        <v>166.89999999999986</v>
      </c>
      <c r="M362" s="15">
        <f t="shared" si="31"/>
        <v>2294.8749999999982</v>
      </c>
      <c r="N362" t="str">
        <f t="shared" si="28"/>
        <v>RJ</v>
      </c>
      <c r="O362" t="str">
        <f t="shared" si="29"/>
        <v>Armação Dos Búzios</v>
      </c>
    </row>
    <row r="363" spans="1:15" x14ac:dyDescent="0.3">
      <c r="A363" s="10">
        <v>45689</v>
      </c>
      <c r="B363" s="9" t="s">
        <v>21</v>
      </c>
      <c r="C363" t="s">
        <v>121</v>
      </c>
      <c r="D363" s="9">
        <v>19910</v>
      </c>
      <c r="E363" s="5" t="s">
        <v>524</v>
      </c>
      <c r="F363" t="s">
        <v>122</v>
      </c>
      <c r="G363">
        <v>1036</v>
      </c>
      <c r="H363">
        <v>551</v>
      </c>
      <c r="I363" s="8">
        <f t="shared" si="30"/>
        <v>0.53185328185328185</v>
      </c>
      <c r="J363" s="17">
        <v>0.7</v>
      </c>
      <c r="K363" s="12">
        <v>13.75</v>
      </c>
      <c r="L363" s="2">
        <f t="shared" si="32"/>
        <v>174.20000000000005</v>
      </c>
      <c r="M363" s="15">
        <f t="shared" si="31"/>
        <v>2395.2500000000005</v>
      </c>
      <c r="N363" t="str">
        <f t="shared" si="28"/>
        <v>BA</v>
      </c>
      <c r="O363" t="str">
        <f t="shared" si="29"/>
        <v>Luís Eduardo Magalhães</v>
      </c>
    </row>
    <row r="364" spans="1:15" x14ac:dyDescent="0.3">
      <c r="A364" s="10">
        <v>45689</v>
      </c>
      <c r="B364" s="9" t="s">
        <v>82</v>
      </c>
      <c r="C364" t="s">
        <v>173</v>
      </c>
      <c r="D364" s="9">
        <v>19926</v>
      </c>
      <c r="E364" s="5" t="s">
        <v>525</v>
      </c>
      <c r="F364" t="s">
        <v>174</v>
      </c>
      <c r="G364">
        <v>1216</v>
      </c>
      <c r="H364">
        <v>423</v>
      </c>
      <c r="I364" s="8">
        <f t="shared" si="30"/>
        <v>0.34786184210526316</v>
      </c>
      <c r="J364" s="17">
        <v>0.7</v>
      </c>
      <c r="K364" s="12">
        <v>13.75</v>
      </c>
      <c r="L364" s="2">
        <f t="shared" si="32"/>
        <v>428.19999999999993</v>
      </c>
      <c r="M364" s="15">
        <f t="shared" si="31"/>
        <v>5887.7499999999991</v>
      </c>
      <c r="N364" t="str">
        <f t="shared" si="28"/>
        <v>PR</v>
      </c>
      <c r="O364" t="str">
        <f t="shared" si="29"/>
        <v>Ponta Grossa</v>
      </c>
    </row>
    <row r="365" spans="1:15" x14ac:dyDescent="0.3">
      <c r="A365" s="10">
        <v>45689</v>
      </c>
      <c r="B365" s="9" t="s">
        <v>15</v>
      </c>
      <c r="C365" t="s">
        <v>358</v>
      </c>
      <c r="D365" s="9">
        <v>19523</v>
      </c>
      <c r="E365" s="5" t="s">
        <v>526</v>
      </c>
      <c r="F365" t="s">
        <v>224</v>
      </c>
      <c r="G365">
        <v>2589</v>
      </c>
      <c r="H365">
        <v>798</v>
      </c>
      <c r="I365" s="8">
        <f t="shared" si="30"/>
        <v>0.30822711471610659</v>
      </c>
      <c r="J365" s="17">
        <v>0.7</v>
      </c>
      <c r="K365" s="12">
        <v>13.75</v>
      </c>
      <c r="L365" s="2">
        <f t="shared" ref="L365:L383" si="33">H365*J365/I365-H365</f>
        <v>1014.2999999999997</v>
      </c>
      <c r="M365" s="15">
        <f t="shared" si="31"/>
        <v>13946.624999999996</v>
      </c>
      <c r="N365" t="str">
        <f t="shared" si="28"/>
        <v>RJ</v>
      </c>
      <c r="O365" t="str">
        <f t="shared" si="29"/>
        <v>Rio De Janeiro</v>
      </c>
    </row>
    <row r="366" spans="1:15" x14ac:dyDescent="0.3">
      <c r="A366" s="10">
        <v>45689</v>
      </c>
      <c r="B366" s="9" t="s">
        <v>15</v>
      </c>
      <c r="C366" t="s">
        <v>358</v>
      </c>
      <c r="D366" s="9">
        <v>19652</v>
      </c>
      <c r="E366" s="5" t="s">
        <v>527</v>
      </c>
      <c r="F366" t="s">
        <v>225</v>
      </c>
      <c r="G366">
        <v>3566</v>
      </c>
      <c r="H366">
        <v>1223</v>
      </c>
      <c r="I366" s="8">
        <f t="shared" si="30"/>
        <v>0.34296130117779022</v>
      </c>
      <c r="J366" s="17">
        <v>0.7</v>
      </c>
      <c r="K366" s="12">
        <v>13.75</v>
      </c>
      <c r="L366" s="2">
        <f t="shared" si="33"/>
        <v>1273.1999999999998</v>
      </c>
      <c r="M366" s="15">
        <f t="shared" si="31"/>
        <v>17506.499999999996</v>
      </c>
      <c r="N366" t="str">
        <f t="shared" si="28"/>
        <v>RJ</v>
      </c>
      <c r="O366" t="str">
        <f t="shared" si="29"/>
        <v>Rio De Janeiro</v>
      </c>
    </row>
    <row r="367" spans="1:15" x14ac:dyDescent="0.3">
      <c r="A367" s="10">
        <v>45689</v>
      </c>
      <c r="B367" s="9" t="s">
        <v>15</v>
      </c>
      <c r="C367" t="s">
        <v>358</v>
      </c>
      <c r="D367" s="9">
        <v>19529</v>
      </c>
      <c r="E367" s="5" t="s">
        <v>528</v>
      </c>
      <c r="F367" t="s">
        <v>226</v>
      </c>
      <c r="G367">
        <v>3952</v>
      </c>
      <c r="H367">
        <v>1294</v>
      </c>
      <c r="I367" s="8">
        <f t="shared" si="30"/>
        <v>0.32742914979757087</v>
      </c>
      <c r="J367" s="17">
        <v>0.7</v>
      </c>
      <c r="K367" s="12">
        <v>13.75</v>
      </c>
      <c r="L367" s="2">
        <f t="shared" si="33"/>
        <v>1472.3999999999996</v>
      </c>
      <c r="M367" s="15">
        <f t="shared" si="31"/>
        <v>20245.499999999996</v>
      </c>
      <c r="N367" t="str">
        <f t="shared" si="28"/>
        <v>RJ</v>
      </c>
      <c r="O367" t="str">
        <f t="shared" si="29"/>
        <v>Rio De Janeiro</v>
      </c>
    </row>
    <row r="368" spans="1:15" x14ac:dyDescent="0.3">
      <c r="A368" s="10">
        <v>45689</v>
      </c>
      <c r="B368" s="9" t="s">
        <v>3</v>
      </c>
      <c r="C368" t="s">
        <v>248</v>
      </c>
      <c r="D368" s="9">
        <v>19889</v>
      </c>
      <c r="E368" s="5" t="s">
        <v>529</v>
      </c>
      <c r="F368" t="s">
        <v>266</v>
      </c>
      <c r="G368">
        <v>1358</v>
      </c>
      <c r="H368">
        <v>491</v>
      </c>
      <c r="I368" s="8">
        <f t="shared" si="30"/>
        <v>0.36156111929307805</v>
      </c>
      <c r="J368" s="17">
        <v>0.7</v>
      </c>
      <c r="K368" s="12">
        <v>13.75</v>
      </c>
      <c r="L368" s="2">
        <f t="shared" si="33"/>
        <v>459.6</v>
      </c>
      <c r="M368" s="15">
        <f t="shared" si="31"/>
        <v>6319.5</v>
      </c>
      <c r="N368" t="str">
        <f t="shared" si="28"/>
        <v>SP</v>
      </c>
      <c r="O368" t="str">
        <f t="shared" si="29"/>
        <v>São Paulo</v>
      </c>
    </row>
    <row r="369" spans="1:15" x14ac:dyDescent="0.3">
      <c r="A369" s="10">
        <v>45689</v>
      </c>
      <c r="B369" s="9" t="s">
        <v>3</v>
      </c>
      <c r="C369" t="s">
        <v>248</v>
      </c>
      <c r="D369" s="9">
        <v>19888</v>
      </c>
      <c r="E369" s="5" t="s">
        <v>530</v>
      </c>
      <c r="F369" t="s">
        <v>267</v>
      </c>
      <c r="G369">
        <v>1095</v>
      </c>
      <c r="H369">
        <v>303</v>
      </c>
      <c r="I369" s="8">
        <f t="shared" si="30"/>
        <v>0.27671232876712326</v>
      </c>
      <c r="J369" s="17">
        <v>0.7</v>
      </c>
      <c r="K369" s="12">
        <v>13.75</v>
      </c>
      <c r="L369" s="2">
        <f t="shared" si="33"/>
        <v>463.5</v>
      </c>
      <c r="M369" s="15">
        <f t="shared" si="31"/>
        <v>6373.125</v>
      </c>
      <c r="N369" t="str">
        <f t="shared" si="28"/>
        <v>SP</v>
      </c>
      <c r="O369" t="str">
        <f t="shared" si="29"/>
        <v>São Paulo</v>
      </c>
    </row>
    <row r="370" spans="1:15" x14ac:dyDescent="0.3">
      <c r="A370" s="10">
        <v>45689</v>
      </c>
      <c r="B370" s="9" t="s">
        <v>82</v>
      </c>
      <c r="C370" t="s">
        <v>106</v>
      </c>
      <c r="D370" s="9">
        <v>19927</v>
      </c>
      <c r="E370" s="5" t="s">
        <v>531</v>
      </c>
      <c r="F370" t="s">
        <v>107</v>
      </c>
      <c r="G370">
        <v>595</v>
      </c>
      <c r="H370">
        <v>185</v>
      </c>
      <c r="I370" s="8">
        <f t="shared" si="30"/>
        <v>0.31092436974789917</v>
      </c>
      <c r="J370" s="17">
        <v>0.7</v>
      </c>
      <c r="K370" s="12">
        <v>13.75</v>
      </c>
      <c r="L370" s="2">
        <f t="shared" si="33"/>
        <v>231.5</v>
      </c>
      <c r="M370" s="15">
        <f t="shared" si="31"/>
        <v>3183.125</v>
      </c>
      <c r="N370" t="str">
        <f t="shared" si="28"/>
        <v>PR</v>
      </c>
      <c r="O370" t="str">
        <f t="shared" si="29"/>
        <v>Guarapuava</v>
      </c>
    </row>
    <row r="371" spans="1:15" x14ac:dyDescent="0.3">
      <c r="A371" s="10">
        <v>45689</v>
      </c>
      <c r="B371" s="9" t="s">
        <v>3</v>
      </c>
      <c r="C371" t="s">
        <v>44</v>
      </c>
      <c r="D371" s="9">
        <v>19930</v>
      </c>
      <c r="E371" s="5" t="s">
        <v>533</v>
      </c>
      <c r="F371" t="s">
        <v>45</v>
      </c>
      <c r="G371">
        <v>1595</v>
      </c>
      <c r="H371">
        <v>925</v>
      </c>
      <c r="I371" s="8">
        <f t="shared" si="30"/>
        <v>0.57993730407523514</v>
      </c>
      <c r="J371" s="17">
        <v>0.7</v>
      </c>
      <c r="K371" s="12">
        <v>13.75</v>
      </c>
      <c r="L371" s="2">
        <f t="shared" si="33"/>
        <v>191.5</v>
      </c>
      <c r="M371" s="15">
        <f t="shared" si="31"/>
        <v>2633.125</v>
      </c>
      <c r="N371" t="str">
        <f t="shared" si="28"/>
        <v>SP</v>
      </c>
      <c r="O371" t="str">
        <f t="shared" si="29"/>
        <v>Botucatu</v>
      </c>
    </row>
    <row r="372" spans="1:15" x14ac:dyDescent="0.3">
      <c r="A372" s="10">
        <v>45689</v>
      </c>
      <c r="B372" s="9" t="s">
        <v>3</v>
      </c>
      <c r="C372" t="s">
        <v>353</v>
      </c>
      <c r="D372" s="9">
        <v>19675</v>
      </c>
      <c r="E372" s="5" t="s">
        <v>534</v>
      </c>
      <c r="F372" t="s">
        <v>354</v>
      </c>
      <c r="G372">
        <v>670</v>
      </c>
      <c r="H372">
        <v>218</v>
      </c>
      <c r="I372" s="8">
        <f t="shared" si="30"/>
        <v>0.32537313432835818</v>
      </c>
      <c r="J372" s="17">
        <v>0.7</v>
      </c>
      <c r="K372" s="12">
        <v>13.75</v>
      </c>
      <c r="L372" s="2">
        <f t="shared" si="33"/>
        <v>251</v>
      </c>
      <c r="M372" s="15">
        <f t="shared" si="31"/>
        <v>3451.25</v>
      </c>
      <c r="N372" t="str">
        <f t="shared" si="28"/>
        <v>SP</v>
      </c>
      <c r="O372" t="str">
        <f t="shared" si="29"/>
        <v>Limeira</v>
      </c>
    </row>
    <row r="373" spans="1:15" x14ac:dyDescent="0.3">
      <c r="A373" s="10">
        <v>45689</v>
      </c>
      <c r="B373" s="9" t="s">
        <v>15</v>
      </c>
      <c r="C373" t="s">
        <v>358</v>
      </c>
      <c r="D373" s="9">
        <v>19609</v>
      </c>
      <c r="E373" s="5" t="s">
        <v>535</v>
      </c>
      <c r="F373" t="s">
        <v>227</v>
      </c>
      <c r="G373">
        <v>1578</v>
      </c>
      <c r="H373">
        <v>729</v>
      </c>
      <c r="I373" s="8">
        <f t="shared" si="30"/>
        <v>0.46197718631178708</v>
      </c>
      <c r="J373" s="17">
        <v>0.7</v>
      </c>
      <c r="K373" s="12">
        <v>13.75</v>
      </c>
      <c r="L373" s="2">
        <f t="shared" si="33"/>
        <v>375.59999999999991</v>
      </c>
      <c r="M373" s="15">
        <f t="shared" si="31"/>
        <v>5164.4999999999991</v>
      </c>
      <c r="N373" t="str">
        <f t="shared" si="28"/>
        <v>RJ</v>
      </c>
      <c r="O373" t="str">
        <f t="shared" si="29"/>
        <v>Rio De Janeiro</v>
      </c>
    </row>
    <row r="374" spans="1:15" x14ac:dyDescent="0.3">
      <c r="A374" s="10">
        <v>45689</v>
      </c>
      <c r="B374" s="9" t="s">
        <v>3</v>
      </c>
      <c r="C374" t="s">
        <v>4</v>
      </c>
      <c r="D374" s="9">
        <v>19928</v>
      </c>
      <c r="E374" s="5" t="s">
        <v>536</v>
      </c>
      <c r="F374" t="s">
        <v>5</v>
      </c>
      <c r="G374">
        <v>1119</v>
      </c>
      <c r="H374">
        <v>559</v>
      </c>
      <c r="I374" s="8">
        <f t="shared" si="30"/>
        <v>0.49955317247542447</v>
      </c>
      <c r="J374" s="17">
        <v>0.7</v>
      </c>
      <c r="K374" s="12">
        <v>13.75</v>
      </c>
      <c r="L374" s="2">
        <f t="shared" si="33"/>
        <v>224.29999999999995</v>
      </c>
      <c r="M374" s="15">
        <f t="shared" si="31"/>
        <v>3084.1249999999995</v>
      </c>
      <c r="N374" t="str">
        <f t="shared" si="28"/>
        <v>SP</v>
      </c>
      <c r="O374" t="str">
        <f t="shared" si="29"/>
        <v>Americana</v>
      </c>
    </row>
    <row r="375" spans="1:15" x14ac:dyDescent="0.3">
      <c r="A375" s="10">
        <v>45689</v>
      </c>
      <c r="B375" s="9" t="s">
        <v>15</v>
      </c>
      <c r="C375" t="s">
        <v>149</v>
      </c>
      <c r="D375" s="9">
        <v>19746</v>
      </c>
      <c r="E375" s="5" t="s">
        <v>537</v>
      </c>
      <c r="F375" t="s">
        <v>150</v>
      </c>
      <c r="G375">
        <v>2169</v>
      </c>
      <c r="H375">
        <v>1098</v>
      </c>
      <c r="I375" s="8">
        <f t="shared" si="30"/>
        <v>0.50622406639004147</v>
      </c>
      <c r="J375" s="17">
        <v>0.7</v>
      </c>
      <c r="K375" s="12">
        <v>13.75</v>
      </c>
      <c r="L375" s="2">
        <f t="shared" si="33"/>
        <v>420.29999999999995</v>
      </c>
      <c r="M375" s="15">
        <f t="shared" si="31"/>
        <v>5779.1249999999991</v>
      </c>
      <c r="N375" t="str">
        <f t="shared" si="28"/>
        <v>RJ</v>
      </c>
      <c r="O375" t="str">
        <f t="shared" si="29"/>
        <v>Nova Friburgo</v>
      </c>
    </row>
    <row r="376" spans="1:15" x14ac:dyDescent="0.3">
      <c r="A376" s="10">
        <v>45689</v>
      </c>
      <c r="B376" s="9" t="s">
        <v>71</v>
      </c>
      <c r="C376" t="s">
        <v>163</v>
      </c>
      <c r="D376" s="9">
        <v>19933</v>
      </c>
      <c r="E376" s="5" t="s">
        <v>538</v>
      </c>
      <c r="F376" t="s">
        <v>164</v>
      </c>
      <c r="G376">
        <v>708</v>
      </c>
      <c r="H376">
        <v>266</v>
      </c>
      <c r="I376" s="8">
        <f t="shared" si="30"/>
        <v>0.37570621468926552</v>
      </c>
      <c r="J376" s="17">
        <v>0.7</v>
      </c>
      <c r="K376" s="12">
        <v>13.75</v>
      </c>
      <c r="L376" s="2">
        <f t="shared" si="33"/>
        <v>229.60000000000002</v>
      </c>
      <c r="M376" s="15">
        <f t="shared" si="31"/>
        <v>3157.0000000000005</v>
      </c>
      <c r="N376" t="str">
        <f t="shared" si="28"/>
        <v>RS</v>
      </c>
      <c r="O376" t="str">
        <f t="shared" si="29"/>
        <v>Passo</v>
      </c>
    </row>
    <row r="377" spans="1:15" x14ac:dyDescent="0.3">
      <c r="A377" s="10">
        <v>45689</v>
      </c>
      <c r="B377" s="9" t="s">
        <v>59</v>
      </c>
      <c r="C377" t="s">
        <v>343</v>
      </c>
      <c r="D377" s="9">
        <v>19944</v>
      </c>
      <c r="E377" s="5" t="s">
        <v>539</v>
      </c>
      <c r="F377" t="s">
        <v>60</v>
      </c>
      <c r="G377">
        <v>1793</v>
      </c>
      <c r="H377">
        <v>774</v>
      </c>
      <c r="I377" s="8">
        <f t="shared" si="30"/>
        <v>0.43167875069715561</v>
      </c>
      <c r="J377" s="17">
        <v>0.7</v>
      </c>
      <c r="K377" s="12">
        <v>13.75</v>
      </c>
      <c r="L377" s="2">
        <f t="shared" si="33"/>
        <v>481.09999999999991</v>
      </c>
      <c r="M377" s="15">
        <f t="shared" si="31"/>
        <v>6615.1249999999991</v>
      </c>
      <c r="N377" t="str">
        <f t="shared" si="28"/>
        <v>ES</v>
      </c>
      <c r="O377" t="str">
        <f t="shared" si="29"/>
        <v>Cachoeira De Itapemirim</v>
      </c>
    </row>
    <row r="378" spans="1:15" x14ac:dyDescent="0.3">
      <c r="A378" s="10">
        <v>45689</v>
      </c>
      <c r="B378" s="9" t="s">
        <v>82</v>
      </c>
      <c r="C378" t="s">
        <v>83</v>
      </c>
      <c r="D378" s="9">
        <v>19936</v>
      </c>
      <c r="E378" s="5" t="s">
        <v>540</v>
      </c>
      <c r="F378" t="s">
        <v>86</v>
      </c>
      <c r="G378">
        <v>1546</v>
      </c>
      <c r="H378">
        <v>479</v>
      </c>
      <c r="I378" s="8">
        <f t="shared" si="30"/>
        <v>0.30983182406209575</v>
      </c>
      <c r="J378" s="17">
        <v>0.7</v>
      </c>
      <c r="K378" s="12">
        <v>13.75</v>
      </c>
      <c r="L378" s="2">
        <f t="shared" si="33"/>
        <v>603.19999999999982</v>
      </c>
      <c r="M378" s="15">
        <f t="shared" si="31"/>
        <v>8293.9999999999982</v>
      </c>
      <c r="N378" t="str">
        <f t="shared" si="28"/>
        <v>PR</v>
      </c>
      <c r="O378" t="str">
        <f t="shared" si="29"/>
        <v>Curitiba</v>
      </c>
    </row>
    <row r="379" spans="1:15" x14ac:dyDescent="0.3">
      <c r="A379" s="10">
        <v>45689</v>
      </c>
      <c r="B379" s="9" t="s">
        <v>21</v>
      </c>
      <c r="C379" t="s">
        <v>228</v>
      </c>
      <c r="D379" s="9">
        <v>19931</v>
      </c>
      <c r="E379" s="5" t="s">
        <v>541</v>
      </c>
      <c r="F379" t="s">
        <v>233</v>
      </c>
      <c r="G379">
        <v>1650</v>
      </c>
      <c r="H379">
        <v>764</v>
      </c>
      <c r="I379" s="8">
        <f t="shared" si="30"/>
        <v>0.46303030303030301</v>
      </c>
      <c r="J379" s="17">
        <v>0.7</v>
      </c>
      <c r="K379" s="12">
        <v>13.75</v>
      </c>
      <c r="L379" s="2">
        <f t="shared" si="33"/>
        <v>391</v>
      </c>
      <c r="M379" s="15">
        <f t="shared" si="31"/>
        <v>5376.25</v>
      </c>
      <c r="N379" t="str">
        <f t="shared" si="28"/>
        <v>BA</v>
      </c>
      <c r="O379" t="str">
        <f t="shared" si="29"/>
        <v>Salvador</v>
      </c>
    </row>
    <row r="380" spans="1:15" x14ac:dyDescent="0.3">
      <c r="A380" s="10">
        <v>45689</v>
      </c>
      <c r="B380" s="9" t="s">
        <v>14</v>
      </c>
      <c r="C380" t="s">
        <v>273</v>
      </c>
      <c r="D380" s="9">
        <v>19937</v>
      </c>
      <c r="E380" s="5" t="s">
        <v>542</v>
      </c>
      <c r="F380" t="s">
        <v>274</v>
      </c>
      <c r="G380">
        <v>1204</v>
      </c>
      <c r="H380">
        <v>584</v>
      </c>
      <c r="I380" s="8">
        <f t="shared" si="30"/>
        <v>0.4850498338870432</v>
      </c>
      <c r="J380" s="17">
        <v>0.7</v>
      </c>
      <c r="K380" s="12">
        <v>13.75</v>
      </c>
      <c r="L380" s="2">
        <f t="shared" si="33"/>
        <v>258.79999999999984</v>
      </c>
      <c r="M380" s="15">
        <f t="shared" si="31"/>
        <v>3558.4999999999977</v>
      </c>
      <c r="N380" t="str">
        <f t="shared" si="28"/>
        <v>MG</v>
      </c>
      <c r="O380" t="str">
        <f t="shared" si="29"/>
        <v>Sete Lagoas</v>
      </c>
    </row>
    <row r="381" spans="1:15" x14ac:dyDescent="0.3">
      <c r="A381" s="10">
        <v>45689</v>
      </c>
      <c r="B381" s="9" t="s">
        <v>46</v>
      </c>
      <c r="C381" t="s">
        <v>102</v>
      </c>
      <c r="D381" s="9">
        <v>19553</v>
      </c>
      <c r="E381" s="5" t="s">
        <v>543</v>
      </c>
      <c r="F381" t="s">
        <v>103</v>
      </c>
      <c r="G381">
        <v>1892</v>
      </c>
      <c r="H381">
        <v>733</v>
      </c>
      <c r="I381" s="8">
        <f t="shared" si="30"/>
        <v>0.38742071881606766</v>
      </c>
      <c r="J381" s="17">
        <v>0.7</v>
      </c>
      <c r="K381" s="12">
        <v>13.75</v>
      </c>
      <c r="L381" s="2">
        <f t="shared" si="33"/>
        <v>591.40000000000009</v>
      </c>
      <c r="M381" s="15">
        <f t="shared" si="31"/>
        <v>8131.7500000000009</v>
      </c>
      <c r="N381" t="str">
        <f t="shared" si="28"/>
        <v>DF</v>
      </c>
      <c r="O381" t="str">
        <f t="shared" si="29"/>
        <v>Guará</v>
      </c>
    </row>
    <row r="382" spans="1:15" x14ac:dyDescent="0.3">
      <c r="A382" s="10">
        <v>45689</v>
      </c>
      <c r="B382" s="9" t="s">
        <v>89</v>
      </c>
      <c r="C382" t="s">
        <v>346</v>
      </c>
      <c r="D382" s="9">
        <v>19946</v>
      </c>
      <c r="E382" s="5" t="s">
        <v>544</v>
      </c>
      <c r="F382" t="s">
        <v>348</v>
      </c>
      <c r="G382">
        <v>731</v>
      </c>
      <c r="H382">
        <v>279</v>
      </c>
      <c r="I382" s="8">
        <f t="shared" si="30"/>
        <v>0.38166894664842682</v>
      </c>
      <c r="J382" s="17">
        <v>0.7</v>
      </c>
      <c r="K382" s="12">
        <v>13.75</v>
      </c>
      <c r="L382" s="2">
        <f t="shared" si="33"/>
        <v>232.69999999999993</v>
      </c>
      <c r="M382" s="15">
        <f t="shared" si="31"/>
        <v>3199.6249999999991</v>
      </c>
      <c r="N382" t="str">
        <f t="shared" si="28"/>
        <v>CE</v>
      </c>
      <c r="O382" t="str">
        <f t="shared" si="29"/>
        <v>Fortaleza</v>
      </c>
    </row>
    <row r="383" spans="1:15" x14ac:dyDescent="0.3">
      <c r="A383" s="10">
        <v>45689</v>
      </c>
      <c r="B383" s="9" t="s">
        <v>140</v>
      </c>
      <c r="C383" t="s">
        <v>141</v>
      </c>
      <c r="D383" s="9">
        <v>19940</v>
      </c>
      <c r="E383" s="5" t="s">
        <v>545</v>
      </c>
      <c r="F383" t="s">
        <v>142</v>
      </c>
      <c r="G383">
        <v>1673</v>
      </c>
      <c r="H383">
        <v>937</v>
      </c>
      <c r="I383" s="8">
        <f t="shared" si="30"/>
        <v>0.56007172743574418</v>
      </c>
      <c r="J383" s="17">
        <v>0.7</v>
      </c>
      <c r="K383" s="12">
        <v>13.75</v>
      </c>
      <c r="L383" s="2">
        <f t="shared" si="33"/>
        <v>234.09999999999991</v>
      </c>
      <c r="M383" s="15">
        <f t="shared" si="31"/>
        <v>3218.8749999999986</v>
      </c>
      <c r="N383" t="str">
        <f t="shared" si="28"/>
        <v>RN</v>
      </c>
      <c r="O383" t="str">
        <f t="shared" si="29"/>
        <v>Natal</v>
      </c>
    </row>
    <row r="384" spans="1:15" x14ac:dyDescent="0.3">
      <c r="A384" s="10">
        <v>45689</v>
      </c>
      <c r="B384" s="9" t="s">
        <v>123</v>
      </c>
      <c r="C384" t="s">
        <v>124</v>
      </c>
      <c r="D384" s="9">
        <v>19945</v>
      </c>
      <c r="E384" s="5" t="s">
        <v>546</v>
      </c>
      <c r="F384" t="s">
        <v>125</v>
      </c>
      <c r="G384">
        <v>1480</v>
      </c>
      <c r="H384">
        <v>1042</v>
      </c>
      <c r="I384" s="8">
        <f t="shared" si="30"/>
        <v>0.70405405405405408</v>
      </c>
      <c r="J384" s="17">
        <v>0.7</v>
      </c>
      <c r="K384" s="12">
        <v>13.75</v>
      </c>
      <c r="L384" s="2">
        <f>G384-H384</f>
        <v>438</v>
      </c>
      <c r="M384" s="15">
        <f t="shared" si="31"/>
        <v>6022.5</v>
      </c>
      <c r="N384" t="str">
        <f t="shared" si="28"/>
        <v>AP</v>
      </c>
      <c r="O384" t="str">
        <f t="shared" si="29"/>
        <v>Macapa</v>
      </c>
    </row>
    <row r="385" spans="1:15" x14ac:dyDescent="0.3">
      <c r="A385" s="10">
        <v>45689</v>
      </c>
      <c r="B385" s="9" t="s">
        <v>21</v>
      </c>
      <c r="C385" t="s">
        <v>228</v>
      </c>
      <c r="D385" s="9">
        <v>19907</v>
      </c>
      <c r="E385" s="5" t="s">
        <v>547</v>
      </c>
      <c r="F385" t="s">
        <v>234</v>
      </c>
      <c r="G385">
        <v>1544</v>
      </c>
      <c r="H385">
        <v>750</v>
      </c>
      <c r="I385" s="8">
        <f t="shared" si="30"/>
        <v>0.48575129533678757</v>
      </c>
      <c r="J385" s="17">
        <v>0.7</v>
      </c>
      <c r="K385" s="12">
        <v>13.75</v>
      </c>
      <c r="L385" s="2">
        <f t="shared" ref="L385:L416" si="34">H385*J385/I385-H385</f>
        <v>330.79999999999995</v>
      </c>
      <c r="M385" s="15">
        <f t="shared" si="31"/>
        <v>4548.4999999999991</v>
      </c>
      <c r="N385" t="str">
        <f t="shared" si="28"/>
        <v>BA</v>
      </c>
      <c r="O385" t="str">
        <f t="shared" si="29"/>
        <v>Salvador</v>
      </c>
    </row>
    <row r="386" spans="1:15" x14ac:dyDescent="0.3">
      <c r="A386" s="10">
        <v>45689</v>
      </c>
      <c r="B386" s="9" t="s">
        <v>15</v>
      </c>
      <c r="C386" t="s">
        <v>145</v>
      </c>
      <c r="D386" s="9">
        <v>19538</v>
      </c>
      <c r="E386" s="5" t="s">
        <v>548</v>
      </c>
      <c r="F386" t="s">
        <v>146</v>
      </c>
      <c r="G386">
        <v>2241</v>
      </c>
      <c r="H386">
        <v>1051</v>
      </c>
      <c r="I386" s="8">
        <f t="shared" si="30"/>
        <v>0.46898705934850515</v>
      </c>
      <c r="J386" s="17">
        <v>0.7</v>
      </c>
      <c r="K386" s="12">
        <v>13.75</v>
      </c>
      <c r="L386" s="2">
        <f t="shared" si="34"/>
        <v>517.69999999999982</v>
      </c>
      <c r="M386" s="15">
        <f t="shared" si="31"/>
        <v>7118.3749999999973</v>
      </c>
      <c r="N386" t="str">
        <f t="shared" ref="N386:N449" si="35">B386</f>
        <v>RJ</v>
      </c>
      <c r="O386" t="str">
        <f t="shared" ref="O386:O449" si="36">C386</f>
        <v>Niterói</v>
      </c>
    </row>
    <row r="387" spans="1:15" x14ac:dyDescent="0.3">
      <c r="A387" s="10">
        <v>45689</v>
      </c>
      <c r="B387" s="9" t="s">
        <v>14</v>
      </c>
      <c r="C387" t="s">
        <v>339</v>
      </c>
      <c r="D387" s="9">
        <v>19932</v>
      </c>
      <c r="E387" s="5" t="s">
        <v>549</v>
      </c>
      <c r="F387" t="s">
        <v>340</v>
      </c>
      <c r="G387">
        <v>912</v>
      </c>
      <c r="H387">
        <v>402</v>
      </c>
      <c r="I387" s="8">
        <f t="shared" ref="I387:I450" si="37">H387/G387</f>
        <v>0.44078947368421051</v>
      </c>
      <c r="J387" s="17">
        <v>0.7</v>
      </c>
      <c r="K387" s="12">
        <v>13.75</v>
      </c>
      <c r="L387" s="2">
        <f t="shared" si="34"/>
        <v>236.39999999999998</v>
      </c>
      <c r="M387" s="15">
        <f t="shared" ref="M387:M450" si="38">L387*K387</f>
        <v>3250.4999999999995</v>
      </c>
      <c r="N387" t="str">
        <f t="shared" si="35"/>
        <v>MG</v>
      </c>
      <c r="O387" t="str">
        <f t="shared" si="36"/>
        <v>Araxa</v>
      </c>
    </row>
    <row r="388" spans="1:15" x14ac:dyDescent="0.3">
      <c r="A388" s="10">
        <v>45689</v>
      </c>
      <c r="B388" s="9" t="s">
        <v>71</v>
      </c>
      <c r="C388" t="s">
        <v>175</v>
      </c>
      <c r="D388" s="9">
        <v>19947</v>
      </c>
      <c r="E388" s="5" t="s">
        <v>550</v>
      </c>
      <c r="F388" t="s">
        <v>180</v>
      </c>
      <c r="G388">
        <v>2327</v>
      </c>
      <c r="H388">
        <v>811</v>
      </c>
      <c r="I388" s="8">
        <f t="shared" si="37"/>
        <v>0.34851740438332618</v>
      </c>
      <c r="J388" s="17">
        <v>0.7</v>
      </c>
      <c r="K388" s="12">
        <v>13.75</v>
      </c>
      <c r="L388" s="2">
        <f t="shared" si="34"/>
        <v>817.89999999999986</v>
      </c>
      <c r="M388" s="15">
        <f t="shared" si="38"/>
        <v>11246.124999999998</v>
      </c>
      <c r="N388" t="str">
        <f t="shared" si="35"/>
        <v>RS</v>
      </c>
      <c r="O388" t="str">
        <f t="shared" si="36"/>
        <v>Porto Alegre</v>
      </c>
    </row>
    <row r="389" spans="1:15" x14ac:dyDescent="0.3">
      <c r="A389" s="10">
        <v>45689</v>
      </c>
      <c r="B389" s="9" t="s">
        <v>14</v>
      </c>
      <c r="C389" t="s">
        <v>114</v>
      </c>
      <c r="D389" s="9">
        <v>19943</v>
      </c>
      <c r="E389" s="5" t="s">
        <v>551</v>
      </c>
      <c r="F389" t="s">
        <v>115</v>
      </c>
      <c r="G389">
        <v>824</v>
      </c>
      <c r="H389">
        <v>355</v>
      </c>
      <c r="I389" s="8">
        <f t="shared" si="37"/>
        <v>0.43082524271844658</v>
      </c>
      <c r="J389" s="17">
        <v>0.7</v>
      </c>
      <c r="K389" s="12">
        <v>13.75</v>
      </c>
      <c r="L389" s="2">
        <f t="shared" si="34"/>
        <v>221.79999999999995</v>
      </c>
      <c r="M389" s="15">
        <f t="shared" si="38"/>
        <v>3049.7499999999995</v>
      </c>
      <c r="N389" t="str">
        <f t="shared" si="35"/>
        <v>MG</v>
      </c>
      <c r="O389" t="str">
        <f t="shared" si="36"/>
        <v>Ituiutaba</v>
      </c>
    </row>
    <row r="390" spans="1:15" x14ac:dyDescent="0.3">
      <c r="A390" s="10">
        <v>45689</v>
      </c>
      <c r="B390" s="9" t="s">
        <v>244</v>
      </c>
      <c r="C390" t="s">
        <v>245</v>
      </c>
      <c r="D390" s="9">
        <v>19617</v>
      </c>
      <c r="E390" s="5" t="s">
        <v>552</v>
      </c>
      <c r="F390" t="s">
        <v>246</v>
      </c>
      <c r="G390">
        <v>3213</v>
      </c>
      <c r="H390">
        <v>1477</v>
      </c>
      <c r="I390" s="8">
        <f t="shared" si="37"/>
        <v>0.45969498910675383</v>
      </c>
      <c r="J390" s="17">
        <v>0.7</v>
      </c>
      <c r="K390" s="12">
        <v>13.75</v>
      </c>
      <c r="L390" s="2">
        <f t="shared" si="34"/>
        <v>772.09999999999945</v>
      </c>
      <c r="M390" s="15">
        <f t="shared" si="38"/>
        <v>10616.374999999993</v>
      </c>
      <c r="N390" t="str">
        <f t="shared" si="35"/>
        <v>MA</v>
      </c>
      <c r="O390" t="str">
        <f t="shared" si="36"/>
        <v>São Luís</v>
      </c>
    </row>
    <row r="391" spans="1:15" x14ac:dyDescent="0.3">
      <c r="A391" s="10">
        <v>45689</v>
      </c>
      <c r="B391" s="9" t="s">
        <v>244</v>
      </c>
      <c r="C391" t="s">
        <v>245</v>
      </c>
      <c r="D391" s="9">
        <v>19595</v>
      </c>
      <c r="E391" s="5" t="s">
        <v>553</v>
      </c>
      <c r="F391" t="s">
        <v>247</v>
      </c>
      <c r="G391">
        <v>3003</v>
      </c>
      <c r="H391">
        <v>1309</v>
      </c>
      <c r="I391" s="8">
        <f t="shared" si="37"/>
        <v>0.4358974358974359</v>
      </c>
      <c r="J391" s="17">
        <v>0.7</v>
      </c>
      <c r="K391" s="12">
        <v>13.75</v>
      </c>
      <c r="L391" s="2">
        <f t="shared" si="34"/>
        <v>793.09999999999991</v>
      </c>
      <c r="M391" s="15">
        <f t="shared" si="38"/>
        <v>10905.124999999998</v>
      </c>
      <c r="N391" t="str">
        <f t="shared" si="35"/>
        <v>MA</v>
      </c>
      <c r="O391" t="str">
        <f t="shared" si="36"/>
        <v>São Luís</v>
      </c>
    </row>
    <row r="392" spans="1:15" x14ac:dyDescent="0.3">
      <c r="A392" s="10">
        <v>45689</v>
      </c>
      <c r="B392" s="9" t="s">
        <v>3</v>
      </c>
      <c r="C392" t="s">
        <v>10</v>
      </c>
      <c r="D392" s="9">
        <v>19948</v>
      </c>
      <c r="E392" s="5" t="s">
        <v>555</v>
      </c>
      <c r="F392" t="s">
        <v>11</v>
      </c>
      <c r="G392">
        <v>652</v>
      </c>
      <c r="H392">
        <v>278</v>
      </c>
      <c r="I392" s="8">
        <f t="shared" si="37"/>
        <v>0.42638036809815949</v>
      </c>
      <c r="J392" s="17">
        <v>0.7</v>
      </c>
      <c r="K392" s="12">
        <v>13.75</v>
      </c>
      <c r="L392" s="2">
        <f t="shared" si="34"/>
        <v>178.40000000000003</v>
      </c>
      <c r="M392" s="15">
        <f t="shared" si="38"/>
        <v>2453.0000000000005</v>
      </c>
      <c r="N392" t="str">
        <f t="shared" si="35"/>
        <v>SP</v>
      </c>
      <c r="O392" t="str">
        <f t="shared" si="36"/>
        <v>Araraquara</v>
      </c>
    </row>
    <row r="393" spans="1:15" x14ac:dyDescent="0.3">
      <c r="A393" s="10">
        <v>45689</v>
      </c>
      <c r="B393" s="9" t="s">
        <v>74</v>
      </c>
      <c r="C393" t="s">
        <v>75</v>
      </c>
      <c r="D393" s="9">
        <v>19798</v>
      </c>
      <c r="E393" s="5" t="s">
        <v>556</v>
      </c>
      <c r="F393" t="s">
        <v>76</v>
      </c>
      <c r="G393">
        <v>2678</v>
      </c>
      <c r="H393">
        <v>1301</v>
      </c>
      <c r="I393" s="8">
        <f t="shared" si="37"/>
        <v>0.48581030619865573</v>
      </c>
      <c r="J393" s="17">
        <v>0.7</v>
      </c>
      <c r="K393" s="12">
        <v>13.75</v>
      </c>
      <c r="L393" s="2">
        <f t="shared" si="34"/>
        <v>573.59999999999991</v>
      </c>
      <c r="M393" s="15">
        <f t="shared" si="38"/>
        <v>7886.9999999999991</v>
      </c>
      <c r="N393" t="str">
        <f t="shared" si="35"/>
        <v>PE</v>
      </c>
      <c r="O393" t="str">
        <f t="shared" si="36"/>
        <v>Caruaru</v>
      </c>
    </row>
    <row r="394" spans="1:15" x14ac:dyDescent="0.3">
      <c r="A394" s="10">
        <v>45689</v>
      </c>
      <c r="B394" s="9" t="s">
        <v>15</v>
      </c>
      <c r="C394" t="s">
        <v>19</v>
      </c>
      <c r="D394" s="9">
        <v>19694</v>
      </c>
      <c r="E394" s="5" t="s">
        <v>557</v>
      </c>
      <c r="F394" t="s">
        <v>20</v>
      </c>
      <c r="G394">
        <v>1296</v>
      </c>
      <c r="H394">
        <v>747</v>
      </c>
      <c r="I394" s="8">
        <f t="shared" si="37"/>
        <v>0.57638888888888884</v>
      </c>
      <c r="J394" s="17">
        <v>0.7</v>
      </c>
      <c r="K394" s="12">
        <v>13.75</v>
      </c>
      <c r="L394" s="2">
        <f t="shared" si="34"/>
        <v>160.20000000000005</v>
      </c>
      <c r="M394" s="15">
        <f t="shared" si="38"/>
        <v>2202.7500000000005</v>
      </c>
      <c r="N394" t="str">
        <f t="shared" si="35"/>
        <v>RJ</v>
      </c>
      <c r="O394" t="str">
        <f t="shared" si="36"/>
        <v>Barra Mansa</v>
      </c>
    </row>
    <row r="395" spans="1:15" x14ac:dyDescent="0.3">
      <c r="A395" s="10">
        <v>45689</v>
      </c>
      <c r="B395" s="9" t="s">
        <v>14</v>
      </c>
      <c r="C395" t="s">
        <v>112</v>
      </c>
      <c r="D395" s="9">
        <v>19951</v>
      </c>
      <c r="E395" s="5" t="s">
        <v>558</v>
      </c>
      <c r="F395" t="s">
        <v>113</v>
      </c>
      <c r="G395">
        <v>1705</v>
      </c>
      <c r="H395">
        <v>709</v>
      </c>
      <c r="I395" s="8">
        <f t="shared" si="37"/>
        <v>0.4158357771260997</v>
      </c>
      <c r="J395" s="17">
        <v>0.7</v>
      </c>
      <c r="K395" s="12">
        <v>13.75</v>
      </c>
      <c r="L395" s="2">
        <f t="shared" si="34"/>
        <v>484.5</v>
      </c>
      <c r="M395" s="15">
        <f t="shared" si="38"/>
        <v>6661.875</v>
      </c>
      <c r="N395" t="str">
        <f t="shared" si="35"/>
        <v>MG</v>
      </c>
      <c r="O395" t="str">
        <f t="shared" si="36"/>
        <v>Ipatinga</v>
      </c>
    </row>
    <row r="396" spans="1:15" x14ac:dyDescent="0.3">
      <c r="A396" s="10">
        <v>45689</v>
      </c>
      <c r="B396" s="9" t="s">
        <v>160</v>
      </c>
      <c r="C396" t="s">
        <v>161</v>
      </c>
      <c r="D396" s="9">
        <v>19954</v>
      </c>
      <c r="E396" s="5" t="s">
        <v>559</v>
      </c>
      <c r="F396" t="s">
        <v>162</v>
      </c>
      <c r="G396">
        <v>698</v>
      </c>
      <c r="H396">
        <v>395</v>
      </c>
      <c r="I396" s="8">
        <f t="shared" si="37"/>
        <v>0.56590257879656158</v>
      </c>
      <c r="J396" s="17">
        <v>0.7</v>
      </c>
      <c r="K396" s="12">
        <v>13.75</v>
      </c>
      <c r="L396" s="2">
        <f t="shared" si="34"/>
        <v>93.600000000000023</v>
      </c>
      <c r="M396" s="15">
        <f t="shared" si="38"/>
        <v>1287.0000000000002</v>
      </c>
      <c r="N396" t="str">
        <f t="shared" si="35"/>
        <v>PI</v>
      </c>
      <c r="O396" t="str">
        <f t="shared" si="36"/>
        <v>Parnaíba</v>
      </c>
    </row>
    <row r="397" spans="1:15" x14ac:dyDescent="0.3">
      <c r="A397" s="10">
        <v>45689</v>
      </c>
      <c r="B397" s="9" t="s">
        <v>14</v>
      </c>
      <c r="C397" t="s">
        <v>351</v>
      </c>
      <c r="D397" s="9">
        <v>19615</v>
      </c>
      <c r="E397" s="5" t="s">
        <v>560</v>
      </c>
      <c r="F397" t="s">
        <v>117</v>
      </c>
      <c r="G397">
        <v>2192</v>
      </c>
      <c r="H397">
        <v>770</v>
      </c>
      <c r="I397" s="8">
        <f t="shared" si="37"/>
        <v>0.35127737226277372</v>
      </c>
      <c r="J397" s="17">
        <v>0.7</v>
      </c>
      <c r="K397" s="12">
        <v>13.75</v>
      </c>
      <c r="L397" s="2">
        <f t="shared" si="34"/>
        <v>764.40000000000009</v>
      </c>
      <c r="M397" s="15">
        <f t="shared" si="38"/>
        <v>10510.500000000002</v>
      </c>
      <c r="N397" t="str">
        <f t="shared" si="35"/>
        <v>MG</v>
      </c>
      <c r="O397" t="str">
        <f t="shared" si="36"/>
        <v>Juiz De Fora</v>
      </c>
    </row>
    <row r="398" spans="1:15" x14ac:dyDescent="0.3">
      <c r="A398" s="10">
        <v>45689</v>
      </c>
      <c r="B398" s="9" t="s">
        <v>46</v>
      </c>
      <c r="C398" t="s">
        <v>47</v>
      </c>
      <c r="D398" s="9">
        <v>19647</v>
      </c>
      <c r="E398" s="5" t="s">
        <v>561</v>
      </c>
      <c r="F398" t="s">
        <v>55</v>
      </c>
      <c r="G398">
        <v>1304</v>
      </c>
      <c r="H398">
        <v>459</v>
      </c>
      <c r="I398" s="8">
        <f t="shared" si="37"/>
        <v>0.35199386503067487</v>
      </c>
      <c r="J398" s="17">
        <v>0.7</v>
      </c>
      <c r="K398" s="12">
        <v>13.75</v>
      </c>
      <c r="L398" s="2">
        <f t="shared" si="34"/>
        <v>453.79999999999984</v>
      </c>
      <c r="M398" s="15">
        <f t="shared" si="38"/>
        <v>6239.7499999999982</v>
      </c>
      <c r="N398" t="str">
        <f t="shared" si="35"/>
        <v>DF</v>
      </c>
      <c r="O398" t="str">
        <f t="shared" si="36"/>
        <v>Brasília</v>
      </c>
    </row>
    <row r="399" spans="1:15" x14ac:dyDescent="0.3">
      <c r="A399" s="10">
        <v>45689</v>
      </c>
      <c r="B399" s="9" t="s">
        <v>46</v>
      </c>
      <c r="C399" t="s">
        <v>47</v>
      </c>
      <c r="D399" s="9">
        <v>19898</v>
      </c>
      <c r="E399" s="5" t="s">
        <v>562</v>
      </c>
      <c r="F399" t="s">
        <v>56</v>
      </c>
      <c r="G399">
        <v>1010</v>
      </c>
      <c r="H399">
        <v>349</v>
      </c>
      <c r="I399" s="8">
        <f t="shared" si="37"/>
        <v>0.34554455445544552</v>
      </c>
      <c r="J399" s="17">
        <v>0.7</v>
      </c>
      <c r="K399" s="12">
        <v>13.75</v>
      </c>
      <c r="L399" s="2">
        <f t="shared" si="34"/>
        <v>358</v>
      </c>
      <c r="M399" s="15">
        <f t="shared" si="38"/>
        <v>4922.5</v>
      </c>
      <c r="N399" t="str">
        <f t="shared" si="35"/>
        <v>DF</v>
      </c>
      <c r="O399" t="str">
        <f t="shared" si="36"/>
        <v>Brasília</v>
      </c>
    </row>
    <row r="400" spans="1:15" x14ac:dyDescent="0.3">
      <c r="A400" s="10">
        <v>45689</v>
      </c>
      <c r="B400" s="9" t="s">
        <v>3</v>
      </c>
      <c r="C400" t="s">
        <v>64</v>
      </c>
      <c r="D400" s="9">
        <v>19616</v>
      </c>
      <c r="E400" s="5" t="s">
        <v>563</v>
      </c>
      <c r="F400" t="s">
        <v>66</v>
      </c>
      <c r="G400">
        <v>2774</v>
      </c>
      <c r="H400">
        <v>1035</v>
      </c>
      <c r="I400" s="8">
        <f t="shared" si="37"/>
        <v>0.37310742609949532</v>
      </c>
      <c r="J400" s="17">
        <v>0.7</v>
      </c>
      <c r="K400" s="12">
        <v>13.75</v>
      </c>
      <c r="L400" s="2">
        <f t="shared" si="34"/>
        <v>906.8</v>
      </c>
      <c r="M400" s="15">
        <f t="shared" si="38"/>
        <v>12468.5</v>
      </c>
      <c r="N400" t="str">
        <f t="shared" si="35"/>
        <v>SP</v>
      </c>
      <c r="O400" t="str">
        <f t="shared" si="36"/>
        <v>Campinas</v>
      </c>
    </row>
    <row r="401" spans="1:15" x14ac:dyDescent="0.3">
      <c r="A401" s="10">
        <v>45689</v>
      </c>
      <c r="B401" s="9" t="s">
        <v>3</v>
      </c>
      <c r="C401" t="s">
        <v>64</v>
      </c>
      <c r="D401" s="9">
        <v>19688</v>
      </c>
      <c r="E401" s="5" t="s">
        <v>564</v>
      </c>
      <c r="F401" t="s">
        <v>67</v>
      </c>
      <c r="G401">
        <v>2230</v>
      </c>
      <c r="H401">
        <v>1027</v>
      </c>
      <c r="I401" s="8">
        <f t="shared" si="37"/>
        <v>0.46053811659192823</v>
      </c>
      <c r="J401" s="17">
        <v>0.7</v>
      </c>
      <c r="K401" s="12">
        <v>13.75</v>
      </c>
      <c r="L401" s="2">
        <f t="shared" si="34"/>
        <v>534</v>
      </c>
      <c r="M401" s="15">
        <f t="shared" si="38"/>
        <v>7342.5</v>
      </c>
      <c r="N401" t="str">
        <f t="shared" si="35"/>
        <v>SP</v>
      </c>
      <c r="O401" t="str">
        <f t="shared" si="36"/>
        <v>Campinas</v>
      </c>
    </row>
    <row r="402" spans="1:15" x14ac:dyDescent="0.3">
      <c r="A402" s="10">
        <v>45689</v>
      </c>
      <c r="B402" s="9" t="s">
        <v>3</v>
      </c>
      <c r="C402" t="s">
        <v>248</v>
      </c>
      <c r="D402" s="9">
        <v>19863</v>
      </c>
      <c r="E402" s="5" t="s">
        <v>566</v>
      </c>
      <c r="F402" t="s">
        <v>268</v>
      </c>
      <c r="G402">
        <v>2228</v>
      </c>
      <c r="H402">
        <v>818</v>
      </c>
      <c r="I402" s="8">
        <f t="shared" si="37"/>
        <v>0.36714542190305205</v>
      </c>
      <c r="J402" s="17">
        <v>0.7</v>
      </c>
      <c r="K402" s="12">
        <v>13.75</v>
      </c>
      <c r="L402" s="2">
        <f t="shared" si="34"/>
        <v>741.59999999999991</v>
      </c>
      <c r="M402" s="15">
        <f t="shared" si="38"/>
        <v>10196.999999999998</v>
      </c>
      <c r="N402" t="str">
        <f t="shared" si="35"/>
        <v>SP</v>
      </c>
      <c r="O402" t="str">
        <f t="shared" si="36"/>
        <v>São Paulo</v>
      </c>
    </row>
    <row r="403" spans="1:15" x14ac:dyDescent="0.3">
      <c r="A403" s="10">
        <v>45689</v>
      </c>
      <c r="B403" s="9" t="s">
        <v>3</v>
      </c>
      <c r="C403" t="s">
        <v>248</v>
      </c>
      <c r="D403" s="9">
        <v>19817</v>
      </c>
      <c r="E403" s="5" t="s">
        <v>567</v>
      </c>
      <c r="F403" t="s">
        <v>269</v>
      </c>
      <c r="G403">
        <v>1312</v>
      </c>
      <c r="H403">
        <v>588</v>
      </c>
      <c r="I403" s="8">
        <f t="shared" si="37"/>
        <v>0.44817073170731708</v>
      </c>
      <c r="J403" s="17">
        <v>0.7</v>
      </c>
      <c r="K403" s="12">
        <v>13.75</v>
      </c>
      <c r="L403" s="2">
        <f t="shared" si="34"/>
        <v>330.39999999999986</v>
      </c>
      <c r="M403" s="15">
        <f t="shared" si="38"/>
        <v>4542.9999999999982</v>
      </c>
      <c r="N403" t="str">
        <f t="shared" si="35"/>
        <v>SP</v>
      </c>
      <c r="O403" t="str">
        <f t="shared" si="36"/>
        <v>São Paulo</v>
      </c>
    </row>
    <row r="404" spans="1:15" x14ac:dyDescent="0.3">
      <c r="A404" s="10">
        <v>45689</v>
      </c>
      <c r="B404" s="9" t="s">
        <v>3</v>
      </c>
      <c r="C404" t="s">
        <v>248</v>
      </c>
      <c r="D404" s="9">
        <v>19866</v>
      </c>
      <c r="E404" s="5" t="s">
        <v>568</v>
      </c>
      <c r="F404" t="s">
        <v>270</v>
      </c>
      <c r="G404">
        <v>1386</v>
      </c>
      <c r="H404">
        <v>526</v>
      </c>
      <c r="I404" s="8">
        <f t="shared" si="37"/>
        <v>0.37950937950937952</v>
      </c>
      <c r="J404" s="17">
        <v>0.7</v>
      </c>
      <c r="K404" s="12">
        <v>13.75</v>
      </c>
      <c r="L404" s="2">
        <f t="shared" si="34"/>
        <v>444.19999999999993</v>
      </c>
      <c r="M404" s="15">
        <f t="shared" si="38"/>
        <v>6107.7499999999991</v>
      </c>
      <c r="N404" t="str">
        <f t="shared" si="35"/>
        <v>SP</v>
      </c>
      <c r="O404" t="str">
        <f t="shared" si="36"/>
        <v>São Paulo</v>
      </c>
    </row>
    <row r="405" spans="1:15" x14ac:dyDescent="0.3">
      <c r="A405" s="10">
        <v>45689</v>
      </c>
      <c r="B405" s="9" t="s">
        <v>15</v>
      </c>
      <c r="C405" t="s">
        <v>171</v>
      </c>
      <c r="D405" s="9">
        <v>19520</v>
      </c>
      <c r="E405" s="5" t="s">
        <v>569</v>
      </c>
      <c r="F405" t="s">
        <v>172</v>
      </c>
      <c r="G405">
        <v>362</v>
      </c>
      <c r="H405">
        <v>195</v>
      </c>
      <c r="I405" s="8">
        <f t="shared" si="37"/>
        <v>0.53867403314917128</v>
      </c>
      <c r="J405" s="17">
        <v>0.7</v>
      </c>
      <c r="K405" s="12">
        <v>13.75</v>
      </c>
      <c r="L405" s="2">
        <f t="shared" si="34"/>
        <v>58.400000000000006</v>
      </c>
      <c r="M405" s="15">
        <f t="shared" si="38"/>
        <v>803.00000000000011</v>
      </c>
      <c r="N405" t="str">
        <f t="shared" si="35"/>
        <v>RJ</v>
      </c>
      <c r="O405" t="str">
        <f t="shared" si="36"/>
        <v>Petrópolis</v>
      </c>
    </row>
    <row r="406" spans="1:15" x14ac:dyDescent="0.3">
      <c r="A406" s="10">
        <v>45689</v>
      </c>
      <c r="B406" s="9" t="s">
        <v>68</v>
      </c>
      <c r="C406" t="s">
        <v>69</v>
      </c>
      <c r="D406" s="9">
        <v>19602</v>
      </c>
      <c r="E406" s="5" t="s">
        <v>570</v>
      </c>
      <c r="F406" t="s">
        <v>70</v>
      </c>
      <c r="G406">
        <v>404</v>
      </c>
      <c r="H406">
        <v>88</v>
      </c>
      <c r="I406" s="8">
        <f t="shared" si="37"/>
        <v>0.21782178217821782</v>
      </c>
      <c r="J406" s="17">
        <v>0.7</v>
      </c>
      <c r="K406" s="12">
        <v>13.75</v>
      </c>
      <c r="L406" s="2">
        <f t="shared" si="34"/>
        <v>194.79999999999995</v>
      </c>
      <c r="M406" s="15">
        <f t="shared" si="38"/>
        <v>2678.4999999999995</v>
      </c>
      <c r="N406" t="str">
        <f t="shared" si="35"/>
        <v>MS</v>
      </c>
      <c r="O406" t="str">
        <f t="shared" si="36"/>
        <v>Campo Grande</v>
      </c>
    </row>
    <row r="407" spans="1:15" x14ac:dyDescent="0.3">
      <c r="A407" s="10">
        <v>45689</v>
      </c>
      <c r="B407" s="9" t="s">
        <v>15</v>
      </c>
      <c r="C407" t="s">
        <v>332</v>
      </c>
      <c r="D407" s="9">
        <v>19679</v>
      </c>
      <c r="E407" s="5" t="s">
        <v>571</v>
      </c>
      <c r="F407" t="s">
        <v>333</v>
      </c>
      <c r="G407">
        <v>1688</v>
      </c>
      <c r="H407">
        <v>765</v>
      </c>
      <c r="I407" s="8">
        <f t="shared" si="37"/>
        <v>0.4531990521327014</v>
      </c>
      <c r="J407" s="17">
        <v>0.7</v>
      </c>
      <c r="K407" s="12">
        <v>13.75</v>
      </c>
      <c r="L407" s="2">
        <f t="shared" si="34"/>
        <v>416.60000000000014</v>
      </c>
      <c r="M407" s="15">
        <f t="shared" si="38"/>
        <v>5728.2500000000018</v>
      </c>
      <c r="N407" t="str">
        <f t="shared" si="35"/>
        <v>RJ</v>
      </c>
      <c r="O407" t="str">
        <f t="shared" si="36"/>
        <v>Macaé</v>
      </c>
    </row>
    <row r="408" spans="1:15" x14ac:dyDescent="0.3">
      <c r="A408" s="10">
        <v>45689</v>
      </c>
      <c r="B408" s="9" t="s">
        <v>59</v>
      </c>
      <c r="C408" t="s">
        <v>104</v>
      </c>
      <c r="D408" s="9">
        <v>19872</v>
      </c>
      <c r="E408" s="5" t="s">
        <v>572</v>
      </c>
      <c r="F408" t="s">
        <v>105</v>
      </c>
      <c r="G408">
        <v>2129</v>
      </c>
      <c r="H408">
        <v>1115</v>
      </c>
      <c r="I408" s="8">
        <f t="shared" si="37"/>
        <v>0.52372005636449037</v>
      </c>
      <c r="J408" s="17">
        <v>0.7</v>
      </c>
      <c r="K408" s="12">
        <v>13.75</v>
      </c>
      <c r="L408" s="2">
        <f t="shared" si="34"/>
        <v>375.29999999999995</v>
      </c>
      <c r="M408" s="15">
        <f t="shared" si="38"/>
        <v>5160.3749999999991</v>
      </c>
      <c r="N408" t="str">
        <f t="shared" si="35"/>
        <v>ES</v>
      </c>
      <c r="O408" t="str">
        <f t="shared" si="36"/>
        <v>Guarapari</v>
      </c>
    </row>
    <row r="409" spans="1:15" x14ac:dyDescent="0.3">
      <c r="A409" s="10">
        <v>45689</v>
      </c>
      <c r="B409" s="9" t="s">
        <v>82</v>
      </c>
      <c r="C409" t="s">
        <v>83</v>
      </c>
      <c r="D409" s="9">
        <v>19547</v>
      </c>
      <c r="E409" s="5" t="s">
        <v>573</v>
      </c>
      <c r="F409" t="s">
        <v>87</v>
      </c>
      <c r="G409">
        <v>2083</v>
      </c>
      <c r="H409">
        <v>585</v>
      </c>
      <c r="I409" s="8">
        <f t="shared" si="37"/>
        <v>0.28084493518963033</v>
      </c>
      <c r="J409" s="17">
        <v>0.7</v>
      </c>
      <c r="K409" s="12">
        <v>13.75</v>
      </c>
      <c r="L409" s="2">
        <f t="shared" si="34"/>
        <v>873.10000000000014</v>
      </c>
      <c r="M409" s="15">
        <f t="shared" si="38"/>
        <v>12005.125000000002</v>
      </c>
      <c r="N409" t="str">
        <f t="shared" si="35"/>
        <v>PR</v>
      </c>
      <c r="O409" t="str">
        <f t="shared" si="36"/>
        <v>Curitiba</v>
      </c>
    </row>
    <row r="410" spans="1:15" x14ac:dyDescent="0.3">
      <c r="A410" s="10">
        <v>45689</v>
      </c>
      <c r="B410" s="9" t="s">
        <v>15</v>
      </c>
      <c r="C410" t="s">
        <v>145</v>
      </c>
      <c r="D410" s="9">
        <v>19513</v>
      </c>
      <c r="E410" s="5" t="s">
        <v>574</v>
      </c>
      <c r="F410" t="s">
        <v>147</v>
      </c>
      <c r="G410">
        <v>2583</v>
      </c>
      <c r="H410">
        <v>852</v>
      </c>
      <c r="I410" s="8">
        <f t="shared" si="37"/>
        <v>0.32984901277584205</v>
      </c>
      <c r="J410" s="17">
        <v>0.7</v>
      </c>
      <c r="K410" s="12">
        <v>13.75</v>
      </c>
      <c r="L410" s="2">
        <f t="shared" si="34"/>
        <v>956.09999999999991</v>
      </c>
      <c r="M410" s="15">
        <f t="shared" si="38"/>
        <v>13146.374999999998</v>
      </c>
      <c r="N410" t="str">
        <f t="shared" si="35"/>
        <v>RJ</v>
      </c>
      <c r="O410" t="str">
        <f t="shared" si="36"/>
        <v>Niterói</v>
      </c>
    </row>
    <row r="411" spans="1:15" x14ac:dyDescent="0.3">
      <c r="A411" s="10">
        <v>45689</v>
      </c>
      <c r="B411" s="9" t="s">
        <v>15</v>
      </c>
      <c r="C411" t="s">
        <v>145</v>
      </c>
      <c r="D411" s="9">
        <v>19525</v>
      </c>
      <c r="E411" s="5" t="s">
        <v>575</v>
      </c>
      <c r="F411" t="s">
        <v>148</v>
      </c>
      <c r="G411">
        <v>3267</v>
      </c>
      <c r="H411">
        <v>1270</v>
      </c>
      <c r="I411" s="8">
        <f t="shared" si="37"/>
        <v>0.38873584328129784</v>
      </c>
      <c r="J411" s="17">
        <v>0.7</v>
      </c>
      <c r="K411" s="12">
        <v>13.75</v>
      </c>
      <c r="L411" s="2">
        <f t="shared" si="34"/>
        <v>1016.9000000000001</v>
      </c>
      <c r="M411" s="15">
        <f t="shared" si="38"/>
        <v>13982.375000000002</v>
      </c>
      <c r="N411" t="str">
        <f t="shared" si="35"/>
        <v>RJ</v>
      </c>
      <c r="O411" t="str">
        <f t="shared" si="36"/>
        <v>Niterói</v>
      </c>
    </row>
    <row r="412" spans="1:15" x14ac:dyDescent="0.3">
      <c r="A412" s="10">
        <v>45689</v>
      </c>
      <c r="B412" s="9" t="s">
        <v>21</v>
      </c>
      <c r="C412" t="s">
        <v>228</v>
      </c>
      <c r="D412" s="9">
        <v>19771</v>
      </c>
      <c r="E412" s="5" t="s">
        <v>576</v>
      </c>
      <c r="F412" t="s">
        <v>235</v>
      </c>
      <c r="G412">
        <v>1433</v>
      </c>
      <c r="H412">
        <v>579</v>
      </c>
      <c r="I412" s="8">
        <f t="shared" si="37"/>
        <v>0.40404745289602234</v>
      </c>
      <c r="J412" s="17">
        <v>0.7</v>
      </c>
      <c r="K412" s="12">
        <v>13.75</v>
      </c>
      <c r="L412" s="2">
        <f t="shared" si="34"/>
        <v>424.09999999999991</v>
      </c>
      <c r="M412" s="15">
        <f t="shared" si="38"/>
        <v>5831.3749999999991</v>
      </c>
      <c r="N412" t="str">
        <f t="shared" si="35"/>
        <v>BA</v>
      </c>
      <c r="O412" t="str">
        <f t="shared" si="36"/>
        <v>Salvador</v>
      </c>
    </row>
    <row r="413" spans="1:15" x14ac:dyDescent="0.3">
      <c r="A413" s="10">
        <v>45689</v>
      </c>
      <c r="B413" s="9" t="s">
        <v>15</v>
      </c>
      <c r="C413" t="s">
        <v>358</v>
      </c>
      <c r="D413" s="9">
        <v>19685</v>
      </c>
      <c r="E413" s="5" t="s">
        <v>359</v>
      </c>
      <c r="F413" t="s">
        <v>198</v>
      </c>
      <c r="G413">
        <v>1344</v>
      </c>
      <c r="H413">
        <v>643</v>
      </c>
      <c r="I413" s="8">
        <f t="shared" si="37"/>
        <v>0.47842261904761907</v>
      </c>
      <c r="J413" s="17">
        <v>0.7</v>
      </c>
      <c r="K413" s="12">
        <v>13.75</v>
      </c>
      <c r="L413" s="2">
        <f t="shared" si="34"/>
        <v>297.79999999999984</v>
      </c>
      <c r="M413" s="15">
        <f t="shared" si="38"/>
        <v>4094.7499999999977</v>
      </c>
      <c r="N413" t="str">
        <f t="shared" si="35"/>
        <v>RJ</v>
      </c>
      <c r="O413" t="str">
        <f t="shared" si="36"/>
        <v>Rio De Janeiro</v>
      </c>
    </row>
    <row r="414" spans="1:15" x14ac:dyDescent="0.3">
      <c r="A414" s="10">
        <v>45717</v>
      </c>
      <c r="B414" s="9" t="s">
        <v>71</v>
      </c>
      <c r="C414" t="s">
        <v>175</v>
      </c>
      <c r="D414" s="9">
        <v>19540</v>
      </c>
      <c r="E414" s="5" t="s">
        <v>370</v>
      </c>
      <c r="F414" t="s">
        <v>176</v>
      </c>
      <c r="G414">
        <v>4390</v>
      </c>
      <c r="H414">
        <v>1755</v>
      </c>
      <c r="I414" s="8">
        <f t="shared" si="37"/>
        <v>0.39977220956719817</v>
      </c>
      <c r="J414" s="17">
        <v>0.7</v>
      </c>
      <c r="K414" s="12">
        <v>13.75</v>
      </c>
      <c r="L414" s="2">
        <f t="shared" si="34"/>
        <v>1318</v>
      </c>
      <c r="M414" s="15">
        <f t="shared" si="38"/>
        <v>18122.5</v>
      </c>
      <c r="N414" t="str">
        <f t="shared" si="35"/>
        <v>RS</v>
      </c>
      <c r="O414" t="str">
        <f t="shared" si="36"/>
        <v>Porto Alegre</v>
      </c>
    </row>
    <row r="415" spans="1:15" x14ac:dyDescent="0.3">
      <c r="A415" s="10">
        <v>45717</v>
      </c>
      <c r="B415" s="9" t="s">
        <v>15</v>
      </c>
      <c r="C415" t="s">
        <v>358</v>
      </c>
      <c r="D415" s="9">
        <v>19521</v>
      </c>
      <c r="E415" s="5" t="s">
        <v>371</v>
      </c>
      <c r="F415" t="s">
        <v>199</v>
      </c>
      <c r="G415">
        <v>3343</v>
      </c>
      <c r="H415">
        <v>1636</v>
      </c>
      <c r="I415" s="8">
        <f t="shared" si="37"/>
        <v>0.48938079569249177</v>
      </c>
      <c r="J415" s="17">
        <v>0.7</v>
      </c>
      <c r="K415" s="12">
        <v>13.75</v>
      </c>
      <c r="L415" s="2">
        <f t="shared" si="34"/>
        <v>704.09999999999945</v>
      </c>
      <c r="M415" s="15">
        <f t="shared" si="38"/>
        <v>9681.3749999999927</v>
      </c>
      <c r="N415" t="str">
        <f t="shared" si="35"/>
        <v>RJ</v>
      </c>
      <c r="O415" t="str">
        <f t="shared" si="36"/>
        <v>Rio De Janeiro</v>
      </c>
    </row>
    <row r="416" spans="1:15" x14ac:dyDescent="0.3">
      <c r="A416" s="10">
        <v>45717</v>
      </c>
      <c r="B416" s="9" t="s">
        <v>6</v>
      </c>
      <c r="C416" t="s">
        <v>236</v>
      </c>
      <c r="D416" s="9">
        <v>19606</v>
      </c>
      <c r="E416" s="5" t="s">
        <v>372</v>
      </c>
      <c r="F416" t="s">
        <v>237</v>
      </c>
      <c r="G416">
        <v>2122</v>
      </c>
      <c r="H416">
        <v>1091</v>
      </c>
      <c r="I416" s="8">
        <f t="shared" si="37"/>
        <v>0.51413760603204528</v>
      </c>
      <c r="J416" s="17">
        <v>0.7</v>
      </c>
      <c r="K416" s="12">
        <v>13.75</v>
      </c>
      <c r="L416" s="2">
        <f t="shared" si="34"/>
        <v>394.39999999999986</v>
      </c>
      <c r="M416" s="15">
        <f t="shared" si="38"/>
        <v>5422.9999999999982</v>
      </c>
      <c r="N416" t="str">
        <f t="shared" si="35"/>
        <v>PA</v>
      </c>
      <c r="O416" t="str">
        <f t="shared" si="36"/>
        <v>Santarém</v>
      </c>
    </row>
    <row r="417" spans="1:15" x14ac:dyDescent="0.3">
      <c r="A417" s="10">
        <v>45717</v>
      </c>
      <c r="B417" s="9" t="s">
        <v>61</v>
      </c>
      <c r="C417" t="s">
        <v>344</v>
      </c>
      <c r="D417" s="9">
        <v>19706</v>
      </c>
      <c r="E417" s="5" t="s">
        <v>373</v>
      </c>
      <c r="F417" t="s">
        <v>77</v>
      </c>
      <c r="G417">
        <v>2873</v>
      </c>
      <c r="H417">
        <v>1113</v>
      </c>
      <c r="I417" s="8">
        <f t="shared" si="37"/>
        <v>0.38739993038635573</v>
      </c>
      <c r="J417" s="17">
        <v>0.7</v>
      </c>
      <c r="K417" s="12">
        <v>13.75</v>
      </c>
      <c r="L417" s="2">
        <f t="shared" ref="L417:L448" si="39">H417*J417/I417-H417</f>
        <v>898.09999999999968</v>
      </c>
      <c r="M417" s="15">
        <f t="shared" si="38"/>
        <v>12348.874999999996</v>
      </c>
      <c r="N417" t="str">
        <f t="shared" si="35"/>
        <v>PB</v>
      </c>
      <c r="O417" t="str">
        <f t="shared" si="36"/>
        <v>Coronel João Pessoa</v>
      </c>
    </row>
    <row r="418" spans="1:15" x14ac:dyDescent="0.3">
      <c r="A418" s="10">
        <v>45717</v>
      </c>
      <c r="B418" s="9" t="s">
        <v>14</v>
      </c>
      <c r="C418" t="s">
        <v>285</v>
      </c>
      <c r="D418" s="9">
        <v>19563</v>
      </c>
      <c r="E418" s="5" t="s">
        <v>374</v>
      </c>
      <c r="F418" t="s">
        <v>286</v>
      </c>
      <c r="G418">
        <v>3266</v>
      </c>
      <c r="H418">
        <v>1188</v>
      </c>
      <c r="I418" s="8">
        <f t="shared" si="37"/>
        <v>0.36374770361298225</v>
      </c>
      <c r="J418" s="17">
        <v>0.7</v>
      </c>
      <c r="K418" s="12">
        <v>13.75</v>
      </c>
      <c r="L418" s="2">
        <f t="shared" si="39"/>
        <v>1098.1999999999998</v>
      </c>
      <c r="M418" s="15">
        <f t="shared" si="38"/>
        <v>15100.249999999998</v>
      </c>
      <c r="N418" t="str">
        <f t="shared" si="35"/>
        <v>MG</v>
      </c>
      <c r="O418" t="str">
        <f t="shared" si="36"/>
        <v>Uberlândia</v>
      </c>
    </row>
    <row r="419" spans="1:15" x14ac:dyDescent="0.3">
      <c r="A419" s="10">
        <v>45717</v>
      </c>
      <c r="B419" s="9" t="s">
        <v>6</v>
      </c>
      <c r="C419" t="s">
        <v>26</v>
      </c>
      <c r="D419" s="9">
        <v>19597</v>
      </c>
      <c r="E419" s="5" t="s">
        <v>375</v>
      </c>
      <c r="F419" t="s">
        <v>27</v>
      </c>
      <c r="G419">
        <v>3212</v>
      </c>
      <c r="H419">
        <v>1611</v>
      </c>
      <c r="I419" s="8">
        <f t="shared" si="37"/>
        <v>0.50155666251556663</v>
      </c>
      <c r="J419" s="17">
        <v>0.7</v>
      </c>
      <c r="K419" s="12">
        <v>13.75</v>
      </c>
      <c r="L419" s="2">
        <f t="shared" si="39"/>
        <v>637.39999999999964</v>
      </c>
      <c r="M419" s="15">
        <f t="shared" si="38"/>
        <v>8764.2499999999945</v>
      </c>
      <c r="N419" t="str">
        <f t="shared" si="35"/>
        <v>PA</v>
      </c>
      <c r="O419" t="str">
        <f t="shared" si="36"/>
        <v>Belém</v>
      </c>
    </row>
    <row r="420" spans="1:15" x14ac:dyDescent="0.3">
      <c r="A420" s="10">
        <v>45717</v>
      </c>
      <c r="B420" s="9" t="s">
        <v>15</v>
      </c>
      <c r="C420" t="s">
        <v>296</v>
      </c>
      <c r="D420" s="9">
        <v>19524</v>
      </c>
      <c r="E420" s="5" t="s">
        <v>376</v>
      </c>
      <c r="F420" t="s">
        <v>297</v>
      </c>
      <c r="G420">
        <v>2483</v>
      </c>
      <c r="H420">
        <v>1066</v>
      </c>
      <c r="I420" s="8">
        <f t="shared" si="37"/>
        <v>0.4293193717277487</v>
      </c>
      <c r="J420" s="17">
        <v>0.7</v>
      </c>
      <c r="K420" s="12">
        <v>13.75</v>
      </c>
      <c r="L420" s="2">
        <f t="shared" si="39"/>
        <v>672.09999999999991</v>
      </c>
      <c r="M420" s="15">
        <f t="shared" si="38"/>
        <v>9241.3749999999982</v>
      </c>
      <c r="N420" t="str">
        <f t="shared" si="35"/>
        <v>RJ</v>
      </c>
      <c r="O420" t="str">
        <f t="shared" si="36"/>
        <v>Volta Redonda</v>
      </c>
    </row>
    <row r="421" spans="1:15" x14ac:dyDescent="0.3">
      <c r="A421" s="10">
        <v>45717</v>
      </c>
      <c r="B421" s="9" t="s">
        <v>15</v>
      </c>
      <c r="C421" t="s">
        <v>151</v>
      </c>
      <c r="D421" s="9">
        <v>19599</v>
      </c>
      <c r="E421" s="5" t="s">
        <v>377</v>
      </c>
      <c r="F421" t="s">
        <v>152</v>
      </c>
      <c r="G421">
        <v>2764</v>
      </c>
      <c r="H421">
        <v>1317</v>
      </c>
      <c r="I421" s="8">
        <f t="shared" si="37"/>
        <v>0.47648335745296672</v>
      </c>
      <c r="J421" s="17">
        <v>0.7</v>
      </c>
      <c r="K421" s="12">
        <v>13.75</v>
      </c>
      <c r="L421" s="2">
        <f t="shared" si="39"/>
        <v>617.79999999999995</v>
      </c>
      <c r="M421" s="15">
        <f t="shared" si="38"/>
        <v>8494.75</v>
      </c>
      <c r="N421" t="str">
        <f t="shared" si="35"/>
        <v>RJ</v>
      </c>
      <c r="O421" t="str">
        <f t="shared" si="36"/>
        <v>Nova Iguaçu</v>
      </c>
    </row>
    <row r="422" spans="1:15" x14ac:dyDescent="0.3">
      <c r="A422" s="10">
        <v>45717</v>
      </c>
      <c r="B422" s="9" t="s">
        <v>160</v>
      </c>
      <c r="C422" t="s">
        <v>279</v>
      </c>
      <c r="D422" s="9">
        <v>19564</v>
      </c>
      <c r="E422" s="5" t="s">
        <v>378</v>
      </c>
      <c r="F422" t="s">
        <v>280</v>
      </c>
      <c r="G422">
        <v>1602</v>
      </c>
      <c r="H422">
        <v>701</v>
      </c>
      <c r="I422" s="8">
        <f t="shared" si="37"/>
        <v>0.43757802746566793</v>
      </c>
      <c r="J422" s="17">
        <v>0.7</v>
      </c>
      <c r="K422" s="12">
        <v>13.75</v>
      </c>
      <c r="L422" s="2">
        <f t="shared" si="39"/>
        <v>420.39999999999986</v>
      </c>
      <c r="M422" s="15">
        <f t="shared" si="38"/>
        <v>5780.4999999999982</v>
      </c>
      <c r="N422" t="str">
        <f t="shared" si="35"/>
        <v>PI</v>
      </c>
      <c r="O422" t="str">
        <f t="shared" si="36"/>
        <v>Teresina</v>
      </c>
    </row>
    <row r="423" spans="1:15" x14ac:dyDescent="0.3">
      <c r="A423" s="10">
        <v>45717</v>
      </c>
      <c r="B423" s="9" t="s">
        <v>15</v>
      </c>
      <c r="C423" t="s">
        <v>358</v>
      </c>
      <c r="D423" s="9">
        <v>19536</v>
      </c>
      <c r="E423" s="5" t="s">
        <v>379</v>
      </c>
      <c r="F423" t="s">
        <v>200</v>
      </c>
      <c r="G423">
        <v>2716</v>
      </c>
      <c r="H423">
        <v>997</v>
      </c>
      <c r="I423" s="8">
        <f t="shared" si="37"/>
        <v>0.36708394698085417</v>
      </c>
      <c r="J423" s="17">
        <v>0.7</v>
      </c>
      <c r="K423" s="12">
        <v>13.75</v>
      </c>
      <c r="L423" s="2">
        <f t="shared" si="39"/>
        <v>904.2</v>
      </c>
      <c r="M423" s="15">
        <f t="shared" si="38"/>
        <v>12432.75</v>
      </c>
      <c r="N423" t="str">
        <f t="shared" si="35"/>
        <v>RJ</v>
      </c>
      <c r="O423" t="str">
        <f t="shared" si="36"/>
        <v>Rio De Janeiro</v>
      </c>
    </row>
    <row r="424" spans="1:15" x14ac:dyDescent="0.3">
      <c r="A424" s="10">
        <v>45717</v>
      </c>
      <c r="B424" s="9" t="s">
        <v>15</v>
      </c>
      <c r="C424" t="s">
        <v>358</v>
      </c>
      <c r="D424" s="9">
        <v>19727</v>
      </c>
      <c r="E424" s="5" t="s">
        <v>380</v>
      </c>
      <c r="F424" t="s">
        <v>201</v>
      </c>
      <c r="G424">
        <v>1857</v>
      </c>
      <c r="H424">
        <v>772</v>
      </c>
      <c r="I424" s="8">
        <f t="shared" si="37"/>
        <v>0.41572428648357568</v>
      </c>
      <c r="J424" s="17">
        <v>0.7</v>
      </c>
      <c r="K424" s="12">
        <v>13.75</v>
      </c>
      <c r="L424" s="2">
        <f t="shared" si="39"/>
        <v>527.89999999999986</v>
      </c>
      <c r="M424" s="15">
        <f t="shared" si="38"/>
        <v>7258.6249999999982</v>
      </c>
      <c r="N424" t="str">
        <f t="shared" si="35"/>
        <v>RJ</v>
      </c>
      <c r="O424" t="str">
        <f t="shared" si="36"/>
        <v>Rio De Janeiro</v>
      </c>
    </row>
    <row r="425" spans="1:15" x14ac:dyDescent="0.3">
      <c r="A425" s="10">
        <v>45717</v>
      </c>
      <c r="B425" s="9" t="s">
        <v>3</v>
      </c>
      <c r="C425" t="s">
        <v>248</v>
      </c>
      <c r="D425" s="9">
        <v>19572</v>
      </c>
      <c r="E425" s="5" t="s">
        <v>381</v>
      </c>
      <c r="F425" t="s">
        <v>249</v>
      </c>
      <c r="G425">
        <v>5244</v>
      </c>
      <c r="H425">
        <v>2144</v>
      </c>
      <c r="I425" s="8">
        <f t="shared" si="37"/>
        <v>0.40884820747520978</v>
      </c>
      <c r="J425" s="17">
        <v>0.7</v>
      </c>
      <c r="K425" s="12">
        <v>13.75</v>
      </c>
      <c r="L425" s="2">
        <f t="shared" si="39"/>
        <v>1526.7999999999997</v>
      </c>
      <c r="M425" s="15">
        <f t="shared" si="38"/>
        <v>20993.499999999996</v>
      </c>
      <c r="N425" t="str">
        <f t="shared" si="35"/>
        <v>SP</v>
      </c>
      <c r="O425" t="str">
        <f t="shared" si="36"/>
        <v>São Paulo</v>
      </c>
    </row>
    <row r="426" spans="1:15" x14ac:dyDescent="0.3">
      <c r="A426" s="10">
        <v>45717</v>
      </c>
      <c r="B426" s="9" t="s">
        <v>3</v>
      </c>
      <c r="C426" t="s">
        <v>167</v>
      </c>
      <c r="D426" s="9">
        <v>19578</v>
      </c>
      <c r="E426" s="5" t="s">
        <v>382</v>
      </c>
      <c r="F426" t="s">
        <v>168</v>
      </c>
      <c r="G426">
        <v>2120</v>
      </c>
      <c r="H426">
        <v>879</v>
      </c>
      <c r="I426" s="8">
        <f t="shared" si="37"/>
        <v>0.41462264150943395</v>
      </c>
      <c r="J426" s="17">
        <v>0.7</v>
      </c>
      <c r="K426" s="12">
        <v>13.75</v>
      </c>
      <c r="L426" s="2">
        <f t="shared" si="39"/>
        <v>605</v>
      </c>
      <c r="M426" s="15">
        <f t="shared" si="38"/>
        <v>8318.75</v>
      </c>
      <c r="N426" t="str">
        <f t="shared" si="35"/>
        <v>SP</v>
      </c>
      <c r="O426" t="str">
        <f t="shared" si="36"/>
        <v>Perdizes</v>
      </c>
    </row>
    <row r="427" spans="1:15" x14ac:dyDescent="0.3">
      <c r="A427" s="10">
        <v>45717</v>
      </c>
      <c r="B427" s="9" t="s">
        <v>3</v>
      </c>
      <c r="C427" t="s">
        <v>248</v>
      </c>
      <c r="D427" s="9">
        <v>19774</v>
      </c>
      <c r="E427" s="5" t="s">
        <v>383</v>
      </c>
      <c r="F427" t="s">
        <v>250</v>
      </c>
      <c r="G427">
        <v>3934</v>
      </c>
      <c r="H427">
        <v>1337</v>
      </c>
      <c r="I427" s="8">
        <f t="shared" si="37"/>
        <v>0.33985765124555162</v>
      </c>
      <c r="J427" s="17">
        <v>0.7</v>
      </c>
      <c r="K427" s="12">
        <v>13.75</v>
      </c>
      <c r="L427" s="2">
        <f t="shared" si="39"/>
        <v>1416.7999999999997</v>
      </c>
      <c r="M427" s="15">
        <f t="shared" si="38"/>
        <v>19480.999999999996</v>
      </c>
      <c r="N427" t="str">
        <f t="shared" si="35"/>
        <v>SP</v>
      </c>
      <c r="O427" t="str">
        <f t="shared" si="36"/>
        <v>São Paulo</v>
      </c>
    </row>
    <row r="428" spans="1:15" x14ac:dyDescent="0.3">
      <c r="A428" s="10">
        <v>45717</v>
      </c>
      <c r="B428" s="9" t="s">
        <v>46</v>
      </c>
      <c r="C428" t="s">
        <v>47</v>
      </c>
      <c r="D428" s="9">
        <v>19551</v>
      </c>
      <c r="E428" s="5" t="s">
        <v>384</v>
      </c>
      <c r="F428" t="s">
        <v>48</v>
      </c>
      <c r="G428">
        <v>2965</v>
      </c>
      <c r="H428">
        <v>1167</v>
      </c>
      <c r="I428" s="8">
        <f t="shared" si="37"/>
        <v>0.39359190556492413</v>
      </c>
      <c r="J428" s="17">
        <v>0.7</v>
      </c>
      <c r="K428" s="12">
        <v>13.75</v>
      </c>
      <c r="L428" s="2">
        <f t="shared" si="39"/>
        <v>908.5</v>
      </c>
      <c r="M428" s="15">
        <f t="shared" si="38"/>
        <v>12491.875</v>
      </c>
      <c r="N428" t="str">
        <f t="shared" si="35"/>
        <v>DF</v>
      </c>
      <c r="O428" t="str">
        <f t="shared" si="36"/>
        <v>Brasília</v>
      </c>
    </row>
    <row r="429" spans="1:15" x14ac:dyDescent="0.3">
      <c r="A429" s="10">
        <v>45717</v>
      </c>
      <c r="B429" s="9" t="s">
        <v>15</v>
      </c>
      <c r="C429" t="s">
        <v>151</v>
      </c>
      <c r="D429" s="9">
        <v>19596</v>
      </c>
      <c r="E429" s="5" t="s">
        <v>385</v>
      </c>
      <c r="F429" t="s">
        <v>153</v>
      </c>
      <c r="G429">
        <v>2590</v>
      </c>
      <c r="H429">
        <v>1030</v>
      </c>
      <c r="I429" s="8">
        <f t="shared" si="37"/>
        <v>0.39768339768339767</v>
      </c>
      <c r="J429" s="17">
        <v>0.7</v>
      </c>
      <c r="K429" s="12">
        <v>13.75</v>
      </c>
      <c r="L429" s="2">
        <f t="shared" si="39"/>
        <v>783</v>
      </c>
      <c r="M429" s="15">
        <f t="shared" si="38"/>
        <v>10766.25</v>
      </c>
      <c r="N429" t="str">
        <f t="shared" si="35"/>
        <v>RJ</v>
      </c>
      <c r="O429" t="str">
        <f t="shared" si="36"/>
        <v>Nova Iguaçu</v>
      </c>
    </row>
    <row r="430" spans="1:15" x14ac:dyDescent="0.3">
      <c r="A430" s="10">
        <v>45717</v>
      </c>
      <c r="B430" s="9" t="s">
        <v>15</v>
      </c>
      <c r="C430" t="s">
        <v>358</v>
      </c>
      <c r="D430" s="9">
        <v>19618</v>
      </c>
      <c r="E430" s="5" t="s">
        <v>386</v>
      </c>
      <c r="F430" t="s">
        <v>202</v>
      </c>
      <c r="G430">
        <v>2806</v>
      </c>
      <c r="H430">
        <v>1180</v>
      </c>
      <c r="I430" s="8">
        <f t="shared" si="37"/>
        <v>0.42052744119743407</v>
      </c>
      <c r="J430" s="17">
        <v>0.7</v>
      </c>
      <c r="K430" s="12">
        <v>13.75</v>
      </c>
      <c r="L430" s="2">
        <f t="shared" si="39"/>
        <v>784.2</v>
      </c>
      <c r="M430" s="15">
        <f t="shared" si="38"/>
        <v>10782.75</v>
      </c>
      <c r="N430" t="str">
        <f t="shared" si="35"/>
        <v>RJ</v>
      </c>
      <c r="O430" t="str">
        <f t="shared" si="36"/>
        <v>Rio De Janeiro</v>
      </c>
    </row>
    <row r="431" spans="1:15" x14ac:dyDescent="0.3">
      <c r="A431" s="10">
        <v>45717</v>
      </c>
      <c r="B431" s="9" t="s">
        <v>21</v>
      </c>
      <c r="C431" t="s">
        <v>22</v>
      </c>
      <c r="D431" s="9">
        <v>19741</v>
      </c>
      <c r="E431" s="5" t="s">
        <v>387</v>
      </c>
      <c r="F431" t="s">
        <v>23</v>
      </c>
      <c r="G431">
        <v>1839</v>
      </c>
      <c r="H431">
        <v>957</v>
      </c>
      <c r="I431" s="8">
        <f t="shared" si="37"/>
        <v>0.52039151712887444</v>
      </c>
      <c r="J431" s="17">
        <v>0.7</v>
      </c>
      <c r="K431" s="12">
        <v>13.75</v>
      </c>
      <c r="L431" s="2">
        <f t="shared" si="39"/>
        <v>330.29999999999973</v>
      </c>
      <c r="M431" s="15">
        <f t="shared" si="38"/>
        <v>4541.6249999999964</v>
      </c>
      <c r="N431" t="str">
        <f t="shared" si="35"/>
        <v>BA</v>
      </c>
      <c r="O431" t="str">
        <f t="shared" si="36"/>
        <v>Barreiras</v>
      </c>
    </row>
    <row r="432" spans="1:15" x14ac:dyDescent="0.3">
      <c r="A432" s="10">
        <v>45717</v>
      </c>
      <c r="B432" s="9" t="s">
        <v>74</v>
      </c>
      <c r="C432" t="s">
        <v>169</v>
      </c>
      <c r="D432" s="9">
        <v>19897</v>
      </c>
      <c r="E432" s="5" t="s">
        <v>388</v>
      </c>
      <c r="F432" t="s">
        <v>170</v>
      </c>
      <c r="G432">
        <v>2003</v>
      </c>
      <c r="H432">
        <v>899</v>
      </c>
      <c r="I432" s="8">
        <f t="shared" si="37"/>
        <v>0.4488267598602097</v>
      </c>
      <c r="J432" s="17">
        <v>0.7</v>
      </c>
      <c r="K432" s="12">
        <v>13.75</v>
      </c>
      <c r="L432" s="2">
        <f t="shared" si="39"/>
        <v>503.09999999999991</v>
      </c>
      <c r="M432" s="15">
        <f t="shared" si="38"/>
        <v>6917.6249999999991</v>
      </c>
      <c r="N432" t="str">
        <f t="shared" si="35"/>
        <v>PE</v>
      </c>
      <c r="O432" t="str">
        <f t="shared" si="36"/>
        <v>Petrolina</v>
      </c>
    </row>
    <row r="433" spans="1:15" x14ac:dyDescent="0.3">
      <c r="A433" s="10">
        <v>45717</v>
      </c>
      <c r="B433" s="9" t="s">
        <v>61</v>
      </c>
      <c r="C433" t="s">
        <v>62</v>
      </c>
      <c r="D433" s="9">
        <v>19633</v>
      </c>
      <c r="E433" s="5" t="s">
        <v>389</v>
      </c>
      <c r="F433" t="s">
        <v>63</v>
      </c>
      <c r="G433">
        <v>2186</v>
      </c>
      <c r="H433">
        <v>1191</v>
      </c>
      <c r="I433" s="8">
        <f t="shared" si="37"/>
        <v>0.54483074107959739</v>
      </c>
      <c r="J433" s="17">
        <v>0.7</v>
      </c>
      <c r="K433" s="12">
        <v>13.75</v>
      </c>
      <c r="L433" s="2">
        <f t="shared" si="39"/>
        <v>339.20000000000005</v>
      </c>
      <c r="M433" s="15">
        <f t="shared" si="38"/>
        <v>4664.0000000000009</v>
      </c>
      <c r="N433" t="str">
        <f t="shared" si="35"/>
        <v>PB</v>
      </c>
      <c r="O433" t="str">
        <f t="shared" si="36"/>
        <v>Campina Grande</v>
      </c>
    </row>
    <row r="434" spans="1:15" x14ac:dyDescent="0.3">
      <c r="A434" s="10">
        <v>45717</v>
      </c>
      <c r="B434" s="9" t="s">
        <v>6</v>
      </c>
      <c r="C434" t="s">
        <v>26</v>
      </c>
      <c r="D434" s="9">
        <v>19622</v>
      </c>
      <c r="E434" s="5" t="s">
        <v>390</v>
      </c>
      <c r="F434" t="s">
        <v>28</v>
      </c>
      <c r="G434">
        <v>1952</v>
      </c>
      <c r="H434">
        <v>1130</v>
      </c>
      <c r="I434" s="8">
        <f t="shared" si="37"/>
        <v>0.57889344262295084</v>
      </c>
      <c r="J434" s="17">
        <v>0.7</v>
      </c>
      <c r="K434" s="12">
        <v>13.75</v>
      </c>
      <c r="L434" s="2">
        <f t="shared" si="39"/>
        <v>236.39999999999986</v>
      </c>
      <c r="M434" s="15">
        <f t="shared" si="38"/>
        <v>3250.4999999999982</v>
      </c>
      <c r="N434" t="str">
        <f t="shared" si="35"/>
        <v>PA</v>
      </c>
      <c r="O434" t="str">
        <f t="shared" si="36"/>
        <v>Belém</v>
      </c>
    </row>
    <row r="435" spans="1:15" x14ac:dyDescent="0.3">
      <c r="A435" s="10">
        <v>45717</v>
      </c>
      <c r="B435" s="9" t="s">
        <v>46</v>
      </c>
      <c r="C435" t="s">
        <v>47</v>
      </c>
      <c r="D435" s="9">
        <v>19666</v>
      </c>
      <c r="E435" s="5" t="s">
        <v>391</v>
      </c>
      <c r="F435" t="s">
        <v>624</v>
      </c>
      <c r="G435">
        <v>2835</v>
      </c>
      <c r="H435">
        <v>973</v>
      </c>
      <c r="I435" s="8">
        <f t="shared" si="37"/>
        <v>0.34320987654320989</v>
      </c>
      <c r="J435" s="17">
        <v>0.7</v>
      </c>
      <c r="K435" s="12">
        <v>13.75</v>
      </c>
      <c r="L435" s="2">
        <f t="shared" si="39"/>
        <v>1011.4999999999995</v>
      </c>
      <c r="M435" s="15">
        <f t="shared" si="38"/>
        <v>13908.124999999995</v>
      </c>
      <c r="N435" t="str">
        <f t="shared" si="35"/>
        <v>DF</v>
      </c>
      <c r="O435" t="str">
        <f t="shared" si="36"/>
        <v>Brasília</v>
      </c>
    </row>
    <row r="436" spans="1:15" x14ac:dyDescent="0.3">
      <c r="A436" s="10">
        <v>45717</v>
      </c>
      <c r="B436" s="9" t="s">
        <v>15</v>
      </c>
      <c r="C436" t="s">
        <v>358</v>
      </c>
      <c r="D436" s="9">
        <v>19632</v>
      </c>
      <c r="E436" s="5" t="s">
        <v>392</v>
      </c>
      <c r="F436" t="s">
        <v>203</v>
      </c>
      <c r="G436">
        <v>2625</v>
      </c>
      <c r="H436">
        <v>1076</v>
      </c>
      <c r="I436" s="8">
        <f t="shared" si="37"/>
        <v>0.40990476190476188</v>
      </c>
      <c r="J436" s="17">
        <v>0.7</v>
      </c>
      <c r="K436" s="12">
        <v>13.75</v>
      </c>
      <c r="L436" s="2">
        <f t="shared" si="39"/>
        <v>761.5</v>
      </c>
      <c r="M436" s="15">
        <f t="shared" si="38"/>
        <v>10470.625</v>
      </c>
      <c r="N436" t="str">
        <f t="shared" si="35"/>
        <v>RJ</v>
      </c>
      <c r="O436" t="str">
        <f t="shared" si="36"/>
        <v>Rio De Janeiro</v>
      </c>
    </row>
    <row r="437" spans="1:15" x14ac:dyDescent="0.3">
      <c r="A437" s="10">
        <v>45717</v>
      </c>
      <c r="B437" s="9" t="s">
        <v>46</v>
      </c>
      <c r="C437" t="s">
        <v>47</v>
      </c>
      <c r="D437" s="9">
        <v>19552</v>
      </c>
      <c r="E437" s="5" t="s">
        <v>393</v>
      </c>
      <c r="F437" t="s">
        <v>50</v>
      </c>
      <c r="G437">
        <v>3547</v>
      </c>
      <c r="H437">
        <v>1459</v>
      </c>
      <c r="I437" s="8">
        <f t="shared" si="37"/>
        <v>0.41133352128559347</v>
      </c>
      <c r="J437" s="17">
        <v>0.7</v>
      </c>
      <c r="K437" s="12">
        <v>13.75</v>
      </c>
      <c r="L437" s="2">
        <f t="shared" si="39"/>
        <v>1023.8999999999996</v>
      </c>
      <c r="M437" s="15">
        <f t="shared" si="38"/>
        <v>14078.624999999995</v>
      </c>
      <c r="N437" t="str">
        <f t="shared" si="35"/>
        <v>DF</v>
      </c>
      <c r="O437" t="str">
        <f t="shared" si="36"/>
        <v>Brasília</v>
      </c>
    </row>
    <row r="438" spans="1:15" x14ac:dyDescent="0.3">
      <c r="A438" s="10">
        <v>45717</v>
      </c>
      <c r="B438" s="9" t="s">
        <v>15</v>
      </c>
      <c r="C438" t="s">
        <v>191</v>
      </c>
      <c r="D438" s="9">
        <v>19636</v>
      </c>
      <c r="E438" s="5" t="s">
        <v>394</v>
      </c>
      <c r="F438" t="s">
        <v>192</v>
      </c>
      <c r="G438">
        <v>2210</v>
      </c>
      <c r="H438">
        <v>899</v>
      </c>
      <c r="I438" s="8">
        <f t="shared" si="37"/>
        <v>0.40678733031674208</v>
      </c>
      <c r="J438" s="17">
        <v>0.7</v>
      </c>
      <c r="K438" s="12">
        <v>13.75</v>
      </c>
      <c r="L438" s="2">
        <f t="shared" si="39"/>
        <v>648</v>
      </c>
      <c r="M438" s="15">
        <f t="shared" si="38"/>
        <v>8910</v>
      </c>
      <c r="N438" t="str">
        <f t="shared" si="35"/>
        <v>RJ</v>
      </c>
      <c r="O438" t="str">
        <f t="shared" si="36"/>
        <v>Resende</v>
      </c>
    </row>
    <row r="439" spans="1:15" x14ac:dyDescent="0.3">
      <c r="A439" s="10">
        <v>45717</v>
      </c>
      <c r="B439" s="9" t="s">
        <v>74</v>
      </c>
      <c r="C439" t="s">
        <v>186</v>
      </c>
      <c r="D439" s="9">
        <v>19649</v>
      </c>
      <c r="E439" s="5" t="s">
        <v>395</v>
      </c>
      <c r="F439" t="s">
        <v>187</v>
      </c>
      <c r="G439">
        <v>3235</v>
      </c>
      <c r="H439">
        <v>1401</v>
      </c>
      <c r="I439" s="8">
        <f t="shared" si="37"/>
        <v>0.43307573415765072</v>
      </c>
      <c r="J439" s="17">
        <v>0.7</v>
      </c>
      <c r="K439" s="12">
        <v>13.75</v>
      </c>
      <c r="L439" s="2">
        <f t="shared" si="39"/>
        <v>863.49999999999955</v>
      </c>
      <c r="M439" s="15">
        <f t="shared" si="38"/>
        <v>11873.124999999995</v>
      </c>
      <c r="N439" t="str">
        <f t="shared" si="35"/>
        <v>PE</v>
      </c>
      <c r="O439" t="str">
        <f t="shared" si="36"/>
        <v>Recife</v>
      </c>
    </row>
    <row r="440" spans="1:15" x14ac:dyDescent="0.3">
      <c r="A440" s="10">
        <v>45717</v>
      </c>
      <c r="B440" s="9" t="s">
        <v>74</v>
      </c>
      <c r="C440" t="s">
        <v>186</v>
      </c>
      <c r="D440" s="9">
        <v>19601</v>
      </c>
      <c r="E440" s="5" t="s">
        <v>396</v>
      </c>
      <c r="F440" t="s">
        <v>188</v>
      </c>
      <c r="G440">
        <v>2902</v>
      </c>
      <c r="H440">
        <v>1186</v>
      </c>
      <c r="I440" s="8">
        <f t="shared" si="37"/>
        <v>0.40868366643694004</v>
      </c>
      <c r="J440" s="17">
        <v>0.7</v>
      </c>
      <c r="K440" s="12">
        <v>13.75</v>
      </c>
      <c r="L440" s="2">
        <f t="shared" si="39"/>
        <v>845.39999999999986</v>
      </c>
      <c r="M440" s="15">
        <f t="shared" si="38"/>
        <v>11624.249999999998</v>
      </c>
      <c r="N440" t="str">
        <f t="shared" si="35"/>
        <v>PE</v>
      </c>
      <c r="O440" t="str">
        <f t="shared" si="36"/>
        <v>Recife</v>
      </c>
    </row>
    <row r="441" spans="1:15" x14ac:dyDescent="0.3">
      <c r="A441" s="10">
        <v>45717</v>
      </c>
      <c r="B441" s="9" t="s">
        <v>74</v>
      </c>
      <c r="C441" t="s">
        <v>186</v>
      </c>
      <c r="D441" s="9">
        <v>19565</v>
      </c>
      <c r="E441" s="5" t="s">
        <v>397</v>
      </c>
      <c r="F441" t="s">
        <v>189</v>
      </c>
      <c r="G441">
        <v>2937</v>
      </c>
      <c r="H441">
        <v>1018</v>
      </c>
      <c r="I441" s="8">
        <f t="shared" si="37"/>
        <v>0.34661218930881854</v>
      </c>
      <c r="J441" s="17">
        <v>0.7</v>
      </c>
      <c r="K441" s="12">
        <v>13.75</v>
      </c>
      <c r="L441" s="2">
        <f t="shared" si="39"/>
        <v>1037.8999999999996</v>
      </c>
      <c r="M441" s="15">
        <f t="shared" si="38"/>
        <v>14271.124999999995</v>
      </c>
      <c r="N441" t="str">
        <f t="shared" si="35"/>
        <v>PE</v>
      </c>
      <c r="O441" t="str">
        <f t="shared" si="36"/>
        <v>Recife</v>
      </c>
    </row>
    <row r="442" spans="1:15" x14ac:dyDescent="0.3">
      <c r="A442" s="10">
        <v>45717</v>
      </c>
      <c r="B442" s="9" t="s">
        <v>74</v>
      </c>
      <c r="C442" t="s">
        <v>186</v>
      </c>
      <c r="D442" s="9">
        <v>19654</v>
      </c>
      <c r="E442" s="5" t="s">
        <v>398</v>
      </c>
      <c r="F442" t="s">
        <v>190</v>
      </c>
      <c r="G442">
        <v>2353</v>
      </c>
      <c r="H442">
        <v>798</v>
      </c>
      <c r="I442" s="8">
        <f t="shared" si="37"/>
        <v>0.33914152146196347</v>
      </c>
      <c r="J442" s="17">
        <v>0.7</v>
      </c>
      <c r="K442" s="12">
        <v>13.75</v>
      </c>
      <c r="L442" s="2">
        <f t="shared" si="39"/>
        <v>849.09999999999968</v>
      </c>
      <c r="M442" s="15">
        <f t="shared" si="38"/>
        <v>11675.124999999996</v>
      </c>
      <c r="N442" t="str">
        <f t="shared" si="35"/>
        <v>PE</v>
      </c>
      <c r="O442" t="str">
        <f t="shared" si="36"/>
        <v>Recife</v>
      </c>
    </row>
    <row r="443" spans="1:15" x14ac:dyDescent="0.3">
      <c r="A443" s="10">
        <v>45717</v>
      </c>
      <c r="B443" s="9" t="s">
        <v>74</v>
      </c>
      <c r="C443" t="s">
        <v>350</v>
      </c>
      <c r="D443" s="9">
        <v>19624</v>
      </c>
      <c r="E443" s="5" t="s">
        <v>399</v>
      </c>
      <c r="F443" t="s">
        <v>116</v>
      </c>
      <c r="G443">
        <v>1854</v>
      </c>
      <c r="H443">
        <v>712</v>
      </c>
      <c r="I443" s="8">
        <f t="shared" si="37"/>
        <v>0.38403451995685006</v>
      </c>
      <c r="J443" s="17">
        <v>0.7</v>
      </c>
      <c r="K443" s="12">
        <v>13.75</v>
      </c>
      <c r="L443" s="2">
        <f t="shared" si="39"/>
        <v>585.79999999999995</v>
      </c>
      <c r="M443" s="15">
        <f t="shared" si="38"/>
        <v>8054.7499999999991</v>
      </c>
      <c r="N443" t="str">
        <f t="shared" si="35"/>
        <v>PE</v>
      </c>
      <c r="O443" t="str">
        <f t="shared" si="36"/>
        <v>Jaboatão Dos Guararapes</v>
      </c>
    </row>
    <row r="444" spans="1:15" x14ac:dyDescent="0.3">
      <c r="A444" s="10">
        <v>45717</v>
      </c>
      <c r="B444" s="9" t="s">
        <v>15</v>
      </c>
      <c r="C444" t="s">
        <v>143</v>
      </c>
      <c r="D444" s="9">
        <v>19648</v>
      </c>
      <c r="E444" s="5" t="s">
        <v>400</v>
      </c>
      <c r="F444" t="s">
        <v>144</v>
      </c>
      <c r="G444">
        <v>2073</v>
      </c>
      <c r="H444">
        <v>625</v>
      </c>
      <c r="I444" s="8">
        <f t="shared" si="37"/>
        <v>0.30149541726965751</v>
      </c>
      <c r="J444" s="17">
        <v>0.7</v>
      </c>
      <c r="K444" s="12">
        <v>13.75</v>
      </c>
      <c r="L444" s="2">
        <f t="shared" si="39"/>
        <v>826.09999999999991</v>
      </c>
      <c r="M444" s="15">
        <f t="shared" si="38"/>
        <v>11358.874999999998</v>
      </c>
      <c r="N444" t="str">
        <f t="shared" si="35"/>
        <v>RJ</v>
      </c>
      <c r="O444" t="str">
        <f t="shared" si="36"/>
        <v>Nilópolis</v>
      </c>
    </row>
    <row r="445" spans="1:15" x14ac:dyDescent="0.3">
      <c r="A445" s="10">
        <v>45717</v>
      </c>
      <c r="B445" s="9" t="s">
        <v>15</v>
      </c>
      <c r="C445" t="s">
        <v>57</v>
      </c>
      <c r="D445" s="9">
        <v>19657</v>
      </c>
      <c r="E445" s="5" t="s">
        <v>401</v>
      </c>
      <c r="F445" t="s">
        <v>58</v>
      </c>
      <c r="G445">
        <v>1821</v>
      </c>
      <c r="H445">
        <v>819</v>
      </c>
      <c r="I445" s="8">
        <f t="shared" si="37"/>
        <v>0.44975288303130151</v>
      </c>
      <c r="J445" s="17">
        <v>0.7</v>
      </c>
      <c r="K445" s="12">
        <v>13.75</v>
      </c>
      <c r="L445" s="2">
        <f t="shared" si="39"/>
        <v>455.69999999999982</v>
      </c>
      <c r="M445" s="15">
        <f t="shared" si="38"/>
        <v>6265.8749999999973</v>
      </c>
      <c r="N445" t="str">
        <f t="shared" si="35"/>
        <v>RJ</v>
      </c>
      <c r="O445" t="str">
        <f t="shared" si="36"/>
        <v>Cabo Frio</v>
      </c>
    </row>
    <row r="446" spans="1:15" x14ac:dyDescent="0.3">
      <c r="A446" s="10">
        <v>45717</v>
      </c>
      <c r="B446" s="9" t="s">
        <v>74</v>
      </c>
      <c r="C446" t="s">
        <v>186</v>
      </c>
      <c r="D446" s="9">
        <v>19658</v>
      </c>
      <c r="E446" s="5" t="s">
        <v>402</v>
      </c>
      <c r="F446" t="s">
        <v>357</v>
      </c>
      <c r="G446">
        <v>1886</v>
      </c>
      <c r="H446">
        <v>802</v>
      </c>
      <c r="I446" s="8">
        <f t="shared" si="37"/>
        <v>0.42523860021208909</v>
      </c>
      <c r="J446" s="17">
        <v>0.7</v>
      </c>
      <c r="K446" s="12">
        <v>13.75</v>
      </c>
      <c r="L446" s="2">
        <f t="shared" si="39"/>
        <v>518.19999999999982</v>
      </c>
      <c r="M446" s="15">
        <f t="shared" si="38"/>
        <v>7125.2499999999973</v>
      </c>
      <c r="N446" t="str">
        <f t="shared" si="35"/>
        <v>PE</v>
      </c>
      <c r="O446" t="str">
        <f t="shared" si="36"/>
        <v>Recife</v>
      </c>
    </row>
    <row r="447" spans="1:15" x14ac:dyDescent="0.3">
      <c r="A447" s="10">
        <v>45717</v>
      </c>
      <c r="B447" s="9" t="s">
        <v>82</v>
      </c>
      <c r="C447" t="s">
        <v>119</v>
      </c>
      <c r="D447" s="9">
        <v>19661</v>
      </c>
      <c r="E447" s="5" t="s">
        <v>403</v>
      </c>
      <c r="F447" t="s">
        <v>120</v>
      </c>
      <c r="G447">
        <v>3266</v>
      </c>
      <c r="H447">
        <v>1144</v>
      </c>
      <c r="I447" s="8">
        <f t="shared" si="37"/>
        <v>0.35027556644213104</v>
      </c>
      <c r="J447" s="17">
        <v>0.7</v>
      </c>
      <c r="K447" s="12">
        <v>13.75</v>
      </c>
      <c r="L447" s="2">
        <f t="shared" si="39"/>
        <v>1142.1999999999998</v>
      </c>
      <c r="M447" s="15">
        <f t="shared" si="38"/>
        <v>15705.249999999998</v>
      </c>
      <c r="N447" t="str">
        <f t="shared" si="35"/>
        <v>PR</v>
      </c>
      <c r="O447" t="str">
        <f t="shared" si="36"/>
        <v>Londrina</v>
      </c>
    </row>
    <row r="448" spans="1:15" x14ac:dyDescent="0.3">
      <c r="A448" s="10">
        <v>45717</v>
      </c>
      <c r="B448" s="9" t="s">
        <v>183</v>
      </c>
      <c r="C448" t="s">
        <v>184</v>
      </c>
      <c r="D448" s="9">
        <v>19752</v>
      </c>
      <c r="E448" s="5" t="s">
        <v>404</v>
      </c>
      <c r="F448" t="s">
        <v>185</v>
      </c>
      <c r="G448">
        <v>1465</v>
      </c>
      <c r="H448">
        <v>767</v>
      </c>
      <c r="I448" s="8">
        <f t="shared" si="37"/>
        <v>0.52354948805460755</v>
      </c>
      <c r="J448" s="17">
        <v>0.7</v>
      </c>
      <c r="K448" s="12">
        <v>13.75</v>
      </c>
      <c r="L448" s="2">
        <f t="shared" si="39"/>
        <v>258.49999999999977</v>
      </c>
      <c r="M448" s="15">
        <f t="shared" si="38"/>
        <v>3554.3749999999968</v>
      </c>
      <c r="N448" t="str">
        <f t="shared" si="35"/>
        <v>RO</v>
      </c>
      <c r="O448" t="str">
        <f t="shared" si="36"/>
        <v>Porto Velho</v>
      </c>
    </row>
    <row r="449" spans="1:15" x14ac:dyDescent="0.3">
      <c r="A449" s="10">
        <v>45717</v>
      </c>
      <c r="B449" s="9" t="s">
        <v>15</v>
      </c>
      <c r="C449" t="s">
        <v>281</v>
      </c>
      <c r="D449" s="9">
        <v>19671</v>
      </c>
      <c r="E449" s="5" t="s">
        <v>405</v>
      </c>
      <c r="F449" t="s">
        <v>282</v>
      </c>
      <c r="G449">
        <v>2475</v>
      </c>
      <c r="H449">
        <v>1174</v>
      </c>
      <c r="I449" s="8">
        <f t="shared" si="37"/>
        <v>0.47434343434343434</v>
      </c>
      <c r="J449" s="17">
        <v>0.7</v>
      </c>
      <c r="K449" s="12">
        <v>13.75</v>
      </c>
      <c r="L449" s="2">
        <f t="shared" ref="L449:L480" si="40">H449*J449/I449-H449</f>
        <v>558.5</v>
      </c>
      <c r="M449" s="15">
        <f t="shared" si="38"/>
        <v>7679.375</v>
      </c>
      <c r="N449" t="str">
        <f t="shared" si="35"/>
        <v>RJ</v>
      </c>
      <c r="O449" t="str">
        <f t="shared" si="36"/>
        <v>Teresópolis</v>
      </c>
    </row>
    <row r="450" spans="1:15" x14ac:dyDescent="0.3">
      <c r="A450" s="10">
        <v>45717</v>
      </c>
      <c r="B450" s="9" t="s">
        <v>3</v>
      </c>
      <c r="C450" t="s">
        <v>248</v>
      </c>
      <c r="D450" s="9">
        <v>19674</v>
      </c>
      <c r="E450" s="5" t="s">
        <v>406</v>
      </c>
      <c r="F450" t="s">
        <v>251</v>
      </c>
      <c r="G450">
        <v>2462</v>
      </c>
      <c r="H450">
        <v>961</v>
      </c>
      <c r="I450" s="8">
        <f t="shared" si="37"/>
        <v>0.39033306255077171</v>
      </c>
      <c r="J450" s="17">
        <v>0.7</v>
      </c>
      <c r="K450" s="12">
        <v>13.75</v>
      </c>
      <c r="L450" s="2">
        <f t="shared" si="40"/>
        <v>762.39999999999986</v>
      </c>
      <c r="M450" s="15">
        <f t="shared" si="38"/>
        <v>10482.999999999998</v>
      </c>
      <c r="N450" t="str">
        <f t="shared" ref="N450:N513" si="41">B450</f>
        <v>SP</v>
      </c>
      <c r="O450" t="str">
        <f t="shared" ref="O450:O513" si="42">C450</f>
        <v>São Paulo</v>
      </c>
    </row>
    <row r="451" spans="1:15" x14ac:dyDescent="0.3">
      <c r="A451" s="10">
        <v>45717</v>
      </c>
      <c r="B451" s="9" t="s">
        <v>3</v>
      </c>
      <c r="C451" t="s">
        <v>248</v>
      </c>
      <c r="D451" s="9">
        <v>19756</v>
      </c>
      <c r="E451" s="5" t="s">
        <v>407</v>
      </c>
      <c r="F451" t="s">
        <v>252</v>
      </c>
      <c r="G451">
        <v>2060</v>
      </c>
      <c r="H451">
        <v>828</v>
      </c>
      <c r="I451" s="8">
        <f t="shared" ref="I451:I514" si="43">H451/G451</f>
        <v>0.40194174757281553</v>
      </c>
      <c r="J451" s="17">
        <v>0.7</v>
      </c>
      <c r="K451" s="12">
        <v>13.75</v>
      </c>
      <c r="L451" s="2">
        <f t="shared" si="40"/>
        <v>613.99999999999977</v>
      </c>
      <c r="M451" s="15">
        <f t="shared" ref="M451:M514" si="44">L451*K451</f>
        <v>8442.4999999999964</v>
      </c>
      <c r="N451" t="str">
        <f t="shared" si="41"/>
        <v>SP</v>
      </c>
      <c r="O451" t="str">
        <f t="shared" si="42"/>
        <v>São Paulo</v>
      </c>
    </row>
    <row r="452" spans="1:15" x14ac:dyDescent="0.3">
      <c r="A452" s="10">
        <v>45717</v>
      </c>
      <c r="B452" s="9" t="s">
        <v>3</v>
      </c>
      <c r="C452" t="s">
        <v>248</v>
      </c>
      <c r="D452" s="9">
        <v>19579</v>
      </c>
      <c r="E452" s="5" t="s">
        <v>409</v>
      </c>
      <c r="F452" t="s">
        <v>254</v>
      </c>
      <c r="G452">
        <v>2144</v>
      </c>
      <c r="H452">
        <v>751</v>
      </c>
      <c r="I452" s="8">
        <f t="shared" si="43"/>
        <v>0.35027985074626866</v>
      </c>
      <c r="J452" s="17">
        <v>0.7</v>
      </c>
      <c r="K452" s="12">
        <v>13.75</v>
      </c>
      <c r="L452" s="2">
        <f t="shared" si="40"/>
        <v>749.79999999999973</v>
      </c>
      <c r="M452" s="15">
        <f t="shared" si="44"/>
        <v>10309.749999999996</v>
      </c>
      <c r="N452" t="str">
        <f t="shared" si="41"/>
        <v>SP</v>
      </c>
      <c r="O452" t="str">
        <f t="shared" si="42"/>
        <v>São Paulo</v>
      </c>
    </row>
    <row r="453" spans="1:15" x14ac:dyDescent="0.3">
      <c r="A453" s="10">
        <v>45717</v>
      </c>
      <c r="B453" s="9" t="s">
        <v>126</v>
      </c>
      <c r="C453" t="s">
        <v>127</v>
      </c>
      <c r="D453" s="9">
        <v>19623</v>
      </c>
      <c r="E453" s="5" t="s">
        <v>410</v>
      </c>
      <c r="F453" t="s">
        <v>128</v>
      </c>
      <c r="G453">
        <v>1856</v>
      </c>
      <c r="H453">
        <v>759</v>
      </c>
      <c r="I453" s="8">
        <f t="shared" si="43"/>
        <v>0.40894396551724138</v>
      </c>
      <c r="J453" s="17">
        <v>0.7</v>
      </c>
      <c r="K453" s="12">
        <v>13.75</v>
      </c>
      <c r="L453" s="2">
        <f t="shared" si="40"/>
        <v>540.19999999999982</v>
      </c>
      <c r="M453" s="15">
        <f t="shared" si="44"/>
        <v>7427.7499999999973</v>
      </c>
      <c r="N453" t="str">
        <f t="shared" si="41"/>
        <v>AL</v>
      </c>
      <c r="O453" t="str">
        <f t="shared" si="42"/>
        <v>Maceió</v>
      </c>
    </row>
    <row r="454" spans="1:15" x14ac:dyDescent="0.3">
      <c r="A454" s="10">
        <v>45717</v>
      </c>
      <c r="B454" s="9" t="s">
        <v>46</v>
      </c>
      <c r="C454" t="s">
        <v>47</v>
      </c>
      <c r="D454" s="9">
        <v>19693</v>
      </c>
      <c r="E454" s="5" t="s">
        <v>411</v>
      </c>
      <c r="F454" t="s">
        <v>51</v>
      </c>
      <c r="G454">
        <v>2748</v>
      </c>
      <c r="H454">
        <v>691</v>
      </c>
      <c r="I454" s="8">
        <f t="shared" si="43"/>
        <v>0.2514556040756914</v>
      </c>
      <c r="J454" s="17">
        <v>0.7</v>
      </c>
      <c r="K454" s="12">
        <v>13.75</v>
      </c>
      <c r="L454" s="2">
        <f t="shared" si="40"/>
        <v>1232.6000000000001</v>
      </c>
      <c r="M454" s="15">
        <f t="shared" si="44"/>
        <v>16948.250000000004</v>
      </c>
      <c r="N454" t="str">
        <f t="shared" si="41"/>
        <v>DF</v>
      </c>
      <c r="O454" t="str">
        <f t="shared" si="42"/>
        <v>Brasília</v>
      </c>
    </row>
    <row r="455" spans="1:15" x14ac:dyDescent="0.3">
      <c r="A455" s="10">
        <v>45717</v>
      </c>
      <c r="B455" s="9" t="s">
        <v>78</v>
      </c>
      <c r="C455" t="s">
        <v>79</v>
      </c>
      <c r="D455" s="9">
        <v>19730</v>
      </c>
      <c r="E455" s="5" t="s">
        <v>413</v>
      </c>
      <c r="F455" t="s">
        <v>80</v>
      </c>
      <c r="G455">
        <v>2595</v>
      </c>
      <c r="H455">
        <v>808</v>
      </c>
      <c r="I455" s="8">
        <f t="shared" si="43"/>
        <v>0.31136801541425818</v>
      </c>
      <c r="J455" s="17">
        <v>0.7</v>
      </c>
      <c r="K455" s="12">
        <v>13.75</v>
      </c>
      <c r="L455" s="2">
        <f t="shared" si="40"/>
        <v>1008.4999999999998</v>
      </c>
      <c r="M455" s="15">
        <f t="shared" si="44"/>
        <v>13866.874999999996</v>
      </c>
      <c r="N455" t="str">
        <f t="shared" si="41"/>
        <v>MT</v>
      </c>
      <c r="O455" t="str">
        <f t="shared" si="42"/>
        <v>Cuiabá</v>
      </c>
    </row>
    <row r="456" spans="1:15" x14ac:dyDescent="0.3">
      <c r="A456" s="10">
        <v>45717</v>
      </c>
      <c r="B456" s="9" t="s">
        <v>78</v>
      </c>
      <c r="C456" t="s">
        <v>79</v>
      </c>
      <c r="D456" s="9">
        <v>19794</v>
      </c>
      <c r="E456" s="5" t="s">
        <v>414</v>
      </c>
      <c r="F456" t="s">
        <v>81</v>
      </c>
      <c r="G456">
        <v>2750</v>
      </c>
      <c r="H456">
        <v>1013</v>
      </c>
      <c r="I456" s="8">
        <f t="shared" si="43"/>
        <v>0.36836363636363634</v>
      </c>
      <c r="J456" s="17">
        <v>0.7</v>
      </c>
      <c r="K456" s="12">
        <v>13.75</v>
      </c>
      <c r="L456" s="2">
        <f t="shared" si="40"/>
        <v>912</v>
      </c>
      <c r="M456" s="15">
        <f t="shared" si="44"/>
        <v>12540</v>
      </c>
      <c r="N456" t="str">
        <f t="shared" si="41"/>
        <v>MT</v>
      </c>
      <c r="O456" t="str">
        <f t="shared" si="42"/>
        <v>Cuiabá</v>
      </c>
    </row>
    <row r="457" spans="1:15" x14ac:dyDescent="0.3">
      <c r="A457" s="10">
        <v>45717</v>
      </c>
      <c r="B457" s="9" t="s">
        <v>7</v>
      </c>
      <c r="C457" t="s">
        <v>99</v>
      </c>
      <c r="D457" s="9">
        <v>19691</v>
      </c>
      <c r="E457" s="5" t="s">
        <v>415</v>
      </c>
      <c r="F457" t="s">
        <v>100</v>
      </c>
      <c r="G457">
        <v>2800</v>
      </c>
      <c r="H457">
        <v>1166</v>
      </c>
      <c r="I457" s="8">
        <f t="shared" si="43"/>
        <v>0.41642857142857143</v>
      </c>
      <c r="J457" s="17">
        <v>0.7</v>
      </c>
      <c r="K457" s="12">
        <v>13.75</v>
      </c>
      <c r="L457" s="2">
        <f t="shared" si="40"/>
        <v>793.99999999999977</v>
      </c>
      <c r="M457" s="15">
        <f t="shared" si="44"/>
        <v>10917.499999999996</v>
      </c>
      <c r="N457" t="str">
        <f t="shared" si="41"/>
        <v>GO</v>
      </c>
      <c r="O457" t="str">
        <f t="shared" si="42"/>
        <v>Goiânia</v>
      </c>
    </row>
    <row r="458" spans="1:15" x14ac:dyDescent="0.3">
      <c r="A458" s="10">
        <v>45717</v>
      </c>
      <c r="B458" s="9" t="s">
        <v>15</v>
      </c>
      <c r="C458" t="s">
        <v>358</v>
      </c>
      <c r="D458" s="9">
        <v>19505</v>
      </c>
      <c r="E458" s="5" t="s">
        <v>416</v>
      </c>
      <c r="F458" t="s">
        <v>204</v>
      </c>
      <c r="G458">
        <v>2736</v>
      </c>
      <c r="H458">
        <v>1098</v>
      </c>
      <c r="I458" s="8">
        <f t="shared" si="43"/>
        <v>0.40131578947368424</v>
      </c>
      <c r="J458" s="17">
        <v>0.7</v>
      </c>
      <c r="K458" s="12">
        <v>13.75</v>
      </c>
      <c r="L458" s="2">
        <f t="shared" si="40"/>
        <v>817.19999999999959</v>
      </c>
      <c r="M458" s="15">
        <f t="shared" si="44"/>
        <v>11236.499999999995</v>
      </c>
      <c r="N458" t="str">
        <f t="shared" si="41"/>
        <v>RJ</v>
      </c>
      <c r="O458" t="str">
        <f t="shared" si="42"/>
        <v>Rio De Janeiro</v>
      </c>
    </row>
    <row r="459" spans="1:15" x14ac:dyDescent="0.3">
      <c r="A459" s="10">
        <v>45717</v>
      </c>
      <c r="B459" s="9" t="s">
        <v>15</v>
      </c>
      <c r="C459" t="s">
        <v>358</v>
      </c>
      <c r="D459" s="9">
        <v>19515</v>
      </c>
      <c r="E459" s="5" t="s">
        <v>417</v>
      </c>
      <c r="F459" t="s">
        <v>205</v>
      </c>
      <c r="G459">
        <v>4325</v>
      </c>
      <c r="H459">
        <v>1787</v>
      </c>
      <c r="I459" s="8">
        <f t="shared" si="43"/>
        <v>0.4131791907514451</v>
      </c>
      <c r="J459" s="17">
        <v>0.7</v>
      </c>
      <c r="K459" s="12">
        <v>13.75</v>
      </c>
      <c r="L459" s="2">
        <f t="shared" si="40"/>
        <v>1240.4999999999995</v>
      </c>
      <c r="M459" s="15">
        <f t="shared" si="44"/>
        <v>17056.874999999993</v>
      </c>
      <c r="N459" t="str">
        <f t="shared" si="41"/>
        <v>RJ</v>
      </c>
      <c r="O459" t="str">
        <f t="shared" si="42"/>
        <v>Rio De Janeiro</v>
      </c>
    </row>
    <row r="460" spans="1:15" x14ac:dyDescent="0.3">
      <c r="A460" s="10">
        <v>45717</v>
      </c>
      <c r="B460" s="9" t="s">
        <v>15</v>
      </c>
      <c r="C460" t="s">
        <v>358</v>
      </c>
      <c r="D460" s="9">
        <v>19519</v>
      </c>
      <c r="E460" s="5" t="s">
        <v>418</v>
      </c>
      <c r="F460" t="s">
        <v>206</v>
      </c>
      <c r="G460">
        <v>6814</v>
      </c>
      <c r="H460">
        <v>2726</v>
      </c>
      <c r="I460" s="8">
        <f t="shared" si="43"/>
        <v>0.40005870267097154</v>
      </c>
      <c r="J460" s="17">
        <v>0.7</v>
      </c>
      <c r="K460" s="12">
        <v>13.75</v>
      </c>
      <c r="L460" s="2">
        <f t="shared" si="40"/>
        <v>2043.7999999999993</v>
      </c>
      <c r="M460" s="15">
        <f t="shared" si="44"/>
        <v>28102.249999999989</v>
      </c>
      <c r="N460" t="str">
        <f t="shared" si="41"/>
        <v>RJ</v>
      </c>
      <c r="O460" t="str">
        <f t="shared" si="42"/>
        <v>Rio De Janeiro</v>
      </c>
    </row>
    <row r="461" spans="1:15" x14ac:dyDescent="0.3">
      <c r="A461" s="10">
        <v>45717</v>
      </c>
      <c r="B461" s="9" t="s">
        <v>15</v>
      </c>
      <c r="C461" t="s">
        <v>358</v>
      </c>
      <c r="D461" s="9">
        <v>19518</v>
      </c>
      <c r="E461" s="5" t="s">
        <v>419</v>
      </c>
      <c r="F461" t="s">
        <v>207</v>
      </c>
      <c r="G461">
        <v>5268</v>
      </c>
      <c r="H461">
        <v>2216</v>
      </c>
      <c r="I461" s="8">
        <f t="shared" si="43"/>
        <v>0.42065299924069854</v>
      </c>
      <c r="J461" s="17">
        <v>0.7</v>
      </c>
      <c r="K461" s="12">
        <v>13.75</v>
      </c>
      <c r="L461" s="2">
        <f t="shared" si="40"/>
        <v>1471.6</v>
      </c>
      <c r="M461" s="15">
        <f t="shared" si="44"/>
        <v>20234.5</v>
      </c>
      <c r="N461" t="str">
        <f t="shared" si="41"/>
        <v>RJ</v>
      </c>
      <c r="O461" t="str">
        <f t="shared" si="42"/>
        <v>Rio De Janeiro</v>
      </c>
    </row>
    <row r="462" spans="1:15" x14ac:dyDescent="0.3">
      <c r="A462" s="10">
        <v>45717</v>
      </c>
      <c r="B462" s="9" t="s">
        <v>15</v>
      </c>
      <c r="C462" t="s">
        <v>358</v>
      </c>
      <c r="D462" s="9">
        <v>19507</v>
      </c>
      <c r="E462" s="5" t="s">
        <v>420</v>
      </c>
      <c r="F462" t="s">
        <v>208</v>
      </c>
      <c r="G462">
        <v>3927</v>
      </c>
      <c r="H462">
        <v>1552</v>
      </c>
      <c r="I462" s="8">
        <f t="shared" si="43"/>
        <v>0.39521263050674815</v>
      </c>
      <c r="J462" s="17">
        <v>0.7</v>
      </c>
      <c r="K462" s="12">
        <v>13.75</v>
      </c>
      <c r="L462" s="2">
        <f t="shared" si="40"/>
        <v>1196.8999999999996</v>
      </c>
      <c r="M462" s="15">
        <f t="shared" si="44"/>
        <v>16457.374999999996</v>
      </c>
      <c r="N462" t="str">
        <f t="shared" si="41"/>
        <v>RJ</v>
      </c>
      <c r="O462" t="str">
        <f t="shared" si="42"/>
        <v>Rio De Janeiro</v>
      </c>
    </row>
    <row r="463" spans="1:15" x14ac:dyDescent="0.3">
      <c r="A463" s="10">
        <v>45717</v>
      </c>
      <c r="B463" s="9" t="s">
        <v>15</v>
      </c>
      <c r="C463" t="s">
        <v>358</v>
      </c>
      <c r="D463" s="9">
        <v>19714</v>
      </c>
      <c r="E463" s="5" t="s">
        <v>421</v>
      </c>
      <c r="F463" t="s">
        <v>209</v>
      </c>
      <c r="G463">
        <v>3057</v>
      </c>
      <c r="H463">
        <v>1316</v>
      </c>
      <c r="I463" s="8">
        <f t="shared" si="43"/>
        <v>0.43048740595354923</v>
      </c>
      <c r="J463" s="17">
        <v>0.7</v>
      </c>
      <c r="K463" s="12">
        <v>13.75</v>
      </c>
      <c r="L463" s="2">
        <f t="shared" si="40"/>
        <v>823.89999999999964</v>
      </c>
      <c r="M463" s="15">
        <f t="shared" si="44"/>
        <v>11328.624999999995</v>
      </c>
      <c r="N463" t="str">
        <f t="shared" si="41"/>
        <v>RJ</v>
      </c>
      <c r="O463" t="str">
        <f t="shared" si="42"/>
        <v>Rio De Janeiro</v>
      </c>
    </row>
    <row r="464" spans="1:15" x14ac:dyDescent="0.3">
      <c r="A464" s="10">
        <v>45717</v>
      </c>
      <c r="B464" s="9" t="s">
        <v>3</v>
      </c>
      <c r="C464" t="s">
        <v>248</v>
      </c>
      <c r="D464" s="9">
        <v>19804</v>
      </c>
      <c r="E464" s="5" t="s">
        <v>422</v>
      </c>
      <c r="F464" t="s">
        <v>255</v>
      </c>
      <c r="G464">
        <v>1463</v>
      </c>
      <c r="H464">
        <v>635</v>
      </c>
      <c r="I464" s="8">
        <f t="shared" si="43"/>
        <v>0.43403964456596034</v>
      </c>
      <c r="J464" s="17">
        <v>0.7</v>
      </c>
      <c r="K464" s="12">
        <v>13.75</v>
      </c>
      <c r="L464" s="2">
        <f t="shared" si="40"/>
        <v>389.10000000000014</v>
      </c>
      <c r="M464" s="15">
        <f t="shared" si="44"/>
        <v>5350.1250000000018</v>
      </c>
      <c r="N464" t="str">
        <f t="shared" si="41"/>
        <v>SP</v>
      </c>
      <c r="O464" t="str">
        <f t="shared" si="42"/>
        <v>São Paulo</v>
      </c>
    </row>
    <row r="465" spans="1:15" x14ac:dyDescent="0.3">
      <c r="A465" s="10">
        <v>45717</v>
      </c>
      <c r="B465" s="9" t="s">
        <v>3</v>
      </c>
      <c r="C465" t="s">
        <v>363</v>
      </c>
      <c r="D465" s="9">
        <v>19808</v>
      </c>
      <c r="E465" s="5" t="s">
        <v>423</v>
      </c>
      <c r="F465" t="s">
        <v>243</v>
      </c>
      <c r="G465">
        <v>1637</v>
      </c>
      <c r="H465">
        <v>506</v>
      </c>
      <c r="I465" s="8">
        <f t="shared" si="43"/>
        <v>0.3091020158827123</v>
      </c>
      <c r="J465" s="17">
        <v>0.7</v>
      </c>
      <c r="K465" s="12">
        <v>13.75</v>
      </c>
      <c r="L465" s="2">
        <f t="shared" si="40"/>
        <v>639.89999999999986</v>
      </c>
      <c r="M465" s="15">
        <f t="shared" si="44"/>
        <v>8798.6249999999982</v>
      </c>
      <c r="N465" t="str">
        <f t="shared" si="41"/>
        <v>SP</v>
      </c>
      <c r="O465" t="str">
        <f t="shared" si="42"/>
        <v>São Caetano Do Sul</v>
      </c>
    </row>
    <row r="466" spans="1:15" x14ac:dyDescent="0.3">
      <c r="A466" s="10">
        <v>45717</v>
      </c>
      <c r="B466" s="9" t="s">
        <v>3</v>
      </c>
      <c r="C466" t="s">
        <v>24</v>
      </c>
      <c r="D466" s="9">
        <v>19805</v>
      </c>
      <c r="E466" s="5" t="s">
        <v>424</v>
      </c>
      <c r="F466" t="s">
        <v>25</v>
      </c>
      <c r="G466">
        <v>2015</v>
      </c>
      <c r="H466">
        <v>961</v>
      </c>
      <c r="I466" s="8">
        <f t="shared" si="43"/>
        <v>0.47692307692307695</v>
      </c>
      <c r="J466" s="17">
        <v>0.7</v>
      </c>
      <c r="K466" s="12">
        <v>13.75</v>
      </c>
      <c r="L466" s="2">
        <f t="shared" si="40"/>
        <v>449.49999999999977</v>
      </c>
      <c r="M466" s="15">
        <f t="shared" si="44"/>
        <v>6180.6249999999973</v>
      </c>
      <c r="N466" t="str">
        <f t="shared" si="41"/>
        <v>SP</v>
      </c>
      <c r="O466" t="str">
        <f t="shared" si="42"/>
        <v>Barueri</v>
      </c>
    </row>
    <row r="467" spans="1:15" x14ac:dyDescent="0.3">
      <c r="A467" s="10">
        <v>45717</v>
      </c>
      <c r="B467" s="9" t="s">
        <v>3</v>
      </c>
      <c r="C467" t="s">
        <v>248</v>
      </c>
      <c r="D467" s="9">
        <v>19821</v>
      </c>
      <c r="E467" s="5" t="s">
        <v>425</v>
      </c>
      <c r="F467" t="s">
        <v>256</v>
      </c>
      <c r="G467">
        <v>1653</v>
      </c>
      <c r="H467">
        <v>397</v>
      </c>
      <c r="I467" s="8">
        <f t="shared" si="43"/>
        <v>0.24016938898971568</v>
      </c>
      <c r="J467" s="17">
        <v>0.7</v>
      </c>
      <c r="K467" s="12">
        <v>13.75</v>
      </c>
      <c r="L467" s="2">
        <f t="shared" si="40"/>
        <v>760.09999999999991</v>
      </c>
      <c r="M467" s="15">
        <f t="shared" si="44"/>
        <v>10451.374999999998</v>
      </c>
      <c r="N467" t="str">
        <f t="shared" si="41"/>
        <v>SP</v>
      </c>
      <c r="O467" t="str">
        <f t="shared" si="42"/>
        <v>São Paulo</v>
      </c>
    </row>
    <row r="468" spans="1:15" x14ac:dyDescent="0.3">
      <c r="A468" s="10">
        <v>45717</v>
      </c>
      <c r="B468" s="9" t="s">
        <v>3</v>
      </c>
      <c r="C468" t="s">
        <v>362</v>
      </c>
      <c r="D468" s="9">
        <v>19825</v>
      </c>
      <c r="E468" s="5" t="s">
        <v>426</v>
      </c>
      <c r="F468" t="s">
        <v>241</v>
      </c>
      <c r="G468">
        <v>2046</v>
      </c>
      <c r="H468">
        <v>752</v>
      </c>
      <c r="I468" s="8">
        <f t="shared" si="43"/>
        <v>0.3675464320625611</v>
      </c>
      <c r="J468" s="17">
        <v>0.7</v>
      </c>
      <c r="K468" s="12">
        <v>13.75</v>
      </c>
      <c r="L468" s="2">
        <f t="shared" si="40"/>
        <v>680.19999999999982</v>
      </c>
      <c r="M468" s="15">
        <f t="shared" si="44"/>
        <v>9352.7499999999982</v>
      </c>
      <c r="N468" t="str">
        <f t="shared" si="41"/>
        <v>SP</v>
      </c>
      <c r="O468" t="str">
        <f t="shared" si="42"/>
        <v>São Bernardo Do Campo</v>
      </c>
    </row>
    <row r="469" spans="1:15" x14ac:dyDescent="0.3">
      <c r="A469" s="10">
        <v>45717</v>
      </c>
      <c r="B469" s="9" t="s">
        <v>3</v>
      </c>
      <c r="C469" t="s">
        <v>193</v>
      </c>
      <c r="D469" s="9">
        <v>19832</v>
      </c>
      <c r="E469" s="5" t="s">
        <v>427</v>
      </c>
      <c r="F469" t="s">
        <v>194</v>
      </c>
      <c r="G469">
        <v>2162</v>
      </c>
      <c r="H469">
        <v>613</v>
      </c>
      <c r="I469" s="8">
        <f t="shared" si="43"/>
        <v>0.28353376503237743</v>
      </c>
      <c r="J469" s="17">
        <v>0.7</v>
      </c>
      <c r="K469" s="12">
        <v>13.75</v>
      </c>
      <c r="L469" s="2">
        <f t="shared" si="40"/>
        <v>900.39999999999986</v>
      </c>
      <c r="M469" s="15">
        <f t="shared" si="44"/>
        <v>12380.499999999998</v>
      </c>
      <c r="N469" t="str">
        <f t="shared" si="41"/>
        <v>SP</v>
      </c>
      <c r="O469" t="str">
        <f t="shared" si="42"/>
        <v>Ribeirão Preto</v>
      </c>
    </row>
    <row r="470" spans="1:15" x14ac:dyDescent="0.3">
      <c r="A470" s="10">
        <v>45717</v>
      </c>
      <c r="B470" s="9" t="s">
        <v>15</v>
      </c>
      <c r="C470" t="s">
        <v>358</v>
      </c>
      <c r="D470" s="9">
        <v>19844</v>
      </c>
      <c r="E470" s="5" t="s">
        <v>428</v>
      </c>
      <c r="F470" t="s">
        <v>210</v>
      </c>
      <c r="G470">
        <v>2371</v>
      </c>
      <c r="H470">
        <v>1028</v>
      </c>
      <c r="I470" s="8">
        <f t="shared" si="43"/>
        <v>0.43357233234921971</v>
      </c>
      <c r="J470" s="17">
        <v>0.7</v>
      </c>
      <c r="K470" s="12">
        <v>13.75</v>
      </c>
      <c r="L470" s="2">
        <f t="shared" si="40"/>
        <v>631.69999999999982</v>
      </c>
      <c r="M470" s="15">
        <f t="shared" si="44"/>
        <v>8685.8749999999982</v>
      </c>
      <c r="N470" t="str">
        <f t="shared" si="41"/>
        <v>RJ</v>
      </c>
      <c r="O470" t="str">
        <f t="shared" si="42"/>
        <v>Rio De Janeiro</v>
      </c>
    </row>
    <row r="471" spans="1:15" x14ac:dyDescent="0.3">
      <c r="A471" s="10">
        <v>45717</v>
      </c>
      <c r="B471" s="9" t="s">
        <v>14</v>
      </c>
      <c r="C471" t="s">
        <v>29</v>
      </c>
      <c r="D471" s="9">
        <v>19704</v>
      </c>
      <c r="E471" s="5" t="s">
        <v>429</v>
      </c>
      <c r="F471" t="s">
        <v>30</v>
      </c>
      <c r="G471">
        <v>3073</v>
      </c>
      <c r="H471">
        <v>1470</v>
      </c>
      <c r="I471" s="8">
        <f t="shared" si="43"/>
        <v>0.4783599088838269</v>
      </c>
      <c r="J471" s="17">
        <v>0.7</v>
      </c>
      <c r="K471" s="12">
        <v>13.75</v>
      </c>
      <c r="L471" s="2">
        <f t="shared" si="40"/>
        <v>681.09999999999991</v>
      </c>
      <c r="M471" s="15">
        <f t="shared" si="44"/>
        <v>9365.1249999999982</v>
      </c>
      <c r="N471" t="str">
        <f t="shared" si="41"/>
        <v>MG</v>
      </c>
      <c r="O471" t="str">
        <f t="shared" si="42"/>
        <v>Belo Horizonte</v>
      </c>
    </row>
    <row r="472" spans="1:15" x14ac:dyDescent="0.3">
      <c r="A472" s="10">
        <v>45717</v>
      </c>
      <c r="B472" s="9" t="s">
        <v>15</v>
      </c>
      <c r="C472" t="s">
        <v>358</v>
      </c>
      <c r="D472" s="9">
        <v>19512</v>
      </c>
      <c r="E472" s="5" t="s">
        <v>430</v>
      </c>
      <c r="F472" t="s">
        <v>211</v>
      </c>
      <c r="G472">
        <v>2438</v>
      </c>
      <c r="H472">
        <v>987</v>
      </c>
      <c r="I472" s="8">
        <f t="shared" si="43"/>
        <v>0.40484003281378178</v>
      </c>
      <c r="J472" s="17">
        <v>0.7</v>
      </c>
      <c r="K472" s="12">
        <v>13.75</v>
      </c>
      <c r="L472" s="2">
        <f t="shared" si="40"/>
        <v>719.59999999999991</v>
      </c>
      <c r="M472" s="15">
        <f t="shared" si="44"/>
        <v>9894.4999999999982</v>
      </c>
      <c r="N472" t="str">
        <f t="shared" si="41"/>
        <v>RJ</v>
      </c>
      <c r="O472" t="str">
        <f t="shared" si="42"/>
        <v>Rio De Janeiro</v>
      </c>
    </row>
    <row r="473" spans="1:15" x14ac:dyDescent="0.3">
      <c r="A473" s="10">
        <v>45717</v>
      </c>
      <c r="B473" s="9" t="s">
        <v>14</v>
      </c>
      <c r="C473" t="s">
        <v>29</v>
      </c>
      <c r="D473" s="9">
        <v>19562</v>
      </c>
      <c r="E473" s="5" t="s">
        <v>431</v>
      </c>
      <c r="F473" t="s">
        <v>31</v>
      </c>
      <c r="G473">
        <v>1944</v>
      </c>
      <c r="H473">
        <v>716</v>
      </c>
      <c r="I473" s="8">
        <f t="shared" si="43"/>
        <v>0.36831275720164608</v>
      </c>
      <c r="J473" s="17">
        <v>0.7</v>
      </c>
      <c r="K473" s="12">
        <v>13.75</v>
      </c>
      <c r="L473" s="2">
        <f t="shared" si="40"/>
        <v>644.79999999999995</v>
      </c>
      <c r="M473" s="15">
        <f t="shared" si="44"/>
        <v>8866</v>
      </c>
      <c r="N473" t="str">
        <f t="shared" si="41"/>
        <v>MG</v>
      </c>
      <c r="O473" t="str">
        <f t="shared" si="42"/>
        <v>Belo Horizonte</v>
      </c>
    </row>
    <row r="474" spans="1:15" x14ac:dyDescent="0.3">
      <c r="A474" s="10">
        <v>45717</v>
      </c>
      <c r="B474" s="9" t="s">
        <v>14</v>
      </c>
      <c r="C474" t="s">
        <v>29</v>
      </c>
      <c r="D474" s="9">
        <v>19748</v>
      </c>
      <c r="E474" s="5" t="s">
        <v>432</v>
      </c>
      <c r="F474" t="s">
        <v>32</v>
      </c>
      <c r="G474">
        <v>2356</v>
      </c>
      <c r="H474">
        <v>984</v>
      </c>
      <c r="I474" s="8">
        <f t="shared" si="43"/>
        <v>0.41765704584040747</v>
      </c>
      <c r="J474" s="17">
        <v>0.7</v>
      </c>
      <c r="K474" s="12">
        <v>13.75</v>
      </c>
      <c r="L474" s="2">
        <f t="shared" si="40"/>
        <v>665.19999999999982</v>
      </c>
      <c r="M474" s="15">
        <f t="shared" si="44"/>
        <v>9146.4999999999982</v>
      </c>
      <c r="N474" t="str">
        <f t="shared" si="41"/>
        <v>MG</v>
      </c>
      <c r="O474" t="str">
        <f t="shared" si="42"/>
        <v>Belo Horizonte</v>
      </c>
    </row>
    <row r="475" spans="1:15" x14ac:dyDescent="0.3">
      <c r="A475" s="10">
        <v>45717</v>
      </c>
      <c r="B475" s="9" t="s">
        <v>14</v>
      </c>
      <c r="C475" t="s">
        <v>29</v>
      </c>
      <c r="D475" s="9">
        <v>19561</v>
      </c>
      <c r="E475" s="5" t="s">
        <v>433</v>
      </c>
      <c r="F475" t="s">
        <v>33</v>
      </c>
      <c r="G475">
        <v>1738</v>
      </c>
      <c r="H475">
        <v>584</v>
      </c>
      <c r="I475" s="8">
        <f t="shared" si="43"/>
        <v>0.33601841196777904</v>
      </c>
      <c r="J475" s="17">
        <v>0.7</v>
      </c>
      <c r="K475" s="12">
        <v>13.75</v>
      </c>
      <c r="L475" s="2">
        <f t="shared" si="40"/>
        <v>632.59999999999991</v>
      </c>
      <c r="M475" s="15">
        <f t="shared" si="44"/>
        <v>8698.2499999999982</v>
      </c>
      <c r="N475" t="str">
        <f t="shared" si="41"/>
        <v>MG</v>
      </c>
      <c r="O475" t="str">
        <f t="shared" si="42"/>
        <v>Belo Horizonte</v>
      </c>
    </row>
    <row r="476" spans="1:15" x14ac:dyDescent="0.3">
      <c r="A476" s="10">
        <v>45717</v>
      </c>
      <c r="B476" s="9" t="s">
        <v>3</v>
      </c>
      <c r="C476" t="s">
        <v>248</v>
      </c>
      <c r="D476" s="9">
        <v>19855</v>
      </c>
      <c r="E476" s="5" t="s">
        <v>434</v>
      </c>
      <c r="F476" t="s">
        <v>257</v>
      </c>
      <c r="G476">
        <v>1516</v>
      </c>
      <c r="H476">
        <v>485</v>
      </c>
      <c r="I476" s="8">
        <f t="shared" si="43"/>
        <v>0.31992084432717677</v>
      </c>
      <c r="J476" s="17">
        <v>0.7</v>
      </c>
      <c r="K476" s="12">
        <v>13.75</v>
      </c>
      <c r="L476" s="2">
        <f t="shared" si="40"/>
        <v>576.20000000000005</v>
      </c>
      <c r="M476" s="15">
        <f t="shared" si="44"/>
        <v>7922.7500000000009</v>
      </c>
      <c r="N476" t="str">
        <f t="shared" si="41"/>
        <v>SP</v>
      </c>
      <c r="O476" t="str">
        <f t="shared" si="42"/>
        <v>São Paulo</v>
      </c>
    </row>
    <row r="477" spans="1:15" x14ac:dyDescent="0.3">
      <c r="A477" s="10">
        <v>45717</v>
      </c>
      <c r="B477" s="9" t="s">
        <v>14</v>
      </c>
      <c r="C477" t="s">
        <v>29</v>
      </c>
      <c r="D477" s="9">
        <v>19560</v>
      </c>
      <c r="E477" s="5" t="s">
        <v>435</v>
      </c>
      <c r="F477" t="s">
        <v>34</v>
      </c>
      <c r="G477">
        <v>3934</v>
      </c>
      <c r="H477">
        <v>1884</v>
      </c>
      <c r="I477" s="8">
        <f t="shared" si="43"/>
        <v>0.47890188103711234</v>
      </c>
      <c r="J477" s="17">
        <v>0.7</v>
      </c>
      <c r="K477" s="12">
        <v>13.75</v>
      </c>
      <c r="L477" s="2">
        <f t="shared" si="40"/>
        <v>869.80000000000018</v>
      </c>
      <c r="M477" s="15">
        <f t="shared" si="44"/>
        <v>11959.750000000002</v>
      </c>
      <c r="N477" t="str">
        <f t="shared" si="41"/>
        <v>MG</v>
      </c>
      <c r="O477" t="str">
        <f t="shared" si="42"/>
        <v>Belo Horizonte</v>
      </c>
    </row>
    <row r="478" spans="1:15" x14ac:dyDescent="0.3">
      <c r="A478" s="10">
        <v>45717</v>
      </c>
      <c r="B478" s="9" t="s">
        <v>3</v>
      </c>
      <c r="C478" t="s">
        <v>248</v>
      </c>
      <c r="D478" s="9">
        <v>19859</v>
      </c>
      <c r="E478" s="5" t="s">
        <v>436</v>
      </c>
      <c r="F478" t="s">
        <v>258</v>
      </c>
      <c r="G478">
        <v>2264</v>
      </c>
      <c r="H478">
        <v>685</v>
      </c>
      <c r="I478" s="8">
        <f t="shared" si="43"/>
        <v>0.30256183745583037</v>
      </c>
      <c r="J478" s="17">
        <v>0.7</v>
      </c>
      <c r="K478" s="12">
        <v>13.75</v>
      </c>
      <c r="L478" s="2">
        <f t="shared" si="40"/>
        <v>899.8</v>
      </c>
      <c r="M478" s="15">
        <f t="shared" si="44"/>
        <v>12372.25</v>
      </c>
      <c r="N478" t="str">
        <f t="shared" si="41"/>
        <v>SP</v>
      </c>
      <c r="O478" t="str">
        <f t="shared" si="42"/>
        <v>São Paulo</v>
      </c>
    </row>
    <row r="479" spans="1:15" x14ac:dyDescent="0.3">
      <c r="A479" s="10">
        <v>45717</v>
      </c>
      <c r="B479" s="9" t="s">
        <v>14</v>
      </c>
      <c r="C479" t="s">
        <v>29</v>
      </c>
      <c r="D479" s="9">
        <v>19780</v>
      </c>
      <c r="E479" s="5" t="s">
        <v>437</v>
      </c>
      <c r="F479" t="s">
        <v>35</v>
      </c>
      <c r="G479">
        <v>1582</v>
      </c>
      <c r="H479">
        <v>808</v>
      </c>
      <c r="I479" s="8">
        <f t="shared" si="43"/>
        <v>0.51074589127686476</v>
      </c>
      <c r="J479" s="17">
        <v>0.7</v>
      </c>
      <c r="K479" s="12">
        <v>13.75</v>
      </c>
      <c r="L479" s="2">
        <f t="shared" si="40"/>
        <v>299.39999999999986</v>
      </c>
      <c r="M479" s="15">
        <f t="shared" si="44"/>
        <v>4116.7499999999982</v>
      </c>
      <c r="N479" t="str">
        <f t="shared" si="41"/>
        <v>MG</v>
      </c>
      <c r="O479" t="str">
        <f t="shared" si="42"/>
        <v>Belo Horizonte</v>
      </c>
    </row>
    <row r="480" spans="1:15" x14ac:dyDescent="0.3">
      <c r="A480" s="10">
        <v>45717</v>
      </c>
      <c r="B480" s="9" t="s">
        <v>3</v>
      </c>
      <c r="C480" t="s">
        <v>361</v>
      </c>
      <c r="D480" s="9">
        <v>19847</v>
      </c>
      <c r="E480" s="5" t="s">
        <v>438</v>
      </c>
      <c r="F480" t="s">
        <v>238</v>
      </c>
      <c r="G480">
        <v>2173</v>
      </c>
      <c r="H480">
        <v>695</v>
      </c>
      <c r="I480" s="8">
        <f t="shared" si="43"/>
        <v>0.3198343304187759</v>
      </c>
      <c r="J480" s="17">
        <v>0.7</v>
      </c>
      <c r="K480" s="12">
        <v>13.75</v>
      </c>
      <c r="L480" s="2">
        <f t="shared" si="40"/>
        <v>826.09999999999968</v>
      </c>
      <c r="M480" s="15">
        <f t="shared" si="44"/>
        <v>11358.874999999996</v>
      </c>
      <c r="N480" t="str">
        <f t="shared" si="41"/>
        <v>SP</v>
      </c>
      <c r="O480" t="str">
        <f t="shared" si="42"/>
        <v>Santo André</v>
      </c>
    </row>
    <row r="481" spans="1:15" x14ac:dyDescent="0.3">
      <c r="A481" s="10">
        <v>45717</v>
      </c>
      <c r="B481" s="9" t="s">
        <v>3</v>
      </c>
      <c r="C481" t="s">
        <v>110</v>
      </c>
      <c r="D481" s="9">
        <v>19884</v>
      </c>
      <c r="E481" s="5" t="s">
        <v>439</v>
      </c>
      <c r="F481" t="s">
        <v>111</v>
      </c>
      <c r="G481">
        <v>2157</v>
      </c>
      <c r="H481">
        <v>677</v>
      </c>
      <c r="I481" s="8">
        <f t="shared" si="43"/>
        <v>0.31386184515530829</v>
      </c>
      <c r="J481" s="17">
        <v>0.7</v>
      </c>
      <c r="K481" s="12">
        <v>13.75</v>
      </c>
      <c r="L481" s="2">
        <f t="shared" ref="L481:L512" si="45">H481*J481/I481-H481</f>
        <v>832.89999999999986</v>
      </c>
      <c r="M481" s="15">
        <f t="shared" si="44"/>
        <v>11452.374999999998</v>
      </c>
      <c r="N481" t="str">
        <f t="shared" si="41"/>
        <v>SP</v>
      </c>
      <c r="O481" t="str">
        <f t="shared" si="42"/>
        <v>Guarulhos</v>
      </c>
    </row>
    <row r="482" spans="1:15" x14ac:dyDescent="0.3">
      <c r="A482" s="10">
        <v>45717</v>
      </c>
      <c r="B482" s="9" t="s">
        <v>3</v>
      </c>
      <c r="C482" t="s">
        <v>108</v>
      </c>
      <c r="D482" s="9">
        <v>19877</v>
      </c>
      <c r="E482" s="5" t="s">
        <v>440</v>
      </c>
      <c r="F482" t="s">
        <v>109</v>
      </c>
      <c r="G482">
        <v>2935</v>
      </c>
      <c r="H482">
        <v>1003</v>
      </c>
      <c r="I482" s="8">
        <f t="shared" si="43"/>
        <v>0.34173764906303239</v>
      </c>
      <c r="J482" s="17">
        <v>0.7</v>
      </c>
      <c r="K482" s="12">
        <v>13.75</v>
      </c>
      <c r="L482" s="2">
        <f t="shared" si="45"/>
        <v>1051.4999999999995</v>
      </c>
      <c r="M482" s="15">
        <f t="shared" si="44"/>
        <v>14458.124999999995</v>
      </c>
      <c r="N482" t="str">
        <f t="shared" si="41"/>
        <v>SP</v>
      </c>
      <c r="O482" t="str">
        <f t="shared" si="42"/>
        <v>Guarujá</v>
      </c>
    </row>
    <row r="483" spans="1:15" x14ac:dyDescent="0.3">
      <c r="A483" s="10">
        <v>45717</v>
      </c>
      <c r="B483" s="9" t="s">
        <v>3</v>
      </c>
      <c r="C483" t="s">
        <v>248</v>
      </c>
      <c r="D483" s="9">
        <v>19890</v>
      </c>
      <c r="E483" s="5" t="s">
        <v>441</v>
      </c>
      <c r="F483" t="s">
        <v>259</v>
      </c>
      <c r="G483">
        <v>1111</v>
      </c>
      <c r="H483">
        <v>340</v>
      </c>
      <c r="I483" s="8">
        <f t="shared" si="43"/>
        <v>0.30603060306030605</v>
      </c>
      <c r="J483" s="17">
        <v>0.7</v>
      </c>
      <c r="K483" s="12">
        <v>13.75</v>
      </c>
      <c r="L483" s="2">
        <f t="shared" si="45"/>
        <v>437.69999999999982</v>
      </c>
      <c r="M483" s="15">
        <f t="shared" si="44"/>
        <v>6018.3749999999973</v>
      </c>
      <c r="N483" t="str">
        <f t="shared" si="41"/>
        <v>SP</v>
      </c>
      <c r="O483" t="str">
        <f t="shared" si="42"/>
        <v>São Paulo</v>
      </c>
    </row>
    <row r="484" spans="1:15" x14ac:dyDescent="0.3">
      <c r="A484" s="10">
        <v>45717</v>
      </c>
      <c r="B484" s="9" t="s">
        <v>3</v>
      </c>
      <c r="C484" t="s">
        <v>248</v>
      </c>
      <c r="D484" s="9">
        <v>19891</v>
      </c>
      <c r="E484" s="5" t="s">
        <v>442</v>
      </c>
      <c r="F484" t="s">
        <v>260</v>
      </c>
      <c r="G484">
        <v>1051</v>
      </c>
      <c r="H484">
        <v>419</v>
      </c>
      <c r="I484" s="8">
        <f t="shared" si="43"/>
        <v>0.39866793529971456</v>
      </c>
      <c r="J484" s="17">
        <v>0.7</v>
      </c>
      <c r="K484" s="12">
        <v>13.75</v>
      </c>
      <c r="L484" s="2">
        <f t="shared" si="45"/>
        <v>316.69999999999993</v>
      </c>
      <c r="M484" s="15">
        <f t="shared" si="44"/>
        <v>4354.6249999999991</v>
      </c>
      <c r="N484" t="str">
        <f t="shared" si="41"/>
        <v>SP</v>
      </c>
      <c r="O484" t="str">
        <f t="shared" si="42"/>
        <v>São Paulo</v>
      </c>
    </row>
    <row r="485" spans="1:15" x14ac:dyDescent="0.3">
      <c r="A485" s="10">
        <v>45717</v>
      </c>
      <c r="B485" s="9" t="s">
        <v>3</v>
      </c>
      <c r="C485" t="s">
        <v>239</v>
      </c>
      <c r="D485" s="9">
        <v>19708</v>
      </c>
      <c r="E485" s="5" t="s">
        <v>443</v>
      </c>
      <c r="F485" t="s">
        <v>240</v>
      </c>
      <c r="G485">
        <v>3042</v>
      </c>
      <c r="H485">
        <v>1031</v>
      </c>
      <c r="I485" s="8">
        <f t="shared" si="43"/>
        <v>0.33892176199868507</v>
      </c>
      <c r="J485" s="17">
        <v>0.7</v>
      </c>
      <c r="K485" s="12">
        <v>13.75</v>
      </c>
      <c r="L485" s="2">
        <f t="shared" si="45"/>
        <v>1098.3999999999996</v>
      </c>
      <c r="M485" s="15">
        <f t="shared" si="44"/>
        <v>15102.999999999995</v>
      </c>
      <c r="N485" t="str">
        <f t="shared" si="41"/>
        <v>SP</v>
      </c>
      <c r="O485" t="str">
        <f t="shared" si="42"/>
        <v>Santos</v>
      </c>
    </row>
    <row r="486" spans="1:15" x14ac:dyDescent="0.3">
      <c r="A486" s="10">
        <v>45717</v>
      </c>
      <c r="B486" s="9" t="s">
        <v>15</v>
      </c>
      <c r="C486" t="s">
        <v>358</v>
      </c>
      <c r="D486" s="9">
        <v>19508</v>
      </c>
      <c r="E486" s="5" t="s">
        <v>444</v>
      </c>
      <c r="F486" t="s">
        <v>212</v>
      </c>
      <c r="G486">
        <v>3894</v>
      </c>
      <c r="H486">
        <v>1788</v>
      </c>
      <c r="I486" s="8">
        <f t="shared" si="43"/>
        <v>0.4591679506933744</v>
      </c>
      <c r="J486" s="17">
        <v>0.7</v>
      </c>
      <c r="K486" s="12">
        <v>13.75</v>
      </c>
      <c r="L486" s="2">
        <f t="shared" si="45"/>
        <v>937.79999999999973</v>
      </c>
      <c r="M486" s="15">
        <f t="shared" si="44"/>
        <v>12894.749999999996</v>
      </c>
      <c r="N486" t="str">
        <f t="shared" si="41"/>
        <v>RJ</v>
      </c>
      <c r="O486" t="str">
        <f t="shared" si="42"/>
        <v>Rio De Janeiro</v>
      </c>
    </row>
    <row r="487" spans="1:15" x14ac:dyDescent="0.3">
      <c r="A487" s="10">
        <v>45717</v>
      </c>
      <c r="B487" s="9" t="s">
        <v>3</v>
      </c>
      <c r="C487" t="s">
        <v>362</v>
      </c>
      <c r="D487" s="9">
        <v>19820</v>
      </c>
      <c r="E487" s="5" t="s">
        <v>445</v>
      </c>
      <c r="F487" t="s">
        <v>242</v>
      </c>
      <c r="G487">
        <v>1537</v>
      </c>
      <c r="H487">
        <v>453</v>
      </c>
      <c r="I487" s="8">
        <f t="shared" si="43"/>
        <v>0.29472999349381912</v>
      </c>
      <c r="J487" s="17">
        <v>0.7</v>
      </c>
      <c r="K487" s="12">
        <v>13.75</v>
      </c>
      <c r="L487" s="2">
        <f t="shared" si="45"/>
        <v>622.89999999999986</v>
      </c>
      <c r="M487" s="15">
        <f t="shared" si="44"/>
        <v>8564.8749999999982</v>
      </c>
      <c r="N487" t="str">
        <f t="shared" si="41"/>
        <v>SP</v>
      </c>
      <c r="O487" t="str">
        <f t="shared" si="42"/>
        <v>São Bernardo Do Campo</v>
      </c>
    </row>
    <row r="488" spans="1:15" x14ac:dyDescent="0.3">
      <c r="A488" s="10">
        <v>45717</v>
      </c>
      <c r="B488" s="9" t="s">
        <v>15</v>
      </c>
      <c r="C488" t="s">
        <v>358</v>
      </c>
      <c r="D488" s="9">
        <v>19894</v>
      </c>
      <c r="E488" s="5" t="s">
        <v>446</v>
      </c>
      <c r="F488" t="s">
        <v>213</v>
      </c>
      <c r="G488">
        <v>2554</v>
      </c>
      <c r="H488">
        <v>906</v>
      </c>
      <c r="I488" s="8">
        <f t="shared" si="43"/>
        <v>0.3547376664056382</v>
      </c>
      <c r="J488" s="17">
        <v>0.7</v>
      </c>
      <c r="K488" s="12">
        <v>13.75</v>
      </c>
      <c r="L488" s="2">
        <f t="shared" si="45"/>
        <v>881.8</v>
      </c>
      <c r="M488" s="15">
        <f t="shared" si="44"/>
        <v>12124.75</v>
      </c>
      <c r="N488" t="str">
        <f t="shared" si="41"/>
        <v>RJ</v>
      </c>
      <c r="O488" t="str">
        <f t="shared" si="42"/>
        <v>Rio De Janeiro</v>
      </c>
    </row>
    <row r="489" spans="1:15" x14ac:dyDescent="0.3">
      <c r="A489" s="10">
        <v>45717</v>
      </c>
      <c r="B489" s="9" t="s">
        <v>15</v>
      </c>
      <c r="C489" t="s">
        <v>358</v>
      </c>
      <c r="D489" s="9">
        <v>19526</v>
      </c>
      <c r="E489" s="5" t="s">
        <v>447</v>
      </c>
      <c r="F489" t="s">
        <v>214</v>
      </c>
      <c r="G489">
        <v>1989</v>
      </c>
      <c r="H489">
        <v>805</v>
      </c>
      <c r="I489" s="8">
        <f t="shared" si="43"/>
        <v>0.40472599296128708</v>
      </c>
      <c r="J489" s="17">
        <v>0.7</v>
      </c>
      <c r="K489" s="12">
        <v>13.75</v>
      </c>
      <c r="L489" s="2">
        <f t="shared" si="45"/>
        <v>587.29999999999995</v>
      </c>
      <c r="M489" s="15">
        <f t="shared" si="44"/>
        <v>8075.3749999999991</v>
      </c>
      <c r="N489" t="str">
        <f t="shared" si="41"/>
        <v>RJ</v>
      </c>
      <c r="O489" t="str">
        <f t="shared" si="42"/>
        <v>Rio De Janeiro</v>
      </c>
    </row>
    <row r="490" spans="1:15" x14ac:dyDescent="0.3">
      <c r="A490" s="10">
        <v>45717</v>
      </c>
      <c r="B490" s="9" t="s">
        <v>15</v>
      </c>
      <c r="C490" t="s">
        <v>358</v>
      </c>
      <c r="D490" s="9">
        <v>19509</v>
      </c>
      <c r="E490" s="5" t="s">
        <v>448</v>
      </c>
      <c r="F490" t="s">
        <v>215</v>
      </c>
      <c r="G490">
        <v>2902</v>
      </c>
      <c r="H490">
        <v>1058</v>
      </c>
      <c r="I490" s="8">
        <f t="shared" si="43"/>
        <v>0.36457615437629221</v>
      </c>
      <c r="J490" s="17">
        <v>0.7</v>
      </c>
      <c r="K490" s="12">
        <v>13.75</v>
      </c>
      <c r="L490" s="2">
        <f t="shared" si="45"/>
        <v>973.39999999999986</v>
      </c>
      <c r="M490" s="15">
        <f t="shared" si="44"/>
        <v>13384.249999999998</v>
      </c>
      <c r="N490" t="str">
        <f t="shared" si="41"/>
        <v>RJ</v>
      </c>
      <c r="O490" t="str">
        <f t="shared" si="42"/>
        <v>Rio De Janeiro</v>
      </c>
    </row>
    <row r="491" spans="1:15" x14ac:dyDescent="0.3">
      <c r="A491" s="10">
        <v>45717</v>
      </c>
      <c r="B491" s="9" t="s">
        <v>3</v>
      </c>
      <c r="C491" t="s">
        <v>356</v>
      </c>
      <c r="D491" s="9">
        <v>19745</v>
      </c>
      <c r="E491" s="5" t="s">
        <v>449</v>
      </c>
      <c r="F491" t="s">
        <v>154</v>
      </c>
      <c r="G491">
        <v>1864</v>
      </c>
      <c r="H491">
        <v>817</v>
      </c>
      <c r="I491" s="8">
        <f t="shared" si="43"/>
        <v>0.43830472103004292</v>
      </c>
      <c r="J491" s="17">
        <v>0.7</v>
      </c>
      <c r="K491" s="12">
        <v>13.75</v>
      </c>
      <c r="L491" s="2">
        <f t="shared" si="45"/>
        <v>487.79999999999995</v>
      </c>
      <c r="M491" s="15">
        <f t="shared" si="44"/>
        <v>6707.2499999999991</v>
      </c>
      <c r="N491" t="str">
        <f t="shared" si="41"/>
        <v>SP</v>
      </c>
      <c r="O491" t="str">
        <f t="shared" si="42"/>
        <v>Osasco</v>
      </c>
    </row>
    <row r="492" spans="1:15" x14ac:dyDescent="0.3">
      <c r="A492" s="10">
        <v>45717</v>
      </c>
      <c r="B492" s="9" t="s">
        <v>3</v>
      </c>
      <c r="C492" t="s">
        <v>248</v>
      </c>
      <c r="D492" s="9">
        <v>19710</v>
      </c>
      <c r="E492" s="5" t="s">
        <v>450</v>
      </c>
      <c r="F492" t="s">
        <v>261</v>
      </c>
      <c r="G492">
        <v>2052</v>
      </c>
      <c r="H492">
        <v>960</v>
      </c>
      <c r="I492" s="8">
        <f t="shared" si="43"/>
        <v>0.46783625730994149</v>
      </c>
      <c r="J492" s="17">
        <v>0.7</v>
      </c>
      <c r="K492" s="12">
        <v>13.75</v>
      </c>
      <c r="L492" s="2">
        <f t="shared" si="45"/>
        <v>476.40000000000009</v>
      </c>
      <c r="M492" s="15">
        <f t="shared" si="44"/>
        <v>6550.5000000000009</v>
      </c>
      <c r="N492" t="str">
        <f t="shared" si="41"/>
        <v>SP</v>
      </c>
      <c r="O492" t="str">
        <f t="shared" si="42"/>
        <v>São Paulo</v>
      </c>
    </row>
    <row r="493" spans="1:15" x14ac:dyDescent="0.3">
      <c r="A493" s="10">
        <v>45717</v>
      </c>
      <c r="B493" s="9" t="s">
        <v>14</v>
      </c>
      <c r="C493" t="s">
        <v>29</v>
      </c>
      <c r="D493" s="9">
        <v>19720</v>
      </c>
      <c r="E493" s="5" t="s">
        <v>451</v>
      </c>
      <c r="F493" t="s">
        <v>36</v>
      </c>
      <c r="G493">
        <v>1945</v>
      </c>
      <c r="H493">
        <v>755</v>
      </c>
      <c r="I493" s="8">
        <f t="shared" si="43"/>
        <v>0.38817480719794345</v>
      </c>
      <c r="J493" s="17">
        <v>0.7</v>
      </c>
      <c r="K493" s="12">
        <v>13.75</v>
      </c>
      <c r="L493" s="2">
        <f t="shared" si="45"/>
        <v>606.5</v>
      </c>
      <c r="M493" s="15">
        <f t="shared" si="44"/>
        <v>8339.375</v>
      </c>
      <c r="N493" t="str">
        <f t="shared" si="41"/>
        <v>MG</v>
      </c>
      <c r="O493" t="str">
        <f t="shared" si="42"/>
        <v>Belo Horizonte</v>
      </c>
    </row>
    <row r="494" spans="1:15" x14ac:dyDescent="0.3">
      <c r="A494" s="10">
        <v>45717</v>
      </c>
      <c r="B494" s="9" t="s">
        <v>15</v>
      </c>
      <c r="C494" t="s">
        <v>358</v>
      </c>
      <c r="D494" s="9">
        <v>19635</v>
      </c>
      <c r="E494" s="5" t="s">
        <v>452</v>
      </c>
      <c r="F494" t="s">
        <v>216</v>
      </c>
      <c r="G494">
        <v>2102</v>
      </c>
      <c r="H494">
        <v>912</v>
      </c>
      <c r="I494" s="8">
        <f t="shared" si="43"/>
        <v>0.43387250237868696</v>
      </c>
      <c r="J494" s="17">
        <v>0.7</v>
      </c>
      <c r="K494" s="12">
        <v>13.75</v>
      </c>
      <c r="L494" s="2">
        <f t="shared" si="45"/>
        <v>559.39999999999986</v>
      </c>
      <c r="M494" s="15">
        <f t="shared" si="44"/>
        <v>7691.7499999999982</v>
      </c>
      <c r="N494" t="str">
        <f t="shared" si="41"/>
        <v>RJ</v>
      </c>
      <c r="O494" t="str">
        <f t="shared" si="42"/>
        <v>Rio De Janeiro</v>
      </c>
    </row>
    <row r="495" spans="1:15" x14ac:dyDescent="0.3">
      <c r="A495" s="10">
        <v>45717</v>
      </c>
      <c r="B495" s="9" t="s">
        <v>15</v>
      </c>
      <c r="C495" t="s">
        <v>358</v>
      </c>
      <c r="D495" s="9">
        <v>19665</v>
      </c>
      <c r="E495" s="5" t="s">
        <v>453</v>
      </c>
      <c r="F495" t="s">
        <v>217</v>
      </c>
      <c r="G495">
        <v>1583</v>
      </c>
      <c r="H495">
        <v>626</v>
      </c>
      <c r="I495" s="8">
        <f t="shared" si="43"/>
        <v>0.39545167403663928</v>
      </c>
      <c r="J495" s="17">
        <v>0.7</v>
      </c>
      <c r="K495" s="12">
        <v>13.75</v>
      </c>
      <c r="L495" s="2">
        <f t="shared" si="45"/>
        <v>482.09999999999991</v>
      </c>
      <c r="M495" s="15">
        <f t="shared" si="44"/>
        <v>6628.8749999999991</v>
      </c>
      <c r="N495" t="str">
        <f t="shared" si="41"/>
        <v>RJ</v>
      </c>
      <c r="O495" t="str">
        <f t="shared" si="42"/>
        <v>Rio De Janeiro</v>
      </c>
    </row>
    <row r="496" spans="1:15" x14ac:dyDescent="0.3">
      <c r="A496" s="10">
        <v>45717</v>
      </c>
      <c r="B496" s="9" t="s">
        <v>15</v>
      </c>
      <c r="C496" t="s">
        <v>358</v>
      </c>
      <c r="D496" s="9">
        <v>19504</v>
      </c>
      <c r="E496" s="5" t="s">
        <v>454</v>
      </c>
      <c r="F496" t="s">
        <v>218</v>
      </c>
      <c r="G496">
        <v>3949</v>
      </c>
      <c r="H496">
        <v>1746</v>
      </c>
      <c r="I496" s="8">
        <f t="shared" si="43"/>
        <v>0.44213724993669284</v>
      </c>
      <c r="J496" s="17">
        <v>0.7</v>
      </c>
      <c r="K496" s="12">
        <v>13.75</v>
      </c>
      <c r="L496" s="2">
        <f t="shared" si="45"/>
        <v>1018.2999999999997</v>
      </c>
      <c r="M496" s="15">
        <f t="shared" si="44"/>
        <v>14001.624999999996</v>
      </c>
      <c r="N496" t="str">
        <f t="shared" si="41"/>
        <v>RJ</v>
      </c>
      <c r="O496" t="str">
        <f t="shared" si="42"/>
        <v>Rio De Janeiro</v>
      </c>
    </row>
    <row r="497" spans="1:15" x14ac:dyDescent="0.3">
      <c r="A497" s="10">
        <v>45717</v>
      </c>
      <c r="B497" s="9" t="s">
        <v>15</v>
      </c>
      <c r="C497" t="s">
        <v>358</v>
      </c>
      <c r="D497" s="9">
        <v>19511</v>
      </c>
      <c r="E497" s="5" t="s">
        <v>455</v>
      </c>
      <c r="F497" t="s">
        <v>219</v>
      </c>
      <c r="G497">
        <v>3139</v>
      </c>
      <c r="H497">
        <v>1165</v>
      </c>
      <c r="I497" s="8">
        <f t="shared" si="43"/>
        <v>0.37113730487416374</v>
      </c>
      <c r="J497" s="17">
        <v>0.7</v>
      </c>
      <c r="K497" s="12">
        <v>13.75</v>
      </c>
      <c r="L497" s="2">
        <f t="shared" si="45"/>
        <v>1032.3000000000002</v>
      </c>
      <c r="M497" s="15">
        <f t="shared" si="44"/>
        <v>14194.125000000002</v>
      </c>
      <c r="N497" t="str">
        <f t="shared" si="41"/>
        <v>RJ</v>
      </c>
      <c r="O497" t="str">
        <f t="shared" si="42"/>
        <v>Rio De Janeiro</v>
      </c>
    </row>
    <row r="498" spans="1:15" x14ac:dyDescent="0.3">
      <c r="A498" s="10">
        <v>45717</v>
      </c>
      <c r="B498" s="9" t="s">
        <v>14</v>
      </c>
      <c r="C498" t="s">
        <v>285</v>
      </c>
      <c r="D498" s="9">
        <v>19698</v>
      </c>
      <c r="E498" s="5" t="s">
        <v>456</v>
      </c>
      <c r="F498" t="s">
        <v>331</v>
      </c>
      <c r="G498">
        <v>2629</v>
      </c>
      <c r="H498">
        <v>1000</v>
      </c>
      <c r="I498" s="8">
        <f t="shared" si="43"/>
        <v>0.3803727653100038</v>
      </c>
      <c r="J498" s="17">
        <v>0.7</v>
      </c>
      <c r="K498" s="12">
        <v>13.75</v>
      </c>
      <c r="L498" s="2">
        <f t="shared" si="45"/>
        <v>840.3</v>
      </c>
      <c r="M498" s="15">
        <f t="shared" si="44"/>
        <v>11554.125</v>
      </c>
      <c r="N498" t="str">
        <f t="shared" si="41"/>
        <v>MG</v>
      </c>
      <c r="O498" t="str">
        <f t="shared" si="42"/>
        <v>Uberlândia</v>
      </c>
    </row>
    <row r="499" spans="1:15" x14ac:dyDescent="0.3">
      <c r="A499" s="10">
        <v>45717</v>
      </c>
      <c r="B499" s="9" t="s">
        <v>15</v>
      </c>
      <c r="C499" t="s">
        <v>358</v>
      </c>
      <c r="D499" s="9">
        <v>19506</v>
      </c>
      <c r="E499" s="5" t="s">
        <v>457</v>
      </c>
      <c r="F499" t="s">
        <v>220</v>
      </c>
      <c r="G499">
        <v>2658</v>
      </c>
      <c r="H499">
        <v>1025</v>
      </c>
      <c r="I499" s="8">
        <f t="shared" si="43"/>
        <v>0.38562829194883369</v>
      </c>
      <c r="J499" s="17">
        <v>0.7</v>
      </c>
      <c r="K499" s="12">
        <v>13.75</v>
      </c>
      <c r="L499" s="2">
        <f t="shared" si="45"/>
        <v>835.60000000000014</v>
      </c>
      <c r="M499" s="15">
        <f t="shared" si="44"/>
        <v>11489.500000000002</v>
      </c>
      <c r="N499" t="str">
        <f t="shared" si="41"/>
        <v>RJ</v>
      </c>
      <c r="O499" t="str">
        <f t="shared" si="42"/>
        <v>Rio De Janeiro</v>
      </c>
    </row>
    <row r="500" spans="1:15" x14ac:dyDescent="0.3">
      <c r="A500" s="10">
        <v>45717</v>
      </c>
      <c r="B500" s="9" t="s">
        <v>7</v>
      </c>
      <c r="C500" t="s">
        <v>8</v>
      </c>
      <c r="D500" s="9">
        <v>19700</v>
      </c>
      <c r="E500" s="5" t="s">
        <v>458</v>
      </c>
      <c r="F500" t="s">
        <v>9</v>
      </c>
      <c r="G500">
        <v>2052</v>
      </c>
      <c r="H500">
        <v>798</v>
      </c>
      <c r="I500" s="8">
        <f t="shared" si="43"/>
        <v>0.3888888888888889</v>
      </c>
      <c r="J500" s="17">
        <v>0.7</v>
      </c>
      <c r="K500" s="12">
        <v>13.75</v>
      </c>
      <c r="L500" s="2">
        <f t="shared" si="45"/>
        <v>638.39999999999964</v>
      </c>
      <c r="M500" s="15">
        <f t="shared" si="44"/>
        <v>8777.9999999999945</v>
      </c>
      <c r="N500" t="str">
        <f t="shared" si="41"/>
        <v>GO</v>
      </c>
      <c r="O500" t="str">
        <f t="shared" si="42"/>
        <v>Anápolis</v>
      </c>
    </row>
    <row r="501" spans="1:15" x14ac:dyDescent="0.3">
      <c r="A501" s="10">
        <v>45717</v>
      </c>
      <c r="B501" s="9" t="s">
        <v>14</v>
      </c>
      <c r="C501" t="s">
        <v>29</v>
      </c>
      <c r="D501" s="9">
        <v>19697</v>
      </c>
      <c r="E501" s="5" t="s">
        <v>459</v>
      </c>
      <c r="F501" t="s">
        <v>37</v>
      </c>
      <c r="G501">
        <v>2644</v>
      </c>
      <c r="H501">
        <v>1026</v>
      </c>
      <c r="I501" s="8">
        <f t="shared" si="43"/>
        <v>0.38804841149773073</v>
      </c>
      <c r="J501" s="17">
        <v>0.7</v>
      </c>
      <c r="K501" s="12">
        <v>13.75</v>
      </c>
      <c r="L501" s="2">
        <f t="shared" si="45"/>
        <v>824.79999999999973</v>
      </c>
      <c r="M501" s="15">
        <f t="shared" si="44"/>
        <v>11340.999999999996</v>
      </c>
      <c r="N501" t="str">
        <f t="shared" si="41"/>
        <v>MG</v>
      </c>
      <c r="O501" t="str">
        <f t="shared" si="42"/>
        <v>Belo Horizonte</v>
      </c>
    </row>
    <row r="502" spans="1:15" x14ac:dyDescent="0.3">
      <c r="A502" s="10">
        <v>45717</v>
      </c>
      <c r="B502" s="9" t="s">
        <v>46</v>
      </c>
      <c r="C502" t="s">
        <v>47</v>
      </c>
      <c r="D502" s="9">
        <v>19722</v>
      </c>
      <c r="E502" s="5" t="s">
        <v>460</v>
      </c>
      <c r="F502" t="s">
        <v>52</v>
      </c>
      <c r="G502">
        <v>1670</v>
      </c>
      <c r="H502">
        <v>529</v>
      </c>
      <c r="I502" s="8">
        <f t="shared" si="43"/>
        <v>0.31676646706586825</v>
      </c>
      <c r="J502" s="17">
        <v>0.7</v>
      </c>
      <c r="K502" s="12">
        <v>13.75</v>
      </c>
      <c r="L502" s="2">
        <f t="shared" si="45"/>
        <v>640</v>
      </c>
      <c r="M502" s="15">
        <f t="shared" si="44"/>
        <v>8800</v>
      </c>
      <c r="N502" t="str">
        <f t="shared" si="41"/>
        <v>DF</v>
      </c>
      <c r="O502" t="str">
        <f t="shared" si="42"/>
        <v>Brasília</v>
      </c>
    </row>
    <row r="503" spans="1:15" x14ac:dyDescent="0.3">
      <c r="A503" s="10">
        <v>45717</v>
      </c>
      <c r="B503" s="9" t="s">
        <v>3</v>
      </c>
      <c r="C503" t="s">
        <v>248</v>
      </c>
      <c r="D503" s="9">
        <v>19716</v>
      </c>
      <c r="E503" s="5" t="s">
        <v>461</v>
      </c>
      <c r="F503" t="s">
        <v>262</v>
      </c>
      <c r="G503">
        <v>1978</v>
      </c>
      <c r="H503">
        <v>803</v>
      </c>
      <c r="I503" s="8">
        <f t="shared" si="43"/>
        <v>0.40596562184024265</v>
      </c>
      <c r="J503" s="17">
        <v>0.7</v>
      </c>
      <c r="K503" s="12">
        <v>13.75</v>
      </c>
      <c r="L503" s="2">
        <f t="shared" si="45"/>
        <v>581.59999999999991</v>
      </c>
      <c r="M503" s="15">
        <f t="shared" si="44"/>
        <v>7996.9999999999991</v>
      </c>
      <c r="N503" t="str">
        <f t="shared" si="41"/>
        <v>SP</v>
      </c>
      <c r="O503" t="str">
        <f t="shared" si="42"/>
        <v>São Paulo</v>
      </c>
    </row>
    <row r="504" spans="1:15" x14ac:dyDescent="0.3">
      <c r="A504" s="10">
        <v>45717</v>
      </c>
      <c r="B504" s="9" t="s">
        <v>3</v>
      </c>
      <c r="C504" t="s">
        <v>17</v>
      </c>
      <c r="D504" s="9">
        <v>19715</v>
      </c>
      <c r="E504" s="5" t="s">
        <v>462</v>
      </c>
      <c r="F504" t="s">
        <v>18</v>
      </c>
      <c r="G504">
        <v>1296</v>
      </c>
      <c r="H504">
        <v>747</v>
      </c>
      <c r="I504" s="8">
        <f t="shared" si="43"/>
        <v>0.57638888888888884</v>
      </c>
      <c r="J504" s="17">
        <v>0.7</v>
      </c>
      <c r="K504" s="12">
        <v>13.75</v>
      </c>
      <c r="L504" s="2">
        <f t="shared" si="45"/>
        <v>160.20000000000005</v>
      </c>
      <c r="M504" s="15">
        <f t="shared" si="44"/>
        <v>2202.7500000000005</v>
      </c>
      <c r="N504" t="str">
        <f t="shared" si="41"/>
        <v>SP</v>
      </c>
      <c r="O504" t="str">
        <f t="shared" si="42"/>
        <v>Atibaia</v>
      </c>
    </row>
    <row r="505" spans="1:15" x14ac:dyDescent="0.3">
      <c r="A505" s="10">
        <v>45717</v>
      </c>
      <c r="B505" s="9" t="s">
        <v>46</v>
      </c>
      <c r="C505" t="s">
        <v>47</v>
      </c>
      <c r="D505" s="9">
        <v>19550</v>
      </c>
      <c r="E505" s="5" t="s">
        <v>463</v>
      </c>
      <c r="F505" t="s">
        <v>342</v>
      </c>
      <c r="G505">
        <v>2902</v>
      </c>
      <c r="H505">
        <v>1279</v>
      </c>
      <c r="I505" s="8">
        <f t="shared" si="43"/>
        <v>0.44073053066850448</v>
      </c>
      <c r="J505" s="17">
        <v>0.7</v>
      </c>
      <c r="K505" s="12">
        <v>13.75</v>
      </c>
      <c r="L505" s="2">
        <f t="shared" si="45"/>
        <v>752.39999999999986</v>
      </c>
      <c r="M505" s="15">
        <f t="shared" si="44"/>
        <v>10345.499999999998</v>
      </c>
      <c r="N505" t="str">
        <f t="shared" si="41"/>
        <v>DF</v>
      </c>
      <c r="O505" t="str">
        <f t="shared" si="42"/>
        <v>Brasília</v>
      </c>
    </row>
    <row r="506" spans="1:15" x14ac:dyDescent="0.3">
      <c r="A506" s="10">
        <v>45717</v>
      </c>
      <c r="B506" s="9" t="s">
        <v>21</v>
      </c>
      <c r="C506" t="s">
        <v>368</v>
      </c>
      <c r="D506" s="9">
        <v>19736</v>
      </c>
      <c r="E506" s="5" t="s">
        <v>464</v>
      </c>
      <c r="F506" t="s">
        <v>295</v>
      </c>
      <c r="G506">
        <v>3836</v>
      </c>
      <c r="H506">
        <v>1447</v>
      </c>
      <c r="I506" s="8">
        <f t="shared" si="43"/>
        <v>0.37721584984358708</v>
      </c>
      <c r="J506" s="17">
        <v>0.7</v>
      </c>
      <c r="K506" s="12">
        <v>13.75</v>
      </c>
      <c r="L506" s="2">
        <f t="shared" si="45"/>
        <v>1238.1999999999998</v>
      </c>
      <c r="M506" s="15">
        <f t="shared" si="44"/>
        <v>17025.249999999996</v>
      </c>
      <c r="N506" t="str">
        <f t="shared" si="41"/>
        <v>BA</v>
      </c>
      <c r="O506" t="str">
        <f t="shared" si="42"/>
        <v>Vitória Da Conquista</v>
      </c>
    </row>
    <row r="507" spans="1:15" x14ac:dyDescent="0.3">
      <c r="A507" s="10">
        <v>45717</v>
      </c>
      <c r="B507" s="9" t="s">
        <v>21</v>
      </c>
      <c r="C507" t="s">
        <v>228</v>
      </c>
      <c r="D507" s="9">
        <v>19740</v>
      </c>
      <c r="E507" s="5" t="s">
        <v>465</v>
      </c>
      <c r="F507" t="s">
        <v>229</v>
      </c>
      <c r="G507">
        <v>2227</v>
      </c>
      <c r="H507">
        <v>744</v>
      </c>
      <c r="I507" s="8">
        <f t="shared" si="43"/>
        <v>0.33408172429277055</v>
      </c>
      <c r="J507" s="17">
        <v>0.7</v>
      </c>
      <c r="K507" s="12">
        <v>13.75</v>
      </c>
      <c r="L507" s="2">
        <f t="shared" si="45"/>
        <v>814.89999999999986</v>
      </c>
      <c r="M507" s="15">
        <f t="shared" si="44"/>
        <v>11204.874999999998</v>
      </c>
      <c r="N507" t="str">
        <f t="shared" si="41"/>
        <v>BA</v>
      </c>
      <c r="O507" t="str">
        <f t="shared" si="42"/>
        <v>Salvador</v>
      </c>
    </row>
    <row r="508" spans="1:15" x14ac:dyDescent="0.3">
      <c r="A508" s="10">
        <v>45717</v>
      </c>
      <c r="B508" s="9" t="s">
        <v>21</v>
      </c>
      <c r="C508" t="s">
        <v>352</v>
      </c>
      <c r="D508" s="9">
        <v>19738</v>
      </c>
      <c r="E508" s="5" t="s">
        <v>466</v>
      </c>
      <c r="F508" t="s">
        <v>118</v>
      </c>
      <c r="G508">
        <v>4653</v>
      </c>
      <c r="H508">
        <v>2249</v>
      </c>
      <c r="I508" s="8">
        <f t="shared" si="43"/>
        <v>0.48334407908875993</v>
      </c>
      <c r="J508" s="17">
        <v>0.7</v>
      </c>
      <c r="K508" s="12">
        <v>13.75</v>
      </c>
      <c r="L508" s="2">
        <f t="shared" si="45"/>
        <v>1008.0999999999999</v>
      </c>
      <c r="M508" s="15">
        <f t="shared" si="44"/>
        <v>13861.374999999998</v>
      </c>
      <c r="N508" t="str">
        <f t="shared" si="41"/>
        <v>BA</v>
      </c>
      <c r="O508" t="str">
        <f t="shared" si="42"/>
        <v>Lauro De Freitas</v>
      </c>
    </row>
    <row r="509" spans="1:15" x14ac:dyDescent="0.3">
      <c r="A509" s="10">
        <v>45717</v>
      </c>
      <c r="B509" s="9" t="s">
        <v>129</v>
      </c>
      <c r="C509" t="s">
        <v>130</v>
      </c>
      <c r="D509" s="9">
        <v>19742</v>
      </c>
      <c r="E509" s="5" t="s">
        <v>467</v>
      </c>
      <c r="F509" t="s">
        <v>131</v>
      </c>
      <c r="G509">
        <v>1856</v>
      </c>
      <c r="H509">
        <v>875</v>
      </c>
      <c r="I509" s="8">
        <f t="shared" si="43"/>
        <v>0.47144396551724138</v>
      </c>
      <c r="J509" s="17">
        <v>0.7</v>
      </c>
      <c r="K509" s="12">
        <v>13.75</v>
      </c>
      <c r="L509" s="2">
        <f t="shared" si="45"/>
        <v>424.20000000000005</v>
      </c>
      <c r="M509" s="15">
        <f t="shared" si="44"/>
        <v>5832.7500000000009</v>
      </c>
      <c r="N509" t="str">
        <f t="shared" si="41"/>
        <v>AM</v>
      </c>
      <c r="O509" t="str">
        <f t="shared" si="42"/>
        <v>Manaus</v>
      </c>
    </row>
    <row r="510" spans="1:15" x14ac:dyDescent="0.3">
      <c r="A510" s="10">
        <v>45717</v>
      </c>
      <c r="B510" s="9" t="s">
        <v>129</v>
      </c>
      <c r="C510" t="s">
        <v>130</v>
      </c>
      <c r="D510" s="9">
        <v>19785</v>
      </c>
      <c r="E510" s="5" t="s">
        <v>468</v>
      </c>
      <c r="F510" t="s">
        <v>132</v>
      </c>
      <c r="G510">
        <v>2090</v>
      </c>
      <c r="H510">
        <v>1009</v>
      </c>
      <c r="I510" s="8">
        <f t="shared" si="43"/>
        <v>0.48277511961722486</v>
      </c>
      <c r="J510" s="17">
        <v>0.7</v>
      </c>
      <c r="K510" s="12">
        <v>13.75</v>
      </c>
      <c r="L510" s="2">
        <f t="shared" si="45"/>
        <v>454</v>
      </c>
      <c r="M510" s="15">
        <f t="shared" si="44"/>
        <v>6242.5</v>
      </c>
      <c r="N510" t="str">
        <f t="shared" si="41"/>
        <v>AM</v>
      </c>
      <c r="O510" t="str">
        <f t="shared" si="42"/>
        <v>Manaus</v>
      </c>
    </row>
    <row r="511" spans="1:15" x14ac:dyDescent="0.3">
      <c r="A511" s="10">
        <v>45717</v>
      </c>
      <c r="B511" s="9" t="s">
        <v>129</v>
      </c>
      <c r="C511" t="s">
        <v>130</v>
      </c>
      <c r="D511" s="9">
        <v>19843</v>
      </c>
      <c r="E511" s="5" t="s">
        <v>469</v>
      </c>
      <c r="F511" t="s">
        <v>133</v>
      </c>
      <c r="G511">
        <v>1335</v>
      </c>
      <c r="H511">
        <v>607</v>
      </c>
      <c r="I511" s="8">
        <f t="shared" si="43"/>
        <v>0.45468164794007493</v>
      </c>
      <c r="J511" s="17">
        <v>0.7</v>
      </c>
      <c r="K511" s="12">
        <v>13.75</v>
      </c>
      <c r="L511" s="2">
        <f t="shared" si="45"/>
        <v>327.49999999999989</v>
      </c>
      <c r="M511" s="15">
        <f t="shared" si="44"/>
        <v>4503.1249999999982</v>
      </c>
      <c r="N511" t="str">
        <f t="shared" si="41"/>
        <v>AM</v>
      </c>
      <c r="O511" t="str">
        <f t="shared" si="42"/>
        <v>Manaus</v>
      </c>
    </row>
    <row r="512" spans="1:15" x14ac:dyDescent="0.3">
      <c r="A512" s="10">
        <v>45717</v>
      </c>
      <c r="B512" s="9" t="s">
        <v>129</v>
      </c>
      <c r="C512" t="s">
        <v>130</v>
      </c>
      <c r="D512" s="9">
        <v>19879</v>
      </c>
      <c r="E512" s="5" t="s">
        <v>470</v>
      </c>
      <c r="F512" t="s">
        <v>134</v>
      </c>
      <c r="G512">
        <v>1789</v>
      </c>
      <c r="H512">
        <v>980</v>
      </c>
      <c r="I512" s="8">
        <f t="shared" si="43"/>
        <v>0.54779206260480717</v>
      </c>
      <c r="J512" s="17">
        <v>0.7</v>
      </c>
      <c r="K512" s="12">
        <v>13.75</v>
      </c>
      <c r="L512" s="2">
        <f t="shared" si="45"/>
        <v>272.29999999999995</v>
      </c>
      <c r="M512" s="15">
        <f t="shared" si="44"/>
        <v>3744.1249999999995</v>
      </c>
      <c r="N512" t="str">
        <f t="shared" si="41"/>
        <v>AM</v>
      </c>
      <c r="O512" t="str">
        <f t="shared" si="42"/>
        <v>Manaus</v>
      </c>
    </row>
    <row r="513" spans="1:15" x14ac:dyDescent="0.3">
      <c r="A513" s="10">
        <v>45717</v>
      </c>
      <c r="B513" s="9" t="s">
        <v>89</v>
      </c>
      <c r="C513" t="s">
        <v>346</v>
      </c>
      <c r="D513" s="9">
        <v>19735</v>
      </c>
      <c r="E513" s="5" t="s">
        <v>471</v>
      </c>
      <c r="F513" t="s">
        <v>90</v>
      </c>
      <c r="G513">
        <v>1845</v>
      </c>
      <c r="H513">
        <v>869</v>
      </c>
      <c r="I513" s="8">
        <f t="shared" si="43"/>
        <v>0.47100271002710026</v>
      </c>
      <c r="J513" s="17">
        <v>0.7</v>
      </c>
      <c r="K513" s="12">
        <v>13.75</v>
      </c>
      <c r="L513" s="2">
        <f t="shared" ref="L513:L529" si="46">H513*J513/I513-H513</f>
        <v>422.5</v>
      </c>
      <c r="M513" s="15">
        <f t="shared" si="44"/>
        <v>5809.375</v>
      </c>
      <c r="N513" t="str">
        <f t="shared" si="41"/>
        <v>CE</v>
      </c>
      <c r="O513" t="str">
        <f t="shared" si="42"/>
        <v>Fortaleza</v>
      </c>
    </row>
    <row r="514" spans="1:15" x14ac:dyDescent="0.3">
      <c r="A514" s="10">
        <v>45717</v>
      </c>
      <c r="B514" s="9" t="s">
        <v>89</v>
      </c>
      <c r="C514" t="s">
        <v>346</v>
      </c>
      <c r="D514" s="9">
        <v>19607</v>
      </c>
      <c r="E514" s="5" t="s">
        <v>472</v>
      </c>
      <c r="F514" t="s">
        <v>91</v>
      </c>
      <c r="G514">
        <v>1920</v>
      </c>
      <c r="H514">
        <v>764</v>
      </c>
      <c r="I514" s="8">
        <f t="shared" si="43"/>
        <v>0.39791666666666664</v>
      </c>
      <c r="J514" s="17">
        <v>0.7</v>
      </c>
      <c r="K514" s="12">
        <v>13.75</v>
      </c>
      <c r="L514" s="2">
        <f t="shared" si="46"/>
        <v>580</v>
      </c>
      <c r="M514" s="15">
        <f t="shared" si="44"/>
        <v>7975</v>
      </c>
      <c r="N514" t="str">
        <f t="shared" ref="N514:N577" si="47">B514</f>
        <v>CE</v>
      </c>
      <c r="O514" t="str">
        <f t="shared" ref="O514:O577" si="48">C514</f>
        <v>Fortaleza</v>
      </c>
    </row>
    <row r="515" spans="1:15" x14ac:dyDescent="0.3">
      <c r="A515" s="10">
        <v>45717</v>
      </c>
      <c r="B515" s="9" t="s">
        <v>89</v>
      </c>
      <c r="C515" t="s">
        <v>346</v>
      </c>
      <c r="D515" s="9">
        <v>19642</v>
      </c>
      <c r="E515" s="5" t="s">
        <v>473</v>
      </c>
      <c r="F515" t="s">
        <v>92</v>
      </c>
      <c r="G515">
        <v>1701</v>
      </c>
      <c r="H515">
        <v>670</v>
      </c>
      <c r="I515" s="8">
        <f t="shared" ref="I515:I578" si="49">H515/G515</f>
        <v>0.39388594944150501</v>
      </c>
      <c r="J515" s="17">
        <v>0.7</v>
      </c>
      <c r="K515" s="12">
        <v>13.75</v>
      </c>
      <c r="L515" s="2">
        <f t="shared" si="46"/>
        <v>520.69999999999982</v>
      </c>
      <c r="M515" s="15">
        <f t="shared" ref="M515:M578" si="50">L515*K515</f>
        <v>7159.6249999999973</v>
      </c>
      <c r="N515" t="str">
        <f t="shared" si="47"/>
        <v>CE</v>
      </c>
      <c r="O515" t="str">
        <f t="shared" si="48"/>
        <v>Fortaleza</v>
      </c>
    </row>
    <row r="516" spans="1:15" x14ac:dyDescent="0.3">
      <c r="A516" s="10">
        <v>45717</v>
      </c>
      <c r="B516" s="9" t="s">
        <v>89</v>
      </c>
      <c r="C516" t="s">
        <v>346</v>
      </c>
      <c r="D516" s="9">
        <v>19725</v>
      </c>
      <c r="E516" s="5" t="s">
        <v>474</v>
      </c>
      <c r="F516" t="s">
        <v>93</v>
      </c>
      <c r="G516">
        <v>1386</v>
      </c>
      <c r="H516">
        <v>586</v>
      </c>
      <c r="I516" s="8">
        <f t="shared" si="49"/>
        <v>0.42279942279942279</v>
      </c>
      <c r="J516" s="17">
        <v>0.7</v>
      </c>
      <c r="K516" s="12">
        <v>13.75</v>
      </c>
      <c r="L516" s="2">
        <f t="shared" si="46"/>
        <v>384.20000000000005</v>
      </c>
      <c r="M516" s="15">
        <f t="shared" si="50"/>
        <v>5282.7500000000009</v>
      </c>
      <c r="N516" t="str">
        <f t="shared" si="47"/>
        <v>CE</v>
      </c>
      <c r="O516" t="str">
        <f t="shared" si="48"/>
        <v>Fortaleza</v>
      </c>
    </row>
    <row r="517" spans="1:15" x14ac:dyDescent="0.3">
      <c r="A517" s="10">
        <v>45717</v>
      </c>
      <c r="B517" s="9" t="s">
        <v>89</v>
      </c>
      <c r="C517" t="s">
        <v>346</v>
      </c>
      <c r="D517" s="9">
        <v>19902</v>
      </c>
      <c r="E517" s="5" t="s">
        <v>475</v>
      </c>
      <c r="F517" t="s">
        <v>94</v>
      </c>
      <c r="G517">
        <v>1560</v>
      </c>
      <c r="H517">
        <v>766</v>
      </c>
      <c r="I517" s="8">
        <f t="shared" si="49"/>
        <v>0.491025641025641</v>
      </c>
      <c r="J517" s="17">
        <v>0.7</v>
      </c>
      <c r="K517" s="12">
        <v>13.75</v>
      </c>
      <c r="L517" s="2">
        <f t="shared" si="46"/>
        <v>326</v>
      </c>
      <c r="M517" s="15">
        <f t="shared" si="50"/>
        <v>4482.5</v>
      </c>
      <c r="N517" t="str">
        <f t="shared" si="47"/>
        <v>CE</v>
      </c>
      <c r="O517" t="str">
        <f t="shared" si="48"/>
        <v>Fortaleza</v>
      </c>
    </row>
    <row r="518" spans="1:15" x14ac:dyDescent="0.3">
      <c r="A518" s="10">
        <v>45717</v>
      </c>
      <c r="B518" s="9" t="s">
        <v>89</v>
      </c>
      <c r="C518" t="s">
        <v>346</v>
      </c>
      <c r="D518" s="9">
        <v>19903</v>
      </c>
      <c r="E518" s="5" t="s">
        <v>476</v>
      </c>
      <c r="F518" t="s">
        <v>95</v>
      </c>
      <c r="G518">
        <v>1504</v>
      </c>
      <c r="H518">
        <v>887</v>
      </c>
      <c r="I518" s="8">
        <f t="shared" si="49"/>
        <v>0.58976063829787229</v>
      </c>
      <c r="J518" s="17">
        <v>0.7</v>
      </c>
      <c r="K518" s="12">
        <v>13.75</v>
      </c>
      <c r="L518" s="2">
        <f t="shared" si="46"/>
        <v>165.79999999999995</v>
      </c>
      <c r="M518" s="15">
        <f t="shared" si="50"/>
        <v>2279.7499999999995</v>
      </c>
      <c r="N518" t="str">
        <f t="shared" si="47"/>
        <v>CE</v>
      </c>
      <c r="O518" t="str">
        <f t="shared" si="48"/>
        <v>Fortaleza</v>
      </c>
    </row>
    <row r="519" spans="1:15" x14ac:dyDescent="0.3">
      <c r="A519" s="10">
        <v>45717</v>
      </c>
      <c r="B519" s="9" t="s">
        <v>82</v>
      </c>
      <c r="C519" t="s">
        <v>135</v>
      </c>
      <c r="D519" s="9">
        <v>19749</v>
      </c>
      <c r="E519" s="5" t="s">
        <v>477</v>
      </c>
      <c r="F519" t="s">
        <v>136</v>
      </c>
      <c r="G519">
        <v>1677</v>
      </c>
      <c r="H519">
        <v>494</v>
      </c>
      <c r="I519" s="8">
        <f t="shared" si="49"/>
        <v>0.29457364341085274</v>
      </c>
      <c r="J519" s="17">
        <v>0.7</v>
      </c>
      <c r="K519" s="12">
        <v>13.75</v>
      </c>
      <c r="L519" s="2">
        <f t="shared" si="46"/>
        <v>679.89999999999986</v>
      </c>
      <c r="M519" s="15">
        <f t="shared" si="50"/>
        <v>9348.6249999999982</v>
      </c>
      <c r="N519" t="str">
        <f t="shared" si="47"/>
        <v>PR</v>
      </c>
      <c r="O519" t="str">
        <f t="shared" si="48"/>
        <v>Maringá</v>
      </c>
    </row>
    <row r="520" spans="1:15" x14ac:dyDescent="0.3">
      <c r="A520" s="10">
        <v>45717</v>
      </c>
      <c r="B520" s="9" t="s">
        <v>82</v>
      </c>
      <c r="C520" t="s">
        <v>83</v>
      </c>
      <c r="D520" s="9">
        <v>19545</v>
      </c>
      <c r="E520" s="5" t="s">
        <v>478</v>
      </c>
      <c r="F520" t="s">
        <v>84</v>
      </c>
      <c r="G520">
        <v>3089</v>
      </c>
      <c r="H520">
        <v>1245</v>
      </c>
      <c r="I520" s="8">
        <f t="shared" si="49"/>
        <v>0.40304305600517965</v>
      </c>
      <c r="J520" s="17">
        <v>0.7</v>
      </c>
      <c r="K520" s="12">
        <v>13.75</v>
      </c>
      <c r="L520" s="2">
        <f t="shared" si="46"/>
        <v>917.30000000000018</v>
      </c>
      <c r="M520" s="15">
        <f t="shared" si="50"/>
        <v>12612.875000000002</v>
      </c>
      <c r="N520" t="str">
        <f t="shared" si="47"/>
        <v>PR</v>
      </c>
      <c r="O520" t="str">
        <f t="shared" si="48"/>
        <v>Curitiba</v>
      </c>
    </row>
    <row r="521" spans="1:15" x14ac:dyDescent="0.3">
      <c r="A521" s="10">
        <v>45717</v>
      </c>
      <c r="B521" s="9" t="s">
        <v>82</v>
      </c>
      <c r="C521" t="s">
        <v>83</v>
      </c>
      <c r="D521" s="9">
        <v>19546</v>
      </c>
      <c r="E521" s="5" t="s">
        <v>479</v>
      </c>
      <c r="F521" t="s">
        <v>85</v>
      </c>
      <c r="G521">
        <v>2203</v>
      </c>
      <c r="H521">
        <v>783</v>
      </c>
      <c r="I521" s="8">
        <f t="shared" si="49"/>
        <v>0.3554244212437585</v>
      </c>
      <c r="J521" s="17">
        <v>0.7</v>
      </c>
      <c r="K521" s="12">
        <v>13.75</v>
      </c>
      <c r="L521" s="2">
        <f t="shared" si="46"/>
        <v>759.09999999999968</v>
      </c>
      <c r="M521" s="15">
        <f t="shared" si="50"/>
        <v>10437.624999999996</v>
      </c>
      <c r="N521" t="str">
        <f t="shared" si="47"/>
        <v>PR</v>
      </c>
      <c r="O521" t="str">
        <f t="shared" si="48"/>
        <v>Curitiba</v>
      </c>
    </row>
    <row r="522" spans="1:15" x14ac:dyDescent="0.3">
      <c r="A522" s="10">
        <v>45717</v>
      </c>
      <c r="B522" s="9" t="s">
        <v>3</v>
      </c>
      <c r="C522" t="s">
        <v>248</v>
      </c>
      <c r="D522" s="9">
        <v>19763</v>
      </c>
      <c r="E522" s="5" t="s">
        <v>480</v>
      </c>
      <c r="F522" t="s">
        <v>263</v>
      </c>
      <c r="G522">
        <v>1603</v>
      </c>
      <c r="H522">
        <v>535</v>
      </c>
      <c r="I522" s="8">
        <f t="shared" si="49"/>
        <v>0.33374922021210229</v>
      </c>
      <c r="J522" s="17">
        <v>0.7</v>
      </c>
      <c r="K522" s="12">
        <v>13.75</v>
      </c>
      <c r="L522" s="2">
        <f t="shared" si="46"/>
        <v>587.10000000000014</v>
      </c>
      <c r="M522" s="15">
        <f t="shared" si="50"/>
        <v>8072.6250000000018</v>
      </c>
      <c r="N522" t="str">
        <f t="shared" si="47"/>
        <v>SP</v>
      </c>
      <c r="O522" t="str">
        <f t="shared" si="48"/>
        <v>São Paulo</v>
      </c>
    </row>
    <row r="523" spans="1:15" x14ac:dyDescent="0.3">
      <c r="A523" s="10">
        <v>45717</v>
      </c>
      <c r="B523" s="9" t="s">
        <v>3</v>
      </c>
      <c r="C523" t="s">
        <v>248</v>
      </c>
      <c r="D523" s="9">
        <v>19711</v>
      </c>
      <c r="E523" s="5" t="s">
        <v>481</v>
      </c>
      <c r="F523" t="s">
        <v>264</v>
      </c>
      <c r="G523">
        <v>1858</v>
      </c>
      <c r="H523">
        <v>724</v>
      </c>
      <c r="I523" s="8">
        <f t="shared" si="49"/>
        <v>0.38966630785791173</v>
      </c>
      <c r="J523" s="17">
        <v>0.7</v>
      </c>
      <c r="K523" s="12">
        <v>13.75</v>
      </c>
      <c r="L523" s="2">
        <f t="shared" si="46"/>
        <v>576.59999999999991</v>
      </c>
      <c r="M523" s="15">
        <f t="shared" si="50"/>
        <v>7928.2499999999991</v>
      </c>
      <c r="N523" t="str">
        <f t="shared" si="47"/>
        <v>SP</v>
      </c>
      <c r="O523" t="str">
        <f t="shared" si="48"/>
        <v>São Paulo</v>
      </c>
    </row>
    <row r="524" spans="1:15" x14ac:dyDescent="0.3">
      <c r="A524" s="10">
        <v>45717</v>
      </c>
      <c r="B524" s="9" t="s">
        <v>46</v>
      </c>
      <c r="C524" t="s">
        <v>47</v>
      </c>
      <c r="D524" s="9">
        <v>19755</v>
      </c>
      <c r="E524" s="5" t="s">
        <v>482</v>
      </c>
      <c r="F524" t="s">
        <v>53</v>
      </c>
      <c r="G524">
        <v>1094</v>
      </c>
      <c r="H524">
        <v>419</v>
      </c>
      <c r="I524" s="8">
        <f t="shared" si="49"/>
        <v>0.38299817184643509</v>
      </c>
      <c r="J524" s="17">
        <v>0.7</v>
      </c>
      <c r="K524" s="12">
        <v>13.75</v>
      </c>
      <c r="L524" s="2">
        <f t="shared" si="46"/>
        <v>346.79999999999995</v>
      </c>
      <c r="M524" s="15">
        <f t="shared" si="50"/>
        <v>4768.4999999999991</v>
      </c>
      <c r="N524" t="str">
        <f t="shared" si="47"/>
        <v>DF</v>
      </c>
      <c r="O524" t="str">
        <f t="shared" si="48"/>
        <v>Brasília</v>
      </c>
    </row>
    <row r="525" spans="1:15" x14ac:dyDescent="0.3">
      <c r="A525" s="10">
        <v>45717</v>
      </c>
      <c r="B525" s="9" t="s">
        <v>3</v>
      </c>
      <c r="C525" t="s">
        <v>248</v>
      </c>
      <c r="D525" s="9">
        <v>19753</v>
      </c>
      <c r="E525" s="5" t="s">
        <v>483</v>
      </c>
      <c r="F525" t="s">
        <v>265</v>
      </c>
      <c r="G525">
        <v>2677</v>
      </c>
      <c r="H525">
        <v>1018</v>
      </c>
      <c r="I525" s="8">
        <f t="shared" si="49"/>
        <v>0.3802764288382518</v>
      </c>
      <c r="J525" s="17">
        <v>0.7</v>
      </c>
      <c r="K525" s="12">
        <v>13.75</v>
      </c>
      <c r="L525" s="2">
        <f t="shared" si="46"/>
        <v>855.89999999999964</v>
      </c>
      <c r="M525" s="15">
        <f t="shared" si="50"/>
        <v>11768.624999999995</v>
      </c>
      <c r="N525" t="str">
        <f t="shared" si="47"/>
        <v>SP</v>
      </c>
      <c r="O525" t="str">
        <f t="shared" si="48"/>
        <v>São Paulo</v>
      </c>
    </row>
    <row r="526" spans="1:15" x14ac:dyDescent="0.3">
      <c r="A526" s="10">
        <v>45717</v>
      </c>
      <c r="B526" s="9" t="s">
        <v>7</v>
      </c>
      <c r="C526" t="s">
        <v>99</v>
      </c>
      <c r="D526" s="9">
        <v>19754</v>
      </c>
      <c r="E526" s="5" t="s">
        <v>484</v>
      </c>
      <c r="F526" t="s">
        <v>101</v>
      </c>
      <c r="G526">
        <v>3385</v>
      </c>
      <c r="H526">
        <v>1372</v>
      </c>
      <c r="I526" s="8">
        <f t="shared" si="49"/>
        <v>0.4053175775480059</v>
      </c>
      <c r="J526" s="17">
        <v>0.7</v>
      </c>
      <c r="K526" s="12">
        <v>13.75</v>
      </c>
      <c r="L526" s="2">
        <f t="shared" si="46"/>
        <v>997.5</v>
      </c>
      <c r="M526" s="15">
        <f t="shared" si="50"/>
        <v>13715.625</v>
      </c>
      <c r="N526" t="str">
        <f t="shared" si="47"/>
        <v>GO</v>
      </c>
      <c r="O526" t="str">
        <f t="shared" si="48"/>
        <v>Goiânia</v>
      </c>
    </row>
    <row r="527" spans="1:15" x14ac:dyDescent="0.3">
      <c r="A527" s="10">
        <v>45717</v>
      </c>
      <c r="B527" s="9" t="s">
        <v>14</v>
      </c>
      <c r="C527" t="s">
        <v>29</v>
      </c>
      <c r="D527" s="9">
        <v>19759</v>
      </c>
      <c r="E527" s="5" t="s">
        <v>485</v>
      </c>
      <c r="F527" t="s">
        <v>38</v>
      </c>
      <c r="G527">
        <v>1925</v>
      </c>
      <c r="H527">
        <v>873</v>
      </c>
      <c r="I527" s="8">
        <f t="shared" si="49"/>
        <v>0.45350649350649352</v>
      </c>
      <c r="J527" s="17">
        <v>0.7</v>
      </c>
      <c r="K527" s="12">
        <v>13.75</v>
      </c>
      <c r="L527" s="2">
        <f t="shared" si="46"/>
        <v>474.49999999999977</v>
      </c>
      <c r="M527" s="15">
        <f t="shared" si="50"/>
        <v>6524.3749999999973</v>
      </c>
      <c r="N527" t="str">
        <f t="shared" si="47"/>
        <v>MG</v>
      </c>
      <c r="O527" t="str">
        <f t="shared" si="48"/>
        <v>Belo Horizonte</v>
      </c>
    </row>
    <row r="528" spans="1:15" x14ac:dyDescent="0.3">
      <c r="A528" s="10">
        <v>45717</v>
      </c>
      <c r="B528" s="9" t="s">
        <v>195</v>
      </c>
      <c r="C528" t="s">
        <v>196</v>
      </c>
      <c r="D528" s="9">
        <v>19762</v>
      </c>
      <c r="E528" s="5" t="s">
        <v>486</v>
      </c>
      <c r="F528" t="s">
        <v>197</v>
      </c>
      <c r="G528">
        <v>1412</v>
      </c>
      <c r="H528">
        <v>711</v>
      </c>
      <c r="I528" s="8">
        <f t="shared" si="49"/>
        <v>0.5035410764872521</v>
      </c>
      <c r="J528" s="17">
        <v>0.7</v>
      </c>
      <c r="K528" s="12">
        <v>13.75</v>
      </c>
      <c r="L528" s="2">
        <f t="shared" si="46"/>
        <v>277.39999999999998</v>
      </c>
      <c r="M528" s="15">
        <f t="shared" si="50"/>
        <v>3814.2499999999995</v>
      </c>
      <c r="N528" t="str">
        <f t="shared" si="47"/>
        <v>AC</v>
      </c>
      <c r="O528" t="str">
        <f t="shared" si="48"/>
        <v>Rio Branco</v>
      </c>
    </row>
    <row r="529" spans="1:15" x14ac:dyDescent="0.3">
      <c r="A529" s="10">
        <v>45717</v>
      </c>
      <c r="B529" s="9" t="s">
        <v>82</v>
      </c>
      <c r="C529" t="s">
        <v>349</v>
      </c>
      <c r="D529" s="9">
        <v>19772</v>
      </c>
      <c r="E529" s="5" t="s">
        <v>487</v>
      </c>
      <c r="F529" t="s">
        <v>96</v>
      </c>
      <c r="G529">
        <v>1318</v>
      </c>
      <c r="H529">
        <v>735</v>
      </c>
      <c r="I529" s="8">
        <f t="shared" si="49"/>
        <v>0.55766312594840672</v>
      </c>
      <c r="J529" s="17">
        <v>0.7</v>
      </c>
      <c r="K529" s="12">
        <v>13.75</v>
      </c>
      <c r="L529" s="2">
        <f t="shared" si="46"/>
        <v>187.59999999999991</v>
      </c>
      <c r="M529" s="15">
        <f t="shared" si="50"/>
        <v>2579.4999999999986</v>
      </c>
      <c r="N529" t="str">
        <f t="shared" si="47"/>
        <v>PR</v>
      </c>
      <c r="O529" t="str">
        <f t="shared" si="48"/>
        <v>Foz Do Iguaçu</v>
      </c>
    </row>
    <row r="530" spans="1:15" x14ac:dyDescent="0.3">
      <c r="A530" s="10">
        <v>45717</v>
      </c>
      <c r="B530" s="9" t="s">
        <v>15</v>
      </c>
      <c r="C530" t="s">
        <v>345</v>
      </c>
      <c r="D530" s="9">
        <v>19687</v>
      </c>
      <c r="E530" s="5" t="s">
        <v>488</v>
      </c>
      <c r="F530" t="s">
        <v>88</v>
      </c>
      <c r="G530">
        <v>1701</v>
      </c>
      <c r="H530">
        <v>1426</v>
      </c>
      <c r="I530" s="8">
        <f t="shared" si="49"/>
        <v>0.83833039388594943</v>
      </c>
      <c r="J530" s="17">
        <v>0.7</v>
      </c>
      <c r="K530" s="12">
        <v>13.75</v>
      </c>
      <c r="L530" s="2">
        <f>G530-H530</f>
        <v>275</v>
      </c>
      <c r="M530" s="15">
        <f t="shared" si="50"/>
        <v>3781.25</v>
      </c>
      <c r="N530" t="str">
        <f t="shared" si="47"/>
        <v>RJ</v>
      </c>
      <c r="O530" t="str">
        <f t="shared" si="48"/>
        <v>Duque De Caxias</v>
      </c>
    </row>
    <row r="531" spans="1:15" x14ac:dyDescent="0.3">
      <c r="A531" s="10">
        <v>45717</v>
      </c>
      <c r="B531" s="9" t="s">
        <v>21</v>
      </c>
      <c r="C531" t="s">
        <v>181</v>
      </c>
      <c r="D531" s="9">
        <v>19778</v>
      </c>
      <c r="E531" s="5" t="s">
        <v>489</v>
      </c>
      <c r="F531" t="s">
        <v>182</v>
      </c>
      <c r="G531">
        <v>1219</v>
      </c>
      <c r="H531">
        <v>632</v>
      </c>
      <c r="I531" s="8">
        <f t="shared" si="49"/>
        <v>0.51845775225594748</v>
      </c>
      <c r="J531" s="17">
        <v>0.7</v>
      </c>
      <c r="K531" s="12">
        <v>13.75</v>
      </c>
      <c r="L531" s="2">
        <f>H531*J531/I531-H531</f>
        <v>221.29999999999995</v>
      </c>
      <c r="M531" s="15">
        <f t="shared" si="50"/>
        <v>3042.8749999999995</v>
      </c>
      <c r="N531" t="str">
        <f t="shared" si="47"/>
        <v>BA</v>
      </c>
      <c r="O531" t="str">
        <f t="shared" si="48"/>
        <v>Porto Seguro</v>
      </c>
    </row>
    <row r="532" spans="1:15" x14ac:dyDescent="0.3">
      <c r="A532" s="10">
        <v>45717</v>
      </c>
      <c r="B532" s="9" t="s">
        <v>21</v>
      </c>
      <c r="C532" t="s">
        <v>228</v>
      </c>
      <c r="D532" s="9">
        <v>19689</v>
      </c>
      <c r="E532" s="5" t="s">
        <v>490</v>
      </c>
      <c r="F532" t="s">
        <v>230</v>
      </c>
      <c r="G532">
        <v>2032</v>
      </c>
      <c r="H532">
        <v>1049</v>
      </c>
      <c r="I532" s="8">
        <f t="shared" si="49"/>
        <v>0.51624015748031493</v>
      </c>
      <c r="J532" s="17">
        <v>0.7</v>
      </c>
      <c r="K532" s="12">
        <v>13.75</v>
      </c>
      <c r="L532" s="2">
        <f>H532*J532/I532-H532</f>
        <v>373.40000000000009</v>
      </c>
      <c r="M532" s="15">
        <f t="shared" si="50"/>
        <v>5134.2500000000009</v>
      </c>
      <c r="N532" t="str">
        <f t="shared" si="47"/>
        <v>BA</v>
      </c>
      <c r="O532" t="str">
        <f t="shared" si="48"/>
        <v>Salvador</v>
      </c>
    </row>
    <row r="533" spans="1:15" x14ac:dyDescent="0.3">
      <c r="A533" s="10">
        <v>45717</v>
      </c>
      <c r="B533" s="9" t="s">
        <v>21</v>
      </c>
      <c r="C533" t="s">
        <v>228</v>
      </c>
      <c r="D533" s="9">
        <v>19625</v>
      </c>
      <c r="E533" s="5" t="s">
        <v>491</v>
      </c>
      <c r="F533" t="s">
        <v>231</v>
      </c>
      <c r="G533">
        <v>3115</v>
      </c>
      <c r="H533">
        <v>1213</v>
      </c>
      <c r="I533" s="8">
        <f t="shared" si="49"/>
        <v>0.38940609951845906</v>
      </c>
      <c r="J533" s="17">
        <v>0.7</v>
      </c>
      <c r="K533" s="12">
        <v>13.75</v>
      </c>
      <c r="L533" s="2">
        <f>H533*J533/I533-H533</f>
        <v>967.5</v>
      </c>
      <c r="M533" s="15">
        <f t="shared" si="50"/>
        <v>13303.125</v>
      </c>
      <c r="N533" t="str">
        <f t="shared" si="47"/>
        <v>BA</v>
      </c>
      <c r="O533" t="str">
        <f t="shared" si="48"/>
        <v>Salvador</v>
      </c>
    </row>
    <row r="534" spans="1:15" x14ac:dyDescent="0.3">
      <c r="A534" s="10">
        <v>45717</v>
      </c>
      <c r="B534" s="9" t="s">
        <v>40</v>
      </c>
      <c r="C534" t="s">
        <v>41</v>
      </c>
      <c r="D534" s="9">
        <v>19787</v>
      </c>
      <c r="E534" s="5" t="s">
        <v>492</v>
      </c>
      <c r="F534" t="s">
        <v>42</v>
      </c>
      <c r="G534">
        <v>386</v>
      </c>
      <c r="H534">
        <v>175</v>
      </c>
      <c r="I534" s="8">
        <f t="shared" si="49"/>
        <v>0.45336787564766839</v>
      </c>
      <c r="J534" s="17">
        <v>0.7</v>
      </c>
      <c r="K534" s="12">
        <v>13.75</v>
      </c>
      <c r="L534" s="2">
        <f>H534*J534/I534-H534</f>
        <v>95.199999999999989</v>
      </c>
      <c r="M534" s="15">
        <f t="shared" si="50"/>
        <v>1308.9999999999998</v>
      </c>
      <c r="N534" t="str">
        <f t="shared" si="47"/>
        <v>RR</v>
      </c>
      <c r="O534" t="str">
        <f t="shared" si="48"/>
        <v>Boa Vista</v>
      </c>
    </row>
    <row r="535" spans="1:15" x14ac:dyDescent="0.3">
      <c r="A535" s="10">
        <v>45717</v>
      </c>
      <c r="B535" s="9" t="s">
        <v>40</v>
      </c>
      <c r="C535" t="s">
        <v>41</v>
      </c>
      <c r="D535" s="9">
        <v>19868</v>
      </c>
      <c r="E535" s="5" t="s">
        <v>493</v>
      </c>
      <c r="F535" t="s">
        <v>43</v>
      </c>
      <c r="G535">
        <v>1646</v>
      </c>
      <c r="H535">
        <v>1527</v>
      </c>
      <c r="I535" s="8">
        <f t="shared" si="49"/>
        <v>0.92770352369380316</v>
      </c>
      <c r="J535" s="17">
        <v>0.7</v>
      </c>
      <c r="K535" s="12">
        <v>13.75</v>
      </c>
      <c r="L535" s="2">
        <f>G535-H535</f>
        <v>119</v>
      </c>
      <c r="M535" s="15">
        <f t="shared" si="50"/>
        <v>1636.25</v>
      </c>
      <c r="N535" t="str">
        <f t="shared" si="47"/>
        <v>RR</v>
      </c>
      <c r="O535" t="str">
        <f t="shared" si="48"/>
        <v>Boa Vista</v>
      </c>
    </row>
    <row r="536" spans="1:15" x14ac:dyDescent="0.3">
      <c r="A536" s="10">
        <v>45717</v>
      </c>
      <c r="B536" s="9" t="s">
        <v>3</v>
      </c>
      <c r="C536" t="s">
        <v>364</v>
      </c>
      <c r="D536" s="9">
        <v>19777</v>
      </c>
      <c r="E536" s="5" t="s">
        <v>494</v>
      </c>
      <c r="F536" t="s">
        <v>365</v>
      </c>
      <c r="G536">
        <v>1372</v>
      </c>
      <c r="H536">
        <v>401</v>
      </c>
      <c r="I536" s="8">
        <f t="shared" si="49"/>
        <v>0.29227405247813409</v>
      </c>
      <c r="J536" s="17">
        <v>0.7</v>
      </c>
      <c r="K536" s="12">
        <v>13.75</v>
      </c>
      <c r="L536" s="2">
        <f t="shared" ref="L536:L567" si="51">H536*J536/I536-H536</f>
        <v>559.4</v>
      </c>
      <c r="M536" s="15">
        <f t="shared" si="50"/>
        <v>7691.75</v>
      </c>
      <c r="N536" t="str">
        <f t="shared" si="47"/>
        <v>SP</v>
      </c>
      <c r="O536" t="str">
        <f t="shared" si="48"/>
        <v>São José Dos Campos</v>
      </c>
    </row>
    <row r="537" spans="1:15" x14ac:dyDescent="0.3">
      <c r="A537" s="10">
        <v>45717</v>
      </c>
      <c r="B537" s="9" t="s">
        <v>71</v>
      </c>
      <c r="C537" t="s">
        <v>175</v>
      </c>
      <c r="D537" s="9">
        <v>19788</v>
      </c>
      <c r="E537" s="5" t="s">
        <v>495</v>
      </c>
      <c r="F537" t="s">
        <v>177</v>
      </c>
      <c r="G537">
        <v>4293</v>
      </c>
      <c r="H537">
        <v>1407</v>
      </c>
      <c r="I537" s="8">
        <f t="shared" si="49"/>
        <v>0.32774283717679942</v>
      </c>
      <c r="J537" s="17">
        <v>0.7</v>
      </c>
      <c r="K537" s="12">
        <v>13.75</v>
      </c>
      <c r="L537" s="2">
        <f t="shared" si="51"/>
        <v>1598.1000000000004</v>
      </c>
      <c r="M537" s="15">
        <f t="shared" si="50"/>
        <v>21973.875000000004</v>
      </c>
      <c r="N537" t="str">
        <f t="shared" si="47"/>
        <v>RS</v>
      </c>
      <c r="O537" t="str">
        <f t="shared" si="48"/>
        <v>Porto Alegre</v>
      </c>
    </row>
    <row r="538" spans="1:15" x14ac:dyDescent="0.3">
      <c r="A538" s="10">
        <v>45717</v>
      </c>
      <c r="B538" s="9" t="s">
        <v>14</v>
      </c>
      <c r="C538" t="s">
        <v>29</v>
      </c>
      <c r="D538" s="9">
        <v>19793</v>
      </c>
      <c r="E538" s="5" t="s">
        <v>496</v>
      </c>
      <c r="F538" t="s">
        <v>39</v>
      </c>
      <c r="G538">
        <v>1434</v>
      </c>
      <c r="H538">
        <v>620</v>
      </c>
      <c r="I538" s="8">
        <f t="shared" si="49"/>
        <v>0.43235704323570434</v>
      </c>
      <c r="J538" s="17">
        <v>0.7</v>
      </c>
      <c r="K538" s="12">
        <v>13.75</v>
      </c>
      <c r="L538" s="2">
        <f t="shared" si="51"/>
        <v>383.79999999999995</v>
      </c>
      <c r="M538" s="15">
        <f t="shared" si="50"/>
        <v>5277.2499999999991</v>
      </c>
      <c r="N538" t="str">
        <f t="shared" si="47"/>
        <v>MG</v>
      </c>
      <c r="O538" t="str">
        <f t="shared" si="48"/>
        <v>Belo Horizonte</v>
      </c>
    </row>
    <row r="539" spans="1:15" x14ac:dyDescent="0.3">
      <c r="A539" s="10">
        <v>45717</v>
      </c>
      <c r="B539" s="9" t="s">
        <v>21</v>
      </c>
      <c r="C539" t="s">
        <v>228</v>
      </c>
      <c r="D539" s="9">
        <v>19790</v>
      </c>
      <c r="E539" s="5" t="s">
        <v>497</v>
      </c>
      <c r="F539" t="s">
        <v>232</v>
      </c>
      <c r="G539">
        <v>2907</v>
      </c>
      <c r="H539">
        <v>1385</v>
      </c>
      <c r="I539" s="8">
        <f t="shared" si="49"/>
        <v>0.47643618851049191</v>
      </c>
      <c r="J539" s="17">
        <v>0.7</v>
      </c>
      <c r="K539" s="12">
        <v>13.75</v>
      </c>
      <c r="L539" s="2">
        <f t="shared" si="51"/>
        <v>649.89999999999986</v>
      </c>
      <c r="M539" s="15">
        <f t="shared" si="50"/>
        <v>8936.1249999999982</v>
      </c>
      <c r="N539" t="str">
        <f t="shared" si="47"/>
        <v>BA</v>
      </c>
      <c r="O539" t="str">
        <f t="shared" si="48"/>
        <v>Salvador</v>
      </c>
    </row>
    <row r="540" spans="1:15" x14ac:dyDescent="0.3">
      <c r="A540" s="10">
        <v>45717</v>
      </c>
      <c r="B540" s="9" t="s">
        <v>71</v>
      </c>
      <c r="C540" t="s">
        <v>175</v>
      </c>
      <c r="D540" s="9">
        <v>19842</v>
      </c>
      <c r="E540" s="5" t="s">
        <v>498</v>
      </c>
      <c r="F540" t="s">
        <v>178</v>
      </c>
      <c r="G540">
        <v>3169</v>
      </c>
      <c r="H540">
        <v>1144</v>
      </c>
      <c r="I540" s="8">
        <f t="shared" si="49"/>
        <v>0.36099715998737775</v>
      </c>
      <c r="J540" s="17">
        <v>0.7</v>
      </c>
      <c r="K540" s="12">
        <v>13.75</v>
      </c>
      <c r="L540" s="2">
        <f t="shared" si="51"/>
        <v>1074.2999999999997</v>
      </c>
      <c r="M540" s="15">
        <f t="shared" si="50"/>
        <v>14771.624999999996</v>
      </c>
      <c r="N540" t="str">
        <f t="shared" si="47"/>
        <v>RS</v>
      </c>
      <c r="O540" t="str">
        <f t="shared" si="48"/>
        <v>Porto Alegre</v>
      </c>
    </row>
    <row r="541" spans="1:15" x14ac:dyDescent="0.3">
      <c r="A541" s="10">
        <v>45717</v>
      </c>
      <c r="B541" s="9" t="s">
        <v>59</v>
      </c>
      <c r="C541" t="s">
        <v>292</v>
      </c>
      <c r="D541" s="9">
        <v>19580</v>
      </c>
      <c r="E541" s="5" t="s">
        <v>499</v>
      </c>
      <c r="F541" t="s">
        <v>293</v>
      </c>
      <c r="G541">
        <v>2712</v>
      </c>
      <c r="H541">
        <v>742</v>
      </c>
      <c r="I541" s="8">
        <f t="shared" si="49"/>
        <v>0.27359882005899705</v>
      </c>
      <c r="J541" s="17">
        <v>0.7</v>
      </c>
      <c r="K541" s="12">
        <v>13.75</v>
      </c>
      <c r="L541" s="2">
        <f t="shared" si="51"/>
        <v>1156.3999999999999</v>
      </c>
      <c r="M541" s="15">
        <f t="shared" si="50"/>
        <v>15900.499999999998</v>
      </c>
      <c r="N541" t="str">
        <f t="shared" si="47"/>
        <v>ES</v>
      </c>
      <c r="O541" t="str">
        <f t="shared" si="48"/>
        <v>Vitória</v>
      </c>
    </row>
    <row r="542" spans="1:15" x14ac:dyDescent="0.3">
      <c r="A542" s="10">
        <v>45717</v>
      </c>
      <c r="B542" s="9" t="s">
        <v>59</v>
      </c>
      <c r="C542" t="s">
        <v>292</v>
      </c>
      <c r="D542" s="9">
        <v>19719</v>
      </c>
      <c r="E542" s="5" t="s">
        <v>500</v>
      </c>
      <c r="F542" t="s">
        <v>294</v>
      </c>
      <c r="G542">
        <v>2179</v>
      </c>
      <c r="H542">
        <v>819</v>
      </c>
      <c r="I542" s="8">
        <f t="shared" si="49"/>
        <v>0.37586048646167969</v>
      </c>
      <c r="J542" s="17">
        <v>0.7</v>
      </c>
      <c r="K542" s="12">
        <v>13.75</v>
      </c>
      <c r="L542" s="2">
        <f t="shared" si="51"/>
        <v>706.29999999999973</v>
      </c>
      <c r="M542" s="15">
        <f t="shared" si="50"/>
        <v>9711.6249999999964</v>
      </c>
      <c r="N542" t="str">
        <f t="shared" si="47"/>
        <v>ES</v>
      </c>
      <c r="O542" t="str">
        <f t="shared" si="48"/>
        <v>Vitória</v>
      </c>
    </row>
    <row r="543" spans="1:15" x14ac:dyDescent="0.3">
      <c r="A543" s="10">
        <v>45717</v>
      </c>
      <c r="B543" s="9" t="s">
        <v>59</v>
      </c>
      <c r="C543" t="s">
        <v>289</v>
      </c>
      <c r="D543" s="9">
        <v>19581</v>
      </c>
      <c r="E543" s="5" t="s">
        <v>501</v>
      </c>
      <c r="F543" t="s">
        <v>290</v>
      </c>
      <c r="G543">
        <v>2719</v>
      </c>
      <c r="H543">
        <v>919</v>
      </c>
      <c r="I543" s="8">
        <f t="shared" si="49"/>
        <v>0.3379919087899963</v>
      </c>
      <c r="J543" s="17">
        <v>0.7</v>
      </c>
      <c r="K543" s="12">
        <v>13.75</v>
      </c>
      <c r="L543" s="2">
        <f t="shared" si="51"/>
        <v>984.3</v>
      </c>
      <c r="M543" s="15">
        <f t="shared" si="50"/>
        <v>13534.125</v>
      </c>
      <c r="N543" t="str">
        <f t="shared" si="47"/>
        <v>ES</v>
      </c>
      <c r="O543" t="str">
        <f t="shared" si="48"/>
        <v>Vila Velha</v>
      </c>
    </row>
    <row r="544" spans="1:15" x14ac:dyDescent="0.3">
      <c r="A544" s="10">
        <v>45717</v>
      </c>
      <c r="B544" s="9" t="s">
        <v>59</v>
      </c>
      <c r="C544" t="s">
        <v>289</v>
      </c>
      <c r="D544" s="9">
        <v>19876</v>
      </c>
      <c r="E544" s="5" t="s">
        <v>502</v>
      </c>
      <c r="F544" t="s">
        <v>291</v>
      </c>
      <c r="G544">
        <v>2942</v>
      </c>
      <c r="H544">
        <v>930</v>
      </c>
      <c r="I544" s="8">
        <f t="shared" si="49"/>
        <v>0.31611148878314071</v>
      </c>
      <c r="J544" s="17">
        <v>0.7</v>
      </c>
      <c r="K544" s="12">
        <v>13.75</v>
      </c>
      <c r="L544" s="2">
        <f t="shared" si="51"/>
        <v>1129.4000000000001</v>
      </c>
      <c r="M544" s="15">
        <f t="shared" si="50"/>
        <v>15529.250000000002</v>
      </c>
      <c r="N544" t="str">
        <f t="shared" si="47"/>
        <v>ES</v>
      </c>
      <c r="O544" t="str">
        <f t="shared" si="48"/>
        <v>Vila Velha</v>
      </c>
    </row>
    <row r="545" spans="1:15" x14ac:dyDescent="0.3">
      <c r="A545" s="10">
        <v>45717</v>
      </c>
      <c r="B545" s="9" t="s">
        <v>59</v>
      </c>
      <c r="C545" t="s">
        <v>271</v>
      </c>
      <c r="D545" s="9">
        <v>19775</v>
      </c>
      <c r="E545" s="5" t="s">
        <v>503</v>
      </c>
      <c r="F545" t="s">
        <v>272</v>
      </c>
      <c r="G545">
        <v>2147</v>
      </c>
      <c r="H545">
        <v>835</v>
      </c>
      <c r="I545" s="8">
        <f t="shared" si="49"/>
        <v>0.38891476478807641</v>
      </c>
      <c r="J545" s="17">
        <v>0.7</v>
      </c>
      <c r="K545" s="12">
        <v>13.75</v>
      </c>
      <c r="L545" s="2">
        <f t="shared" si="51"/>
        <v>667.89999999999986</v>
      </c>
      <c r="M545" s="15">
        <f t="shared" si="50"/>
        <v>9183.6249999999982</v>
      </c>
      <c r="N545" t="str">
        <f t="shared" si="47"/>
        <v>ES</v>
      </c>
      <c r="O545" t="str">
        <f t="shared" si="48"/>
        <v>Serra</v>
      </c>
    </row>
    <row r="546" spans="1:15" x14ac:dyDescent="0.3">
      <c r="A546" s="10">
        <v>45717</v>
      </c>
      <c r="B546" s="9" t="s">
        <v>71</v>
      </c>
      <c r="C546" t="s">
        <v>175</v>
      </c>
      <c r="D546" s="9">
        <v>19874</v>
      </c>
      <c r="E546" s="5" t="s">
        <v>504</v>
      </c>
      <c r="F546" t="s">
        <v>179</v>
      </c>
      <c r="G546">
        <v>3279</v>
      </c>
      <c r="H546">
        <v>1122</v>
      </c>
      <c r="I546" s="8">
        <f t="shared" si="49"/>
        <v>0.34217749313815188</v>
      </c>
      <c r="J546" s="17">
        <v>0.7</v>
      </c>
      <c r="K546" s="12">
        <v>13.75</v>
      </c>
      <c r="L546" s="2">
        <f t="shared" si="51"/>
        <v>1173.2999999999997</v>
      </c>
      <c r="M546" s="15">
        <f t="shared" si="50"/>
        <v>16132.874999999996</v>
      </c>
      <c r="N546" t="str">
        <f t="shared" si="47"/>
        <v>RS</v>
      </c>
      <c r="O546" t="str">
        <f t="shared" si="48"/>
        <v>Porto Alegre</v>
      </c>
    </row>
    <row r="547" spans="1:15" x14ac:dyDescent="0.3">
      <c r="A547" s="10">
        <v>45717</v>
      </c>
      <c r="B547" s="9" t="s">
        <v>3</v>
      </c>
      <c r="C547" t="s">
        <v>165</v>
      </c>
      <c r="D547" s="9">
        <v>19761</v>
      </c>
      <c r="E547" s="5" t="s">
        <v>505</v>
      </c>
      <c r="F547" t="s">
        <v>166</v>
      </c>
      <c r="G547">
        <v>1619</v>
      </c>
      <c r="H547">
        <v>655</v>
      </c>
      <c r="I547" s="8">
        <f t="shared" si="49"/>
        <v>0.40457072266831379</v>
      </c>
      <c r="J547" s="17">
        <v>0.7</v>
      </c>
      <c r="K547" s="12">
        <v>13.75</v>
      </c>
      <c r="L547" s="2">
        <f t="shared" si="51"/>
        <v>478.29999999999973</v>
      </c>
      <c r="M547" s="15">
        <f t="shared" si="50"/>
        <v>6576.6249999999964</v>
      </c>
      <c r="N547" t="str">
        <f t="shared" si="47"/>
        <v>SP</v>
      </c>
      <c r="O547" t="str">
        <f t="shared" si="48"/>
        <v>Paulínia</v>
      </c>
    </row>
    <row r="548" spans="1:15" x14ac:dyDescent="0.3">
      <c r="A548" s="10">
        <v>45717</v>
      </c>
      <c r="B548" s="9" t="s">
        <v>46</v>
      </c>
      <c r="C548" t="s">
        <v>47</v>
      </c>
      <c r="D548" s="9">
        <v>19881</v>
      </c>
      <c r="E548" s="5" t="s">
        <v>507</v>
      </c>
      <c r="F548" t="s">
        <v>54</v>
      </c>
      <c r="G548">
        <v>2327</v>
      </c>
      <c r="H548">
        <v>974</v>
      </c>
      <c r="I548" s="8">
        <f t="shared" si="49"/>
        <v>0.41856467554791577</v>
      </c>
      <c r="J548" s="17">
        <v>0.7</v>
      </c>
      <c r="K548" s="12">
        <v>13.75</v>
      </c>
      <c r="L548" s="2">
        <f t="shared" si="51"/>
        <v>654.89999999999986</v>
      </c>
      <c r="M548" s="15">
        <f t="shared" si="50"/>
        <v>9004.8749999999982</v>
      </c>
      <c r="N548" t="str">
        <f t="shared" si="47"/>
        <v>DF</v>
      </c>
      <c r="O548" t="str">
        <f t="shared" si="48"/>
        <v>Brasília</v>
      </c>
    </row>
    <row r="549" spans="1:15" x14ac:dyDescent="0.3">
      <c r="A549" s="10">
        <v>45717</v>
      </c>
      <c r="B549" s="9" t="s">
        <v>3</v>
      </c>
      <c r="C549" t="s">
        <v>64</v>
      </c>
      <c r="D549" s="9">
        <v>19696</v>
      </c>
      <c r="E549" s="5" t="s">
        <v>508</v>
      </c>
      <c r="F549" t="s">
        <v>65</v>
      </c>
      <c r="G549">
        <v>1714</v>
      </c>
      <c r="H549">
        <v>621</v>
      </c>
      <c r="I549" s="8">
        <f t="shared" si="49"/>
        <v>0.36231038506417734</v>
      </c>
      <c r="J549" s="17">
        <v>0.7</v>
      </c>
      <c r="K549" s="12">
        <v>13.75</v>
      </c>
      <c r="L549" s="2">
        <f t="shared" si="51"/>
        <v>578.79999999999995</v>
      </c>
      <c r="M549" s="15">
        <f t="shared" si="50"/>
        <v>7958.4999999999991</v>
      </c>
      <c r="N549" t="str">
        <f t="shared" si="47"/>
        <v>SP</v>
      </c>
      <c r="O549" t="str">
        <f t="shared" si="48"/>
        <v>Campinas</v>
      </c>
    </row>
    <row r="550" spans="1:15" x14ac:dyDescent="0.3">
      <c r="A550" s="10">
        <v>45717</v>
      </c>
      <c r="B550" s="9" t="s">
        <v>71</v>
      </c>
      <c r="C550" t="s">
        <v>72</v>
      </c>
      <c r="D550" s="9">
        <v>19883</v>
      </c>
      <c r="E550" s="5" t="s">
        <v>509</v>
      </c>
      <c r="F550" t="s">
        <v>73</v>
      </c>
      <c r="G550">
        <v>1390</v>
      </c>
      <c r="H550">
        <v>464</v>
      </c>
      <c r="I550" s="8">
        <f t="shared" si="49"/>
        <v>0.33381294964028779</v>
      </c>
      <c r="J550" s="17">
        <v>0.7</v>
      </c>
      <c r="K550" s="12">
        <v>13.75</v>
      </c>
      <c r="L550" s="2">
        <f t="shared" si="51"/>
        <v>508.99999999999977</v>
      </c>
      <c r="M550" s="15">
        <f t="shared" si="50"/>
        <v>6998.7499999999973</v>
      </c>
      <c r="N550" t="str">
        <f t="shared" si="47"/>
        <v>RS</v>
      </c>
      <c r="O550" t="str">
        <f t="shared" si="48"/>
        <v>Canoas</v>
      </c>
    </row>
    <row r="551" spans="1:15" x14ac:dyDescent="0.3">
      <c r="A551" s="10">
        <v>45717</v>
      </c>
      <c r="B551" s="9" t="s">
        <v>15</v>
      </c>
      <c r="C551" t="s">
        <v>358</v>
      </c>
      <c r="D551" s="9">
        <v>19514</v>
      </c>
      <c r="E551" s="5" t="s">
        <v>510</v>
      </c>
      <c r="F551" t="s">
        <v>221</v>
      </c>
      <c r="G551">
        <v>3323</v>
      </c>
      <c r="H551">
        <v>1365</v>
      </c>
      <c r="I551" s="8">
        <f t="shared" si="49"/>
        <v>0.41077339753235026</v>
      </c>
      <c r="J551" s="17">
        <v>0.7</v>
      </c>
      <c r="K551" s="12">
        <v>13.75</v>
      </c>
      <c r="L551" s="2">
        <f t="shared" si="51"/>
        <v>961.09999999999991</v>
      </c>
      <c r="M551" s="15">
        <f t="shared" si="50"/>
        <v>13215.124999999998</v>
      </c>
      <c r="N551" t="str">
        <f t="shared" si="47"/>
        <v>RJ</v>
      </c>
      <c r="O551" t="str">
        <f t="shared" si="48"/>
        <v>Rio De Janeiro</v>
      </c>
    </row>
    <row r="552" spans="1:15" x14ac:dyDescent="0.3">
      <c r="A552" s="10">
        <v>45717</v>
      </c>
      <c r="B552" s="9" t="s">
        <v>15</v>
      </c>
      <c r="C552" t="s">
        <v>358</v>
      </c>
      <c r="D552" s="9">
        <v>19600</v>
      </c>
      <c r="E552" s="5" t="s">
        <v>511</v>
      </c>
      <c r="F552" t="s">
        <v>222</v>
      </c>
      <c r="G552">
        <v>2677</v>
      </c>
      <c r="H552">
        <v>1040</v>
      </c>
      <c r="I552" s="8">
        <f t="shared" si="49"/>
        <v>0.38849458348898019</v>
      </c>
      <c r="J552" s="17">
        <v>0.7</v>
      </c>
      <c r="K552" s="12">
        <v>13.75</v>
      </c>
      <c r="L552" s="2">
        <f t="shared" si="51"/>
        <v>833.90000000000009</v>
      </c>
      <c r="M552" s="15">
        <f t="shared" si="50"/>
        <v>11466.125000000002</v>
      </c>
      <c r="N552" t="str">
        <f t="shared" si="47"/>
        <v>RJ</v>
      </c>
      <c r="O552" t="str">
        <f t="shared" si="48"/>
        <v>Rio De Janeiro</v>
      </c>
    </row>
    <row r="553" spans="1:15" x14ac:dyDescent="0.3">
      <c r="A553" s="10">
        <v>45717</v>
      </c>
      <c r="B553" s="9" t="s">
        <v>78</v>
      </c>
      <c r="C553" t="s">
        <v>277</v>
      </c>
      <c r="D553" s="9">
        <v>19896</v>
      </c>
      <c r="E553" s="5" t="s">
        <v>512</v>
      </c>
      <c r="F553" t="s">
        <v>278</v>
      </c>
      <c r="G553">
        <v>1547</v>
      </c>
      <c r="H553">
        <v>669</v>
      </c>
      <c r="I553" s="8">
        <f t="shared" si="49"/>
        <v>0.43244990303813835</v>
      </c>
      <c r="J553" s="17">
        <v>0.7</v>
      </c>
      <c r="K553" s="12">
        <v>13.75</v>
      </c>
      <c r="L553" s="2">
        <f t="shared" si="51"/>
        <v>413.89999999999986</v>
      </c>
      <c r="M553" s="15">
        <f t="shared" si="50"/>
        <v>5691.1249999999982</v>
      </c>
      <c r="N553" t="str">
        <f t="shared" si="47"/>
        <v>MT</v>
      </c>
      <c r="O553" t="str">
        <f t="shared" si="48"/>
        <v>Sorriso</v>
      </c>
    </row>
    <row r="554" spans="1:15" x14ac:dyDescent="0.3">
      <c r="A554" s="10">
        <v>45717</v>
      </c>
      <c r="B554" s="9" t="s">
        <v>14</v>
      </c>
      <c r="C554" t="s">
        <v>287</v>
      </c>
      <c r="D554" s="9">
        <v>19905</v>
      </c>
      <c r="E554" s="5" t="s">
        <v>513</v>
      </c>
      <c r="F554" t="s">
        <v>288</v>
      </c>
      <c r="G554">
        <v>1283</v>
      </c>
      <c r="H554">
        <v>490</v>
      </c>
      <c r="I554" s="8">
        <f t="shared" si="49"/>
        <v>0.38191738113795792</v>
      </c>
      <c r="J554" s="17">
        <v>0.7</v>
      </c>
      <c r="K554" s="12">
        <v>13.75</v>
      </c>
      <c r="L554" s="2">
        <f t="shared" si="51"/>
        <v>408.1</v>
      </c>
      <c r="M554" s="15">
        <f t="shared" si="50"/>
        <v>5611.375</v>
      </c>
      <c r="N554" t="str">
        <f t="shared" si="47"/>
        <v>MG</v>
      </c>
      <c r="O554" t="str">
        <f t="shared" si="48"/>
        <v>Varginha</v>
      </c>
    </row>
    <row r="555" spans="1:15" x14ac:dyDescent="0.3">
      <c r="A555" s="10">
        <v>45717</v>
      </c>
      <c r="B555" s="9" t="s">
        <v>3</v>
      </c>
      <c r="C555" t="s">
        <v>12</v>
      </c>
      <c r="D555" s="9">
        <v>19901</v>
      </c>
      <c r="E555" s="5" t="s">
        <v>514</v>
      </c>
      <c r="F555" t="s">
        <v>13</v>
      </c>
      <c r="G555">
        <v>1018</v>
      </c>
      <c r="H555">
        <v>245</v>
      </c>
      <c r="I555" s="8">
        <f t="shared" si="49"/>
        <v>0.2406679764243615</v>
      </c>
      <c r="J555" s="17">
        <v>0.7</v>
      </c>
      <c r="K555" s="12">
        <v>13.75</v>
      </c>
      <c r="L555" s="2">
        <f t="shared" si="51"/>
        <v>467.6</v>
      </c>
      <c r="M555" s="15">
        <f t="shared" si="50"/>
        <v>6429.5</v>
      </c>
      <c r="N555" t="str">
        <f t="shared" si="47"/>
        <v>SP</v>
      </c>
      <c r="O555" t="str">
        <f t="shared" si="48"/>
        <v>Araras</v>
      </c>
    </row>
    <row r="556" spans="1:15" x14ac:dyDescent="0.3">
      <c r="A556" s="10">
        <v>45717</v>
      </c>
      <c r="B556" s="9" t="s">
        <v>14</v>
      </c>
      <c r="C556" t="s">
        <v>137</v>
      </c>
      <c r="D556" s="9">
        <v>19899</v>
      </c>
      <c r="E556" s="5" t="s">
        <v>515</v>
      </c>
      <c r="F556" t="s">
        <v>138</v>
      </c>
      <c r="G556">
        <v>1576</v>
      </c>
      <c r="H556">
        <v>727</v>
      </c>
      <c r="I556" s="8">
        <f t="shared" si="49"/>
        <v>0.4612944162436548</v>
      </c>
      <c r="J556" s="17">
        <v>0.7</v>
      </c>
      <c r="K556" s="12">
        <v>13.75</v>
      </c>
      <c r="L556" s="2">
        <f t="shared" si="51"/>
        <v>376.20000000000005</v>
      </c>
      <c r="M556" s="15">
        <f t="shared" si="50"/>
        <v>5172.7500000000009</v>
      </c>
      <c r="N556" t="str">
        <f t="shared" si="47"/>
        <v>MG</v>
      </c>
      <c r="O556" t="str">
        <f t="shared" si="48"/>
        <v>Montes Claros</v>
      </c>
    </row>
    <row r="557" spans="1:15" x14ac:dyDescent="0.3">
      <c r="A557" s="10">
        <v>45717</v>
      </c>
      <c r="B557" s="9" t="s">
        <v>14</v>
      </c>
      <c r="C557" t="s">
        <v>137</v>
      </c>
      <c r="D557" s="9">
        <v>19796</v>
      </c>
      <c r="E557" s="5" t="s">
        <v>516</v>
      </c>
      <c r="F557" t="s">
        <v>139</v>
      </c>
      <c r="G557">
        <v>2910</v>
      </c>
      <c r="H557">
        <v>1475</v>
      </c>
      <c r="I557" s="8">
        <f t="shared" si="49"/>
        <v>0.50687285223367695</v>
      </c>
      <c r="J557" s="17">
        <v>0.7</v>
      </c>
      <c r="K557" s="12">
        <v>13.75</v>
      </c>
      <c r="L557" s="2">
        <f t="shared" si="51"/>
        <v>562</v>
      </c>
      <c r="M557" s="15">
        <f t="shared" si="50"/>
        <v>7727.5</v>
      </c>
      <c r="N557" t="str">
        <f t="shared" si="47"/>
        <v>MG</v>
      </c>
      <c r="O557" t="str">
        <f t="shared" si="48"/>
        <v>Montes Claros</v>
      </c>
    </row>
    <row r="558" spans="1:15" x14ac:dyDescent="0.3">
      <c r="A558" s="10">
        <v>45717</v>
      </c>
      <c r="B558" s="9" t="s">
        <v>15</v>
      </c>
      <c r="C558" t="s">
        <v>358</v>
      </c>
      <c r="D558" s="9">
        <v>19528</v>
      </c>
      <c r="E558" s="5" t="s">
        <v>517</v>
      </c>
      <c r="F558" t="s">
        <v>223</v>
      </c>
      <c r="G558">
        <v>2914</v>
      </c>
      <c r="H558">
        <v>917</v>
      </c>
      <c r="I558" s="8">
        <f t="shared" si="49"/>
        <v>0.31468771448181193</v>
      </c>
      <c r="J558" s="17">
        <v>0.7</v>
      </c>
      <c r="K558" s="12">
        <v>13.75</v>
      </c>
      <c r="L558" s="2">
        <f t="shared" si="51"/>
        <v>1122.8</v>
      </c>
      <c r="M558" s="15">
        <f t="shared" si="50"/>
        <v>15438.5</v>
      </c>
      <c r="N558" t="str">
        <f t="shared" si="47"/>
        <v>RJ</v>
      </c>
      <c r="O558" t="str">
        <f t="shared" si="48"/>
        <v>Rio De Janeiro</v>
      </c>
    </row>
    <row r="559" spans="1:15" x14ac:dyDescent="0.3">
      <c r="A559" s="10">
        <v>45717</v>
      </c>
      <c r="B559" s="9" t="s">
        <v>3</v>
      </c>
      <c r="C559" t="s">
        <v>366</v>
      </c>
      <c r="D559" s="9">
        <v>19770</v>
      </c>
      <c r="E559" s="5" t="s">
        <v>518</v>
      </c>
      <c r="F559" t="s">
        <v>367</v>
      </c>
      <c r="G559">
        <v>433</v>
      </c>
      <c r="H559">
        <v>145</v>
      </c>
      <c r="I559" s="8">
        <f t="shared" si="49"/>
        <v>0.3348729792147806</v>
      </c>
      <c r="J559" s="17">
        <v>0.7</v>
      </c>
      <c r="K559" s="12">
        <v>13.75</v>
      </c>
      <c r="L559" s="2">
        <f t="shared" si="51"/>
        <v>158.10000000000002</v>
      </c>
      <c r="M559" s="15">
        <f t="shared" si="50"/>
        <v>2173.8750000000005</v>
      </c>
      <c r="N559" t="str">
        <f t="shared" si="47"/>
        <v>SP</v>
      </c>
      <c r="O559" t="str">
        <f t="shared" si="48"/>
        <v>Valinhos</v>
      </c>
    </row>
    <row r="560" spans="1:15" x14ac:dyDescent="0.3">
      <c r="A560" s="10">
        <v>45717</v>
      </c>
      <c r="B560" s="9" t="s">
        <v>6</v>
      </c>
      <c r="C560" t="s">
        <v>158</v>
      </c>
      <c r="D560" s="9">
        <v>19914</v>
      </c>
      <c r="E560" s="5" t="s">
        <v>519</v>
      </c>
      <c r="F560" t="s">
        <v>159</v>
      </c>
      <c r="G560">
        <v>2619</v>
      </c>
      <c r="H560">
        <v>1573</v>
      </c>
      <c r="I560" s="8">
        <f t="shared" si="49"/>
        <v>0.60061092019854911</v>
      </c>
      <c r="J560" s="17">
        <v>0.7</v>
      </c>
      <c r="K560" s="12">
        <v>13.75</v>
      </c>
      <c r="L560" s="2">
        <f t="shared" si="51"/>
        <v>260.29999999999973</v>
      </c>
      <c r="M560" s="15">
        <f t="shared" si="50"/>
        <v>3579.1249999999964</v>
      </c>
      <c r="N560" t="str">
        <f t="shared" si="47"/>
        <v>PA</v>
      </c>
      <c r="O560" t="str">
        <f t="shared" si="48"/>
        <v>Parauapebas</v>
      </c>
    </row>
    <row r="561" spans="1:15" x14ac:dyDescent="0.3">
      <c r="A561" s="10">
        <v>45717</v>
      </c>
      <c r="B561" s="9" t="s">
        <v>155</v>
      </c>
      <c r="C561" t="s">
        <v>156</v>
      </c>
      <c r="D561" s="9">
        <v>19916</v>
      </c>
      <c r="E561" s="5" t="s">
        <v>520</v>
      </c>
      <c r="F561" t="s">
        <v>157</v>
      </c>
      <c r="G561">
        <v>2996</v>
      </c>
      <c r="H561">
        <v>1422</v>
      </c>
      <c r="I561" s="8">
        <f t="shared" si="49"/>
        <v>0.47463284379172227</v>
      </c>
      <c r="J561" s="17">
        <v>0.7</v>
      </c>
      <c r="K561" s="12">
        <v>13.75</v>
      </c>
      <c r="L561" s="2">
        <f t="shared" si="51"/>
        <v>675.20000000000027</v>
      </c>
      <c r="M561" s="15">
        <f t="shared" si="50"/>
        <v>9284.0000000000036</v>
      </c>
      <c r="N561" t="str">
        <f t="shared" si="47"/>
        <v>TO</v>
      </c>
      <c r="O561" t="str">
        <f t="shared" si="48"/>
        <v>Palmas</v>
      </c>
    </row>
    <row r="562" spans="1:15" x14ac:dyDescent="0.3">
      <c r="A562" s="10">
        <v>45717</v>
      </c>
      <c r="B562" s="9" t="s">
        <v>74</v>
      </c>
      <c r="C562" t="s">
        <v>97</v>
      </c>
      <c r="D562" s="9">
        <v>19911</v>
      </c>
      <c r="E562" s="5" t="s">
        <v>522</v>
      </c>
      <c r="F562" t="s">
        <v>98</v>
      </c>
      <c r="G562">
        <v>1923</v>
      </c>
      <c r="H562">
        <v>915</v>
      </c>
      <c r="I562" s="8">
        <f t="shared" si="49"/>
        <v>0.47581903276131043</v>
      </c>
      <c r="J562" s="17">
        <v>0.7</v>
      </c>
      <c r="K562" s="12">
        <v>13.75</v>
      </c>
      <c r="L562" s="2">
        <f t="shared" si="51"/>
        <v>431.10000000000014</v>
      </c>
      <c r="M562" s="15">
        <f t="shared" si="50"/>
        <v>5927.6250000000018</v>
      </c>
      <c r="N562" t="str">
        <f t="shared" si="47"/>
        <v>PE</v>
      </c>
      <c r="O562" t="str">
        <f t="shared" si="48"/>
        <v>Garanhuns</v>
      </c>
    </row>
    <row r="563" spans="1:15" x14ac:dyDescent="0.3">
      <c r="A563" s="10">
        <v>45717</v>
      </c>
      <c r="B563" s="9" t="s">
        <v>15</v>
      </c>
      <c r="C563" t="s">
        <v>341</v>
      </c>
      <c r="D563" s="9">
        <v>19908</v>
      </c>
      <c r="E563" s="5" t="s">
        <v>523</v>
      </c>
      <c r="F563" t="s">
        <v>16</v>
      </c>
      <c r="G563">
        <v>1683</v>
      </c>
      <c r="H563">
        <v>745</v>
      </c>
      <c r="I563" s="8">
        <f t="shared" si="49"/>
        <v>0.44266191325014853</v>
      </c>
      <c r="J563" s="17">
        <v>0.7</v>
      </c>
      <c r="K563" s="12">
        <v>13.75</v>
      </c>
      <c r="L563" s="2">
        <f t="shared" si="51"/>
        <v>433.10000000000014</v>
      </c>
      <c r="M563" s="15">
        <f t="shared" si="50"/>
        <v>5955.1250000000018</v>
      </c>
      <c r="N563" t="str">
        <f t="shared" si="47"/>
        <v>RJ</v>
      </c>
      <c r="O563" t="str">
        <f t="shared" si="48"/>
        <v>Armação Dos Búzios</v>
      </c>
    </row>
    <row r="564" spans="1:15" x14ac:dyDescent="0.3">
      <c r="A564" s="10">
        <v>45717</v>
      </c>
      <c r="B564" s="9" t="s">
        <v>21</v>
      </c>
      <c r="C564" t="s">
        <v>121</v>
      </c>
      <c r="D564" s="9">
        <v>19910</v>
      </c>
      <c r="E564" s="5" t="s">
        <v>524</v>
      </c>
      <c r="F564" t="s">
        <v>122</v>
      </c>
      <c r="G564">
        <v>1324</v>
      </c>
      <c r="H564">
        <v>691</v>
      </c>
      <c r="I564" s="8">
        <f t="shared" si="49"/>
        <v>0.52190332326283984</v>
      </c>
      <c r="J564" s="17">
        <v>0.7</v>
      </c>
      <c r="K564" s="12">
        <v>13.75</v>
      </c>
      <c r="L564" s="2">
        <f t="shared" si="51"/>
        <v>235.80000000000007</v>
      </c>
      <c r="M564" s="15">
        <f t="shared" si="50"/>
        <v>3242.2500000000009</v>
      </c>
      <c r="N564" t="str">
        <f t="shared" si="47"/>
        <v>BA</v>
      </c>
      <c r="O564" t="str">
        <f t="shared" si="48"/>
        <v>Luís Eduardo Magalhães</v>
      </c>
    </row>
    <row r="565" spans="1:15" x14ac:dyDescent="0.3">
      <c r="A565" s="10">
        <v>45717</v>
      </c>
      <c r="B565" s="9" t="s">
        <v>82</v>
      </c>
      <c r="C565" t="s">
        <v>173</v>
      </c>
      <c r="D565" s="9">
        <v>19926</v>
      </c>
      <c r="E565" s="5" t="s">
        <v>525</v>
      </c>
      <c r="F565" t="s">
        <v>174</v>
      </c>
      <c r="G565">
        <v>1513</v>
      </c>
      <c r="H565">
        <v>537</v>
      </c>
      <c r="I565" s="8">
        <f t="shared" si="49"/>
        <v>0.35492399206873759</v>
      </c>
      <c r="J565" s="17">
        <v>0.7</v>
      </c>
      <c r="K565" s="12">
        <v>13.75</v>
      </c>
      <c r="L565" s="2">
        <f t="shared" si="51"/>
        <v>522.09999999999991</v>
      </c>
      <c r="M565" s="15">
        <f t="shared" si="50"/>
        <v>7178.8749999999991</v>
      </c>
      <c r="N565" t="str">
        <f t="shared" si="47"/>
        <v>PR</v>
      </c>
      <c r="O565" t="str">
        <f t="shared" si="48"/>
        <v>Ponta Grossa</v>
      </c>
    </row>
    <row r="566" spans="1:15" x14ac:dyDescent="0.3">
      <c r="A566" s="10">
        <v>45717</v>
      </c>
      <c r="B566" s="9" t="s">
        <v>15</v>
      </c>
      <c r="C566" t="s">
        <v>358</v>
      </c>
      <c r="D566" s="9">
        <v>19523</v>
      </c>
      <c r="E566" s="5" t="s">
        <v>526</v>
      </c>
      <c r="F566" t="s">
        <v>224</v>
      </c>
      <c r="G566">
        <v>3156</v>
      </c>
      <c r="H566">
        <v>896</v>
      </c>
      <c r="I566" s="8">
        <f t="shared" si="49"/>
        <v>0.28390367553865653</v>
      </c>
      <c r="J566" s="17">
        <v>0.7</v>
      </c>
      <c r="K566" s="12">
        <v>13.75</v>
      </c>
      <c r="L566" s="2">
        <f t="shared" si="51"/>
        <v>1313.1999999999998</v>
      </c>
      <c r="M566" s="15">
        <f t="shared" si="50"/>
        <v>18056.499999999996</v>
      </c>
      <c r="N566" t="str">
        <f t="shared" si="47"/>
        <v>RJ</v>
      </c>
      <c r="O566" t="str">
        <f t="shared" si="48"/>
        <v>Rio De Janeiro</v>
      </c>
    </row>
    <row r="567" spans="1:15" x14ac:dyDescent="0.3">
      <c r="A567" s="10">
        <v>45717</v>
      </c>
      <c r="B567" s="9" t="s">
        <v>15</v>
      </c>
      <c r="C567" t="s">
        <v>358</v>
      </c>
      <c r="D567" s="9">
        <v>19652</v>
      </c>
      <c r="E567" s="5" t="s">
        <v>527</v>
      </c>
      <c r="F567" t="s">
        <v>225</v>
      </c>
      <c r="G567">
        <v>4249</v>
      </c>
      <c r="H567">
        <v>1315</v>
      </c>
      <c r="I567" s="8">
        <f t="shared" si="49"/>
        <v>0.3094845846081431</v>
      </c>
      <c r="J567" s="17">
        <v>0.7</v>
      </c>
      <c r="K567" s="12">
        <v>13.75</v>
      </c>
      <c r="L567" s="2">
        <f t="shared" si="51"/>
        <v>1659.2999999999997</v>
      </c>
      <c r="M567" s="15">
        <f t="shared" si="50"/>
        <v>22815.374999999996</v>
      </c>
      <c r="N567" t="str">
        <f t="shared" si="47"/>
        <v>RJ</v>
      </c>
      <c r="O567" t="str">
        <f t="shared" si="48"/>
        <v>Rio De Janeiro</v>
      </c>
    </row>
    <row r="568" spans="1:15" x14ac:dyDescent="0.3">
      <c r="A568" s="10">
        <v>45717</v>
      </c>
      <c r="B568" s="9" t="s">
        <v>15</v>
      </c>
      <c r="C568" t="s">
        <v>358</v>
      </c>
      <c r="D568" s="9">
        <v>19529</v>
      </c>
      <c r="E568" s="5" t="s">
        <v>528</v>
      </c>
      <c r="F568" t="s">
        <v>226</v>
      </c>
      <c r="G568">
        <v>4836</v>
      </c>
      <c r="H568">
        <v>1440</v>
      </c>
      <c r="I568" s="8">
        <f t="shared" si="49"/>
        <v>0.29776674937965258</v>
      </c>
      <c r="J568" s="17">
        <v>0.7</v>
      </c>
      <c r="K568" s="12">
        <v>13.75</v>
      </c>
      <c r="L568" s="2">
        <f t="shared" ref="L568:L599" si="52">H568*J568/I568-H568</f>
        <v>1945.1999999999998</v>
      </c>
      <c r="M568" s="15">
        <f t="shared" si="50"/>
        <v>26746.499999999996</v>
      </c>
      <c r="N568" t="str">
        <f t="shared" si="47"/>
        <v>RJ</v>
      </c>
      <c r="O568" t="str">
        <f t="shared" si="48"/>
        <v>Rio De Janeiro</v>
      </c>
    </row>
    <row r="569" spans="1:15" x14ac:dyDescent="0.3">
      <c r="A569" s="10">
        <v>45717</v>
      </c>
      <c r="B569" s="9" t="s">
        <v>3</v>
      </c>
      <c r="C569" t="s">
        <v>248</v>
      </c>
      <c r="D569" s="9">
        <v>19889</v>
      </c>
      <c r="E569" s="5" t="s">
        <v>529</v>
      </c>
      <c r="F569" t="s">
        <v>266</v>
      </c>
      <c r="G569">
        <v>1832</v>
      </c>
      <c r="H569">
        <v>610</v>
      </c>
      <c r="I569" s="8">
        <f t="shared" si="49"/>
        <v>0.33296943231441051</v>
      </c>
      <c r="J569" s="17">
        <v>0.7</v>
      </c>
      <c r="K569" s="12">
        <v>13.75</v>
      </c>
      <c r="L569" s="2">
        <f t="shared" si="52"/>
        <v>672.39999999999986</v>
      </c>
      <c r="M569" s="15">
        <f t="shared" si="50"/>
        <v>9245.4999999999982</v>
      </c>
      <c r="N569" t="str">
        <f t="shared" si="47"/>
        <v>SP</v>
      </c>
      <c r="O569" t="str">
        <f t="shared" si="48"/>
        <v>São Paulo</v>
      </c>
    </row>
    <row r="570" spans="1:15" x14ac:dyDescent="0.3">
      <c r="A570" s="10">
        <v>45717</v>
      </c>
      <c r="B570" s="9" t="s">
        <v>3</v>
      </c>
      <c r="C570" t="s">
        <v>248</v>
      </c>
      <c r="D570" s="9">
        <v>19888</v>
      </c>
      <c r="E570" s="5" t="s">
        <v>530</v>
      </c>
      <c r="F570" t="s">
        <v>267</v>
      </c>
      <c r="G570">
        <v>1411</v>
      </c>
      <c r="H570">
        <v>430</v>
      </c>
      <c r="I570" s="8">
        <f t="shared" si="49"/>
        <v>0.30474840538625086</v>
      </c>
      <c r="J570" s="17">
        <v>0.7</v>
      </c>
      <c r="K570" s="12">
        <v>13.75</v>
      </c>
      <c r="L570" s="2">
        <f t="shared" si="52"/>
        <v>557.70000000000005</v>
      </c>
      <c r="M570" s="15">
        <f t="shared" si="50"/>
        <v>7668.3750000000009</v>
      </c>
      <c r="N570" t="str">
        <f t="shared" si="47"/>
        <v>SP</v>
      </c>
      <c r="O570" t="str">
        <f t="shared" si="48"/>
        <v>São Paulo</v>
      </c>
    </row>
    <row r="571" spans="1:15" x14ac:dyDescent="0.3">
      <c r="A571" s="10">
        <v>45717</v>
      </c>
      <c r="B571" s="9" t="s">
        <v>82</v>
      </c>
      <c r="C571" t="s">
        <v>106</v>
      </c>
      <c r="D571" s="9">
        <v>19927</v>
      </c>
      <c r="E571" s="5" t="s">
        <v>531</v>
      </c>
      <c r="F571" t="s">
        <v>107</v>
      </c>
      <c r="G571">
        <v>736</v>
      </c>
      <c r="H571">
        <v>207</v>
      </c>
      <c r="I571" s="8">
        <f t="shared" si="49"/>
        <v>0.28125</v>
      </c>
      <c r="J571" s="17">
        <v>0.7</v>
      </c>
      <c r="K571" s="12">
        <v>13.75</v>
      </c>
      <c r="L571" s="2">
        <f t="shared" si="52"/>
        <v>308.19999999999993</v>
      </c>
      <c r="M571" s="15">
        <f t="shared" si="50"/>
        <v>4237.7499999999991</v>
      </c>
      <c r="N571" t="str">
        <f t="shared" si="47"/>
        <v>PR</v>
      </c>
      <c r="O571" t="str">
        <f t="shared" si="48"/>
        <v>Guarapuava</v>
      </c>
    </row>
    <row r="572" spans="1:15" x14ac:dyDescent="0.3">
      <c r="A572" s="10">
        <v>45717</v>
      </c>
      <c r="B572" s="9" t="s">
        <v>3</v>
      </c>
      <c r="C572" t="s">
        <v>44</v>
      </c>
      <c r="D572" s="9">
        <v>19930</v>
      </c>
      <c r="E572" s="5" t="s">
        <v>533</v>
      </c>
      <c r="F572" t="s">
        <v>45</v>
      </c>
      <c r="G572">
        <v>1992</v>
      </c>
      <c r="H572">
        <v>1192</v>
      </c>
      <c r="I572" s="8">
        <f t="shared" si="49"/>
        <v>0.59839357429718876</v>
      </c>
      <c r="J572" s="17">
        <v>0.7</v>
      </c>
      <c r="K572" s="12">
        <v>13.75</v>
      </c>
      <c r="L572" s="2">
        <f t="shared" si="52"/>
        <v>202.39999999999986</v>
      </c>
      <c r="M572" s="15">
        <f t="shared" si="50"/>
        <v>2782.9999999999982</v>
      </c>
      <c r="N572" t="str">
        <f t="shared" si="47"/>
        <v>SP</v>
      </c>
      <c r="O572" t="str">
        <f t="shared" si="48"/>
        <v>Botucatu</v>
      </c>
    </row>
    <row r="573" spans="1:15" x14ac:dyDescent="0.3">
      <c r="A573" s="10">
        <v>45717</v>
      </c>
      <c r="B573" s="9" t="s">
        <v>3</v>
      </c>
      <c r="C573" t="s">
        <v>353</v>
      </c>
      <c r="D573" s="9">
        <v>19675</v>
      </c>
      <c r="E573" s="5" t="s">
        <v>534</v>
      </c>
      <c r="F573" t="s">
        <v>354</v>
      </c>
      <c r="G573">
        <v>766</v>
      </c>
      <c r="H573">
        <v>227</v>
      </c>
      <c r="I573" s="8">
        <f t="shared" si="49"/>
        <v>0.29634464751958223</v>
      </c>
      <c r="J573" s="17">
        <v>0.7</v>
      </c>
      <c r="K573" s="12">
        <v>13.75</v>
      </c>
      <c r="L573" s="2">
        <f t="shared" si="52"/>
        <v>309.19999999999993</v>
      </c>
      <c r="M573" s="15">
        <f t="shared" si="50"/>
        <v>4251.4999999999991</v>
      </c>
      <c r="N573" t="str">
        <f t="shared" si="47"/>
        <v>SP</v>
      </c>
      <c r="O573" t="str">
        <f t="shared" si="48"/>
        <v>Limeira</v>
      </c>
    </row>
    <row r="574" spans="1:15" x14ac:dyDescent="0.3">
      <c r="A574" s="10">
        <v>45717</v>
      </c>
      <c r="B574" s="9" t="s">
        <v>15</v>
      </c>
      <c r="C574" t="s">
        <v>358</v>
      </c>
      <c r="D574" s="9">
        <v>19609</v>
      </c>
      <c r="E574" s="5" t="s">
        <v>535</v>
      </c>
      <c r="F574" t="s">
        <v>227</v>
      </c>
      <c r="G574">
        <v>2055</v>
      </c>
      <c r="H574">
        <v>957</v>
      </c>
      <c r="I574" s="8">
        <f t="shared" si="49"/>
        <v>0.4656934306569343</v>
      </c>
      <c r="J574" s="17">
        <v>0.7</v>
      </c>
      <c r="K574" s="12">
        <v>13.75</v>
      </c>
      <c r="L574" s="2">
        <f t="shared" si="52"/>
        <v>481.5</v>
      </c>
      <c r="M574" s="15">
        <f t="shared" si="50"/>
        <v>6620.625</v>
      </c>
      <c r="N574" t="str">
        <f t="shared" si="47"/>
        <v>RJ</v>
      </c>
      <c r="O574" t="str">
        <f t="shared" si="48"/>
        <v>Rio De Janeiro</v>
      </c>
    </row>
    <row r="575" spans="1:15" x14ac:dyDescent="0.3">
      <c r="A575" s="10">
        <v>45717</v>
      </c>
      <c r="B575" s="9" t="s">
        <v>3</v>
      </c>
      <c r="C575" t="s">
        <v>4</v>
      </c>
      <c r="D575" s="9">
        <v>19928</v>
      </c>
      <c r="E575" s="5" t="s">
        <v>536</v>
      </c>
      <c r="F575" t="s">
        <v>5</v>
      </c>
      <c r="G575">
        <v>1339</v>
      </c>
      <c r="H575">
        <v>634</v>
      </c>
      <c r="I575" s="8">
        <f t="shared" si="49"/>
        <v>0.47348767737117253</v>
      </c>
      <c r="J575" s="17">
        <v>0.7</v>
      </c>
      <c r="K575" s="12">
        <v>13.75</v>
      </c>
      <c r="L575" s="2">
        <f t="shared" si="52"/>
        <v>303.29999999999984</v>
      </c>
      <c r="M575" s="15">
        <f t="shared" si="50"/>
        <v>4170.3749999999982</v>
      </c>
      <c r="N575" t="str">
        <f t="shared" si="47"/>
        <v>SP</v>
      </c>
      <c r="O575" t="str">
        <f t="shared" si="48"/>
        <v>Americana</v>
      </c>
    </row>
    <row r="576" spans="1:15" x14ac:dyDescent="0.3">
      <c r="A576" s="10">
        <v>45717</v>
      </c>
      <c r="B576" s="9" t="s">
        <v>15</v>
      </c>
      <c r="C576" t="s">
        <v>149</v>
      </c>
      <c r="D576" s="9">
        <v>19746</v>
      </c>
      <c r="E576" s="5" t="s">
        <v>537</v>
      </c>
      <c r="F576" t="s">
        <v>150</v>
      </c>
      <c r="G576">
        <v>2592</v>
      </c>
      <c r="H576">
        <v>1324</v>
      </c>
      <c r="I576" s="8">
        <f t="shared" si="49"/>
        <v>0.51080246913580252</v>
      </c>
      <c r="J576" s="17">
        <v>0.7</v>
      </c>
      <c r="K576" s="12">
        <v>13.75</v>
      </c>
      <c r="L576" s="2">
        <f t="shared" si="52"/>
        <v>490.39999999999964</v>
      </c>
      <c r="M576" s="15">
        <f t="shared" si="50"/>
        <v>6742.9999999999945</v>
      </c>
      <c r="N576" t="str">
        <f t="shared" si="47"/>
        <v>RJ</v>
      </c>
      <c r="O576" t="str">
        <f t="shared" si="48"/>
        <v>Nova Friburgo</v>
      </c>
    </row>
    <row r="577" spans="1:15" x14ac:dyDescent="0.3">
      <c r="A577" s="10">
        <v>45717</v>
      </c>
      <c r="B577" s="9" t="s">
        <v>71</v>
      </c>
      <c r="C577" t="s">
        <v>163</v>
      </c>
      <c r="D577" s="9">
        <v>19933</v>
      </c>
      <c r="E577" s="5" t="s">
        <v>538</v>
      </c>
      <c r="F577" t="s">
        <v>164</v>
      </c>
      <c r="G577">
        <v>867</v>
      </c>
      <c r="H577">
        <v>330</v>
      </c>
      <c r="I577" s="8">
        <f t="shared" si="49"/>
        <v>0.38062283737024222</v>
      </c>
      <c r="J577" s="17">
        <v>0.7</v>
      </c>
      <c r="K577" s="12">
        <v>13.75</v>
      </c>
      <c r="L577" s="2">
        <f t="shared" si="52"/>
        <v>276.89999999999998</v>
      </c>
      <c r="M577" s="15">
        <f t="shared" si="50"/>
        <v>3807.3749999999995</v>
      </c>
      <c r="N577" t="str">
        <f t="shared" si="47"/>
        <v>RS</v>
      </c>
      <c r="O577" t="str">
        <f t="shared" si="48"/>
        <v>Passo</v>
      </c>
    </row>
    <row r="578" spans="1:15" x14ac:dyDescent="0.3">
      <c r="A578" s="10">
        <v>45717</v>
      </c>
      <c r="B578" s="9" t="s">
        <v>59</v>
      </c>
      <c r="C578" t="s">
        <v>343</v>
      </c>
      <c r="D578" s="9">
        <v>19944</v>
      </c>
      <c r="E578" s="5" t="s">
        <v>539</v>
      </c>
      <c r="F578" t="s">
        <v>60</v>
      </c>
      <c r="G578">
        <v>2412</v>
      </c>
      <c r="H578">
        <v>1053</v>
      </c>
      <c r="I578" s="8">
        <f t="shared" si="49"/>
        <v>0.43656716417910446</v>
      </c>
      <c r="J578" s="17">
        <v>0.7</v>
      </c>
      <c r="K578" s="12">
        <v>13.75</v>
      </c>
      <c r="L578" s="2">
        <f t="shared" si="52"/>
        <v>635.39999999999986</v>
      </c>
      <c r="M578" s="15">
        <f t="shared" si="50"/>
        <v>8736.7499999999982</v>
      </c>
      <c r="N578" t="str">
        <f t="shared" ref="N578:N641" si="53">B578</f>
        <v>ES</v>
      </c>
      <c r="O578" t="str">
        <f t="shared" ref="O578:O641" si="54">C578</f>
        <v>Cachoeira De Itapemirim</v>
      </c>
    </row>
    <row r="579" spans="1:15" x14ac:dyDescent="0.3">
      <c r="A579" s="10">
        <v>45717</v>
      </c>
      <c r="B579" s="9" t="s">
        <v>82</v>
      </c>
      <c r="C579" t="s">
        <v>83</v>
      </c>
      <c r="D579" s="9">
        <v>19936</v>
      </c>
      <c r="E579" s="5" t="s">
        <v>540</v>
      </c>
      <c r="F579" t="s">
        <v>86</v>
      </c>
      <c r="G579">
        <v>1969</v>
      </c>
      <c r="H579">
        <v>536</v>
      </c>
      <c r="I579" s="8">
        <f t="shared" ref="I579:I642" si="55">H579/G579</f>
        <v>0.2722194007110208</v>
      </c>
      <c r="J579" s="17">
        <v>0.7</v>
      </c>
      <c r="K579" s="12">
        <v>13.75</v>
      </c>
      <c r="L579" s="2">
        <f t="shared" si="52"/>
        <v>842.30000000000018</v>
      </c>
      <c r="M579" s="15">
        <f t="shared" ref="M579:M642" si="56">L579*K579</f>
        <v>11581.625000000002</v>
      </c>
      <c r="N579" t="str">
        <f t="shared" si="53"/>
        <v>PR</v>
      </c>
      <c r="O579" t="str">
        <f t="shared" si="54"/>
        <v>Curitiba</v>
      </c>
    </row>
    <row r="580" spans="1:15" x14ac:dyDescent="0.3">
      <c r="A580" s="10">
        <v>45717</v>
      </c>
      <c r="B580" s="9" t="s">
        <v>21</v>
      </c>
      <c r="C580" t="s">
        <v>228</v>
      </c>
      <c r="D580" s="9">
        <v>19931</v>
      </c>
      <c r="E580" s="5" t="s">
        <v>541</v>
      </c>
      <c r="F580" t="s">
        <v>233</v>
      </c>
      <c r="G580">
        <v>2029</v>
      </c>
      <c r="H580">
        <v>892</v>
      </c>
      <c r="I580" s="8">
        <f t="shared" si="55"/>
        <v>0.43962543124691966</v>
      </c>
      <c r="J580" s="17">
        <v>0.7</v>
      </c>
      <c r="K580" s="12">
        <v>13.75</v>
      </c>
      <c r="L580" s="2">
        <f t="shared" si="52"/>
        <v>528.29999999999995</v>
      </c>
      <c r="M580" s="15">
        <f t="shared" si="56"/>
        <v>7264.1249999999991</v>
      </c>
      <c r="N580" t="str">
        <f t="shared" si="53"/>
        <v>BA</v>
      </c>
      <c r="O580" t="str">
        <f t="shared" si="54"/>
        <v>Salvador</v>
      </c>
    </row>
    <row r="581" spans="1:15" x14ac:dyDescent="0.3">
      <c r="A581" s="10">
        <v>45717</v>
      </c>
      <c r="B581" s="9" t="s">
        <v>14</v>
      </c>
      <c r="C581" t="s">
        <v>273</v>
      </c>
      <c r="D581" s="9">
        <v>19937</v>
      </c>
      <c r="E581" s="5" t="s">
        <v>542</v>
      </c>
      <c r="F581" t="s">
        <v>274</v>
      </c>
      <c r="G581">
        <v>1615</v>
      </c>
      <c r="H581">
        <v>849</v>
      </c>
      <c r="I581" s="8">
        <f t="shared" si="55"/>
        <v>0.52569659442724459</v>
      </c>
      <c r="J581" s="17">
        <v>0.7</v>
      </c>
      <c r="K581" s="12">
        <v>13.75</v>
      </c>
      <c r="L581" s="2">
        <f t="shared" si="52"/>
        <v>281.5</v>
      </c>
      <c r="M581" s="15">
        <f t="shared" si="56"/>
        <v>3870.625</v>
      </c>
      <c r="N581" t="str">
        <f t="shared" si="53"/>
        <v>MG</v>
      </c>
      <c r="O581" t="str">
        <f t="shared" si="54"/>
        <v>Sete Lagoas</v>
      </c>
    </row>
    <row r="582" spans="1:15" x14ac:dyDescent="0.3">
      <c r="A582" s="10">
        <v>45717</v>
      </c>
      <c r="B582" s="9" t="s">
        <v>46</v>
      </c>
      <c r="C582" t="s">
        <v>102</v>
      </c>
      <c r="D582" s="9">
        <v>19553</v>
      </c>
      <c r="E582" s="5" t="s">
        <v>543</v>
      </c>
      <c r="F582" t="s">
        <v>103</v>
      </c>
      <c r="G582">
        <v>2578</v>
      </c>
      <c r="H582">
        <v>987</v>
      </c>
      <c r="I582" s="8">
        <f t="shared" si="55"/>
        <v>0.38285492629945694</v>
      </c>
      <c r="J582" s="17">
        <v>0.7</v>
      </c>
      <c r="K582" s="12">
        <v>13.75</v>
      </c>
      <c r="L582" s="2">
        <f t="shared" si="52"/>
        <v>817.59999999999991</v>
      </c>
      <c r="M582" s="15">
        <f t="shared" si="56"/>
        <v>11241.999999999998</v>
      </c>
      <c r="N582" t="str">
        <f t="shared" si="53"/>
        <v>DF</v>
      </c>
      <c r="O582" t="str">
        <f t="shared" si="54"/>
        <v>Guará</v>
      </c>
    </row>
    <row r="583" spans="1:15" x14ac:dyDescent="0.3">
      <c r="A583" s="10">
        <v>45717</v>
      </c>
      <c r="B583" s="9" t="s">
        <v>89</v>
      </c>
      <c r="C583" t="s">
        <v>346</v>
      </c>
      <c r="D583" s="9">
        <v>19946</v>
      </c>
      <c r="E583" s="5" t="s">
        <v>544</v>
      </c>
      <c r="F583" t="s">
        <v>348</v>
      </c>
      <c r="G583">
        <v>668</v>
      </c>
      <c r="H583">
        <v>266</v>
      </c>
      <c r="I583" s="8">
        <f t="shared" si="55"/>
        <v>0.39820359281437123</v>
      </c>
      <c r="J583" s="17">
        <v>0.7</v>
      </c>
      <c r="K583" s="12">
        <v>13.75</v>
      </c>
      <c r="L583" s="2">
        <f t="shared" si="52"/>
        <v>201.60000000000002</v>
      </c>
      <c r="M583" s="15">
        <f t="shared" si="56"/>
        <v>2772.0000000000005</v>
      </c>
      <c r="N583" t="str">
        <f t="shared" si="53"/>
        <v>CE</v>
      </c>
      <c r="O583" t="str">
        <f t="shared" si="54"/>
        <v>Fortaleza</v>
      </c>
    </row>
    <row r="584" spans="1:15" x14ac:dyDescent="0.3">
      <c r="A584" s="10">
        <v>45717</v>
      </c>
      <c r="B584" s="9" t="s">
        <v>140</v>
      </c>
      <c r="C584" t="s">
        <v>141</v>
      </c>
      <c r="D584" s="9">
        <v>19940</v>
      </c>
      <c r="E584" s="5" t="s">
        <v>545</v>
      </c>
      <c r="F584" t="s">
        <v>142</v>
      </c>
      <c r="G584">
        <v>2147</v>
      </c>
      <c r="H584">
        <v>1212</v>
      </c>
      <c r="I584" s="8">
        <f t="shared" si="55"/>
        <v>0.56450861667442942</v>
      </c>
      <c r="J584" s="17">
        <v>0.7</v>
      </c>
      <c r="K584" s="12">
        <v>13.75</v>
      </c>
      <c r="L584" s="2">
        <f t="shared" si="52"/>
        <v>290.90000000000009</v>
      </c>
      <c r="M584" s="15">
        <f t="shared" si="56"/>
        <v>3999.8750000000014</v>
      </c>
      <c r="N584" t="str">
        <f t="shared" si="53"/>
        <v>RN</v>
      </c>
      <c r="O584" t="str">
        <f t="shared" si="54"/>
        <v>Natal</v>
      </c>
    </row>
    <row r="585" spans="1:15" x14ac:dyDescent="0.3">
      <c r="A585" s="10">
        <v>45717</v>
      </c>
      <c r="B585" s="9" t="s">
        <v>123</v>
      </c>
      <c r="C585" t="s">
        <v>124</v>
      </c>
      <c r="D585" s="9">
        <v>19945</v>
      </c>
      <c r="E585" s="5" t="s">
        <v>546</v>
      </c>
      <c r="F585" t="s">
        <v>125</v>
      </c>
      <c r="G585">
        <v>1582</v>
      </c>
      <c r="H585">
        <v>1069</v>
      </c>
      <c r="I585" s="8">
        <f t="shared" si="55"/>
        <v>0.67572692793931732</v>
      </c>
      <c r="J585" s="17">
        <v>0.7</v>
      </c>
      <c r="K585" s="12">
        <v>13.75</v>
      </c>
      <c r="L585" s="2">
        <f t="shared" si="52"/>
        <v>38.399999999999864</v>
      </c>
      <c r="M585" s="15">
        <f t="shared" si="56"/>
        <v>527.99999999999818</v>
      </c>
      <c r="N585" t="str">
        <f t="shared" si="53"/>
        <v>AP</v>
      </c>
      <c r="O585" t="str">
        <f t="shared" si="54"/>
        <v>Macapa</v>
      </c>
    </row>
    <row r="586" spans="1:15" x14ac:dyDescent="0.3">
      <c r="A586" s="10">
        <v>45717</v>
      </c>
      <c r="B586" s="9" t="s">
        <v>21</v>
      </c>
      <c r="C586" t="s">
        <v>228</v>
      </c>
      <c r="D586" s="9">
        <v>19907</v>
      </c>
      <c r="E586" s="5" t="s">
        <v>547</v>
      </c>
      <c r="F586" t="s">
        <v>234</v>
      </c>
      <c r="G586">
        <v>1684</v>
      </c>
      <c r="H586">
        <v>768</v>
      </c>
      <c r="I586" s="8">
        <f t="shared" si="55"/>
        <v>0.45605700712589076</v>
      </c>
      <c r="J586" s="17">
        <v>0.7</v>
      </c>
      <c r="K586" s="12">
        <v>13.75</v>
      </c>
      <c r="L586" s="2">
        <f t="shared" si="52"/>
        <v>410.79999999999973</v>
      </c>
      <c r="M586" s="15">
        <f t="shared" si="56"/>
        <v>5648.4999999999964</v>
      </c>
      <c r="N586" t="str">
        <f t="shared" si="53"/>
        <v>BA</v>
      </c>
      <c r="O586" t="str">
        <f t="shared" si="54"/>
        <v>Salvador</v>
      </c>
    </row>
    <row r="587" spans="1:15" x14ac:dyDescent="0.3">
      <c r="A587" s="10">
        <v>45717</v>
      </c>
      <c r="B587" s="9" t="s">
        <v>15</v>
      </c>
      <c r="C587" t="s">
        <v>145</v>
      </c>
      <c r="D587" s="9">
        <v>19538</v>
      </c>
      <c r="E587" s="5" t="s">
        <v>548</v>
      </c>
      <c r="F587" t="s">
        <v>146</v>
      </c>
      <c r="G587">
        <v>2566</v>
      </c>
      <c r="H587">
        <v>1132</v>
      </c>
      <c r="I587" s="8">
        <f t="shared" si="55"/>
        <v>0.44115354637568199</v>
      </c>
      <c r="J587" s="17">
        <v>0.7</v>
      </c>
      <c r="K587" s="12">
        <v>13.75</v>
      </c>
      <c r="L587" s="2">
        <f t="shared" si="52"/>
        <v>664.2</v>
      </c>
      <c r="M587" s="15">
        <f t="shared" si="56"/>
        <v>9132.75</v>
      </c>
      <c r="N587" t="str">
        <f t="shared" si="53"/>
        <v>RJ</v>
      </c>
      <c r="O587" t="str">
        <f t="shared" si="54"/>
        <v>Niterói</v>
      </c>
    </row>
    <row r="588" spans="1:15" x14ac:dyDescent="0.3">
      <c r="A588" s="10">
        <v>45717</v>
      </c>
      <c r="B588" s="9" t="s">
        <v>14</v>
      </c>
      <c r="C588" t="s">
        <v>339</v>
      </c>
      <c r="D588" s="9">
        <v>19932</v>
      </c>
      <c r="E588" s="5" t="s">
        <v>549</v>
      </c>
      <c r="F588" t="s">
        <v>340</v>
      </c>
      <c r="G588">
        <v>1022</v>
      </c>
      <c r="H588">
        <v>452</v>
      </c>
      <c r="I588" s="8">
        <f t="shared" si="55"/>
        <v>0.44227005870841485</v>
      </c>
      <c r="J588" s="17">
        <v>0.7</v>
      </c>
      <c r="K588" s="12">
        <v>13.75</v>
      </c>
      <c r="L588" s="2">
        <f t="shared" si="52"/>
        <v>263.39999999999998</v>
      </c>
      <c r="M588" s="15">
        <f t="shared" si="56"/>
        <v>3621.7499999999995</v>
      </c>
      <c r="N588" t="str">
        <f t="shared" si="53"/>
        <v>MG</v>
      </c>
      <c r="O588" t="str">
        <f t="shared" si="54"/>
        <v>Araxa</v>
      </c>
    </row>
    <row r="589" spans="1:15" x14ac:dyDescent="0.3">
      <c r="A589" s="10">
        <v>45717</v>
      </c>
      <c r="B589" s="9" t="s">
        <v>71</v>
      </c>
      <c r="C589" t="s">
        <v>175</v>
      </c>
      <c r="D589" s="9">
        <v>19947</v>
      </c>
      <c r="E589" s="5" t="s">
        <v>550</v>
      </c>
      <c r="F589" t="s">
        <v>180</v>
      </c>
      <c r="G589">
        <v>2933</v>
      </c>
      <c r="H589">
        <v>1000</v>
      </c>
      <c r="I589" s="8">
        <f t="shared" si="55"/>
        <v>0.34094783498124787</v>
      </c>
      <c r="J589" s="17">
        <v>0.7</v>
      </c>
      <c r="K589" s="12">
        <v>13.75</v>
      </c>
      <c r="L589" s="2">
        <f t="shared" si="52"/>
        <v>1053.0999999999999</v>
      </c>
      <c r="M589" s="15">
        <f t="shared" si="56"/>
        <v>14480.124999999998</v>
      </c>
      <c r="N589" t="str">
        <f t="shared" si="53"/>
        <v>RS</v>
      </c>
      <c r="O589" t="str">
        <f t="shared" si="54"/>
        <v>Porto Alegre</v>
      </c>
    </row>
    <row r="590" spans="1:15" x14ac:dyDescent="0.3">
      <c r="A590" s="10">
        <v>45717</v>
      </c>
      <c r="B590" s="9" t="s">
        <v>14</v>
      </c>
      <c r="C590" t="s">
        <v>114</v>
      </c>
      <c r="D590" s="9">
        <v>19943</v>
      </c>
      <c r="E590" s="5" t="s">
        <v>551</v>
      </c>
      <c r="F590" t="s">
        <v>115</v>
      </c>
      <c r="G590">
        <v>1039</v>
      </c>
      <c r="H590">
        <v>423</v>
      </c>
      <c r="I590" s="8">
        <f t="shared" si="55"/>
        <v>0.40712223291626565</v>
      </c>
      <c r="J590" s="17">
        <v>0.7</v>
      </c>
      <c r="K590" s="12">
        <v>13.75</v>
      </c>
      <c r="L590" s="2">
        <f t="shared" si="52"/>
        <v>304.29999999999995</v>
      </c>
      <c r="M590" s="15">
        <f t="shared" si="56"/>
        <v>4184.1249999999991</v>
      </c>
      <c r="N590" t="str">
        <f t="shared" si="53"/>
        <v>MG</v>
      </c>
      <c r="O590" t="str">
        <f t="shared" si="54"/>
        <v>Ituiutaba</v>
      </c>
    </row>
    <row r="591" spans="1:15" x14ac:dyDescent="0.3">
      <c r="A591" s="10">
        <v>45717</v>
      </c>
      <c r="B591" s="9" t="s">
        <v>244</v>
      </c>
      <c r="C591" t="s">
        <v>245</v>
      </c>
      <c r="D591" s="9">
        <v>19617</v>
      </c>
      <c r="E591" s="5" t="s">
        <v>552</v>
      </c>
      <c r="F591" t="s">
        <v>246</v>
      </c>
      <c r="G591">
        <v>4279</v>
      </c>
      <c r="H591">
        <v>1827</v>
      </c>
      <c r="I591" s="8">
        <f t="shared" si="55"/>
        <v>0.42696891797148867</v>
      </c>
      <c r="J591" s="17">
        <v>0.7</v>
      </c>
      <c r="K591" s="12">
        <v>13.75</v>
      </c>
      <c r="L591" s="2">
        <f t="shared" si="52"/>
        <v>1168.2999999999997</v>
      </c>
      <c r="M591" s="15">
        <f t="shared" si="56"/>
        <v>16064.124999999996</v>
      </c>
      <c r="N591" t="str">
        <f t="shared" si="53"/>
        <v>MA</v>
      </c>
      <c r="O591" t="str">
        <f t="shared" si="54"/>
        <v>São Luís</v>
      </c>
    </row>
    <row r="592" spans="1:15" x14ac:dyDescent="0.3">
      <c r="A592" s="10">
        <v>45717</v>
      </c>
      <c r="B592" s="9" t="s">
        <v>244</v>
      </c>
      <c r="C592" t="s">
        <v>245</v>
      </c>
      <c r="D592" s="9">
        <v>19595</v>
      </c>
      <c r="E592" s="5" t="s">
        <v>553</v>
      </c>
      <c r="F592" t="s">
        <v>247</v>
      </c>
      <c r="G592">
        <v>3875</v>
      </c>
      <c r="H592">
        <v>1800</v>
      </c>
      <c r="I592" s="8">
        <f t="shared" si="55"/>
        <v>0.46451612903225808</v>
      </c>
      <c r="J592" s="17">
        <v>0.7</v>
      </c>
      <c r="K592" s="12">
        <v>13.75</v>
      </c>
      <c r="L592" s="2">
        <f t="shared" si="52"/>
        <v>912.5</v>
      </c>
      <c r="M592" s="15">
        <f t="shared" si="56"/>
        <v>12546.875</v>
      </c>
      <c r="N592" t="str">
        <f t="shared" si="53"/>
        <v>MA</v>
      </c>
      <c r="O592" t="str">
        <f t="shared" si="54"/>
        <v>São Luís</v>
      </c>
    </row>
    <row r="593" spans="1:15" x14ac:dyDescent="0.3">
      <c r="A593" s="10">
        <v>45717</v>
      </c>
      <c r="B593" s="9" t="s">
        <v>3</v>
      </c>
      <c r="C593" t="s">
        <v>10</v>
      </c>
      <c r="D593" s="9">
        <v>19948</v>
      </c>
      <c r="E593" s="5" t="s">
        <v>555</v>
      </c>
      <c r="F593" t="s">
        <v>11</v>
      </c>
      <c r="G593">
        <v>906</v>
      </c>
      <c r="H593">
        <v>398</v>
      </c>
      <c r="I593" s="8">
        <f t="shared" si="55"/>
        <v>0.43929359823399561</v>
      </c>
      <c r="J593" s="17">
        <v>0.7</v>
      </c>
      <c r="K593" s="12">
        <v>13.75</v>
      </c>
      <c r="L593" s="2">
        <f t="shared" si="52"/>
        <v>236.19999999999993</v>
      </c>
      <c r="M593" s="15">
        <f t="shared" si="56"/>
        <v>3247.7499999999991</v>
      </c>
      <c r="N593" t="str">
        <f t="shared" si="53"/>
        <v>SP</v>
      </c>
      <c r="O593" t="str">
        <f t="shared" si="54"/>
        <v>Araraquara</v>
      </c>
    </row>
    <row r="594" spans="1:15" x14ac:dyDescent="0.3">
      <c r="A594" s="10">
        <v>45717</v>
      </c>
      <c r="B594" s="9" t="s">
        <v>74</v>
      </c>
      <c r="C594" t="s">
        <v>75</v>
      </c>
      <c r="D594" s="9">
        <v>19798</v>
      </c>
      <c r="E594" s="5" t="s">
        <v>556</v>
      </c>
      <c r="F594" t="s">
        <v>76</v>
      </c>
      <c r="G594">
        <v>3208</v>
      </c>
      <c r="H594">
        <v>1543</v>
      </c>
      <c r="I594" s="8">
        <f t="shared" si="55"/>
        <v>0.4809850374064838</v>
      </c>
      <c r="J594" s="17">
        <v>0.7</v>
      </c>
      <c r="K594" s="12">
        <v>13.75</v>
      </c>
      <c r="L594" s="2">
        <f t="shared" si="52"/>
        <v>702.59999999999991</v>
      </c>
      <c r="M594" s="15">
        <f t="shared" si="56"/>
        <v>9660.7499999999982</v>
      </c>
      <c r="N594" t="str">
        <f t="shared" si="53"/>
        <v>PE</v>
      </c>
      <c r="O594" t="str">
        <f t="shared" si="54"/>
        <v>Caruaru</v>
      </c>
    </row>
    <row r="595" spans="1:15" x14ac:dyDescent="0.3">
      <c r="A595" s="10">
        <v>45717</v>
      </c>
      <c r="B595" s="9" t="s">
        <v>15</v>
      </c>
      <c r="C595" t="s">
        <v>19</v>
      </c>
      <c r="D595" s="9">
        <v>19694</v>
      </c>
      <c r="E595" s="5" t="s">
        <v>557</v>
      </c>
      <c r="F595" t="s">
        <v>20</v>
      </c>
      <c r="G595">
        <v>2158</v>
      </c>
      <c r="H595">
        <v>1127</v>
      </c>
      <c r="I595" s="8">
        <f t="shared" si="55"/>
        <v>0.52224281742354028</v>
      </c>
      <c r="J595" s="17">
        <v>0.7</v>
      </c>
      <c r="K595" s="12">
        <v>13.75</v>
      </c>
      <c r="L595" s="2">
        <f t="shared" si="52"/>
        <v>383.60000000000014</v>
      </c>
      <c r="M595" s="15">
        <f t="shared" si="56"/>
        <v>5274.5000000000018</v>
      </c>
      <c r="N595" t="str">
        <f t="shared" si="53"/>
        <v>RJ</v>
      </c>
      <c r="O595" t="str">
        <f t="shared" si="54"/>
        <v>Barra Mansa</v>
      </c>
    </row>
    <row r="596" spans="1:15" x14ac:dyDescent="0.3">
      <c r="A596" s="10">
        <v>45717</v>
      </c>
      <c r="B596" s="9" t="s">
        <v>14</v>
      </c>
      <c r="C596" t="s">
        <v>112</v>
      </c>
      <c r="D596" s="9">
        <v>19951</v>
      </c>
      <c r="E596" s="5" t="s">
        <v>558</v>
      </c>
      <c r="F596" t="s">
        <v>113</v>
      </c>
      <c r="G596">
        <v>2535</v>
      </c>
      <c r="H596">
        <v>1056</v>
      </c>
      <c r="I596" s="8">
        <f t="shared" si="55"/>
        <v>0.41656804733727809</v>
      </c>
      <c r="J596" s="17">
        <v>0.7</v>
      </c>
      <c r="K596" s="12">
        <v>13.75</v>
      </c>
      <c r="L596" s="2">
        <f t="shared" si="52"/>
        <v>718.5</v>
      </c>
      <c r="M596" s="15">
        <f t="shared" si="56"/>
        <v>9879.375</v>
      </c>
      <c r="N596" t="str">
        <f t="shared" si="53"/>
        <v>MG</v>
      </c>
      <c r="O596" t="str">
        <f t="shared" si="54"/>
        <v>Ipatinga</v>
      </c>
    </row>
    <row r="597" spans="1:15" x14ac:dyDescent="0.3">
      <c r="A597" s="10">
        <v>45717</v>
      </c>
      <c r="B597" s="9" t="s">
        <v>160</v>
      </c>
      <c r="C597" t="s">
        <v>161</v>
      </c>
      <c r="D597" s="9">
        <v>19954</v>
      </c>
      <c r="E597" s="5" t="s">
        <v>559</v>
      </c>
      <c r="F597" t="s">
        <v>162</v>
      </c>
      <c r="G597">
        <v>1022</v>
      </c>
      <c r="H597">
        <v>564</v>
      </c>
      <c r="I597" s="8">
        <f t="shared" si="55"/>
        <v>0.55185909980430525</v>
      </c>
      <c r="J597" s="17">
        <v>0.7</v>
      </c>
      <c r="K597" s="12">
        <v>13.75</v>
      </c>
      <c r="L597" s="2">
        <f t="shared" si="52"/>
        <v>151.39999999999998</v>
      </c>
      <c r="M597" s="15">
        <f t="shared" si="56"/>
        <v>2081.7499999999995</v>
      </c>
      <c r="N597" t="str">
        <f t="shared" si="53"/>
        <v>PI</v>
      </c>
      <c r="O597" t="str">
        <f t="shared" si="54"/>
        <v>Parnaíba</v>
      </c>
    </row>
    <row r="598" spans="1:15" x14ac:dyDescent="0.3">
      <c r="A598" s="10">
        <v>45717</v>
      </c>
      <c r="B598" s="9" t="s">
        <v>14</v>
      </c>
      <c r="C598" t="s">
        <v>351</v>
      </c>
      <c r="D598" s="9">
        <v>19615</v>
      </c>
      <c r="E598" s="5" t="s">
        <v>560</v>
      </c>
      <c r="F598" t="s">
        <v>117</v>
      </c>
      <c r="G598">
        <v>2748</v>
      </c>
      <c r="H598">
        <v>928</v>
      </c>
      <c r="I598" s="8">
        <f t="shared" si="55"/>
        <v>0.33770014556040756</v>
      </c>
      <c r="J598" s="17">
        <v>0.7</v>
      </c>
      <c r="K598" s="12">
        <v>13.75</v>
      </c>
      <c r="L598" s="2">
        <f t="shared" si="52"/>
        <v>995.59999999999968</v>
      </c>
      <c r="M598" s="15">
        <f t="shared" si="56"/>
        <v>13689.499999999996</v>
      </c>
      <c r="N598" t="str">
        <f t="shared" si="53"/>
        <v>MG</v>
      </c>
      <c r="O598" t="str">
        <f t="shared" si="54"/>
        <v>Juiz De Fora</v>
      </c>
    </row>
    <row r="599" spans="1:15" x14ac:dyDescent="0.3">
      <c r="A599" s="10">
        <v>45717</v>
      </c>
      <c r="B599" s="9" t="s">
        <v>46</v>
      </c>
      <c r="C599" t="s">
        <v>47</v>
      </c>
      <c r="D599" s="9">
        <v>19647</v>
      </c>
      <c r="E599" s="5" t="s">
        <v>561</v>
      </c>
      <c r="F599" t="s">
        <v>55</v>
      </c>
      <c r="G599">
        <v>889</v>
      </c>
      <c r="H599">
        <v>345</v>
      </c>
      <c r="I599" s="8">
        <f t="shared" si="55"/>
        <v>0.38807649043869519</v>
      </c>
      <c r="J599" s="17">
        <v>0.7</v>
      </c>
      <c r="K599" s="12">
        <v>13.75</v>
      </c>
      <c r="L599" s="2">
        <f t="shared" si="52"/>
        <v>277.29999999999984</v>
      </c>
      <c r="M599" s="15">
        <f t="shared" si="56"/>
        <v>3812.8749999999977</v>
      </c>
      <c r="N599" t="str">
        <f t="shared" si="53"/>
        <v>DF</v>
      </c>
      <c r="O599" t="str">
        <f t="shared" si="54"/>
        <v>Brasília</v>
      </c>
    </row>
    <row r="600" spans="1:15" x14ac:dyDescent="0.3">
      <c r="A600" s="10">
        <v>45717</v>
      </c>
      <c r="B600" s="9" t="s">
        <v>46</v>
      </c>
      <c r="C600" t="s">
        <v>47</v>
      </c>
      <c r="D600" s="9">
        <v>19898</v>
      </c>
      <c r="E600" s="5" t="s">
        <v>562</v>
      </c>
      <c r="F600" t="s">
        <v>56</v>
      </c>
      <c r="G600">
        <v>703</v>
      </c>
      <c r="H600">
        <v>263</v>
      </c>
      <c r="I600" s="8">
        <f t="shared" si="55"/>
        <v>0.37411095305832148</v>
      </c>
      <c r="J600" s="17">
        <v>0.7</v>
      </c>
      <c r="K600" s="12">
        <v>13.75</v>
      </c>
      <c r="L600" s="2">
        <f t="shared" ref="L600:L631" si="57">H600*J600/I600-H600</f>
        <v>229.09999999999997</v>
      </c>
      <c r="M600" s="15">
        <f t="shared" si="56"/>
        <v>3150.1249999999995</v>
      </c>
      <c r="N600" t="str">
        <f t="shared" si="53"/>
        <v>DF</v>
      </c>
      <c r="O600" t="str">
        <f t="shared" si="54"/>
        <v>Brasília</v>
      </c>
    </row>
    <row r="601" spans="1:15" x14ac:dyDescent="0.3">
      <c r="A601" s="10">
        <v>45717</v>
      </c>
      <c r="B601" s="9" t="s">
        <v>3</v>
      </c>
      <c r="C601" t="s">
        <v>64</v>
      </c>
      <c r="D601" s="9">
        <v>19616</v>
      </c>
      <c r="E601" s="5" t="s">
        <v>563</v>
      </c>
      <c r="F601" t="s">
        <v>66</v>
      </c>
      <c r="G601">
        <v>2861</v>
      </c>
      <c r="H601">
        <v>1086</v>
      </c>
      <c r="I601" s="8">
        <f t="shared" si="55"/>
        <v>0.37958755679832229</v>
      </c>
      <c r="J601" s="17">
        <v>0.7</v>
      </c>
      <c r="K601" s="12">
        <v>13.75</v>
      </c>
      <c r="L601" s="2">
        <f t="shared" si="57"/>
        <v>916.69999999999959</v>
      </c>
      <c r="M601" s="15">
        <f t="shared" si="56"/>
        <v>12604.624999999995</v>
      </c>
      <c r="N601" t="str">
        <f t="shared" si="53"/>
        <v>SP</v>
      </c>
      <c r="O601" t="str">
        <f t="shared" si="54"/>
        <v>Campinas</v>
      </c>
    </row>
    <row r="602" spans="1:15" x14ac:dyDescent="0.3">
      <c r="A602" s="10">
        <v>45717</v>
      </c>
      <c r="B602" s="9" t="s">
        <v>3</v>
      </c>
      <c r="C602" t="s">
        <v>64</v>
      </c>
      <c r="D602" s="9">
        <v>19688</v>
      </c>
      <c r="E602" s="5" t="s">
        <v>564</v>
      </c>
      <c r="F602" t="s">
        <v>67</v>
      </c>
      <c r="G602">
        <v>2242</v>
      </c>
      <c r="H602">
        <v>1022</v>
      </c>
      <c r="I602" s="8">
        <f t="shared" si="55"/>
        <v>0.455842997323818</v>
      </c>
      <c r="J602" s="17">
        <v>0.7</v>
      </c>
      <c r="K602" s="12">
        <v>13.75</v>
      </c>
      <c r="L602" s="2">
        <f t="shared" si="57"/>
        <v>547.40000000000009</v>
      </c>
      <c r="M602" s="15">
        <f t="shared" si="56"/>
        <v>7526.7500000000009</v>
      </c>
      <c r="N602" t="str">
        <f t="shared" si="53"/>
        <v>SP</v>
      </c>
      <c r="O602" t="str">
        <f t="shared" si="54"/>
        <v>Campinas</v>
      </c>
    </row>
    <row r="603" spans="1:15" x14ac:dyDescent="0.3">
      <c r="A603" s="10">
        <v>45717</v>
      </c>
      <c r="B603" s="9" t="s">
        <v>3</v>
      </c>
      <c r="C603" t="s">
        <v>248</v>
      </c>
      <c r="D603" s="9">
        <v>19863</v>
      </c>
      <c r="E603" s="5" t="s">
        <v>566</v>
      </c>
      <c r="F603" t="s">
        <v>268</v>
      </c>
      <c r="G603">
        <v>2666</v>
      </c>
      <c r="H603">
        <v>924</v>
      </c>
      <c r="I603" s="8">
        <f t="shared" si="55"/>
        <v>0.34658664666166544</v>
      </c>
      <c r="J603" s="17">
        <v>0.7</v>
      </c>
      <c r="K603" s="12">
        <v>13.75</v>
      </c>
      <c r="L603" s="2">
        <f t="shared" si="57"/>
        <v>942.19999999999982</v>
      </c>
      <c r="M603" s="15">
        <f t="shared" si="56"/>
        <v>12955.249999999998</v>
      </c>
      <c r="N603" t="str">
        <f t="shared" si="53"/>
        <v>SP</v>
      </c>
      <c r="O603" t="str">
        <f t="shared" si="54"/>
        <v>São Paulo</v>
      </c>
    </row>
    <row r="604" spans="1:15" x14ac:dyDescent="0.3">
      <c r="A604" s="10">
        <v>45717</v>
      </c>
      <c r="B604" s="9" t="s">
        <v>3</v>
      </c>
      <c r="C604" t="s">
        <v>248</v>
      </c>
      <c r="D604" s="9">
        <v>19817</v>
      </c>
      <c r="E604" s="5" t="s">
        <v>567</v>
      </c>
      <c r="F604" t="s">
        <v>269</v>
      </c>
      <c r="G604">
        <v>1753</v>
      </c>
      <c r="H604">
        <v>742</v>
      </c>
      <c r="I604" s="8">
        <f t="shared" si="55"/>
        <v>0.4232743867655448</v>
      </c>
      <c r="J604" s="17">
        <v>0.7</v>
      </c>
      <c r="K604" s="12">
        <v>13.75</v>
      </c>
      <c r="L604" s="2">
        <f t="shared" si="57"/>
        <v>485.09999999999991</v>
      </c>
      <c r="M604" s="15">
        <f t="shared" si="56"/>
        <v>6670.1249999999991</v>
      </c>
      <c r="N604" t="str">
        <f t="shared" si="53"/>
        <v>SP</v>
      </c>
      <c r="O604" t="str">
        <f t="shared" si="54"/>
        <v>São Paulo</v>
      </c>
    </row>
    <row r="605" spans="1:15" x14ac:dyDescent="0.3">
      <c r="A605" s="10">
        <v>45717</v>
      </c>
      <c r="B605" s="9" t="s">
        <v>3</v>
      </c>
      <c r="C605" t="s">
        <v>248</v>
      </c>
      <c r="D605" s="9">
        <v>19866</v>
      </c>
      <c r="E605" s="5" t="s">
        <v>568</v>
      </c>
      <c r="F605" t="s">
        <v>270</v>
      </c>
      <c r="G605">
        <v>1851</v>
      </c>
      <c r="H605">
        <v>680</v>
      </c>
      <c r="I605" s="8">
        <f t="shared" si="55"/>
        <v>0.36736898973527821</v>
      </c>
      <c r="J605" s="17">
        <v>0.7</v>
      </c>
      <c r="K605" s="12">
        <v>13.75</v>
      </c>
      <c r="L605" s="2">
        <f t="shared" si="57"/>
        <v>615.69999999999982</v>
      </c>
      <c r="M605" s="15">
        <f t="shared" si="56"/>
        <v>8465.8749999999982</v>
      </c>
      <c r="N605" t="str">
        <f t="shared" si="53"/>
        <v>SP</v>
      </c>
      <c r="O605" t="str">
        <f t="shared" si="54"/>
        <v>São Paulo</v>
      </c>
    </row>
    <row r="606" spans="1:15" x14ac:dyDescent="0.3">
      <c r="A606" s="10">
        <v>45717</v>
      </c>
      <c r="B606" s="9" t="s">
        <v>15</v>
      </c>
      <c r="C606" t="s">
        <v>171</v>
      </c>
      <c r="D606" s="9">
        <v>19520</v>
      </c>
      <c r="E606" s="5" t="s">
        <v>569</v>
      </c>
      <c r="F606" t="s">
        <v>172</v>
      </c>
      <c r="G606">
        <v>1578</v>
      </c>
      <c r="H606">
        <v>683</v>
      </c>
      <c r="I606" s="8">
        <f t="shared" si="55"/>
        <v>0.43282636248415718</v>
      </c>
      <c r="J606" s="17">
        <v>0.7</v>
      </c>
      <c r="K606" s="12">
        <v>13.75</v>
      </c>
      <c r="L606" s="2">
        <f t="shared" si="57"/>
        <v>421.59999999999991</v>
      </c>
      <c r="M606" s="15">
        <f t="shared" si="56"/>
        <v>5796.9999999999991</v>
      </c>
      <c r="N606" t="str">
        <f t="shared" si="53"/>
        <v>RJ</v>
      </c>
      <c r="O606" t="str">
        <f t="shared" si="54"/>
        <v>Petrópolis</v>
      </c>
    </row>
    <row r="607" spans="1:15" x14ac:dyDescent="0.3">
      <c r="A607" s="10">
        <v>45717</v>
      </c>
      <c r="B607" s="9" t="s">
        <v>68</v>
      </c>
      <c r="C607" t="s">
        <v>69</v>
      </c>
      <c r="D607" s="9">
        <v>19602</v>
      </c>
      <c r="E607" s="5" t="s">
        <v>570</v>
      </c>
      <c r="F607" t="s">
        <v>70</v>
      </c>
      <c r="G607">
        <v>445</v>
      </c>
      <c r="H607">
        <v>59</v>
      </c>
      <c r="I607" s="8">
        <f t="shared" si="55"/>
        <v>0.13258426966292136</v>
      </c>
      <c r="J607" s="17">
        <v>0.7</v>
      </c>
      <c r="K607" s="12">
        <v>13.75</v>
      </c>
      <c r="L607" s="2">
        <f t="shared" si="57"/>
        <v>252.49999999999994</v>
      </c>
      <c r="M607" s="15">
        <f t="shared" si="56"/>
        <v>3471.8749999999991</v>
      </c>
      <c r="N607" t="str">
        <f t="shared" si="53"/>
        <v>MS</v>
      </c>
      <c r="O607" t="str">
        <f t="shared" si="54"/>
        <v>Campo Grande</v>
      </c>
    </row>
    <row r="608" spans="1:15" x14ac:dyDescent="0.3">
      <c r="A608" s="10">
        <v>45717</v>
      </c>
      <c r="B608" s="9" t="s">
        <v>15</v>
      </c>
      <c r="C608" t="s">
        <v>332</v>
      </c>
      <c r="D608" s="9">
        <v>19679</v>
      </c>
      <c r="E608" s="5" t="s">
        <v>571</v>
      </c>
      <c r="F608" t="s">
        <v>333</v>
      </c>
      <c r="G608">
        <v>2141</v>
      </c>
      <c r="H608">
        <v>1016</v>
      </c>
      <c r="I608" s="8">
        <f t="shared" si="55"/>
        <v>0.47454460532461468</v>
      </c>
      <c r="J608" s="17">
        <v>0.7</v>
      </c>
      <c r="K608" s="12">
        <v>13.75</v>
      </c>
      <c r="L608" s="2">
        <f t="shared" si="57"/>
        <v>482.69999999999982</v>
      </c>
      <c r="M608" s="15">
        <f t="shared" si="56"/>
        <v>6637.1249999999973</v>
      </c>
      <c r="N608" t="str">
        <f t="shared" si="53"/>
        <v>RJ</v>
      </c>
      <c r="O608" t="str">
        <f t="shared" si="54"/>
        <v>Macaé</v>
      </c>
    </row>
    <row r="609" spans="1:15" x14ac:dyDescent="0.3">
      <c r="A609" s="10">
        <v>45717</v>
      </c>
      <c r="B609" s="9" t="s">
        <v>59</v>
      </c>
      <c r="C609" t="s">
        <v>104</v>
      </c>
      <c r="D609" s="9">
        <v>19872</v>
      </c>
      <c r="E609" s="5" t="s">
        <v>572</v>
      </c>
      <c r="F609" t="s">
        <v>105</v>
      </c>
      <c r="G609">
        <v>3021</v>
      </c>
      <c r="H609">
        <v>1459</v>
      </c>
      <c r="I609" s="8">
        <f t="shared" si="55"/>
        <v>0.48295266468056935</v>
      </c>
      <c r="J609" s="17">
        <v>0.7</v>
      </c>
      <c r="K609" s="12">
        <v>13.75</v>
      </c>
      <c r="L609" s="2">
        <f t="shared" si="57"/>
        <v>655.69999999999982</v>
      </c>
      <c r="M609" s="15">
        <f t="shared" si="56"/>
        <v>9015.8749999999982</v>
      </c>
      <c r="N609" t="str">
        <f t="shared" si="53"/>
        <v>ES</v>
      </c>
      <c r="O609" t="str">
        <f t="shared" si="54"/>
        <v>Guarapari</v>
      </c>
    </row>
    <row r="610" spans="1:15" x14ac:dyDescent="0.3">
      <c r="A610" s="10">
        <v>45717</v>
      </c>
      <c r="B610" s="9" t="s">
        <v>82</v>
      </c>
      <c r="C610" t="s">
        <v>83</v>
      </c>
      <c r="D610" s="9">
        <v>19547</v>
      </c>
      <c r="E610" s="5" t="s">
        <v>573</v>
      </c>
      <c r="F610" t="s">
        <v>87</v>
      </c>
      <c r="G610">
        <v>2444</v>
      </c>
      <c r="H610">
        <v>717</v>
      </c>
      <c r="I610" s="8">
        <f t="shared" si="55"/>
        <v>0.29337152209492634</v>
      </c>
      <c r="J610" s="17">
        <v>0.7</v>
      </c>
      <c r="K610" s="12">
        <v>13.75</v>
      </c>
      <c r="L610" s="2">
        <f t="shared" si="57"/>
        <v>993.8</v>
      </c>
      <c r="M610" s="15">
        <f t="shared" si="56"/>
        <v>13664.75</v>
      </c>
      <c r="N610" t="str">
        <f t="shared" si="53"/>
        <v>PR</v>
      </c>
      <c r="O610" t="str">
        <f t="shared" si="54"/>
        <v>Curitiba</v>
      </c>
    </row>
    <row r="611" spans="1:15" x14ac:dyDescent="0.3">
      <c r="A611" s="10">
        <v>45717</v>
      </c>
      <c r="B611" s="9" t="s">
        <v>15</v>
      </c>
      <c r="C611" t="s">
        <v>145</v>
      </c>
      <c r="D611" s="9">
        <v>19513</v>
      </c>
      <c r="E611" s="5" t="s">
        <v>574</v>
      </c>
      <c r="F611" t="s">
        <v>147</v>
      </c>
      <c r="G611">
        <v>2920</v>
      </c>
      <c r="H611">
        <v>1060</v>
      </c>
      <c r="I611" s="8">
        <f t="shared" si="55"/>
        <v>0.36301369863013699</v>
      </c>
      <c r="J611" s="17">
        <v>0.7</v>
      </c>
      <c r="K611" s="12">
        <v>13.75</v>
      </c>
      <c r="L611" s="2">
        <f t="shared" si="57"/>
        <v>984</v>
      </c>
      <c r="M611" s="15">
        <f t="shared" si="56"/>
        <v>13530</v>
      </c>
      <c r="N611" t="str">
        <f t="shared" si="53"/>
        <v>RJ</v>
      </c>
      <c r="O611" t="str">
        <f t="shared" si="54"/>
        <v>Niterói</v>
      </c>
    </row>
    <row r="612" spans="1:15" x14ac:dyDescent="0.3">
      <c r="A612" s="10">
        <v>45717</v>
      </c>
      <c r="B612" s="9" t="s">
        <v>15</v>
      </c>
      <c r="C612" t="s">
        <v>145</v>
      </c>
      <c r="D612" s="9">
        <v>19525</v>
      </c>
      <c r="E612" s="5" t="s">
        <v>575</v>
      </c>
      <c r="F612" t="s">
        <v>148</v>
      </c>
      <c r="G612">
        <v>3682</v>
      </c>
      <c r="H612">
        <v>1392</v>
      </c>
      <c r="I612" s="8">
        <f t="shared" si="55"/>
        <v>0.37805540467137427</v>
      </c>
      <c r="J612" s="17">
        <v>0.7</v>
      </c>
      <c r="K612" s="12">
        <v>13.75</v>
      </c>
      <c r="L612" s="2">
        <f t="shared" si="57"/>
        <v>1185.3999999999996</v>
      </c>
      <c r="M612" s="15">
        <f t="shared" si="56"/>
        <v>16299.249999999995</v>
      </c>
      <c r="N612" t="str">
        <f t="shared" si="53"/>
        <v>RJ</v>
      </c>
      <c r="O612" t="str">
        <f t="shared" si="54"/>
        <v>Niterói</v>
      </c>
    </row>
    <row r="613" spans="1:15" x14ac:dyDescent="0.3">
      <c r="A613" s="10">
        <v>45717</v>
      </c>
      <c r="B613" s="9" t="s">
        <v>21</v>
      </c>
      <c r="C613" t="s">
        <v>228</v>
      </c>
      <c r="D613" s="9">
        <v>19771</v>
      </c>
      <c r="E613" s="5" t="s">
        <v>576</v>
      </c>
      <c r="F613" t="s">
        <v>235</v>
      </c>
      <c r="G613">
        <v>1783</v>
      </c>
      <c r="H613">
        <v>688</v>
      </c>
      <c r="I613" s="8">
        <f t="shared" si="55"/>
        <v>0.38586651710600112</v>
      </c>
      <c r="J613" s="17">
        <v>0.7</v>
      </c>
      <c r="K613" s="12">
        <v>13.75</v>
      </c>
      <c r="L613" s="2">
        <f t="shared" si="57"/>
        <v>560.09999999999991</v>
      </c>
      <c r="M613" s="15">
        <f t="shared" si="56"/>
        <v>7701.3749999999991</v>
      </c>
      <c r="N613" t="str">
        <f t="shared" si="53"/>
        <v>BA</v>
      </c>
      <c r="O613" t="str">
        <f t="shared" si="54"/>
        <v>Salvador</v>
      </c>
    </row>
    <row r="614" spans="1:15" x14ac:dyDescent="0.3">
      <c r="A614" s="10">
        <v>45717</v>
      </c>
      <c r="B614" s="9" t="s">
        <v>15</v>
      </c>
      <c r="C614" t="s">
        <v>358</v>
      </c>
      <c r="D614" s="9">
        <v>19685</v>
      </c>
      <c r="E614" s="5" t="s">
        <v>359</v>
      </c>
      <c r="F614" t="s">
        <v>198</v>
      </c>
      <c r="G614">
        <v>1817</v>
      </c>
      <c r="H614">
        <v>803</v>
      </c>
      <c r="I614" s="8">
        <f t="shared" si="55"/>
        <v>0.44193725921849203</v>
      </c>
      <c r="J614" s="17">
        <v>0.7</v>
      </c>
      <c r="K614" s="12">
        <v>13.75</v>
      </c>
      <c r="L614" s="2">
        <f t="shared" si="57"/>
        <v>468.89999999999986</v>
      </c>
      <c r="M614" s="15">
        <f t="shared" si="56"/>
        <v>6447.3749999999982</v>
      </c>
      <c r="N614" t="str">
        <f t="shared" si="53"/>
        <v>RJ</v>
      </c>
      <c r="O614" t="str">
        <f t="shared" si="54"/>
        <v>Rio De Janeiro</v>
      </c>
    </row>
    <row r="615" spans="1:15" x14ac:dyDescent="0.3">
      <c r="A615" s="10">
        <v>45748</v>
      </c>
      <c r="B615" s="9" t="s">
        <v>71</v>
      </c>
      <c r="C615" t="s">
        <v>175</v>
      </c>
      <c r="D615" s="9">
        <v>19540</v>
      </c>
      <c r="E615" s="5" t="s">
        <v>370</v>
      </c>
      <c r="F615" t="s">
        <v>176</v>
      </c>
      <c r="G615">
        <v>4613</v>
      </c>
      <c r="H615">
        <v>1817</v>
      </c>
      <c r="I615" s="8">
        <f t="shared" si="55"/>
        <v>0.39388684153479298</v>
      </c>
      <c r="J615" s="17">
        <v>0.7</v>
      </c>
      <c r="K615" s="12">
        <v>13.75</v>
      </c>
      <c r="L615" s="2">
        <f t="shared" si="57"/>
        <v>1412.0999999999995</v>
      </c>
      <c r="M615" s="15">
        <f t="shared" si="56"/>
        <v>19416.374999999993</v>
      </c>
      <c r="N615" t="str">
        <f t="shared" si="53"/>
        <v>RS</v>
      </c>
      <c r="O615" t="str">
        <f t="shared" si="54"/>
        <v>Porto Alegre</v>
      </c>
    </row>
    <row r="616" spans="1:15" x14ac:dyDescent="0.3">
      <c r="A616" s="10">
        <v>45748</v>
      </c>
      <c r="B616" s="9" t="s">
        <v>15</v>
      </c>
      <c r="C616" t="s">
        <v>358</v>
      </c>
      <c r="D616" s="9">
        <v>19521</v>
      </c>
      <c r="E616" s="5" t="s">
        <v>371</v>
      </c>
      <c r="F616" t="s">
        <v>199</v>
      </c>
      <c r="G616">
        <v>3260</v>
      </c>
      <c r="H616">
        <v>1533</v>
      </c>
      <c r="I616" s="8">
        <f t="shared" si="55"/>
        <v>0.47024539877300614</v>
      </c>
      <c r="J616" s="17">
        <v>0.7</v>
      </c>
      <c r="K616" s="12">
        <v>13.75</v>
      </c>
      <c r="L616" s="2">
        <f t="shared" si="57"/>
        <v>749</v>
      </c>
      <c r="M616" s="15">
        <f t="shared" si="56"/>
        <v>10298.75</v>
      </c>
      <c r="N616" t="str">
        <f t="shared" si="53"/>
        <v>RJ</v>
      </c>
      <c r="O616" t="str">
        <f t="shared" si="54"/>
        <v>Rio De Janeiro</v>
      </c>
    </row>
    <row r="617" spans="1:15" x14ac:dyDescent="0.3">
      <c r="A617" s="10">
        <v>45748</v>
      </c>
      <c r="B617" s="9" t="s">
        <v>6</v>
      </c>
      <c r="C617" t="s">
        <v>236</v>
      </c>
      <c r="D617" s="9">
        <v>19606</v>
      </c>
      <c r="E617" s="5" t="s">
        <v>372</v>
      </c>
      <c r="F617" t="s">
        <v>237</v>
      </c>
      <c r="G617">
        <v>1960</v>
      </c>
      <c r="H617">
        <v>988</v>
      </c>
      <c r="I617" s="8">
        <f t="shared" si="55"/>
        <v>0.50408163265306127</v>
      </c>
      <c r="J617" s="17">
        <v>0.7</v>
      </c>
      <c r="K617" s="12">
        <v>13.75</v>
      </c>
      <c r="L617" s="2">
        <f t="shared" si="57"/>
        <v>383.99999999999977</v>
      </c>
      <c r="M617" s="15">
        <f t="shared" si="56"/>
        <v>5279.9999999999973</v>
      </c>
      <c r="N617" t="str">
        <f t="shared" si="53"/>
        <v>PA</v>
      </c>
      <c r="O617" t="str">
        <f t="shared" si="54"/>
        <v>Santarém</v>
      </c>
    </row>
    <row r="618" spans="1:15" x14ac:dyDescent="0.3">
      <c r="A618" s="10">
        <v>45748</v>
      </c>
      <c r="B618" s="9" t="s">
        <v>61</v>
      </c>
      <c r="C618" t="s">
        <v>344</v>
      </c>
      <c r="D618" s="9">
        <v>19706</v>
      </c>
      <c r="E618" s="5" t="s">
        <v>373</v>
      </c>
      <c r="F618" t="s">
        <v>77</v>
      </c>
      <c r="G618">
        <v>2449</v>
      </c>
      <c r="H618">
        <v>1101</v>
      </c>
      <c r="I618" s="8">
        <f t="shared" si="55"/>
        <v>0.44957125357288691</v>
      </c>
      <c r="J618" s="17">
        <v>0.7</v>
      </c>
      <c r="K618" s="12">
        <v>13.75</v>
      </c>
      <c r="L618" s="2">
        <f t="shared" si="57"/>
        <v>613.29999999999973</v>
      </c>
      <c r="M618" s="15">
        <f t="shared" si="56"/>
        <v>8432.8749999999964</v>
      </c>
      <c r="N618" t="str">
        <f t="shared" si="53"/>
        <v>PB</v>
      </c>
      <c r="O618" t="str">
        <f t="shared" si="54"/>
        <v>Coronel João Pessoa</v>
      </c>
    </row>
    <row r="619" spans="1:15" x14ac:dyDescent="0.3">
      <c r="A619" s="10">
        <v>45748</v>
      </c>
      <c r="B619" s="9" t="s">
        <v>14</v>
      </c>
      <c r="C619" t="s">
        <v>285</v>
      </c>
      <c r="D619" s="9">
        <v>19563</v>
      </c>
      <c r="E619" s="5" t="s">
        <v>374</v>
      </c>
      <c r="F619" t="s">
        <v>286</v>
      </c>
      <c r="G619">
        <v>2939</v>
      </c>
      <c r="H619">
        <v>1088</v>
      </c>
      <c r="I619" s="8">
        <f t="shared" si="55"/>
        <v>0.37019394351820345</v>
      </c>
      <c r="J619" s="17">
        <v>0.7</v>
      </c>
      <c r="K619" s="12">
        <v>13.75</v>
      </c>
      <c r="L619" s="2">
        <f t="shared" si="57"/>
        <v>969.29999999999973</v>
      </c>
      <c r="M619" s="15">
        <f t="shared" si="56"/>
        <v>13327.874999999996</v>
      </c>
      <c r="N619" t="str">
        <f t="shared" si="53"/>
        <v>MG</v>
      </c>
      <c r="O619" t="str">
        <f t="shared" si="54"/>
        <v>Uberlândia</v>
      </c>
    </row>
    <row r="620" spans="1:15" x14ac:dyDescent="0.3">
      <c r="A620" s="10">
        <v>45748</v>
      </c>
      <c r="B620" s="9" t="s">
        <v>6</v>
      </c>
      <c r="C620" t="s">
        <v>26</v>
      </c>
      <c r="D620" s="9">
        <v>19597</v>
      </c>
      <c r="E620" s="5" t="s">
        <v>375</v>
      </c>
      <c r="F620" t="s">
        <v>27</v>
      </c>
      <c r="G620">
        <v>3216</v>
      </c>
      <c r="H620">
        <v>1655</v>
      </c>
      <c r="I620" s="8">
        <f t="shared" si="55"/>
        <v>0.51461442786069655</v>
      </c>
      <c r="J620" s="17">
        <v>0.7</v>
      </c>
      <c r="K620" s="12">
        <v>13.75</v>
      </c>
      <c r="L620" s="2">
        <f t="shared" si="57"/>
        <v>596.19999999999982</v>
      </c>
      <c r="M620" s="15">
        <f t="shared" si="56"/>
        <v>8197.7499999999982</v>
      </c>
      <c r="N620" t="str">
        <f t="shared" si="53"/>
        <v>PA</v>
      </c>
      <c r="O620" t="str">
        <f t="shared" si="54"/>
        <v>Belém</v>
      </c>
    </row>
    <row r="621" spans="1:15" x14ac:dyDescent="0.3">
      <c r="A621" s="10">
        <v>45748</v>
      </c>
      <c r="B621" s="9" t="s">
        <v>15</v>
      </c>
      <c r="C621" t="s">
        <v>296</v>
      </c>
      <c r="D621" s="9">
        <v>19524</v>
      </c>
      <c r="E621" s="5" t="s">
        <v>376</v>
      </c>
      <c r="F621" t="s">
        <v>297</v>
      </c>
      <c r="G621">
        <v>2544</v>
      </c>
      <c r="H621">
        <v>1027</v>
      </c>
      <c r="I621" s="8">
        <f t="shared" si="55"/>
        <v>0.4036949685534591</v>
      </c>
      <c r="J621" s="17">
        <v>0.7</v>
      </c>
      <c r="K621" s="12">
        <v>13.75</v>
      </c>
      <c r="L621" s="2">
        <f t="shared" si="57"/>
        <v>753.8</v>
      </c>
      <c r="M621" s="15">
        <f t="shared" si="56"/>
        <v>10364.75</v>
      </c>
      <c r="N621" t="str">
        <f t="shared" si="53"/>
        <v>RJ</v>
      </c>
      <c r="O621" t="str">
        <f t="shared" si="54"/>
        <v>Volta Redonda</v>
      </c>
    </row>
    <row r="622" spans="1:15" x14ac:dyDescent="0.3">
      <c r="A622" s="10">
        <v>45748</v>
      </c>
      <c r="B622" s="9" t="s">
        <v>15</v>
      </c>
      <c r="C622" t="s">
        <v>151</v>
      </c>
      <c r="D622" s="9">
        <v>19599</v>
      </c>
      <c r="E622" s="5" t="s">
        <v>377</v>
      </c>
      <c r="F622" t="s">
        <v>152</v>
      </c>
      <c r="G622">
        <v>2666</v>
      </c>
      <c r="H622">
        <v>1172</v>
      </c>
      <c r="I622" s="8">
        <f t="shared" si="55"/>
        <v>0.43960990247561893</v>
      </c>
      <c r="J622" s="17">
        <v>0.7</v>
      </c>
      <c r="K622" s="12">
        <v>13.75</v>
      </c>
      <c r="L622" s="2">
        <f t="shared" si="57"/>
        <v>694.19999999999982</v>
      </c>
      <c r="M622" s="15">
        <f t="shared" si="56"/>
        <v>9545.2499999999982</v>
      </c>
      <c r="N622" t="str">
        <f t="shared" si="53"/>
        <v>RJ</v>
      </c>
      <c r="O622" t="str">
        <f t="shared" si="54"/>
        <v>Nova Iguaçu</v>
      </c>
    </row>
    <row r="623" spans="1:15" x14ac:dyDescent="0.3">
      <c r="A623" s="10">
        <v>45748</v>
      </c>
      <c r="B623" s="9" t="s">
        <v>160</v>
      </c>
      <c r="C623" t="s">
        <v>279</v>
      </c>
      <c r="D623" s="9">
        <v>19564</v>
      </c>
      <c r="E623" s="5" t="s">
        <v>378</v>
      </c>
      <c r="F623" t="s">
        <v>280</v>
      </c>
      <c r="G623">
        <v>1573</v>
      </c>
      <c r="H623">
        <v>694</v>
      </c>
      <c r="I623" s="8">
        <f t="shared" si="55"/>
        <v>0.44119516846789575</v>
      </c>
      <c r="J623" s="17">
        <v>0.7</v>
      </c>
      <c r="K623" s="12">
        <v>13.75</v>
      </c>
      <c r="L623" s="2">
        <f t="shared" si="57"/>
        <v>407.09999999999991</v>
      </c>
      <c r="M623" s="15">
        <f t="shared" si="56"/>
        <v>5597.6249999999991</v>
      </c>
      <c r="N623" t="str">
        <f t="shared" si="53"/>
        <v>PI</v>
      </c>
      <c r="O623" t="str">
        <f t="shared" si="54"/>
        <v>Teresina</v>
      </c>
    </row>
    <row r="624" spans="1:15" x14ac:dyDescent="0.3">
      <c r="A624" s="10">
        <v>45748</v>
      </c>
      <c r="B624" s="9" t="s">
        <v>15</v>
      </c>
      <c r="C624" t="s">
        <v>358</v>
      </c>
      <c r="D624" s="9">
        <v>19536</v>
      </c>
      <c r="E624" s="5" t="s">
        <v>379</v>
      </c>
      <c r="F624" t="s">
        <v>200</v>
      </c>
      <c r="G624">
        <v>2876</v>
      </c>
      <c r="H624">
        <v>1009</v>
      </c>
      <c r="I624" s="8">
        <f t="shared" si="55"/>
        <v>0.3508344923504868</v>
      </c>
      <c r="J624" s="17">
        <v>0.7</v>
      </c>
      <c r="K624" s="12">
        <v>13.75</v>
      </c>
      <c r="L624" s="2">
        <f t="shared" si="57"/>
        <v>1004.1999999999998</v>
      </c>
      <c r="M624" s="15">
        <f t="shared" si="56"/>
        <v>13807.749999999998</v>
      </c>
      <c r="N624" t="str">
        <f t="shared" si="53"/>
        <v>RJ</v>
      </c>
      <c r="O624" t="str">
        <f t="shared" si="54"/>
        <v>Rio De Janeiro</v>
      </c>
    </row>
    <row r="625" spans="1:15" x14ac:dyDescent="0.3">
      <c r="A625" s="10">
        <v>45748</v>
      </c>
      <c r="B625" s="9" t="s">
        <v>15</v>
      </c>
      <c r="C625" t="s">
        <v>358</v>
      </c>
      <c r="D625" s="9">
        <v>19727</v>
      </c>
      <c r="E625" s="5" t="s">
        <v>380</v>
      </c>
      <c r="F625" t="s">
        <v>201</v>
      </c>
      <c r="G625">
        <v>1725</v>
      </c>
      <c r="H625">
        <v>759</v>
      </c>
      <c r="I625" s="8">
        <f t="shared" si="55"/>
        <v>0.44</v>
      </c>
      <c r="J625" s="17">
        <v>0.7</v>
      </c>
      <c r="K625" s="12">
        <v>13.75</v>
      </c>
      <c r="L625" s="2">
        <f t="shared" si="57"/>
        <v>448.5</v>
      </c>
      <c r="M625" s="15">
        <f t="shared" si="56"/>
        <v>6166.875</v>
      </c>
      <c r="N625" t="str">
        <f t="shared" si="53"/>
        <v>RJ</v>
      </c>
      <c r="O625" t="str">
        <f t="shared" si="54"/>
        <v>Rio De Janeiro</v>
      </c>
    </row>
    <row r="626" spans="1:15" x14ac:dyDescent="0.3">
      <c r="A626" s="10">
        <v>45748</v>
      </c>
      <c r="B626" s="9" t="s">
        <v>3</v>
      </c>
      <c r="C626" t="s">
        <v>248</v>
      </c>
      <c r="D626" s="9">
        <v>19572</v>
      </c>
      <c r="E626" s="5" t="s">
        <v>381</v>
      </c>
      <c r="F626" t="s">
        <v>249</v>
      </c>
      <c r="G626">
        <v>4622</v>
      </c>
      <c r="H626">
        <v>1952</v>
      </c>
      <c r="I626" s="8">
        <f t="shared" si="55"/>
        <v>0.42232799653829511</v>
      </c>
      <c r="J626" s="17">
        <v>0.7</v>
      </c>
      <c r="K626" s="12">
        <v>13.75</v>
      </c>
      <c r="L626" s="2">
        <f t="shared" si="57"/>
        <v>1283.3999999999996</v>
      </c>
      <c r="M626" s="15">
        <f t="shared" si="56"/>
        <v>17646.749999999996</v>
      </c>
      <c r="N626" t="str">
        <f t="shared" si="53"/>
        <v>SP</v>
      </c>
      <c r="O626" t="str">
        <f t="shared" si="54"/>
        <v>São Paulo</v>
      </c>
    </row>
    <row r="627" spans="1:15" x14ac:dyDescent="0.3">
      <c r="A627" s="10">
        <v>45748</v>
      </c>
      <c r="B627" s="9" t="s">
        <v>3</v>
      </c>
      <c r="C627" t="s">
        <v>167</v>
      </c>
      <c r="D627" s="9">
        <v>19578</v>
      </c>
      <c r="E627" s="5" t="s">
        <v>382</v>
      </c>
      <c r="F627" t="s">
        <v>168</v>
      </c>
      <c r="G627">
        <v>1991</v>
      </c>
      <c r="H627">
        <v>761</v>
      </c>
      <c r="I627" s="8">
        <f t="shared" si="55"/>
        <v>0.38221998995479656</v>
      </c>
      <c r="J627" s="17">
        <v>0.7</v>
      </c>
      <c r="K627" s="12">
        <v>13.75</v>
      </c>
      <c r="L627" s="2">
        <f t="shared" si="57"/>
        <v>632.69999999999982</v>
      </c>
      <c r="M627" s="15">
        <f t="shared" si="56"/>
        <v>8699.6249999999982</v>
      </c>
      <c r="N627" t="str">
        <f t="shared" si="53"/>
        <v>SP</v>
      </c>
      <c r="O627" t="str">
        <f t="shared" si="54"/>
        <v>Perdizes</v>
      </c>
    </row>
    <row r="628" spans="1:15" x14ac:dyDescent="0.3">
      <c r="A628" s="10">
        <v>45748</v>
      </c>
      <c r="B628" s="9" t="s">
        <v>3</v>
      </c>
      <c r="C628" t="s">
        <v>248</v>
      </c>
      <c r="D628" s="9">
        <v>19774</v>
      </c>
      <c r="E628" s="5" t="s">
        <v>383</v>
      </c>
      <c r="F628" t="s">
        <v>250</v>
      </c>
      <c r="G628">
        <v>3966</v>
      </c>
      <c r="H628">
        <v>1404</v>
      </c>
      <c r="I628" s="8">
        <f t="shared" si="55"/>
        <v>0.35400907715582453</v>
      </c>
      <c r="J628" s="17">
        <v>0.7</v>
      </c>
      <c r="K628" s="12">
        <v>13.75</v>
      </c>
      <c r="L628" s="2">
        <f t="shared" si="57"/>
        <v>1372.1999999999998</v>
      </c>
      <c r="M628" s="15">
        <f t="shared" si="56"/>
        <v>18867.749999999996</v>
      </c>
      <c r="N628" t="str">
        <f t="shared" si="53"/>
        <v>SP</v>
      </c>
      <c r="O628" t="str">
        <f t="shared" si="54"/>
        <v>São Paulo</v>
      </c>
    </row>
    <row r="629" spans="1:15" x14ac:dyDescent="0.3">
      <c r="A629" s="10">
        <v>45748</v>
      </c>
      <c r="B629" s="9" t="s">
        <v>46</v>
      </c>
      <c r="C629" t="s">
        <v>47</v>
      </c>
      <c r="D629" s="9">
        <v>19551</v>
      </c>
      <c r="E629" s="5" t="s">
        <v>384</v>
      </c>
      <c r="F629" t="s">
        <v>48</v>
      </c>
      <c r="G629">
        <v>3008</v>
      </c>
      <c r="H629">
        <v>1254</v>
      </c>
      <c r="I629" s="8">
        <f t="shared" si="55"/>
        <v>0.41688829787234044</v>
      </c>
      <c r="J629" s="17">
        <v>0.7</v>
      </c>
      <c r="K629" s="12">
        <v>13.75</v>
      </c>
      <c r="L629" s="2">
        <f t="shared" si="57"/>
        <v>851.59999999999991</v>
      </c>
      <c r="M629" s="15">
        <f t="shared" si="56"/>
        <v>11709.499999999998</v>
      </c>
      <c r="N629" t="str">
        <f t="shared" si="53"/>
        <v>DF</v>
      </c>
      <c r="O629" t="str">
        <f t="shared" si="54"/>
        <v>Brasília</v>
      </c>
    </row>
    <row r="630" spans="1:15" x14ac:dyDescent="0.3">
      <c r="A630" s="10">
        <v>45748</v>
      </c>
      <c r="B630" s="9" t="s">
        <v>15</v>
      </c>
      <c r="C630" t="s">
        <v>151</v>
      </c>
      <c r="D630" s="9">
        <v>19596</v>
      </c>
      <c r="E630" s="5" t="s">
        <v>385</v>
      </c>
      <c r="F630" t="s">
        <v>153</v>
      </c>
      <c r="G630">
        <v>2439</v>
      </c>
      <c r="H630">
        <v>838</v>
      </c>
      <c r="I630" s="8">
        <f t="shared" si="55"/>
        <v>0.34358343583435835</v>
      </c>
      <c r="J630" s="17">
        <v>0.7</v>
      </c>
      <c r="K630" s="12">
        <v>13.75</v>
      </c>
      <c r="L630" s="2">
        <f t="shared" si="57"/>
        <v>869.29999999999973</v>
      </c>
      <c r="M630" s="15">
        <f t="shared" si="56"/>
        <v>11952.874999999996</v>
      </c>
      <c r="N630" t="str">
        <f t="shared" si="53"/>
        <v>RJ</v>
      </c>
      <c r="O630" t="str">
        <f t="shared" si="54"/>
        <v>Nova Iguaçu</v>
      </c>
    </row>
    <row r="631" spans="1:15" x14ac:dyDescent="0.3">
      <c r="A631" s="10">
        <v>45748</v>
      </c>
      <c r="B631" s="9" t="s">
        <v>15</v>
      </c>
      <c r="C631" t="s">
        <v>358</v>
      </c>
      <c r="D631" s="9">
        <v>19618</v>
      </c>
      <c r="E631" s="5" t="s">
        <v>386</v>
      </c>
      <c r="F631" t="s">
        <v>202</v>
      </c>
      <c r="G631">
        <v>2951</v>
      </c>
      <c r="H631">
        <v>1222</v>
      </c>
      <c r="I631" s="8">
        <f t="shared" si="55"/>
        <v>0.41409691629955947</v>
      </c>
      <c r="J631" s="17">
        <v>0.7</v>
      </c>
      <c r="K631" s="12">
        <v>13.75</v>
      </c>
      <c r="L631" s="2">
        <f t="shared" si="57"/>
        <v>843.69999999999982</v>
      </c>
      <c r="M631" s="15">
        <f t="shared" si="56"/>
        <v>11600.874999999998</v>
      </c>
      <c r="N631" t="str">
        <f t="shared" si="53"/>
        <v>RJ</v>
      </c>
      <c r="O631" t="str">
        <f t="shared" si="54"/>
        <v>Rio De Janeiro</v>
      </c>
    </row>
    <row r="632" spans="1:15" x14ac:dyDescent="0.3">
      <c r="A632" s="10">
        <v>45748</v>
      </c>
      <c r="B632" s="9" t="s">
        <v>21</v>
      </c>
      <c r="C632" t="s">
        <v>22</v>
      </c>
      <c r="D632" s="9">
        <v>19741</v>
      </c>
      <c r="E632" s="5" t="s">
        <v>387</v>
      </c>
      <c r="F632" t="s">
        <v>23</v>
      </c>
      <c r="G632">
        <v>1679</v>
      </c>
      <c r="H632">
        <v>868</v>
      </c>
      <c r="I632" s="8">
        <f t="shared" si="55"/>
        <v>0.51697438951757002</v>
      </c>
      <c r="J632" s="17">
        <v>0.7</v>
      </c>
      <c r="K632" s="12">
        <v>13.75</v>
      </c>
      <c r="L632" s="2">
        <f t="shared" ref="L632:L663" si="58">H632*J632/I632-H632</f>
        <v>307.29999999999973</v>
      </c>
      <c r="M632" s="15">
        <f t="shared" si="56"/>
        <v>4225.3749999999964</v>
      </c>
      <c r="N632" t="str">
        <f t="shared" si="53"/>
        <v>BA</v>
      </c>
      <c r="O632" t="str">
        <f t="shared" si="54"/>
        <v>Barreiras</v>
      </c>
    </row>
    <row r="633" spans="1:15" x14ac:dyDescent="0.3">
      <c r="A633" s="10">
        <v>45748</v>
      </c>
      <c r="B633" s="9" t="s">
        <v>74</v>
      </c>
      <c r="C633" t="s">
        <v>169</v>
      </c>
      <c r="D633" s="9">
        <v>19897</v>
      </c>
      <c r="E633" s="5" t="s">
        <v>388</v>
      </c>
      <c r="F633" t="s">
        <v>170</v>
      </c>
      <c r="G633">
        <v>2056</v>
      </c>
      <c r="H633">
        <v>887</v>
      </c>
      <c r="I633" s="8">
        <f t="shared" si="55"/>
        <v>0.43142023346303504</v>
      </c>
      <c r="J633" s="17">
        <v>0.7</v>
      </c>
      <c r="K633" s="12">
        <v>13.75</v>
      </c>
      <c r="L633" s="2">
        <f t="shared" si="58"/>
        <v>552.19999999999982</v>
      </c>
      <c r="M633" s="15">
        <f t="shared" si="56"/>
        <v>7592.7499999999973</v>
      </c>
      <c r="N633" t="str">
        <f t="shared" si="53"/>
        <v>PE</v>
      </c>
      <c r="O633" t="str">
        <f t="shared" si="54"/>
        <v>Petrolina</v>
      </c>
    </row>
    <row r="634" spans="1:15" x14ac:dyDescent="0.3">
      <c r="A634" s="10">
        <v>45748</v>
      </c>
      <c r="B634" s="9" t="s">
        <v>61</v>
      </c>
      <c r="C634" t="s">
        <v>62</v>
      </c>
      <c r="D634" s="9">
        <v>19633</v>
      </c>
      <c r="E634" s="5" t="s">
        <v>389</v>
      </c>
      <c r="F634" t="s">
        <v>63</v>
      </c>
      <c r="G634">
        <v>1975</v>
      </c>
      <c r="H634">
        <v>1078</v>
      </c>
      <c r="I634" s="8">
        <f t="shared" si="55"/>
        <v>0.54582278481012658</v>
      </c>
      <c r="J634" s="17">
        <v>0.7</v>
      </c>
      <c r="K634" s="12">
        <v>13.75</v>
      </c>
      <c r="L634" s="2">
        <f t="shared" si="58"/>
        <v>304.49999999999977</v>
      </c>
      <c r="M634" s="15">
        <f t="shared" si="56"/>
        <v>4186.8749999999973</v>
      </c>
      <c r="N634" t="str">
        <f t="shared" si="53"/>
        <v>PB</v>
      </c>
      <c r="O634" t="str">
        <f t="shared" si="54"/>
        <v>Campina Grande</v>
      </c>
    </row>
    <row r="635" spans="1:15" x14ac:dyDescent="0.3">
      <c r="A635" s="10">
        <v>45748</v>
      </c>
      <c r="B635" s="9" t="s">
        <v>6</v>
      </c>
      <c r="C635" t="s">
        <v>26</v>
      </c>
      <c r="D635" s="9">
        <v>19622</v>
      </c>
      <c r="E635" s="5" t="s">
        <v>390</v>
      </c>
      <c r="F635" t="s">
        <v>28</v>
      </c>
      <c r="G635">
        <v>1883</v>
      </c>
      <c r="H635">
        <v>1071</v>
      </c>
      <c r="I635" s="8">
        <f t="shared" si="55"/>
        <v>0.56877323420074355</v>
      </c>
      <c r="J635" s="17">
        <v>0.7</v>
      </c>
      <c r="K635" s="12">
        <v>13.75</v>
      </c>
      <c r="L635" s="2">
        <f t="shared" si="58"/>
        <v>247.09999999999968</v>
      </c>
      <c r="M635" s="15">
        <f t="shared" si="56"/>
        <v>3397.6249999999955</v>
      </c>
      <c r="N635" t="str">
        <f t="shared" si="53"/>
        <v>PA</v>
      </c>
      <c r="O635" t="str">
        <f t="shared" si="54"/>
        <v>Belém</v>
      </c>
    </row>
    <row r="636" spans="1:15" x14ac:dyDescent="0.3">
      <c r="A636" s="10">
        <v>45748</v>
      </c>
      <c r="B636" s="9" t="s">
        <v>46</v>
      </c>
      <c r="C636" t="s">
        <v>47</v>
      </c>
      <c r="D636" s="9">
        <v>19666</v>
      </c>
      <c r="E636" s="5" t="s">
        <v>391</v>
      </c>
      <c r="F636" t="s">
        <v>624</v>
      </c>
      <c r="G636">
        <v>2335</v>
      </c>
      <c r="H636">
        <v>783</v>
      </c>
      <c r="I636" s="8">
        <f t="shared" si="55"/>
        <v>0.33533190578158456</v>
      </c>
      <c r="J636" s="17">
        <v>0.7</v>
      </c>
      <c r="K636" s="12">
        <v>13.75</v>
      </c>
      <c r="L636" s="2">
        <f t="shared" si="58"/>
        <v>851.49999999999977</v>
      </c>
      <c r="M636" s="15">
        <f t="shared" si="56"/>
        <v>11708.124999999996</v>
      </c>
      <c r="N636" t="str">
        <f t="shared" si="53"/>
        <v>DF</v>
      </c>
      <c r="O636" t="str">
        <f t="shared" si="54"/>
        <v>Brasília</v>
      </c>
    </row>
    <row r="637" spans="1:15" x14ac:dyDescent="0.3">
      <c r="A637" s="10">
        <v>45748</v>
      </c>
      <c r="B637" s="9" t="s">
        <v>15</v>
      </c>
      <c r="C637" t="s">
        <v>358</v>
      </c>
      <c r="D637" s="9">
        <v>19632</v>
      </c>
      <c r="E637" s="5" t="s">
        <v>392</v>
      </c>
      <c r="F637" t="s">
        <v>203</v>
      </c>
      <c r="G637">
        <v>2439</v>
      </c>
      <c r="H637">
        <v>966</v>
      </c>
      <c r="I637" s="8">
        <f t="shared" si="55"/>
        <v>0.39606396063960642</v>
      </c>
      <c r="J637" s="17">
        <v>0.7</v>
      </c>
      <c r="K637" s="12">
        <v>13.75</v>
      </c>
      <c r="L637" s="2">
        <f t="shared" si="58"/>
        <v>741.29999999999973</v>
      </c>
      <c r="M637" s="15">
        <f t="shared" si="56"/>
        <v>10192.874999999996</v>
      </c>
      <c r="N637" t="str">
        <f t="shared" si="53"/>
        <v>RJ</v>
      </c>
      <c r="O637" t="str">
        <f t="shared" si="54"/>
        <v>Rio De Janeiro</v>
      </c>
    </row>
    <row r="638" spans="1:15" x14ac:dyDescent="0.3">
      <c r="A638" s="10">
        <v>45748</v>
      </c>
      <c r="B638" s="9" t="s">
        <v>46</v>
      </c>
      <c r="C638" t="s">
        <v>47</v>
      </c>
      <c r="D638" s="9">
        <v>19552</v>
      </c>
      <c r="E638" s="5" t="s">
        <v>393</v>
      </c>
      <c r="F638" t="s">
        <v>50</v>
      </c>
      <c r="G638">
        <v>3520</v>
      </c>
      <c r="H638">
        <v>1536</v>
      </c>
      <c r="I638" s="8">
        <f t="shared" si="55"/>
        <v>0.43636363636363634</v>
      </c>
      <c r="J638" s="17">
        <v>0.7</v>
      </c>
      <c r="K638" s="12">
        <v>13.75</v>
      </c>
      <c r="L638" s="2">
        <f t="shared" si="58"/>
        <v>927.99999999999955</v>
      </c>
      <c r="M638" s="15">
        <f t="shared" si="56"/>
        <v>12759.999999999995</v>
      </c>
      <c r="N638" t="str">
        <f t="shared" si="53"/>
        <v>DF</v>
      </c>
      <c r="O638" t="str">
        <f t="shared" si="54"/>
        <v>Brasília</v>
      </c>
    </row>
    <row r="639" spans="1:15" x14ac:dyDescent="0.3">
      <c r="A639" s="10">
        <v>45748</v>
      </c>
      <c r="B639" s="9" t="s">
        <v>15</v>
      </c>
      <c r="C639" t="s">
        <v>191</v>
      </c>
      <c r="D639" s="9">
        <v>19636</v>
      </c>
      <c r="E639" s="5" t="s">
        <v>394</v>
      </c>
      <c r="F639" t="s">
        <v>192</v>
      </c>
      <c r="G639">
        <v>2473</v>
      </c>
      <c r="H639">
        <v>975</v>
      </c>
      <c r="I639" s="8">
        <f t="shared" si="55"/>
        <v>0.39425798625151637</v>
      </c>
      <c r="J639" s="17">
        <v>0.7</v>
      </c>
      <c r="K639" s="12">
        <v>13.75</v>
      </c>
      <c r="L639" s="2">
        <f t="shared" si="58"/>
        <v>756.10000000000014</v>
      </c>
      <c r="M639" s="15">
        <f t="shared" si="56"/>
        <v>10396.375000000002</v>
      </c>
      <c r="N639" t="str">
        <f t="shared" si="53"/>
        <v>RJ</v>
      </c>
      <c r="O639" t="str">
        <f t="shared" si="54"/>
        <v>Resende</v>
      </c>
    </row>
    <row r="640" spans="1:15" x14ac:dyDescent="0.3">
      <c r="A640" s="10">
        <v>45748</v>
      </c>
      <c r="B640" s="9" t="s">
        <v>74</v>
      </c>
      <c r="C640" t="s">
        <v>186</v>
      </c>
      <c r="D640" s="9">
        <v>19649</v>
      </c>
      <c r="E640" s="5" t="s">
        <v>395</v>
      </c>
      <c r="F640" t="s">
        <v>187</v>
      </c>
      <c r="G640">
        <v>3076</v>
      </c>
      <c r="H640">
        <v>1370</v>
      </c>
      <c r="I640" s="8">
        <f t="shared" si="55"/>
        <v>0.44538361508452534</v>
      </c>
      <c r="J640" s="17">
        <v>0.7</v>
      </c>
      <c r="K640" s="12">
        <v>13.75</v>
      </c>
      <c r="L640" s="2">
        <f t="shared" si="58"/>
        <v>783.19999999999982</v>
      </c>
      <c r="M640" s="15">
        <f t="shared" si="56"/>
        <v>10768.999999999998</v>
      </c>
      <c r="N640" t="str">
        <f t="shared" si="53"/>
        <v>PE</v>
      </c>
      <c r="O640" t="str">
        <f t="shared" si="54"/>
        <v>Recife</v>
      </c>
    </row>
    <row r="641" spans="1:15" x14ac:dyDescent="0.3">
      <c r="A641" s="10">
        <v>45748</v>
      </c>
      <c r="B641" s="9" t="s">
        <v>74</v>
      </c>
      <c r="C641" t="s">
        <v>186</v>
      </c>
      <c r="D641" s="9">
        <v>19601</v>
      </c>
      <c r="E641" s="5" t="s">
        <v>396</v>
      </c>
      <c r="F641" t="s">
        <v>188</v>
      </c>
      <c r="G641">
        <v>2726</v>
      </c>
      <c r="H641">
        <v>1149</v>
      </c>
      <c r="I641" s="8">
        <f t="shared" si="55"/>
        <v>0.42149669845928101</v>
      </c>
      <c r="J641" s="17">
        <v>0.7</v>
      </c>
      <c r="K641" s="12">
        <v>13.75</v>
      </c>
      <c r="L641" s="2">
        <f t="shared" si="58"/>
        <v>759.19999999999982</v>
      </c>
      <c r="M641" s="15">
        <f t="shared" si="56"/>
        <v>10438.999999999998</v>
      </c>
      <c r="N641" t="str">
        <f t="shared" si="53"/>
        <v>PE</v>
      </c>
      <c r="O641" t="str">
        <f t="shared" si="54"/>
        <v>Recife</v>
      </c>
    </row>
    <row r="642" spans="1:15" x14ac:dyDescent="0.3">
      <c r="A642" s="10">
        <v>45748</v>
      </c>
      <c r="B642" s="9" t="s">
        <v>74</v>
      </c>
      <c r="C642" t="s">
        <v>186</v>
      </c>
      <c r="D642" s="9">
        <v>19565</v>
      </c>
      <c r="E642" s="5" t="s">
        <v>397</v>
      </c>
      <c r="F642" t="s">
        <v>189</v>
      </c>
      <c r="G642">
        <v>2712</v>
      </c>
      <c r="H642">
        <v>880</v>
      </c>
      <c r="I642" s="8">
        <f t="shared" si="55"/>
        <v>0.32448377581120946</v>
      </c>
      <c r="J642" s="17">
        <v>0.7</v>
      </c>
      <c r="K642" s="12">
        <v>13.75</v>
      </c>
      <c r="L642" s="2">
        <f t="shared" si="58"/>
        <v>1018.3999999999999</v>
      </c>
      <c r="M642" s="15">
        <f t="shared" si="56"/>
        <v>14002.999999999998</v>
      </c>
      <c r="N642" t="str">
        <f t="shared" ref="N642:N705" si="59">B642</f>
        <v>PE</v>
      </c>
      <c r="O642" t="str">
        <f t="shared" ref="O642:O705" si="60">C642</f>
        <v>Recife</v>
      </c>
    </row>
    <row r="643" spans="1:15" x14ac:dyDescent="0.3">
      <c r="A643" s="10">
        <v>45748</v>
      </c>
      <c r="B643" s="9" t="s">
        <v>74</v>
      </c>
      <c r="C643" t="s">
        <v>186</v>
      </c>
      <c r="D643" s="9">
        <v>19654</v>
      </c>
      <c r="E643" s="5" t="s">
        <v>398</v>
      </c>
      <c r="F643" t="s">
        <v>190</v>
      </c>
      <c r="G643">
        <v>2112</v>
      </c>
      <c r="H643">
        <v>730</v>
      </c>
      <c r="I643" s="8">
        <f t="shared" ref="I643:I706" si="61">H643/G643</f>
        <v>0.34564393939393939</v>
      </c>
      <c r="J643" s="17">
        <v>0.7</v>
      </c>
      <c r="K643" s="12">
        <v>13.75</v>
      </c>
      <c r="L643" s="2">
        <f t="shared" si="58"/>
        <v>748.39999999999986</v>
      </c>
      <c r="M643" s="15">
        <f t="shared" ref="M643:M706" si="62">L643*K643</f>
        <v>10290.499999999998</v>
      </c>
      <c r="N643" t="str">
        <f t="shared" si="59"/>
        <v>PE</v>
      </c>
      <c r="O643" t="str">
        <f t="shared" si="60"/>
        <v>Recife</v>
      </c>
    </row>
    <row r="644" spans="1:15" x14ac:dyDescent="0.3">
      <c r="A644" s="10">
        <v>45748</v>
      </c>
      <c r="B644" s="9" t="s">
        <v>74</v>
      </c>
      <c r="C644" t="s">
        <v>350</v>
      </c>
      <c r="D644" s="9">
        <v>19624</v>
      </c>
      <c r="E644" s="5" t="s">
        <v>399</v>
      </c>
      <c r="F644" t="s">
        <v>116</v>
      </c>
      <c r="G644">
        <v>1732</v>
      </c>
      <c r="H644">
        <v>678</v>
      </c>
      <c r="I644" s="8">
        <f t="shared" si="61"/>
        <v>0.39145496535796764</v>
      </c>
      <c r="J644" s="17">
        <v>0.7</v>
      </c>
      <c r="K644" s="12">
        <v>13.75</v>
      </c>
      <c r="L644" s="2">
        <f t="shared" si="58"/>
        <v>534.40000000000009</v>
      </c>
      <c r="M644" s="15">
        <f t="shared" si="62"/>
        <v>7348.0000000000009</v>
      </c>
      <c r="N644" t="str">
        <f t="shared" si="59"/>
        <v>PE</v>
      </c>
      <c r="O644" t="str">
        <f t="shared" si="60"/>
        <v>Jaboatão Dos Guararapes</v>
      </c>
    </row>
    <row r="645" spans="1:15" x14ac:dyDescent="0.3">
      <c r="A645" s="10">
        <v>45748</v>
      </c>
      <c r="B645" s="9" t="s">
        <v>15</v>
      </c>
      <c r="C645" t="s">
        <v>143</v>
      </c>
      <c r="D645" s="9">
        <v>19648</v>
      </c>
      <c r="E645" s="5" t="s">
        <v>400</v>
      </c>
      <c r="F645" t="s">
        <v>144</v>
      </c>
      <c r="G645">
        <v>1871</v>
      </c>
      <c r="H645">
        <v>512</v>
      </c>
      <c r="I645" s="8">
        <f t="shared" si="61"/>
        <v>0.273650454302512</v>
      </c>
      <c r="J645" s="17">
        <v>0.7</v>
      </c>
      <c r="K645" s="12">
        <v>13.75</v>
      </c>
      <c r="L645" s="2">
        <f t="shared" si="58"/>
        <v>797.7</v>
      </c>
      <c r="M645" s="15">
        <f t="shared" si="62"/>
        <v>10968.375</v>
      </c>
      <c r="N645" t="str">
        <f t="shared" si="59"/>
        <v>RJ</v>
      </c>
      <c r="O645" t="str">
        <f t="shared" si="60"/>
        <v>Nilópolis</v>
      </c>
    </row>
    <row r="646" spans="1:15" x14ac:dyDescent="0.3">
      <c r="A646" s="10">
        <v>45748</v>
      </c>
      <c r="B646" s="9" t="s">
        <v>15</v>
      </c>
      <c r="C646" t="s">
        <v>57</v>
      </c>
      <c r="D646" s="9">
        <v>19657</v>
      </c>
      <c r="E646" s="5" t="s">
        <v>401</v>
      </c>
      <c r="F646" t="s">
        <v>58</v>
      </c>
      <c r="G646">
        <v>1699</v>
      </c>
      <c r="H646">
        <v>775</v>
      </c>
      <c r="I646" s="8">
        <f t="shared" si="61"/>
        <v>0.45615067686874633</v>
      </c>
      <c r="J646" s="17">
        <v>0.7</v>
      </c>
      <c r="K646" s="12">
        <v>13.75</v>
      </c>
      <c r="L646" s="2">
        <f t="shared" si="58"/>
        <v>414.29999999999995</v>
      </c>
      <c r="M646" s="15">
        <f t="shared" si="62"/>
        <v>5696.6249999999991</v>
      </c>
      <c r="N646" t="str">
        <f t="shared" si="59"/>
        <v>RJ</v>
      </c>
      <c r="O646" t="str">
        <f t="shared" si="60"/>
        <v>Cabo Frio</v>
      </c>
    </row>
    <row r="647" spans="1:15" x14ac:dyDescent="0.3">
      <c r="A647" s="10">
        <v>45748</v>
      </c>
      <c r="B647" s="9" t="s">
        <v>74</v>
      </c>
      <c r="C647" t="s">
        <v>186</v>
      </c>
      <c r="D647" s="9">
        <v>19658</v>
      </c>
      <c r="E647" s="5" t="s">
        <v>402</v>
      </c>
      <c r="F647" t="s">
        <v>357</v>
      </c>
      <c r="G647">
        <v>1646</v>
      </c>
      <c r="H647">
        <v>758</v>
      </c>
      <c r="I647" s="8">
        <f t="shared" si="61"/>
        <v>0.46051032806804376</v>
      </c>
      <c r="J647" s="17">
        <v>0.7</v>
      </c>
      <c r="K647" s="12">
        <v>13.75</v>
      </c>
      <c r="L647" s="2">
        <f t="shared" si="58"/>
        <v>394.20000000000005</v>
      </c>
      <c r="M647" s="15">
        <f t="shared" si="62"/>
        <v>5420.2500000000009</v>
      </c>
      <c r="N647" t="str">
        <f t="shared" si="59"/>
        <v>PE</v>
      </c>
      <c r="O647" t="str">
        <f t="shared" si="60"/>
        <v>Recife</v>
      </c>
    </row>
    <row r="648" spans="1:15" x14ac:dyDescent="0.3">
      <c r="A648" s="10">
        <v>45748</v>
      </c>
      <c r="B648" s="9" t="s">
        <v>82</v>
      </c>
      <c r="C648" t="s">
        <v>119</v>
      </c>
      <c r="D648" s="9">
        <v>19661</v>
      </c>
      <c r="E648" s="5" t="s">
        <v>403</v>
      </c>
      <c r="F648" t="s">
        <v>120</v>
      </c>
      <c r="G648">
        <v>3416</v>
      </c>
      <c r="H648">
        <v>1183</v>
      </c>
      <c r="I648" s="8">
        <f t="shared" si="61"/>
        <v>0.34631147540983609</v>
      </c>
      <c r="J648" s="17">
        <v>0.7</v>
      </c>
      <c r="K648" s="12">
        <v>13.75</v>
      </c>
      <c r="L648" s="2">
        <f t="shared" si="58"/>
        <v>1208.1999999999994</v>
      </c>
      <c r="M648" s="15">
        <f t="shared" si="62"/>
        <v>16612.749999999993</v>
      </c>
      <c r="N648" t="str">
        <f t="shared" si="59"/>
        <v>PR</v>
      </c>
      <c r="O648" t="str">
        <f t="shared" si="60"/>
        <v>Londrina</v>
      </c>
    </row>
    <row r="649" spans="1:15" x14ac:dyDescent="0.3">
      <c r="A649" s="10">
        <v>45748</v>
      </c>
      <c r="B649" s="9" t="s">
        <v>183</v>
      </c>
      <c r="C649" t="s">
        <v>184</v>
      </c>
      <c r="D649" s="9">
        <v>19752</v>
      </c>
      <c r="E649" s="5" t="s">
        <v>404</v>
      </c>
      <c r="F649" t="s">
        <v>185</v>
      </c>
      <c r="G649">
        <v>1294</v>
      </c>
      <c r="H649">
        <v>709</v>
      </c>
      <c r="I649" s="8">
        <f t="shared" si="61"/>
        <v>0.54791344667697062</v>
      </c>
      <c r="J649" s="17">
        <v>0.7</v>
      </c>
      <c r="K649" s="12">
        <v>13.75</v>
      </c>
      <c r="L649" s="2">
        <f t="shared" si="58"/>
        <v>196.79999999999995</v>
      </c>
      <c r="M649" s="15">
        <f t="shared" si="62"/>
        <v>2705.9999999999995</v>
      </c>
      <c r="N649" t="str">
        <f t="shared" si="59"/>
        <v>RO</v>
      </c>
      <c r="O649" t="str">
        <f t="shared" si="60"/>
        <v>Porto Velho</v>
      </c>
    </row>
    <row r="650" spans="1:15" x14ac:dyDescent="0.3">
      <c r="A650" s="10">
        <v>45748</v>
      </c>
      <c r="B650" s="9" t="s">
        <v>15</v>
      </c>
      <c r="C650" t="s">
        <v>281</v>
      </c>
      <c r="D650" s="9">
        <v>19671</v>
      </c>
      <c r="E650" s="5" t="s">
        <v>405</v>
      </c>
      <c r="F650" t="s">
        <v>282</v>
      </c>
      <c r="G650">
        <v>2371</v>
      </c>
      <c r="H650">
        <v>1088</v>
      </c>
      <c r="I650" s="8">
        <f t="shared" si="61"/>
        <v>0.45887811050189792</v>
      </c>
      <c r="J650" s="17">
        <v>0.7</v>
      </c>
      <c r="K650" s="12">
        <v>13.75</v>
      </c>
      <c r="L650" s="2">
        <f t="shared" si="58"/>
        <v>571.69999999999982</v>
      </c>
      <c r="M650" s="15">
        <f t="shared" si="62"/>
        <v>7860.8749999999973</v>
      </c>
      <c r="N650" t="str">
        <f t="shared" si="59"/>
        <v>RJ</v>
      </c>
      <c r="O650" t="str">
        <f t="shared" si="60"/>
        <v>Teresópolis</v>
      </c>
    </row>
    <row r="651" spans="1:15" x14ac:dyDescent="0.3">
      <c r="A651" s="10">
        <v>45748</v>
      </c>
      <c r="B651" s="9" t="s">
        <v>3</v>
      </c>
      <c r="C651" t="s">
        <v>248</v>
      </c>
      <c r="D651" s="9">
        <v>19674</v>
      </c>
      <c r="E651" s="5" t="s">
        <v>406</v>
      </c>
      <c r="F651" t="s">
        <v>251</v>
      </c>
      <c r="G651">
        <v>2364</v>
      </c>
      <c r="H651">
        <v>968</v>
      </c>
      <c r="I651" s="8">
        <f t="shared" si="61"/>
        <v>0.40947546531302875</v>
      </c>
      <c r="J651" s="17">
        <v>0.7</v>
      </c>
      <c r="K651" s="12">
        <v>13.75</v>
      </c>
      <c r="L651" s="2">
        <f t="shared" si="58"/>
        <v>686.79999999999973</v>
      </c>
      <c r="M651" s="15">
        <f t="shared" si="62"/>
        <v>9443.4999999999964</v>
      </c>
      <c r="N651" t="str">
        <f t="shared" si="59"/>
        <v>SP</v>
      </c>
      <c r="O651" t="str">
        <f t="shared" si="60"/>
        <v>São Paulo</v>
      </c>
    </row>
    <row r="652" spans="1:15" x14ac:dyDescent="0.3">
      <c r="A652" s="10">
        <v>45748</v>
      </c>
      <c r="B652" s="9" t="s">
        <v>3</v>
      </c>
      <c r="C652" t="s">
        <v>248</v>
      </c>
      <c r="D652" s="9">
        <v>19756</v>
      </c>
      <c r="E652" s="5" t="s">
        <v>407</v>
      </c>
      <c r="F652" t="s">
        <v>252</v>
      </c>
      <c r="G652">
        <v>2009</v>
      </c>
      <c r="H652">
        <v>693</v>
      </c>
      <c r="I652" s="8">
        <f t="shared" si="61"/>
        <v>0.34494773519163763</v>
      </c>
      <c r="J652" s="17">
        <v>0.7</v>
      </c>
      <c r="K652" s="12">
        <v>13.75</v>
      </c>
      <c r="L652" s="2">
        <f t="shared" si="58"/>
        <v>713.3</v>
      </c>
      <c r="M652" s="15">
        <f t="shared" si="62"/>
        <v>9807.875</v>
      </c>
      <c r="N652" t="str">
        <f t="shared" si="59"/>
        <v>SP</v>
      </c>
      <c r="O652" t="str">
        <f t="shared" si="60"/>
        <v>São Paulo</v>
      </c>
    </row>
    <row r="653" spans="1:15" x14ac:dyDescent="0.3">
      <c r="A653" s="10">
        <v>45748</v>
      </c>
      <c r="B653" s="9" t="s">
        <v>3</v>
      </c>
      <c r="C653" t="s">
        <v>248</v>
      </c>
      <c r="D653" s="9">
        <v>19579</v>
      </c>
      <c r="E653" s="5" t="s">
        <v>409</v>
      </c>
      <c r="F653" t="s">
        <v>254</v>
      </c>
      <c r="G653">
        <v>2061</v>
      </c>
      <c r="H653">
        <v>722</v>
      </c>
      <c r="I653" s="8">
        <f t="shared" si="61"/>
        <v>0.35031538088306646</v>
      </c>
      <c r="J653" s="17">
        <v>0.7</v>
      </c>
      <c r="K653" s="12">
        <v>13.75</v>
      </c>
      <c r="L653" s="2">
        <f t="shared" si="58"/>
        <v>720.7</v>
      </c>
      <c r="M653" s="15">
        <f t="shared" si="62"/>
        <v>9909.625</v>
      </c>
      <c r="N653" t="str">
        <f t="shared" si="59"/>
        <v>SP</v>
      </c>
      <c r="O653" t="str">
        <f t="shared" si="60"/>
        <v>São Paulo</v>
      </c>
    </row>
    <row r="654" spans="1:15" x14ac:dyDescent="0.3">
      <c r="A654" s="10">
        <v>45748</v>
      </c>
      <c r="B654" s="9" t="s">
        <v>126</v>
      </c>
      <c r="C654" t="s">
        <v>127</v>
      </c>
      <c r="D654" s="9">
        <v>19623</v>
      </c>
      <c r="E654" s="5" t="s">
        <v>410</v>
      </c>
      <c r="F654" t="s">
        <v>128</v>
      </c>
      <c r="G654">
        <v>1668</v>
      </c>
      <c r="H654">
        <v>733</v>
      </c>
      <c r="I654" s="8">
        <f t="shared" si="61"/>
        <v>0.43944844124700239</v>
      </c>
      <c r="J654" s="17">
        <v>0.7</v>
      </c>
      <c r="K654" s="12">
        <v>13.75</v>
      </c>
      <c r="L654" s="2">
        <f t="shared" si="58"/>
        <v>434.60000000000014</v>
      </c>
      <c r="M654" s="15">
        <f t="shared" si="62"/>
        <v>5975.7500000000018</v>
      </c>
      <c r="N654" t="str">
        <f t="shared" si="59"/>
        <v>AL</v>
      </c>
      <c r="O654" t="str">
        <f t="shared" si="60"/>
        <v>Maceió</v>
      </c>
    </row>
    <row r="655" spans="1:15" x14ac:dyDescent="0.3">
      <c r="A655" s="10">
        <v>45748</v>
      </c>
      <c r="B655" s="9" t="s">
        <v>46</v>
      </c>
      <c r="C655" t="s">
        <v>47</v>
      </c>
      <c r="D655" s="9">
        <v>19693</v>
      </c>
      <c r="E655" s="5" t="s">
        <v>411</v>
      </c>
      <c r="F655" t="s">
        <v>51</v>
      </c>
      <c r="G655">
        <v>2864</v>
      </c>
      <c r="H655">
        <v>740</v>
      </c>
      <c r="I655" s="8">
        <f t="shared" si="61"/>
        <v>0.25837988826815644</v>
      </c>
      <c r="J655" s="17">
        <v>0.7</v>
      </c>
      <c r="K655" s="12">
        <v>13.75</v>
      </c>
      <c r="L655" s="2">
        <f t="shared" si="58"/>
        <v>1264.8</v>
      </c>
      <c r="M655" s="15">
        <f t="shared" si="62"/>
        <v>17391</v>
      </c>
      <c r="N655" t="str">
        <f t="shared" si="59"/>
        <v>DF</v>
      </c>
      <c r="O655" t="str">
        <f t="shared" si="60"/>
        <v>Brasília</v>
      </c>
    </row>
    <row r="656" spans="1:15" x14ac:dyDescent="0.3">
      <c r="A656" s="10">
        <v>45748</v>
      </c>
      <c r="B656" s="9" t="s">
        <v>78</v>
      </c>
      <c r="C656" t="s">
        <v>79</v>
      </c>
      <c r="D656" s="9">
        <v>19730</v>
      </c>
      <c r="E656" s="5" t="s">
        <v>413</v>
      </c>
      <c r="F656" t="s">
        <v>80</v>
      </c>
      <c r="G656">
        <v>2973</v>
      </c>
      <c r="H656">
        <v>935</v>
      </c>
      <c r="I656" s="8">
        <f t="shared" si="61"/>
        <v>0.31449714093508241</v>
      </c>
      <c r="J656" s="17">
        <v>0.7</v>
      </c>
      <c r="K656" s="12">
        <v>13.75</v>
      </c>
      <c r="L656" s="2">
        <f t="shared" si="58"/>
        <v>1146.0999999999999</v>
      </c>
      <c r="M656" s="15">
        <f t="shared" si="62"/>
        <v>15758.874999999998</v>
      </c>
      <c r="N656" t="str">
        <f t="shared" si="59"/>
        <v>MT</v>
      </c>
      <c r="O656" t="str">
        <f t="shared" si="60"/>
        <v>Cuiabá</v>
      </c>
    </row>
    <row r="657" spans="1:15" x14ac:dyDescent="0.3">
      <c r="A657" s="10">
        <v>45748</v>
      </c>
      <c r="B657" s="9" t="s">
        <v>78</v>
      </c>
      <c r="C657" t="s">
        <v>79</v>
      </c>
      <c r="D657" s="9">
        <v>19794</v>
      </c>
      <c r="E657" s="5" t="s">
        <v>414</v>
      </c>
      <c r="F657" t="s">
        <v>81</v>
      </c>
      <c r="G657">
        <v>2955</v>
      </c>
      <c r="H657">
        <v>1220</v>
      </c>
      <c r="I657" s="8">
        <f t="shared" si="61"/>
        <v>0.41285956006768187</v>
      </c>
      <c r="J657" s="17">
        <v>0.7</v>
      </c>
      <c r="K657" s="12">
        <v>13.75</v>
      </c>
      <c r="L657" s="2">
        <f t="shared" si="58"/>
        <v>848.5</v>
      </c>
      <c r="M657" s="15">
        <f t="shared" si="62"/>
        <v>11666.875</v>
      </c>
      <c r="N657" t="str">
        <f t="shared" si="59"/>
        <v>MT</v>
      </c>
      <c r="O657" t="str">
        <f t="shared" si="60"/>
        <v>Cuiabá</v>
      </c>
    </row>
    <row r="658" spans="1:15" x14ac:dyDescent="0.3">
      <c r="A658" s="10">
        <v>45748</v>
      </c>
      <c r="B658" s="9" t="s">
        <v>7</v>
      </c>
      <c r="C658" t="s">
        <v>99</v>
      </c>
      <c r="D658" s="9">
        <v>19691</v>
      </c>
      <c r="E658" s="5" t="s">
        <v>415</v>
      </c>
      <c r="F658" t="s">
        <v>100</v>
      </c>
      <c r="G658">
        <v>2952</v>
      </c>
      <c r="H658">
        <v>1443</v>
      </c>
      <c r="I658" s="8">
        <f t="shared" si="61"/>
        <v>0.48882113821138212</v>
      </c>
      <c r="J658" s="17">
        <v>0.7</v>
      </c>
      <c r="K658" s="12">
        <v>13.75</v>
      </c>
      <c r="L658" s="2">
        <f t="shared" si="58"/>
        <v>623.39999999999964</v>
      </c>
      <c r="M658" s="15">
        <f t="shared" si="62"/>
        <v>8571.7499999999945</v>
      </c>
      <c r="N658" t="str">
        <f t="shared" si="59"/>
        <v>GO</v>
      </c>
      <c r="O658" t="str">
        <f t="shared" si="60"/>
        <v>Goiânia</v>
      </c>
    </row>
    <row r="659" spans="1:15" x14ac:dyDescent="0.3">
      <c r="A659" s="10">
        <v>45748</v>
      </c>
      <c r="B659" s="9" t="s">
        <v>15</v>
      </c>
      <c r="C659" t="s">
        <v>358</v>
      </c>
      <c r="D659" s="9">
        <v>19505</v>
      </c>
      <c r="E659" s="5" t="s">
        <v>416</v>
      </c>
      <c r="F659" t="s">
        <v>204</v>
      </c>
      <c r="G659">
        <v>2625</v>
      </c>
      <c r="H659">
        <v>982</v>
      </c>
      <c r="I659" s="8">
        <f t="shared" si="61"/>
        <v>0.37409523809523809</v>
      </c>
      <c r="J659" s="17">
        <v>0.7</v>
      </c>
      <c r="K659" s="12">
        <v>13.75</v>
      </c>
      <c r="L659" s="2">
        <f t="shared" si="58"/>
        <v>855.5</v>
      </c>
      <c r="M659" s="15">
        <f t="shared" si="62"/>
        <v>11763.125</v>
      </c>
      <c r="N659" t="str">
        <f t="shared" si="59"/>
        <v>RJ</v>
      </c>
      <c r="O659" t="str">
        <f t="shared" si="60"/>
        <v>Rio De Janeiro</v>
      </c>
    </row>
    <row r="660" spans="1:15" x14ac:dyDescent="0.3">
      <c r="A660" s="10">
        <v>45748</v>
      </c>
      <c r="B660" s="9" t="s">
        <v>15</v>
      </c>
      <c r="C660" t="s">
        <v>358</v>
      </c>
      <c r="D660" s="9">
        <v>19515</v>
      </c>
      <c r="E660" s="5" t="s">
        <v>417</v>
      </c>
      <c r="F660" t="s">
        <v>205</v>
      </c>
      <c r="G660">
        <v>3547</v>
      </c>
      <c r="H660">
        <v>1384</v>
      </c>
      <c r="I660" s="8">
        <f t="shared" si="61"/>
        <v>0.39018889202142654</v>
      </c>
      <c r="J660" s="17">
        <v>0.7</v>
      </c>
      <c r="K660" s="12">
        <v>13.75</v>
      </c>
      <c r="L660" s="2">
        <f t="shared" si="58"/>
        <v>1098.9000000000001</v>
      </c>
      <c r="M660" s="15">
        <f t="shared" si="62"/>
        <v>15109.875000000002</v>
      </c>
      <c r="N660" t="str">
        <f t="shared" si="59"/>
        <v>RJ</v>
      </c>
      <c r="O660" t="str">
        <f t="shared" si="60"/>
        <v>Rio De Janeiro</v>
      </c>
    </row>
    <row r="661" spans="1:15" x14ac:dyDescent="0.3">
      <c r="A661" s="10">
        <v>45748</v>
      </c>
      <c r="B661" s="9" t="s">
        <v>15</v>
      </c>
      <c r="C661" t="s">
        <v>358</v>
      </c>
      <c r="D661" s="9">
        <v>19519</v>
      </c>
      <c r="E661" s="5" t="s">
        <v>418</v>
      </c>
      <c r="F661" t="s">
        <v>206</v>
      </c>
      <c r="G661">
        <v>5654</v>
      </c>
      <c r="H661">
        <v>2226</v>
      </c>
      <c r="I661" s="8">
        <f t="shared" si="61"/>
        <v>0.39370357269189954</v>
      </c>
      <c r="J661" s="17">
        <v>0.7</v>
      </c>
      <c r="K661" s="12">
        <v>13.75</v>
      </c>
      <c r="L661" s="2">
        <f t="shared" si="58"/>
        <v>1731.7999999999997</v>
      </c>
      <c r="M661" s="15">
        <f t="shared" si="62"/>
        <v>23812.249999999996</v>
      </c>
      <c r="N661" t="str">
        <f t="shared" si="59"/>
        <v>RJ</v>
      </c>
      <c r="O661" t="str">
        <f t="shared" si="60"/>
        <v>Rio De Janeiro</v>
      </c>
    </row>
    <row r="662" spans="1:15" x14ac:dyDescent="0.3">
      <c r="A662" s="10">
        <v>45748</v>
      </c>
      <c r="B662" s="9" t="s">
        <v>15</v>
      </c>
      <c r="C662" t="s">
        <v>358</v>
      </c>
      <c r="D662" s="9">
        <v>19518</v>
      </c>
      <c r="E662" s="5" t="s">
        <v>419</v>
      </c>
      <c r="F662" t="s">
        <v>207</v>
      </c>
      <c r="G662">
        <v>4361</v>
      </c>
      <c r="H662">
        <v>1938</v>
      </c>
      <c r="I662" s="8">
        <f t="shared" si="61"/>
        <v>0.44439348773217152</v>
      </c>
      <c r="J662" s="17">
        <v>0.7</v>
      </c>
      <c r="K662" s="12">
        <v>13.75</v>
      </c>
      <c r="L662" s="2">
        <f t="shared" si="58"/>
        <v>1114.6999999999998</v>
      </c>
      <c r="M662" s="15">
        <f t="shared" si="62"/>
        <v>15327.124999999998</v>
      </c>
      <c r="N662" t="str">
        <f t="shared" si="59"/>
        <v>RJ</v>
      </c>
      <c r="O662" t="str">
        <f t="shared" si="60"/>
        <v>Rio De Janeiro</v>
      </c>
    </row>
    <row r="663" spans="1:15" x14ac:dyDescent="0.3">
      <c r="A663" s="10">
        <v>45748</v>
      </c>
      <c r="B663" s="9" t="s">
        <v>15</v>
      </c>
      <c r="C663" t="s">
        <v>358</v>
      </c>
      <c r="D663" s="9">
        <v>19507</v>
      </c>
      <c r="E663" s="5" t="s">
        <v>420</v>
      </c>
      <c r="F663" t="s">
        <v>208</v>
      </c>
      <c r="G663">
        <v>3362</v>
      </c>
      <c r="H663">
        <v>1229</v>
      </c>
      <c r="I663" s="8">
        <f t="shared" si="61"/>
        <v>0.36555621653777515</v>
      </c>
      <c r="J663" s="17">
        <v>0.7</v>
      </c>
      <c r="K663" s="12">
        <v>13.75</v>
      </c>
      <c r="L663" s="2">
        <f t="shared" si="58"/>
        <v>1124.3999999999996</v>
      </c>
      <c r="M663" s="15">
        <f t="shared" si="62"/>
        <v>15460.499999999995</v>
      </c>
      <c r="N663" t="str">
        <f t="shared" si="59"/>
        <v>RJ</v>
      </c>
      <c r="O663" t="str">
        <f t="shared" si="60"/>
        <v>Rio De Janeiro</v>
      </c>
    </row>
    <row r="664" spans="1:15" x14ac:dyDescent="0.3">
      <c r="A664" s="10">
        <v>45748</v>
      </c>
      <c r="B664" s="9" t="s">
        <v>15</v>
      </c>
      <c r="C664" t="s">
        <v>358</v>
      </c>
      <c r="D664" s="9">
        <v>19714</v>
      </c>
      <c r="E664" s="5" t="s">
        <v>421</v>
      </c>
      <c r="F664" t="s">
        <v>209</v>
      </c>
      <c r="G664">
        <v>2884</v>
      </c>
      <c r="H664">
        <v>1216</v>
      </c>
      <c r="I664" s="8">
        <f t="shared" si="61"/>
        <v>0.42163661581137307</v>
      </c>
      <c r="J664" s="17">
        <v>0.7</v>
      </c>
      <c r="K664" s="12">
        <v>13.75</v>
      </c>
      <c r="L664" s="2">
        <f t="shared" ref="L664:L695" si="63">H664*J664/I664-H664</f>
        <v>802.8</v>
      </c>
      <c r="M664" s="15">
        <f t="shared" si="62"/>
        <v>11038.5</v>
      </c>
      <c r="N664" t="str">
        <f t="shared" si="59"/>
        <v>RJ</v>
      </c>
      <c r="O664" t="str">
        <f t="shared" si="60"/>
        <v>Rio De Janeiro</v>
      </c>
    </row>
    <row r="665" spans="1:15" x14ac:dyDescent="0.3">
      <c r="A665" s="10">
        <v>45748</v>
      </c>
      <c r="B665" s="9" t="s">
        <v>3</v>
      </c>
      <c r="C665" t="s">
        <v>248</v>
      </c>
      <c r="D665" s="9">
        <v>19804</v>
      </c>
      <c r="E665" s="5" t="s">
        <v>422</v>
      </c>
      <c r="F665" t="s">
        <v>255</v>
      </c>
      <c r="G665">
        <v>1398</v>
      </c>
      <c r="H665">
        <v>669</v>
      </c>
      <c r="I665" s="8">
        <f t="shared" si="61"/>
        <v>0.47854077253218885</v>
      </c>
      <c r="J665" s="17">
        <v>0.7</v>
      </c>
      <c r="K665" s="12">
        <v>13.75</v>
      </c>
      <c r="L665" s="2">
        <f t="shared" si="63"/>
        <v>309.59999999999991</v>
      </c>
      <c r="M665" s="15">
        <f t="shared" si="62"/>
        <v>4256.9999999999991</v>
      </c>
      <c r="N665" t="str">
        <f t="shared" si="59"/>
        <v>SP</v>
      </c>
      <c r="O665" t="str">
        <f t="shared" si="60"/>
        <v>São Paulo</v>
      </c>
    </row>
    <row r="666" spans="1:15" x14ac:dyDescent="0.3">
      <c r="A666" s="10">
        <v>45748</v>
      </c>
      <c r="B666" s="9" t="s">
        <v>3</v>
      </c>
      <c r="C666" t="s">
        <v>363</v>
      </c>
      <c r="D666" s="9">
        <v>19808</v>
      </c>
      <c r="E666" s="5" t="s">
        <v>423</v>
      </c>
      <c r="F666" t="s">
        <v>243</v>
      </c>
      <c r="G666">
        <v>1535</v>
      </c>
      <c r="H666">
        <v>473</v>
      </c>
      <c r="I666" s="8">
        <f t="shared" si="61"/>
        <v>0.30814332247557003</v>
      </c>
      <c r="J666" s="17">
        <v>0.7</v>
      </c>
      <c r="K666" s="12">
        <v>13.75</v>
      </c>
      <c r="L666" s="2">
        <f t="shared" si="63"/>
        <v>601.5</v>
      </c>
      <c r="M666" s="15">
        <f t="shared" si="62"/>
        <v>8270.625</v>
      </c>
      <c r="N666" t="str">
        <f t="shared" si="59"/>
        <v>SP</v>
      </c>
      <c r="O666" t="str">
        <f t="shared" si="60"/>
        <v>São Caetano Do Sul</v>
      </c>
    </row>
    <row r="667" spans="1:15" x14ac:dyDescent="0.3">
      <c r="A667" s="10">
        <v>45748</v>
      </c>
      <c r="B667" s="9" t="s">
        <v>3</v>
      </c>
      <c r="C667" t="s">
        <v>24</v>
      </c>
      <c r="D667" s="9">
        <v>19805</v>
      </c>
      <c r="E667" s="5" t="s">
        <v>424</v>
      </c>
      <c r="F667" t="s">
        <v>25</v>
      </c>
      <c r="G667">
        <v>1802</v>
      </c>
      <c r="H667">
        <v>854</v>
      </c>
      <c r="I667" s="8">
        <f t="shared" si="61"/>
        <v>0.47391786903440619</v>
      </c>
      <c r="J667" s="17">
        <v>0.7</v>
      </c>
      <c r="K667" s="12">
        <v>13.75</v>
      </c>
      <c r="L667" s="2">
        <f t="shared" si="63"/>
        <v>407.39999999999986</v>
      </c>
      <c r="M667" s="15">
        <f t="shared" si="62"/>
        <v>5601.7499999999982</v>
      </c>
      <c r="N667" t="str">
        <f t="shared" si="59"/>
        <v>SP</v>
      </c>
      <c r="O667" t="str">
        <f t="shared" si="60"/>
        <v>Barueri</v>
      </c>
    </row>
    <row r="668" spans="1:15" x14ac:dyDescent="0.3">
      <c r="A668" s="10">
        <v>45748</v>
      </c>
      <c r="B668" s="9" t="s">
        <v>3</v>
      </c>
      <c r="C668" t="s">
        <v>248</v>
      </c>
      <c r="D668" s="9">
        <v>19821</v>
      </c>
      <c r="E668" s="5" t="s">
        <v>425</v>
      </c>
      <c r="F668" t="s">
        <v>256</v>
      </c>
      <c r="G668">
        <v>1479</v>
      </c>
      <c r="H668">
        <v>364</v>
      </c>
      <c r="I668" s="8">
        <f t="shared" si="61"/>
        <v>0.24611223799864773</v>
      </c>
      <c r="J668" s="17">
        <v>0.7</v>
      </c>
      <c r="K668" s="12">
        <v>13.75</v>
      </c>
      <c r="L668" s="2">
        <f t="shared" si="63"/>
        <v>671.3</v>
      </c>
      <c r="M668" s="15">
        <f t="shared" si="62"/>
        <v>9230.375</v>
      </c>
      <c r="N668" t="str">
        <f t="shared" si="59"/>
        <v>SP</v>
      </c>
      <c r="O668" t="str">
        <f t="shared" si="60"/>
        <v>São Paulo</v>
      </c>
    </row>
    <row r="669" spans="1:15" x14ac:dyDescent="0.3">
      <c r="A669" s="10">
        <v>45748</v>
      </c>
      <c r="B669" s="9" t="s">
        <v>3</v>
      </c>
      <c r="C669" t="s">
        <v>362</v>
      </c>
      <c r="D669" s="9">
        <v>19825</v>
      </c>
      <c r="E669" s="5" t="s">
        <v>426</v>
      </c>
      <c r="F669" t="s">
        <v>241</v>
      </c>
      <c r="G669">
        <v>1459</v>
      </c>
      <c r="H669">
        <v>527</v>
      </c>
      <c r="I669" s="8">
        <f t="shared" si="61"/>
        <v>0.36120630568882794</v>
      </c>
      <c r="J669" s="17">
        <v>0.7</v>
      </c>
      <c r="K669" s="12">
        <v>13.75</v>
      </c>
      <c r="L669" s="2">
        <f t="shared" si="63"/>
        <v>494.29999999999995</v>
      </c>
      <c r="M669" s="15">
        <f t="shared" si="62"/>
        <v>6796.6249999999991</v>
      </c>
      <c r="N669" t="str">
        <f t="shared" si="59"/>
        <v>SP</v>
      </c>
      <c r="O669" t="str">
        <f t="shared" si="60"/>
        <v>São Bernardo Do Campo</v>
      </c>
    </row>
    <row r="670" spans="1:15" x14ac:dyDescent="0.3">
      <c r="A670" s="10">
        <v>45748</v>
      </c>
      <c r="B670" s="9" t="s">
        <v>3</v>
      </c>
      <c r="C670" t="s">
        <v>193</v>
      </c>
      <c r="D670" s="9">
        <v>19832</v>
      </c>
      <c r="E670" s="5" t="s">
        <v>427</v>
      </c>
      <c r="F670" t="s">
        <v>194</v>
      </c>
      <c r="G670">
        <v>2014</v>
      </c>
      <c r="H670">
        <v>709</v>
      </c>
      <c r="I670" s="8">
        <f t="shared" si="61"/>
        <v>0.35203574975173785</v>
      </c>
      <c r="J670" s="17">
        <v>0.7</v>
      </c>
      <c r="K670" s="12">
        <v>13.75</v>
      </c>
      <c r="L670" s="2">
        <f t="shared" si="63"/>
        <v>700.79999999999973</v>
      </c>
      <c r="M670" s="15">
        <f t="shared" si="62"/>
        <v>9635.9999999999964</v>
      </c>
      <c r="N670" t="str">
        <f t="shared" si="59"/>
        <v>SP</v>
      </c>
      <c r="O670" t="str">
        <f t="shared" si="60"/>
        <v>Ribeirão Preto</v>
      </c>
    </row>
    <row r="671" spans="1:15" x14ac:dyDescent="0.3">
      <c r="A671" s="10">
        <v>45748</v>
      </c>
      <c r="B671" s="9" t="s">
        <v>15</v>
      </c>
      <c r="C671" t="s">
        <v>358</v>
      </c>
      <c r="D671" s="9">
        <v>19844</v>
      </c>
      <c r="E671" s="5" t="s">
        <v>428</v>
      </c>
      <c r="F671" t="s">
        <v>210</v>
      </c>
      <c r="G671">
        <v>2240</v>
      </c>
      <c r="H671">
        <v>926</v>
      </c>
      <c r="I671" s="8">
        <f t="shared" si="61"/>
        <v>0.41339285714285712</v>
      </c>
      <c r="J671" s="17">
        <v>0.7</v>
      </c>
      <c r="K671" s="12">
        <v>13.75</v>
      </c>
      <c r="L671" s="2">
        <f t="shared" si="63"/>
        <v>642</v>
      </c>
      <c r="M671" s="15">
        <f t="shared" si="62"/>
        <v>8827.5</v>
      </c>
      <c r="N671" t="str">
        <f t="shared" si="59"/>
        <v>RJ</v>
      </c>
      <c r="O671" t="str">
        <f t="shared" si="60"/>
        <v>Rio De Janeiro</v>
      </c>
    </row>
    <row r="672" spans="1:15" x14ac:dyDescent="0.3">
      <c r="A672" s="10">
        <v>45748</v>
      </c>
      <c r="B672" s="9" t="s">
        <v>14</v>
      </c>
      <c r="C672" t="s">
        <v>29</v>
      </c>
      <c r="D672" s="9">
        <v>19704</v>
      </c>
      <c r="E672" s="5" t="s">
        <v>429</v>
      </c>
      <c r="F672" t="s">
        <v>30</v>
      </c>
      <c r="G672">
        <v>2957</v>
      </c>
      <c r="H672">
        <v>1483</v>
      </c>
      <c r="I672" s="8">
        <f t="shared" si="61"/>
        <v>0.50152181264795404</v>
      </c>
      <c r="J672" s="17">
        <v>0.7</v>
      </c>
      <c r="K672" s="12">
        <v>13.75</v>
      </c>
      <c r="L672" s="2">
        <f t="shared" si="63"/>
        <v>586.89999999999964</v>
      </c>
      <c r="M672" s="15">
        <f t="shared" si="62"/>
        <v>8069.8749999999945</v>
      </c>
      <c r="N672" t="str">
        <f t="shared" si="59"/>
        <v>MG</v>
      </c>
      <c r="O672" t="str">
        <f t="shared" si="60"/>
        <v>Belo Horizonte</v>
      </c>
    </row>
    <row r="673" spans="1:15" x14ac:dyDescent="0.3">
      <c r="A673" s="10">
        <v>45748</v>
      </c>
      <c r="B673" s="9" t="s">
        <v>15</v>
      </c>
      <c r="C673" t="s">
        <v>358</v>
      </c>
      <c r="D673" s="9">
        <v>19512</v>
      </c>
      <c r="E673" s="5" t="s">
        <v>430</v>
      </c>
      <c r="F673" t="s">
        <v>211</v>
      </c>
      <c r="G673">
        <v>1956</v>
      </c>
      <c r="H673">
        <v>703</v>
      </c>
      <c r="I673" s="8">
        <f t="shared" si="61"/>
        <v>0.35940695296523517</v>
      </c>
      <c r="J673" s="17">
        <v>0.7</v>
      </c>
      <c r="K673" s="12">
        <v>13.75</v>
      </c>
      <c r="L673" s="2">
        <f t="shared" si="63"/>
        <v>666.19999999999982</v>
      </c>
      <c r="M673" s="15">
        <f t="shared" si="62"/>
        <v>9160.2499999999982</v>
      </c>
      <c r="N673" t="str">
        <f t="shared" si="59"/>
        <v>RJ</v>
      </c>
      <c r="O673" t="str">
        <f t="shared" si="60"/>
        <v>Rio De Janeiro</v>
      </c>
    </row>
    <row r="674" spans="1:15" x14ac:dyDescent="0.3">
      <c r="A674" s="10">
        <v>45748</v>
      </c>
      <c r="B674" s="9" t="s">
        <v>14</v>
      </c>
      <c r="C674" t="s">
        <v>29</v>
      </c>
      <c r="D674" s="9">
        <v>19562</v>
      </c>
      <c r="E674" s="5" t="s">
        <v>431</v>
      </c>
      <c r="F674" t="s">
        <v>31</v>
      </c>
      <c r="G674">
        <v>1739</v>
      </c>
      <c r="H674">
        <v>784</v>
      </c>
      <c r="I674" s="8">
        <f t="shared" si="61"/>
        <v>0.45083381253594018</v>
      </c>
      <c r="J674" s="17">
        <v>0.7</v>
      </c>
      <c r="K674" s="12">
        <v>13.75</v>
      </c>
      <c r="L674" s="2">
        <f t="shared" si="63"/>
        <v>433.29999999999995</v>
      </c>
      <c r="M674" s="15">
        <f t="shared" si="62"/>
        <v>5957.8749999999991</v>
      </c>
      <c r="N674" t="str">
        <f t="shared" si="59"/>
        <v>MG</v>
      </c>
      <c r="O674" t="str">
        <f t="shared" si="60"/>
        <v>Belo Horizonte</v>
      </c>
    </row>
    <row r="675" spans="1:15" x14ac:dyDescent="0.3">
      <c r="A675" s="10">
        <v>45748</v>
      </c>
      <c r="B675" s="9" t="s">
        <v>14</v>
      </c>
      <c r="C675" t="s">
        <v>29</v>
      </c>
      <c r="D675" s="9">
        <v>19748</v>
      </c>
      <c r="E675" s="5" t="s">
        <v>432</v>
      </c>
      <c r="F675" t="s">
        <v>32</v>
      </c>
      <c r="G675">
        <v>2114</v>
      </c>
      <c r="H675">
        <v>973</v>
      </c>
      <c r="I675" s="8">
        <f t="shared" si="61"/>
        <v>0.46026490066225167</v>
      </c>
      <c r="J675" s="17">
        <v>0.7</v>
      </c>
      <c r="K675" s="12">
        <v>13.75</v>
      </c>
      <c r="L675" s="2">
        <f t="shared" si="63"/>
        <v>506.79999999999973</v>
      </c>
      <c r="M675" s="15">
        <f t="shared" si="62"/>
        <v>6968.4999999999964</v>
      </c>
      <c r="N675" t="str">
        <f t="shared" si="59"/>
        <v>MG</v>
      </c>
      <c r="O675" t="str">
        <f t="shared" si="60"/>
        <v>Belo Horizonte</v>
      </c>
    </row>
    <row r="676" spans="1:15" x14ac:dyDescent="0.3">
      <c r="A676" s="10">
        <v>45748</v>
      </c>
      <c r="B676" s="9" t="s">
        <v>14</v>
      </c>
      <c r="C676" t="s">
        <v>29</v>
      </c>
      <c r="D676" s="9">
        <v>19561</v>
      </c>
      <c r="E676" s="5" t="s">
        <v>433</v>
      </c>
      <c r="F676" t="s">
        <v>33</v>
      </c>
      <c r="G676">
        <v>1462</v>
      </c>
      <c r="H676">
        <v>490</v>
      </c>
      <c r="I676" s="8">
        <f t="shared" si="61"/>
        <v>0.33515731874145005</v>
      </c>
      <c r="J676" s="17">
        <v>0.7</v>
      </c>
      <c r="K676" s="12">
        <v>13.75</v>
      </c>
      <c r="L676" s="2">
        <f t="shared" si="63"/>
        <v>533.40000000000009</v>
      </c>
      <c r="M676" s="15">
        <f t="shared" si="62"/>
        <v>7334.2500000000009</v>
      </c>
      <c r="N676" t="str">
        <f t="shared" si="59"/>
        <v>MG</v>
      </c>
      <c r="O676" t="str">
        <f t="shared" si="60"/>
        <v>Belo Horizonte</v>
      </c>
    </row>
    <row r="677" spans="1:15" x14ac:dyDescent="0.3">
      <c r="A677" s="10">
        <v>45748</v>
      </c>
      <c r="B677" s="9" t="s">
        <v>3</v>
      </c>
      <c r="C677" t="s">
        <v>248</v>
      </c>
      <c r="D677" s="9">
        <v>19855</v>
      </c>
      <c r="E677" s="5" t="s">
        <v>434</v>
      </c>
      <c r="F677" t="s">
        <v>257</v>
      </c>
      <c r="G677">
        <v>1409</v>
      </c>
      <c r="H677">
        <v>500</v>
      </c>
      <c r="I677" s="8">
        <f t="shared" si="61"/>
        <v>0.35486160397444999</v>
      </c>
      <c r="J677" s="17">
        <v>0.7</v>
      </c>
      <c r="K677" s="12">
        <v>13.75</v>
      </c>
      <c r="L677" s="2">
        <f t="shared" si="63"/>
        <v>486.29999999999995</v>
      </c>
      <c r="M677" s="15">
        <f t="shared" si="62"/>
        <v>6686.6249999999991</v>
      </c>
      <c r="N677" t="str">
        <f t="shared" si="59"/>
        <v>SP</v>
      </c>
      <c r="O677" t="str">
        <f t="shared" si="60"/>
        <v>São Paulo</v>
      </c>
    </row>
    <row r="678" spans="1:15" x14ac:dyDescent="0.3">
      <c r="A678" s="10">
        <v>45748</v>
      </c>
      <c r="B678" s="9" t="s">
        <v>14</v>
      </c>
      <c r="C678" t="s">
        <v>29</v>
      </c>
      <c r="D678" s="9">
        <v>19560</v>
      </c>
      <c r="E678" s="5" t="s">
        <v>435</v>
      </c>
      <c r="F678" t="s">
        <v>34</v>
      </c>
      <c r="G678">
        <v>3492</v>
      </c>
      <c r="H678">
        <v>1535</v>
      </c>
      <c r="I678" s="8">
        <f t="shared" si="61"/>
        <v>0.43957617411225658</v>
      </c>
      <c r="J678" s="17">
        <v>0.7</v>
      </c>
      <c r="K678" s="12">
        <v>13.75</v>
      </c>
      <c r="L678" s="2">
        <f t="shared" si="63"/>
        <v>909.40000000000009</v>
      </c>
      <c r="M678" s="15">
        <f t="shared" si="62"/>
        <v>12504.250000000002</v>
      </c>
      <c r="N678" t="str">
        <f t="shared" si="59"/>
        <v>MG</v>
      </c>
      <c r="O678" t="str">
        <f t="shared" si="60"/>
        <v>Belo Horizonte</v>
      </c>
    </row>
    <row r="679" spans="1:15" x14ac:dyDescent="0.3">
      <c r="A679" s="10">
        <v>45748</v>
      </c>
      <c r="B679" s="9" t="s">
        <v>3</v>
      </c>
      <c r="C679" t="s">
        <v>248</v>
      </c>
      <c r="D679" s="9">
        <v>19859</v>
      </c>
      <c r="E679" s="5" t="s">
        <v>436</v>
      </c>
      <c r="F679" t="s">
        <v>258</v>
      </c>
      <c r="G679">
        <v>2197</v>
      </c>
      <c r="H679">
        <v>646</v>
      </c>
      <c r="I679" s="8">
        <f t="shared" si="61"/>
        <v>0.29403732362312246</v>
      </c>
      <c r="J679" s="17">
        <v>0.7</v>
      </c>
      <c r="K679" s="12">
        <v>13.75</v>
      </c>
      <c r="L679" s="2">
        <f t="shared" si="63"/>
        <v>891.89999999999986</v>
      </c>
      <c r="M679" s="15">
        <f t="shared" si="62"/>
        <v>12263.624999999998</v>
      </c>
      <c r="N679" t="str">
        <f t="shared" si="59"/>
        <v>SP</v>
      </c>
      <c r="O679" t="str">
        <f t="shared" si="60"/>
        <v>São Paulo</v>
      </c>
    </row>
    <row r="680" spans="1:15" x14ac:dyDescent="0.3">
      <c r="A680" s="10">
        <v>45748</v>
      </c>
      <c r="B680" s="9" t="s">
        <v>14</v>
      </c>
      <c r="C680" t="s">
        <v>29</v>
      </c>
      <c r="D680" s="9">
        <v>19780</v>
      </c>
      <c r="E680" s="5" t="s">
        <v>437</v>
      </c>
      <c r="F680" t="s">
        <v>35</v>
      </c>
      <c r="G680">
        <v>1335</v>
      </c>
      <c r="H680">
        <v>683</v>
      </c>
      <c r="I680" s="8">
        <f t="shared" si="61"/>
        <v>0.51161048689138577</v>
      </c>
      <c r="J680" s="17">
        <v>0.7</v>
      </c>
      <c r="K680" s="12">
        <v>13.75</v>
      </c>
      <c r="L680" s="2">
        <f t="shared" si="63"/>
        <v>251.49999999999989</v>
      </c>
      <c r="M680" s="15">
        <f t="shared" si="62"/>
        <v>3458.1249999999986</v>
      </c>
      <c r="N680" t="str">
        <f t="shared" si="59"/>
        <v>MG</v>
      </c>
      <c r="O680" t="str">
        <f t="shared" si="60"/>
        <v>Belo Horizonte</v>
      </c>
    </row>
    <row r="681" spans="1:15" x14ac:dyDescent="0.3">
      <c r="A681" s="10">
        <v>45748</v>
      </c>
      <c r="B681" s="9" t="s">
        <v>3</v>
      </c>
      <c r="C681" t="s">
        <v>361</v>
      </c>
      <c r="D681" s="9">
        <v>19847</v>
      </c>
      <c r="E681" s="5" t="s">
        <v>438</v>
      </c>
      <c r="F681" t="s">
        <v>238</v>
      </c>
      <c r="G681">
        <v>1978</v>
      </c>
      <c r="H681">
        <v>709</v>
      </c>
      <c r="I681" s="8">
        <f t="shared" si="61"/>
        <v>0.35844287158746208</v>
      </c>
      <c r="J681" s="17">
        <v>0.7</v>
      </c>
      <c r="K681" s="12">
        <v>13.75</v>
      </c>
      <c r="L681" s="2">
        <f t="shared" si="63"/>
        <v>675.59999999999991</v>
      </c>
      <c r="M681" s="15">
        <f t="shared" si="62"/>
        <v>9289.4999999999982</v>
      </c>
      <c r="N681" t="str">
        <f t="shared" si="59"/>
        <v>SP</v>
      </c>
      <c r="O681" t="str">
        <f t="shared" si="60"/>
        <v>Santo André</v>
      </c>
    </row>
    <row r="682" spans="1:15" x14ac:dyDescent="0.3">
      <c r="A682" s="10">
        <v>45748</v>
      </c>
      <c r="B682" s="9" t="s">
        <v>3</v>
      </c>
      <c r="C682" t="s">
        <v>110</v>
      </c>
      <c r="D682" s="9">
        <v>19884</v>
      </c>
      <c r="E682" s="5" t="s">
        <v>439</v>
      </c>
      <c r="F682" t="s">
        <v>111</v>
      </c>
      <c r="G682">
        <v>2068</v>
      </c>
      <c r="H682">
        <v>644</v>
      </c>
      <c r="I682" s="8">
        <f t="shared" si="61"/>
        <v>0.3114119922630561</v>
      </c>
      <c r="J682" s="17">
        <v>0.7</v>
      </c>
      <c r="K682" s="12">
        <v>13.75</v>
      </c>
      <c r="L682" s="2">
        <f t="shared" si="63"/>
        <v>803.59999999999991</v>
      </c>
      <c r="M682" s="15">
        <f t="shared" si="62"/>
        <v>11049.499999999998</v>
      </c>
      <c r="N682" t="str">
        <f t="shared" si="59"/>
        <v>SP</v>
      </c>
      <c r="O682" t="str">
        <f t="shared" si="60"/>
        <v>Guarulhos</v>
      </c>
    </row>
    <row r="683" spans="1:15" x14ac:dyDescent="0.3">
      <c r="A683" s="10">
        <v>45748</v>
      </c>
      <c r="B683" s="9" t="s">
        <v>3</v>
      </c>
      <c r="C683" t="s">
        <v>108</v>
      </c>
      <c r="D683" s="9">
        <v>19877</v>
      </c>
      <c r="E683" s="5" t="s">
        <v>440</v>
      </c>
      <c r="F683" t="s">
        <v>109</v>
      </c>
      <c r="G683">
        <v>2510</v>
      </c>
      <c r="H683">
        <v>888</v>
      </c>
      <c r="I683" s="8">
        <f t="shared" si="61"/>
        <v>0.35378486055776892</v>
      </c>
      <c r="J683" s="17">
        <v>0.7</v>
      </c>
      <c r="K683" s="12">
        <v>13.75</v>
      </c>
      <c r="L683" s="2">
        <f t="shared" si="63"/>
        <v>868.99999999999977</v>
      </c>
      <c r="M683" s="15">
        <f t="shared" si="62"/>
        <v>11948.749999999996</v>
      </c>
      <c r="N683" t="str">
        <f t="shared" si="59"/>
        <v>SP</v>
      </c>
      <c r="O683" t="str">
        <f t="shared" si="60"/>
        <v>Guarujá</v>
      </c>
    </row>
    <row r="684" spans="1:15" x14ac:dyDescent="0.3">
      <c r="A684" s="10">
        <v>45748</v>
      </c>
      <c r="B684" s="9" t="s">
        <v>3</v>
      </c>
      <c r="C684" t="s">
        <v>248</v>
      </c>
      <c r="D684" s="9">
        <v>19890</v>
      </c>
      <c r="E684" s="5" t="s">
        <v>441</v>
      </c>
      <c r="F684" t="s">
        <v>259</v>
      </c>
      <c r="G684">
        <v>1138</v>
      </c>
      <c r="H684">
        <v>434</v>
      </c>
      <c r="I684" s="8">
        <f t="shared" si="61"/>
        <v>0.38137082601054484</v>
      </c>
      <c r="J684" s="17">
        <v>0.7</v>
      </c>
      <c r="K684" s="12">
        <v>13.75</v>
      </c>
      <c r="L684" s="2">
        <f t="shared" si="63"/>
        <v>362.5999999999998</v>
      </c>
      <c r="M684" s="15">
        <f t="shared" si="62"/>
        <v>4985.7499999999973</v>
      </c>
      <c r="N684" t="str">
        <f t="shared" si="59"/>
        <v>SP</v>
      </c>
      <c r="O684" t="str">
        <f t="shared" si="60"/>
        <v>São Paulo</v>
      </c>
    </row>
    <row r="685" spans="1:15" x14ac:dyDescent="0.3">
      <c r="A685" s="10">
        <v>45748</v>
      </c>
      <c r="B685" s="9" t="s">
        <v>3</v>
      </c>
      <c r="C685" t="s">
        <v>239</v>
      </c>
      <c r="D685" s="9">
        <v>19708</v>
      </c>
      <c r="E685" s="5" t="s">
        <v>443</v>
      </c>
      <c r="F685" t="s">
        <v>240</v>
      </c>
      <c r="G685">
        <v>2628</v>
      </c>
      <c r="H685">
        <v>981</v>
      </c>
      <c r="I685" s="8">
        <f t="shared" si="61"/>
        <v>0.37328767123287671</v>
      </c>
      <c r="J685" s="17">
        <v>0.7</v>
      </c>
      <c r="K685" s="12">
        <v>13.75</v>
      </c>
      <c r="L685" s="2">
        <f t="shared" si="63"/>
        <v>858.59999999999991</v>
      </c>
      <c r="M685" s="15">
        <f t="shared" si="62"/>
        <v>11805.749999999998</v>
      </c>
      <c r="N685" t="str">
        <f t="shared" si="59"/>
        <v>SP</v>
      </c>
      <c r="O685" t="str">
        <f t="shared" si="60"/>
        <v>Santos</v>
      </c>
    </row>
    <row r="686" spans="1:15" x14ac:dyDescent="0.3">
      <c r="A686" s="10">
        <v>45748</v>
      </c>
      <c r="B686" s="9" t="s">
        <v>15</v>
      </c>
      <c r="C686" t="s">
        <v>358</v>
      </c>
      <c r="D686" s="9">
        <v>19508</v>
      </c>
      <c r="E686" s="5" t="s">
        <v>444</v>
      </c>
      <c r="F686" t="s">
        <v>212</v>
      </c>
      <c r="G686">
        <v>3271</v>
      </c>
      <c r="H686">
        <v>1508</v>
      </c>
      <c r="I686" s="8">
        <f t="shared" si="61"/>
        <v>0.46102109446652401</v>
      </c>
      <c r="J686" s="17">
        <v>0.7</v>
      </c>
      <c r="K686" s="12">
        <v>13.75</v>
      </c>
      <c r="L686" s="2">
        <f t="shared" si="63"/>
        <v>781.69999999999982</v>
      </c>
      <c r="M686" s="15">
        <f t="shared" si="62"/>
        <v>10748.374999999998</v>
      </c>
      <c r="N686" t="str">
        <f t="shared" si="59"/>
        <v>RJ</v>
      </c>
      <c r="O686" t="str">
        <f t="shared" si="60"/>
        <v>Rio De Janeiro</v>
      </c>
    </row>
    <row r="687" spans="1:15" x14ac:dyDescent="0.3">
      <c r="A687" s="10">
        <v>45748</v>
      </c>
      <c r="B687" s="9" t="s">
        <v>3</v>
      </c>
      <c r="C687" t="s">
        <v>362</v>
      </c>
      <c r="D687" s="9">
        <v>19820</v>
      </c>
      <c r="E687" s="5" t="s">
        <v>445</v>
      </c>
      <c r="F687" t="s">
        <v>242</v>
      </c>
      <c r="G687">
        <v>1459</v>
      </c>
      <c r="H687">
        <v>408</v>
      </c>
      <c r="I687" s="8">
        <f t="shared" si="61"/>
        <v>0.27964359150102808</v>
      </c>
      <c r="J687" s="17">
        <v>0.7</v>
      </c>
      <c r="K687" s="12">
        <v>13.75</v>
      </c>
      <c r="L687" s="2">
        <f t="shared" si="63"/>
        <v>613.29999999999995</v>
      </c>
      <c r="M687" s="15">
        <f t="shared" si="62"/>
        <v>8432.875</v>
      </c>
      <c r="N687" t="str">
        <f t="shared" si="59"/>
        <v>SP</v>
      </c>
      <c r="O687" t="str">
        <f t="shared" si="60"/>
        <v>São Bernardo Do Campo</v>
      </c>
    </row>
    <row r="688" spans="1:15" x14ac:dyDescent="0.3">
      <c r="A688" s="10">
        <v>45748</v>
      </c>
      <c r="B688" s="9" t="s">
        <v>15</v>
      </c>
      <c r="C688" t="s">
        <v>358</v>
      </c>
      <c r="D688" s="9">
        <v>19894</v>
      </c>
      <c r="E688" s="5" t="s">
        <v>446</v>
      </c>
      <c r="F688" t="s">
        <v>213</v>
      </c>
      <c r="G688">
        <v>2506</v>
      </c>
      <c r="H688">
        <v>921</v>
      </c>
      <c r="I688" s="8">
        <f t="shared" si="61"/>
        <v>0.36751795690343175</v>
      </c>
      <c r="J688" s="17">
        <v>0.7</v>
      </c>
      <c r="K688" s="12">
        <v>13.75</v>
      </c>
      <c r="L688" s="2">
        <f t="shared" si="63"/>
        <v>833.19999999999982</v>
      </c>
      <c r="M688" s="15">
        <f t="shared" si="62"/>
        <v>11456.499999999998</v>
      </c>
      <c r="N688" t="str">
        <f t="shared" si="59"/>
        <v>RJ</v>
      </c>
      <c r="O688" t="str">
        <f t="shared" si="60"/>
        <v>Rio De Janeiro</v>
      </c>
    </row>
    <row r="689" spans="1:15" x14ac:dyDescent="0.3">
      <c r="A689" s="10">
        <v>45748</v>
      </c>
      <c r="B689" s="9" t="s">
        <v>15</v>
      </c>
      <c r="C689" t="s">
        <v>358</v>
      </c>
      <c r="D689" s="9">
        <v>19526</v>
      </c>
      <c r="E689" s="5" t="s">
        <v>447</v>
      </c>
      <c r="F689" t="s">
        <v>214</v>
      </c>
      <c r="G689">
        <v>1586</v>
      </c>
      <c r="H689">
        <v>626</v>
      </c>
      <c r="I689" s="8">
        <f t="shared" si="61"/>
        <v>0.39470365699873894</v>
      </c>
      <c r="J689" s="17">
        <v>0.7</v>
      </c>
      <c r="K689" s="12">
        <v>13.75</v>
      </c>
      <c r="L689" s="2">
        <f t="shared" si="63"/>
        <v>484.20000000000005</v>
      </c>
      <c r="M689" s="15">
        <f t="shared" si="62"/>
        <v>6657.7500000000009</v>
      </c>
      <c r="N689" t="str">
        <f t="shared" si="59"/>
        <v>RJ</v>
      </c>
      <c r="O689" t="str">
        <f t="shared" si="60"/>
        <v>Rio De Janeiro</v>
      </c>
    </row>
    <row r="690" spans="1:15" x14ac:dyDescent="0.3">
      <c r="A690" s="10">
        <v>45748</v>
      </c>
      <c r="B690" s="9" t="s">
        <v>15</v>
      </c>
      <c r="C690" t="s">
        <v>358</v>
      </c>
      <c r="D690" s="9">
        <v>19509</v>
      </c>
      <c r="E690" s="5" t="s">
        <v>448</v>
      </c>
      <c r="F690" t="s">
        <v>215</v>
      </c>
      <c r="G690">
        <v>2630</v>
      </c>
      <c r="H690">
        <v>989</v>
      </c>
      <c r="I690" s="8">
        <f t="shared" si="61"/>
        <v>0.37604562737642583</v>
      </c>
      <c r="J690" s="17">
        <v>0.7</v>
      </c>
      <c r="K690" s="12">
        <v>13.75</v>
      </c>
      <c r="L690" s="2">
        <f t="shared" si="63"/>
        <v>852</v>
      </c>
      <c r="M690" s="15">
        <f t="shared" si="62"/>
        <v>11715</v>
      </c>
      <c r="N690" t="str">
        <f t="shared" si="59"/>
        <v>RJ</v>
      </c>
      <c r="O690" t="str">
        <f t="shared" si="60"/>
        <v>Rio De Janeiro</v>
      </c>
    </row>
    <row r="691" spans="1:15" x14ac:dyDescent="0.3">
      <c r="A691" s="10">
        <v>45748</v>
      </c>
      <c r="B691" s="9" t="s">
        <v>3</v>
      </c>
      <c r="C691" t="s">
        <v>356</v>
      </c>
      <c r="D691" s="9">
        <v>19745</v>
      </c>
      <c r="E691" s="5" t="s">
        <v>449</v>
      </c>
      <c r="F691" t="s">
        <v>154</v>
      </c>
      <c r="G691">
        <v>1702</v>
      </c>
      <c r="H691">
        <v>743</v>
      </c>
      <c r="I691" s="8">
        <f t="shared" si="61"/>
        <v>0.43654524089306695</v>
      </c>
      <c r="J691" s="17">
        <v>0.7</v>
      </c>
      <c r="K691" s="12">
        <v>13.75</v>
      </c>
      <c r="L691" s="2">
        <f t="shared" si="63"/>
        <v>448.40000000000009</v>
      </c>
      <c r="M691" s="15">
        <f t="shared" si="62"/>
        <v>6165.5000000000009</v>
      </c>
      <c r="N691" t="str">
        <f t="shared" si="59"/>
        <v>SP</v>
      </c>
      <c r="O691" t="str">
        <f t="shared" si="60"/>
        <v>Osasco</v>
      </c>
    </row>
    <row r="692" spans="1:15" x14ac:dyDescent="0.3">
      <c r="A692" s="10">
        <v>45748</v>
      </c>
      <c r="B692" s="9" t="s">
        <v>3</v>
      </c>
      <c r="C692" t="s">
        <v>248</v>
      </c>
      <c r="D692" s="9">
        <v>19710</v>
      </c>
      <c r="E692" s="5" t="s">
        <v>450</v>
      </c>
      <c r="F692" t="s">
        <v>261</v>
      </c>
      <c r="G692">
        <v>1822</v>
      </c>
      <c r="H692">
        <v>840</v>
      </c>
      <c r="I692" s="8">
        <f t="shared" si="61"/>
        <v>0.46103183315038421</v>
      </c>
      <c r="J692" s="17">
        <v>0.7</v>
      </c>
      <c r="K692" s="12">
        <v>13.75</v>
      </c>
      <c r="L692" s="2">
        <f t="shared" si="63"/>
        <v>435.39999999999986</v>
      </c>
      <c r="M692" s="15">
        <f t="shared" si="62"/>
        <v>5986.7499999999982</v>
      </c>
      <c r="N692" t="str">
        <f t="shared" si="59"/>
        <v>SP</v>
      </c>
      <c r="O692" t="str">
        <f t="shared" si="60"/>
        <v>São Paulo</v>
      </c>
    </row>
    <row r="693" spans="1:15" x14ac:dyDescent="0.3">
      <c r="A693" s="10">
        <v>45748</v>
      </c>
      <c r="B693" s="9" t="s">
        <v>14</v>
      </c>
      <c r="C693" t="s">
        <v>29</v>
      </c>
      <c r="D693" s="9">
        <v>19720</v>
      </c>
      <c r="E693" s="5" t="s">
        <v>451</v>
      </c>
      <c r="F693" t="s">
        <v>36</v>
      </c>
      <c r="G693">
        <v>1529</v>
      </c>
      <c r="H693">
        <v>587</v>
      </c>
      <c r="I693" s="8">
        <f t="shared" si="61"/>
        <v>0.38391105297580119</v>
      </c>
      <c r="J693" s="17">
        <v>0.7</v>
      </c>
      <c r="K693" s="12">
        <v>13.75</v>
      </c>
      <c r="L693" s="2">
        <f t="shared" si="63"/>
        <v>483.29999999999995</v>
      </c>
      <c r="M693" s="15">
        <f t="shared" si="62"/>
        <v>6645.3749999999991</v>
      </c>
      <c r="N693" t="str">
        <f t="shared" si="59"/>
        <v>MG</v>
      </c>
      <c r="O693" t="str">
        <f t="shared" si="60"/>
        <v>Belo Horizonte</v>
      </c>
    </row>
    <row r="694" spans="1:15" x14ac:dyDescent="0.3">
      <c r="A694" s="10">
        <v>45748</v>
      </c>
      <c r="B694" s="9" t="s">
        <v>15</v>
      </c>
      <c r="C694" t="s">
        <v>358</v>
      </c>
      <c r="D694" s="9">
        <v>19635</v>
      </c>
      <c r="E694" s="5" t="s">
        <v>452</v>
      </c>
      <c r="F694" t="s">
        <v>216</v>
      </c>
      <c r="G694">
        <v>2004</v>
      </c>
      <c r="H694">
        <v>859</v>
      </c>
      <c r="I694" s="8">
        <f t="shared" si="61"/>
        <v>0.42864271457085829</v>
      </c>
      <c r="J694" s="17">
        <v>0.7</v>
      </c>
      <c r="K694" s="12">
        <v>13.75</v>
      </c>
      <c r="L694" s="2">
        <f t="shared" si="63"/>
        <v>543.79999999999995</v>
      </c>
      <c r="M694" s="15">
        <f t="shared" si="62"/>
        <v>7477.2499999999991</v>
      </c>
      <c r="N694" t="str">
        <f t="shared" si="59"/>
        <v>RJ</v>
      </c>
      <c r="O694" t="str">
        <f t="shared" si="60"/>
        <v>Rio De Janeiro</v>
      </c>
    </row>
    <row r="695" spans="1:15" x14ac:dyDescent="0.3">
      <c r="A695" s="10">
        <v>45748</v>
      </c>
      <c r="B695" s="9" t="s">
        <v>15</v>
      </c>
      <c r="C695" t="s">
        <v>358</v>
      </c>
      <c r="D695" s="9">
        <v>19665</v>
      </c>
      <c r="E695" s="5" t="s">
        <v>453</v>
      </c>
      <c r="F695" t="s">
        <v>217</v>
      </c>
      <c r="G695">
        <v>1906</v>
      </c>
      <c r="H695">
        <v>798</v>
      </c>
      <c r="I695" s="8">
        <f t="shared" si="61"/>
        <v>0.41867785939139557</v>
      </c>
      <c r="J695" s="17">
        <v>0.7</v>
      </c>
      <c r="K695" s="12">
        <v>13.75</v>
      </c>
      <c r="L695" s="2">
        <f t="shared" si="63"/>
        <v>536.19999999999982</v>
      </c>
      <c r="M695" s="15">
        <f t="shared" si="62"/>
        <v>7372.7499999999973</v>
      </c>
      <c r="N695" t="str">
        <f t="shared" si="59"/>
        <v>RJ</v>
      </c>
      <c r="O695" t="str">
        <f t="shared" si="60"/>
        <v>Rio De Janeiro</v>
      </c>
    </row>
    <row r="696" spans="1:15" x14ac:dyDescent="0.3">
      <c r="A696" s="10">
        <v>45748</v>
      </c>
      <c r="B696" s="9" t="s">
        <v>15</v>
      </c>
      <c r="C696" t="s">
        <v>358</v>
      </c>
      <c r="D696" s="9">
        <v>19504</v>
      </c>
      <c r="E696" s="5" t="s">
        <v>454</v>
      </c>
      <c r="F696" t="s">
        <v>218</v>
      </c>
      <c r="G696">
        <v>3316</v>
      </c>
      <c r="H696">
        <v>1350</v>
      </c>
      <c r="I696" s="8">
        <f t="shared" si="61"/>
        <v>0.4071170084439083</v>
      </c>
      <c r="J696" s="17">
        <v>0.7</v>
      </c>
      <c r="K696" s="12">
        <v>13.75</v>
      </c>
      <c r="L696" s="2">
        <f t="shared" ref="L696:L729" si="64">H696*J696/I696-H696</f>
        <v>971.19999999999982</v>
      </c>
      <c r="M696" s="15">
        <f t="shared" si="62"/>
        <v>13353.999999999998</v>
      </c>
      <c r="N696" t="str">
        <f t="shared" si="59"/>
        <v>RJ</v>
      </c>
      <c r="O696" t="str">
        <f t="shared" si="60"/>
        <v>Rio De Janeiro</v>
      </c>
    </row>
    <row r="697" spans="1:15" x14ac:dyDescent="0.3">
      <c r="A697" s="10">
        <v>45748</v>
      </c>
      <c r="B697" s="9" t="s">
        <v>15</v>
      </c>
      <c r="C697" t="s">
        <v>358</v>
      </c>
      <c r="D697" s="9">
        <v>19511</v>
      </c>
      <c r="E697" s="5" t="s">
        <v>455</v>
      </c>
      <c r="F697" t="s">
        <v>219</v>
      </c>
      <c r="G697">
        <v>2959</v>
      </c>
      <c r="H697">
        <v>1070</v>
      </c>
      <c r="I697" s="8">
        <f t="shared" si="61"/>
        <v>0.36160865157147687</v>
      </c>
      <c r="J697" s="17">
        <v>0.7</v>
      </c>
      <c r="K697" s="12">
        <v>13.75</v>
      </c>
      <c r="L697" s="2">
        <f t="shared" si="64"/>
        <v>1001.2999999999997</v>
      </c>
      <c r="M697" s="15">
        <f t="shared" si="62"/>
        <v>13767.874999999996</v>
      </c>
      <c r="N697" t="str">
        <f t="shared" si="59"/>
        <v>RJ</v>
      </c>
      <c r="O697" t="str">
        <f t="shared" si="60"/>
        <v>Rio De Janeiro</v>
      </c>
    </row>
    <row r="698" spans="1:15" x14ac:dyDescent="0.3">
      <c r="A698" s="10">
        <v>45748</v>
      </c>
      <c r="B698" s="9" t="s">
        <v>14</v>
      </c>
      <c r="C698" t="s">
        <v>285</v>
      </c>
      <c r="D698" s="9">
        <v>19698</v>
      </c>
      <c r="E698" s="5" t="s">
        <v>456</v>
      </c>
      <c r="F698" t="s">
        <v>331</v>
      </c>
      <c r="G698">
        <v>2295</v>
      </c>
      <c r="H698">
        <v>821</v>
      </c>
      <c r="I698" s="8">
        <f t="shared" si="61"/>
        <v>0.35773420479302831</v>
      </c>
      <c r="J698" s="17">
        <v>0.7</v>
      </c>
      <c r="K698" s="12">
        <v>13.75</v>
      </c>
      <c r="L698" s="2">
        <f t="shared" si="64"/>
        <v>785.49999999999977</v>
      </c>
      <c r="M698" s="15">
        <f t="shared" si="62"/>
        <v>10800.624999999996</v>
      </c>
      <c r="N698" t="str">
        <f t="shared" si="59"/>
        <v>MG</v>
      </c>
      <c r="O698" t="str">
        <f t="shared" si="60"/>
        <v>Uberlândia</v>
      </c>
    </row>
    <row r="699" spans="1:15" x14ac:dyDescent="0.3">
      <c r="A699" s="10">
        <v>45748</v>
      </c>
      <c r="B699" s="9" t="s">
        <v>15</v>
      </c>
      <c r="C699" t="s">
        <v>358</v>
      </c>
      <c r="D699" s="9">
        <v>19506</v>
      </c>
      <c r="E699" s="5" t="s">
        <v>457</v>
      </c>
      <c r="F699" t="s">
        <v>220</v>
      </c>
      <c r="G699">
        <v>2883</v>
      </c>
      <c r="H699">
        <v>1109</v>
      </c>
      <c r="I699" s="8">
        <f t="shared" si="61"/>
        <v>0.3846687478321193</v>
      </c>
      <c r="J699" s="17">
        <v>0.7</v>
      </c>
      <c r="K699" s="12">
        <v>13.75</v>
      </c>
      <c r="L699" s="2">
        <f t="shared" si="64"/>
        <v>909.09999999999991</v>
      </c>
      <c r="M699" s="15">
        <f t="shared" si="62"/>
        <v>12500.124999999998</v>
      </c>
      <c r="N699" t="str">
        <f t="shared" si="59"/>
        <v>RJ</v>
      </c>
      <c r="O699" t="str">
        <f t="shared" si="60"/>
        <v>Rio De Janeiro</v>
      </c>
    </row>
    <row r="700" spans="1:15" x14ac:dyDescent="0.3">
      <c r="A700" s="10">
        <v>45748</v>
      </c>
      <c r="B700" s="9" t="s">
        <v>7</v>
      </c>
      <c r="C700" t="s">
        <v>8</v>
      </c>
      <c r="D700" s="9">
        <v>19700</v>
      </c>
      <c r="E700" s="5" t="s">
        <v>458</v>
      </c>
      <c r="F700" t="s">
        <v>9</v>
      </c>
      <c r="G700">
        <v>1903</v>
      </c>
      <c r="H700">
        <v>722</v>
      </c>
      <c r="I700" s="8">
        <f t="shared" si="61"/>
        <v>0.37940094587493434</v>
      </c>
      <c r="J700" s="17">
        <v>0.7</v>
      </c>
      <c r="K700" s="12">
        <v>13.75</v>
      </c>
      <c r="L700" s="2">
        <f t="shared" si="64"/>
        <v>610.09999999999991</v>
      </c>
      <c r="M700" s="15">
        <f t="shared" si="62"/>
        <v>8388.8749999999982</v>
      </c>
      <c r="N700" t="str">
        <f t="shared" si="59"/>
        <v>GO</v>
      </c>
      <c r="O700" t="str">
        <f t="shared" si="60"/>
        <v>Anápolis</v>
      </c>
    </row>
    <row r="701" spans="1:15" x14ac:dyDescent="0.3">
      <c r="A701" s="10">
        <v>45748</v>
      </c>
      <c r="B701" s="9" t="s">
        <v>14</v>
      </c>
      <c r="C701" t="s">
        <v>29</v>
      </c>
      <c r="D701" s="9">
        <v>19697</v>
      </c>
      <c r="E701" s="5" t="s">
        <v>459</v>
      </c>
      <c r="F701" t="s">
        <v>37</v>
      </c>
      <c r="G701">
        <v>2428</v>
      </c>
      <c r="H701">
        <v>985</v>
      </c>
      <c r="I701" s="8">
        <f t="shared" si="61"/>
        <v>0.4056836902800659</v>
      </c>
      <c r="J701" s="17">
        <v>0.7</v>
      </c>
      <c r="K701" s="12">
        <v>13.75</v>
      </c>
      <c r="L701" s="2">
        <f t="shared" si="64"/>
        <v>714.59999999999991</v>
      </c>
      <c r="M701" s="15">
        <f t="shared" si="62"/>
        <v>9825.7499999999982</v>
      </c>
      <c r="N701" t="str">
        <f t="shared" si="59"/>
        <v>MG</v>
      </c>
      <c r="O701" t="str">
        <f t="shared" si="60"/>
        <v>Belo Horizonte</v>
      </c>
    </row>
    <row r="702" spans="1:15" x14ac:dyDescent="0.3">
      <c r="A702" s="10">
        <v>45748</v>
      </c>
      <c r="B702" s="9" t="s">
        <v>46</v>
      </c>
      <c r="C702" t="s">
        <v>47</v>
      </c>
      <c r="D702" s="9">
        <v>19722</v>
      </c>
      <c r="E702" s="5" t="s">
        <v>460</v>
      </c>
      <c r="F702" t="s">
        <v>52</v>
      </c>
      <c r="G702">
        <v>1788</v>
      </c>
      <c r="H702">
        <v>582</v>
      </c>
      <c r="I702" s="8">
        <f t="shared" si="61"/>
        <v>0.32550335570469796</v>
      </c>
      <c r="J702" s="17">
        <v>0.7</v>
      </c>
      <c r="K702" s="12">
        <v>13.75</v>
      </c>
      <c r="L702" s="2">
        <f t="shared" si="64"/>
        <v>669.60000000000014</v>
      </c>
      <c r="M702" s="15">
        <f t="shared" si="62"/>
        <v>9207.0000000000018</v>
      </c>
      <c r="N702" t="str">
        <f t="shared" si="59"/>
        <v>DF</v>
      </c>
      <c r="O702" t="str">
        <f t="shared" si="60"/>
        <v>Brasília</v>
      </c>
    </row>
    <row r="703" spans="1:15" x14ac:dyDescent="0.3">
      <c r="A703" s="10">
        <v>45748</v>
      </c>
      <c r="B703" s="9" t="s">
        <v>3</v>
      </c>
      <c r="C703" t="s">
        <v>248</v>
      </c>
      <c r="D703" s="9">
        <v>19716</v>
      </c>
      <c r="E703" s="5" t="s">
        <v>461</v>
      </c>
      <c r="F703" t="s">
        <v>262</v>
      </c>
      <c r="G703">
        <v>1977</v>
      </c>
      <c r="H703">
        <v>817</v>
      </c>
      <c r="I703" s="8">
        <f t="shared" si="61"/>
        <v>0.41325240263024787</v>
      </c>
      <c r="J703" s="17">
        <v>0.7</v>
      </c>
      <c r="K703" s="12">
        <v>13.75</v>
      </c>
      <c r="L703" s="2">
        <f t="shared" si="64"/>
        <v>566.89999999999986</v>
      </c>
      <c r="M703" s="15">
        <f t="shared" si="62"/>
        <v>7794.8749999999982</v>
      </c>
      <c r="N703" t="str">
        <f t="shared" si="59"/>
        <v>SP</v>
      </c>
      <c r="O703" t="str">
        <f t="shared" si="60"/>
        <v>São Paulo</v>
      </c>
    </row>
    <row r="704" spans="1:15" x14ac:dyDescent="0.3">
      <c r="A704" s="10">
        <v>45748</v>
      </c>
      <c r="B704" s="9" t="s">
        <v>3</v>
      </c>
      <c r="C704" t="s">
        <v>17</v>
      </c>
      <c r="D704" s="9">
        <v>19715</v>
      </c>
      <c r="E704" s="5" t="s">
        <v>462</v>
      </c>
      <c r="F704" t="s">
        <v>18</v>
      </c>
      <c r="G704">
        <v>1923</v>
      </c>
      <c r="H704">
        <v>1080</v>
      </c>
      <c r="I704" s="8">
        <f t="shared" si="61"/>
        <v>0.56162246489859591</v>
      </c>
      <c r="J704" s="17">
        <v>0.7</v>
      </c>
      <c r="K704" s="12">
        <v>13.75</v>
      </c>
      <c r="L704" s="2">
        <f t="shared" si="64"/>
        <v>266.10000000000014</v>
      </c>
      <c r="M704" s="15">
        <f t="shared" si="62"/>
        <v>3658.8750000000018</v>
      </c>
      <c r="N704" t="str">
        <f t="shared" si="59"/>
        <v>SP</v>
      </c>
      <c r="O704" t="str">
        <f t="shared" si="60"/>
        <v>Atibaia</v>
      </c>
    </row>
    <row r="705" spans="1:15" x14ac:dyDescent="0.3">
      <c r="A705" s="10">
        <v>45748</v>
      </c>
      <c r="B705" s="9" t="s">
        <v>46</v>
      </c>
      <c r="C705" t="s">
        <v>47</v>
      </c>
      <c r="D705" s="9">
        <v>19550</v>
      </c>
      <c r="E705" s="5" t="s">
        <v>463</v>
      </c>
      <c r="F705" t="s">
        <v>342</v>
      </c>
      <c r="G705">
        <v>2545</v>
      </c>
      <c r="H705">
        <v>1090</v>
      </c>
      <c r="I705" s="8">
        <f t="shared" si="61"/>
        <v>0.42829076620825146</v>
      </c>
      <c r="J705" s="17">
        <v>0.7</v>
      </c>
      <c r="K705" s="12">
        <v>13.75</v>
      </c>
      <c r="L705" s="2">
        <f t="shared" si="64"/>
        <v>691.5</v>
      </c>
      <c r="M705" s="15">
        <f t="shared" si="62"/>
        <v>9508.125</v>
      </c>
      <c r="N705" t="str">
        <f t="shared" si="59"/>
        <v>DF</v>
      </c>
      <c r="O705" t="str">
        <f t="shared" si="60"/>
        <v>Brasília</v>
      </c>
    </row>
    <row r="706" spans="1:15" x14ac:dyDescent="0.3">
      <c r="A706" s="10">
        <v>45748</v>
      </c>
      <c r="B706" s="9" t="s">
        <v>21</v>
      </c>
      <c r="C706" t="s">
        <v>368</v>
      </c>
      <c r="D706" s="9">
        <v>19736</v>
      </c>
      <c r="E706" s="5" t="s">
        <v>464</v>
      </c>
      <c r="F706" t="s">
        <v>295</v>
      </c>
      <c r="G706">
        <v>3579</v>
      </c>
      <c r="H706">
        <v>1323</v>
      </c>
      <c r="I706" s="8">
        <f t="shared" si="61"/>
        <v>0.36965632858340319</v>
      </c>
      <c r="J706" s="17">
        <v>0.7</v>
      </c>
      <c r="K706" s="12">
        <v>13.75</v>
      </c>
      <c r="L706" s="2">
        <f t="shared" si="64"/>
        <v>1182.2999999999997</v>
      </c>
      <c r="M706" s="15">
        <f t="shared" si="62"/>
        <v>16256.624999999996</v>
      </c>
      <c r="N706" t="str">
        <f t="shared" ref="N706:N769" si="65">B706</f>
        <v>BA</v>
      </c>
      <c r="O706" t="str">
        <f t="shared" ref="O706:O769" si="66">C706</f>
        <v>Vitória Da Conquista</v>
      </c>
    </row>
    <row r="707" spans="1:15" x14ac:dyDescent="0.3">
      <c r="A707" s="10">
        <v>45748</v>
      </c>
      <c r="B707" s="9" t="s">
        <v>21</v>
      </c>
      <c r="C707" t="s">
        <v>228</v>
      </c>
      <c r="D707" s="9">
        <v>19740</v>
      </c>
      <c r="E707" s="5" t="s">
        <v>465</v>
      </c>
      <c r="F707" t="s">
        <v>229</v>
      </c>
      <c r="G707">
        <v>1997</v>
      </c>
      <c r="H707">
        <v>710</v>
      </c>
      <c r="I707" s="8">
        <f t="shared" ref="I707:I770" si="67">H707/G707</f>
        <v>0.35553329994992489</v>
      </c>
      <c r="J707" s="17">
        <v>0.7</v>
      </c>
      <c r="K707" s="12">
        <v>13.75</v>
      </c>
      <c r="L707" s="2">
        <f t="shared" si="64"/>
        <v>687.89999999999986</v>
      </c>
      <c r="M707" s="15">
        <f t="shared" ref="M707:M770" si="68">L707*K707</f>
        <v>9458.6249999999982</v>
      </c>
      <c r="N707" t="str">
        <f t="shared" si="65"/>
        <v>BA</v>
      </c>
      <c r="O707" t="str">
        <f t="shared" si="66"/>
        <v>Salvador</v>
      </c>
    </row>
    <row r="708" spans="1:15" x14ac:dyDescent="0.3">
      <c r="A708" s="10">
        <v>45748</v>
      </c>
      <c r="B708" s="9" t="s">
        <v>21</v>
      </c>
      <c r="C708" t="s">
        <v>352</v>
      </c>
      <c r="D708" s="9">
        <v>19738</v>
      </c>
      <c r="E708" s="5" t="s">
        <v>466</v>
      </c>
      <c r="F708" t="s">
        <v>118</v>
      </c>
      <c r="G708">
        <v>4426</v>
      </c>
      <c r="H708">
        <v>2257</v>
      </c>
      <c r="I708" s="8">
        <f t="shared" si="67"/>
        <v>0.50994125621328512</v>
      </c>
      <c r="J708" s="17">
        <v>0.7</v>
      </c>
      <c r="K708" s="12">
        <v>13.75</v>
      </c>
      <c r="L708" s="2">
        <f t="shared" si="64"/>
        <v>841.19999999999982</v>
      </c>
      <c r="M708" s="15">
        <f t="shared" si="68"/>
        <v>11566.499999999998</v>
      </c>
      <c r="N708" t="str">
        <f t="shared" si="65"/>
        <v>BA</v>
      </c>
      <c r="O708" t="str">
        <f t="shared" si="66"/>
        <v>Lauro De Freitas</v>
      </c>
    </row>
    <row r="709" spans="1:15" x14ac:dyDescent="0.3">
      <c r="A709" s="10">
        <v>45748</v>
      </c>
      <c r="B709" s="9" t="s">
        <v>129</v>
      </c>
      <c r="C709" t="s">
        <v>130</v>
      </c>
      <c r="D709" s="9">
        <v>19742</v>
      </c>
      <c r="E709" s="5" t="s">
        <v>467</v>
      </c>
      <c r="F709" t="s">
        <v>131</v>
      </c>
      <c r="G709">
        <v>1638</v>
      </c>
      <c r="H709">
        <v>778</v>
      </c>
      <c r="I709" s="8">
        <f t="shared" si="67"/>
        <v>0.47496947496947495</v>
      </c>
      <c r="J709" s="17">
        <v>0.7</v>
      </c>
      <c r="K709" s="12">
        <v>13.75</v>
      </c>
      <c r="L709" s="2">
        <f t="shared" si="64"/>
        <v>368.59999999999991</v>
      </c>
      <c r="M709" s="15">
        <f t="shared" si="68"/>
        <v>5068.2499999999991</v>
      </c>
      <c r="N709" t="str">
        <f t="shared" si="65"/>
        <v>AM</v>
      </c>
      <c r="O709" t="str">
        <f t="shared" si="66"/>
        <v>Manaus</v>
      </c>
    </row>
    <row r="710" spans="1:15" x14ac:dyDescent="0.3">
      <c r="A710" s="10">
        <v>45748</v>
      </c>
      <c r="B710" s="9" t="s">
        <v>129</v>
      </c>
      <c r="C710" t="s">
        <v>130</v>
      </c>
      <c r="D710" s="9">
        <v>19785</v>
      </c>
      <c r="E710" s="5" t="s">
        <v>468</v>
      </c>
      <c r="F710" t="s">
        <v>132</v>
      </c>
      <c r="G710">
        <v>1813</v>
      </c>
      <c r="H710">
        <v>818</v>
      </c>
      <c r="I710" s="8">
        <f t="shared" si="67"/>
        <v>0.45118587975730834</v>
      </c>
      <c r="J710" s="17">
        <v>0.7</v>
      </c>
      <c r="K710" s="12">
        <v>13.75</v>
      </c>
      <c r="L710" s="2">
        <f t="shared" si="64"/>
        <v>451.09999999999968</v>
      </c>
      <c r="M710" s="15">
        <f t="shared" si="68"/>
        <v>6202.6249999999955</v>
      </c>
      <c r="N710" t="str">
        <f t="shared" si="65"/>
        <v>AM</v>
      </c>
      <c r="O710" t="str">
        <f t="shared" si="66"/>
        <v>Manaus</v>
      </c>
    </row>
    <row r="711" spans="1:15" x14ac:dyDescent="0.3">
      <c r="A711" s="10">
        <v>45748</v>
      </c>
      <c r="B711" s="9" t="s">
        <v>129</v>
      </c>
      <c r="C711" t="s">
        <v>130</v>
      </c>
      <c r="D711" s="9">
        <v>19843</v>
      </c>
      <c r="E711" s="5" t="s">
        <v>469</v>
      </c>
      <c r="F711" t="s">
        <v>133</v>
      </c>
      <c r="G711">
        <v>1317</v>
      </c>
      <c r="H711">
        <v>593</v>
      </c>
      <c r="I711" s="8">
        <f t="shared" si="67"/>
        <v>0.45026575550493547</v>
      </c>
      <c r="J711" s="17">
        <v>0.7</v>
      </c>
      <c r="K711" s="12">
        <v>13.75</v>
      </c>
      <c r="L711" s="2">
        <f t="shared" si="64"/>
        <v>328.89999999999986</v>
      </c>
      <c r="M711" s="15">
        <f t="shared" si="68"/>
        <v>4522.3749999999982</v>
      </c>
      <c r="N711" t="str">
        <f t="shared" si="65"/>
        <v>AM</v>
      </c>
      <c r="O711" t="str">
        <f t="shared" si="66"/>
        <v>Manaus</v>
      </c>
    </row>
    <row r="712" spans="1:15" x14ac:dyDescent="0.3">
      <c r="A712" s="10">
        <v>45748</v>
      </c>
      <c r="B712" s="9" t="s">
        <v>129</v>
      </c>
      <c r="C712" t="s">
        <v>130</v>
      </c>
      <c r="D712" s="9">
        <v>19879</v>
      </c>
      <c r="E712" s="5" t="s">
        <v>470</v>
      </c>
      <c r="F712" t="s">
        <v>134</v>
      </c>
      <c r="G712">
        <v>1555</v>
      </c>
      <c r="H712">
        <v>853</v>
      </c>
      <c r="I712" s="8">
        <f t="shared" si="67"/>
        <v>0.54855305466237947</v>
      </c>
      <c r="J712" s="17">
        <v>0.7</v>
      </c>
      <c r="K712" s="12">
        <v>13.75</v>
      </c>
      <c r="L712" s="2">
        <f t="shared" si="64"/>
        <v>235.49999999999977</v>
      </c>
      <c r="M712" s="15">
        <f t="shared" si="68"/>
        <v>3238.1249999999968</v>
      </c>
      <c r="N712" t="str">
        <f t="shared" si="65"/>
        <v>AM</v>
      </c>
      <c r="O712" t="str">
        <f t="shared" si="66"/>
        <v>Manaus</v>
      </c>
    </row>
    <row r="713" spans="1:15" x14ac:dyDescent="0.3">
      <c r="A713" s="10">
        <v>45748</v>
      </c>
      <c r="B713" s="9" t="s">
        <v>89</v>
      </c>
      <c r="C713" t="s">
        <v>346</v>
      </c>
      <c r="D713" s="9">
        <v>19735</v>
      </c>
      <c r="E713" s="5" t="s">
        <v>471</v>
      </c>
      <c r="F713" t="s">
        <v>90</v>
      </c>
      <c r="G713">
        <v>1464</v>
      </c>
      <c r="H713">
        <v>685</v>
      </c>
      <c r="I713" s="8">
        <f t="shared" si="67"/>
        <v>0.46789617486338797</v>
      </c>
      <c r="J713" s="17">
        <v>0.7</v>
      </c>
      <c r="K713" s="12">
        <v>13.75</v>
      </c>
      <c r="L713" s="2">
        <f t="shared" si="64"/>
        <v>339.79999999999995</v>
      </c>
      <c r="M713" s="15">
        <f t="shared" si="68"/>
        <v>4672.2499999999991</v>
      </c>
      <c r="N713" t="str">
        <f t="shared" si="65"/>
        <v>CE</v>
      </c>
      <c r="O713" t="str">
        <f t="shared" si="66"/>
        <v>Fortaleza</v>
      </c>
    </row>
    <row r="714" spans="1:15" x14ac:dyDescent="0.3">
      <c r="A714" s="10">
        <v>45748</v>
      </c>
      <c r="B714" s="9" t="s">
        <v>89</v>
      </c>
      <c r="C714" t="s">
        <v>346</v>
      </c>
      <c r="D714" s="9">
        <v>19607</v>
      </c>
      <c r="E714" s="5" t="s">
        <v>472</v>
      </c>
      <c r="F714" t="s">
        <v>91</v>
      </c>
      <c r="G714">
        <v>1981</v>
      </c>
      <c r="H714">
        <v>825</v>
      </c>
      <c r="I714" s="8">
        <f t="shared" si="67"/>
        <v>0.4164563351842504</v>
      </c>
      <c r="J714" s="17">
        <v>0.7</v>
      </c>
      <c r="K714" s="12">
        <v>13.75</v>
      </c>
      <c r="L714" s="2">
        <f t="shared" si="64"/>
        <v>561.69999999999982</v>
      </c>
      <c r="M714" s="15">
        <f t="shared" si="68"/>
        <v>7723.3749999999973</v>
      </c>
      <c r="N714" t="str">
        <f t="shared" si="65"/>
        <v>CE</v>
      </c>
      <c r="O714" t="str">
        <f t="shared" si="66"/>
        <v>Fortaleza</v>
      </c>
    </row>
    <row r="715" spans="1:15" x14ac:dyDescent="0.3">
      <c r="A715" s="10">
        <v>45748</v>
      </c>
      <c r="B715" s="9" t="s">
        <v>89</v>
      </c>
      <c r="C715" t="s">
        <v>346</v>
      </c>
      <c r="D715" s="9">
        <v>19642</v>
      </c>
      <c r="E715" s="5" t="s">
        <v>473</v>
      </c>
      <c r="F715" t="s">
        <v>92</v>
      </c>
      <c r="G715">
        <v>1430</v>
      </c>
      <c r="H715">
        <v>616</v>
      </c>
      <c r="I715" s="8">
        <f t="shared" si="67"/>
        <v>0.43076923076923079</v>
      </c>
      <c r="J715" s="17">
        <v>0.7</v>
      </c>
      <c r="K715" s="12">
        <v>13.75</v>
      </c>
      <c r="L715" s="2">
        <f t="shared" si="64"/>
        <v>384.99999999999989</v>
      </c>
      <c r="M715" s="15">
        <f t="shared" si="68"/>
        <v>5293.7499999999982</v>
      </c>
      <c r="N715" t="str">
        <f t="shared" si="65"/>
        <v>CE</v>
      </c>
      <c r="O715" t="str">
        <f t="shared" si="66"/>
        <v>Fortaleza</v>
      </c>
    </row>
    <row r="716" spans="1:15" x14ac:dyDescent="0.3">
      <c r="A716" s="10">
        <v>45748</v>
      </c>
      <c r="B716" s="9" t="s">
        <v>89</v>
      </c>
      <c r="C716" t="s">
        <v>346</v>
      </c>
      <c r="D716" s="9">
        <v>19725</v>
      </c>
      <c r="E716" s="5" t="s">
        <v>474</v>
      </c>
      <c r="F716" t="s">
        <v>93</v>
      </c>
      <c r="G716">
        <v>1051</v>
      </c>
      <c r="H716">
        <v>483</v>
      </c>
      <c r="I716" s="8">
        <f t="shared" si="67"/>
        <v>0.45956232159847765</v>
      </c>
      <c r="J716" s="17">
        <v>0.7</v>
      </c>
      <c r="K716" s="12">
        <v>13.75</v>
      </c>
      <c r="L716" s="2">
        <f t="shared" si="64"/>
        <v>252.69999999999993</v>
      </c>
      <c r="M716" s="15">
        <f t="shared" si="68"/>
        <v>3474.6249999999991</v>
      </c>
      <c r="N716" t="str">
        <f t="shared" si="65"/>
        <v>CE</v>
      </c>
      <c r="O716" t="str">
        <f t="shared" si="66"/>
        <v>Fortaleza</v>
      </c>
    </row>
    <row r="717" spans="1:15" x14ac:dyDescent="0.3">
      <c r="A717" s="10">
        <v>45748</v>
      </c>
      <c r="B717" s="9" t="s">
        <v>89</v>
      </c>
      <c r="C717" t="s">
        <v>346</v>
      </c>
      <c r="D717" s="9">
        <v>19902</v>
      </c>
      <c r="E717" s="5" t="s">
        <v>475</v>
      </c>
      <c r="F717" t="s">
        <v>94</v>
      </c>
      <c r="G717">
        <v>1537</v>
      </c>
      <c r="H717">
        <v>727</v>
      </c>
      <c r="I717" s="8">
        <f t="shared" si="67"/>
        <v>0.47299934938191279</v>
      </c>
      <c r="J717" s="17">
        <v>0.7</v>
      </c>
      <c r="K717" s="12">
        <v>13.75</v>
      </c>
      <c r="L717" s="2">
        <f t="shared" si="64"/>
        <v>348.90000000000009</v>
      </c>
      <c r="M717" s="15">
        <f t="shared" si="68"/>
        <v>4797.3750000000009</v>
      </c>
      <c r="N717" t="str">
        <f t="shared" si="65"/>
        <v>CE</v>
      </c>
      <c r="O717" t="str">
        <f t="shared" si="66"/>
        <v>Fortaleza</v>
      </c>
    </row>
    <row r="718" spans="1:15" x14ac:dyDescent="0.3">
      <c r="A718" s="10">
        <v>45748</v>
      </c>
      <c r="B718" s="9" t="s">
        <v>89</v>
      </c>
      <c r="C718" t="s">
        <v>346</v>
      </c>
      <c r="D718" s="9">
        <v>19903</v>
      </c>
      <c r="E718" s="5" t="s">
        <v>476</v>
      </c>
      <c r="F718" t="s">
        <v>95</v>
      </c>
      <c r="G718">
        <v>1517</v>
      </c>
      <c r="H718">
        <v>850</v>
      </c>
      <c r="I718" s="8">
        <f t="shared" si="67"/>
        <v>0.56031641397495058</v>
      </c>
      <c r="J718" s="17">
        <v>0.7</v>
      </c>
      <c r="K718" s="12">
        <v>13.75</v>
      </c>
      <c r="L718" s="2">
        <f t="shared" si="64"/>
        <v>211.89999999999986</v>
      </c>
      <c r="M718" s="15">
        <f t="shared" si="68"/>
        <v>2913.6249999999982</v>
      </c>
      <c r="N718" t="str">
        <f t="shared" si="65"/>
        <v>CE</v>
      </c>
      <c r="O718" t="str">
        <f t="shared" si="66"/>
        <v>Fortaleza</v>
      </c>
    </row>
    <row r="719" spans="1:15" x14ac:dyDescent="0.3">
      <c r="A719" s="10">
        <v>45748</v>
      </c>
      <c r="B719" s="9" t="s">
        <v>82</v>
      </c>
      <c r="C719" t="s">
        <v>135</v>
      </c>
      <c r="D719" s="9">
        <v>19749</v>
      </c>
      <c r="E719" s="5" t="s">
        <v>477</v>
      </c>
      <c r="F719" t="s">
        <v>136</v>
      </c>
      <c r="G719">
        <v>1560</v>
      </c>
      <c r="H719">
        <v>495</v>
      </c>
      <c r="I719" s="8">
        <f t="shared" si="67"/>
        <v>0.31730769230769229</v>
      </c>
      <c r="J719" s="17">
        <v>0.7</v>
      </c>
      <c r="K719" s="12">
        <v>13.75</v>
      </c>
      <c r="L719" s="2">
        <f t="shared" si="64"/>
        <v>597</v>
      </c>
      <c r="M719" s="15">
        <f t="shared" si="68"/>
        <v>8208.75</v>
      </c>
      <c r="N719" t="str">
        <f t="shared" si="65"/>
        <v>PR</v>
      </c>
      <c r="O719" t="str">
        <f t="shared" si="66"/>
        <v>Maringá</v>
      </c>
    </row>
    <row r="720" spans="1:15" x14ac:dyDescent="0.3">
      <c r="A720" s="10">
        <v>45748</v>
      </c>
      <c r="B720" s="9" t="s">
        <v>82</v>
      </c>
      <c r="C720" t="s">
        <v>83</v>
      </c>
      <c r="D720" s="9">
        <v>19545</v>
      </c>
      <c r="E720" s="5" t="s">
        <v>478</v>
      </c>
      <c r="F720" t="s">
        <v>84</v>
      </c>
      <c r="G720">
        <v>3184</v>
      </c>
      <c r="H720">
        <v>1348</v>
      </c>
      <c r="I720" s="8">
        <f t="shared" si="67"/>
        <v>0.42336683417085424</v>
      </c>
      <c r="J720" s="17">
        <v>0.7</v>
      </c>
      <c r="K720" s="12">
        <v>13.75</v>
      </c>
      <c r="L720" s="2">
        <f t="shared" si="64"/>
        <v>880.79999999999973</v>
      </c>
      <c r="M720" s="15">
        <f t="shared" si="68"/>
        <v>12110.999999999996</v>
      </c>
      <c r="N720" t="str">
        <f t="shared" si="65"/>
        <v>PR</v>
      </c>
      <c r="O720" t="str">
        <f t="shared" si="66"/>
        <v>Curitiba</v>
      </c>
    </row>
    <row r="721" spans="1:15" x14ac:dyDescent="0.3">
      <c r="A721" s="10">
        <v>45748</v>
      </c>
      <c r="B721" s="9" t="s">
        <v>82</v>
      </c>
      <c r="C721" t="s">
        <v>83</v>
      </c>
      <c r="D721" s="9">
        <v>19546</v>
      </c>
      <c r="E721" s="5" t="s">
        <v>479</v>
      </c>
      <c r="F721" t="s">
        <v>85</v>
      </c>
      <c r="G721">
        <v>2245</v>
      </c>
      <c r="H721">
        <v>876</v>
      </c>
      <c r="I721" s="8">
        <f t="shared" si="67"/>
        <v>0.39020044543429844</v>
      </c>
      <c r="J721" s="17">
        <v>0.7</v>
      </c>
      <c r="K721" s="12">
        <v>13.75</v>
      </c>
      <c r="L721" s="2">
        <f t="shared" si="64"/>
        <v>695.49999999999977</v>
      </c>
      <c r="M721" s="15">
        <f t="shared" si="68"/>
        <v>9563.1249999999964</v>
      </c>
      <c r="N721" t="str">
        <f t="shared" si="65"/>
        <v>PR</v>
      </c>
      <c r="O721" t="str">
        <f t="shared" si="66"/>
        <v>Curitiba</v>
      </c>
    </row>
    <row r="722" spans="1:15" x14ac:dyDescent="0.3">
      <c r="A722" s="10">
        <v>45748</v>
      </c>
      <c r="B722" s="9" t="s">
        <v>3</v>
      </c>
      <c r="C722" t="s">
        <v>248</v>
      </c>
      <c r="D722" s="9">
        <v>19763</v>
      </c>
      <c r="E722" s="5" t="s">
        <v>480</v>
      </c>
      <c r="F722" t="s">
        <v>263</v>
      </c>
      <c r="G722">
        <v>1586</v>
      </c>
      <c r="H722">
        <v>489</v>
      </c>
      <c r="I722" s="8">
        <f t="shared" si="67"/>
        <v>0.30832282471626732</v>
      </c>
      <c r="J722" s="17">
        <v>0.7</v>
      </c>
      <c r="K722" s="12">
        <v>13.75</v>
      </c>
      <c r="L722" s="2">
        <f t="shared" si="64"/>
        <v>621.19999999999982</v>
      </c>
      <c r="M722" s="15">
        <f t="shared" si="68"/>
        <v>8541.4999999999982</v>
      </c>
      <c r="N722" t="str">
        <f t="shared" si="65"/>
        <v>SP</v>
      </c>
      <c r="O722" t="str">
        <f t="shared" si="66"/>
        <v>São Paulo</v>
      </c>
    </row>
    <row r="723" spans="1:15" x14ac:dyDescent="0.3">
      <c r="A723" s="10">
        <v>45748</v>
      </c>
      <c r="B723" s="9" t="s">
        <v>3</v>
      </c>
      <c r="C723" t="s">
        <v>248</v>
      </c>
      <c r="D723" s="9">
        <v>19711</v>
      </c>
      <c r="E723" s="5" t="s">
        <v>481</v>
      </c>
      <c r="F723" t="s">
        <v>264</v>
      </c>
      <c r="G723">
        <v>1792</v>
      </c>
      <c r="H723">
        <v>618</v>
      </c>
      <c r="I723" s="8">
        <f t="shared" si="67"/>
        <v>0.34486607142857145</v>
      </c>
      <c r="J723" s="17">
        <v>0.7</v>
      </c>
      <c r="K723" s="12">
        <v>13.75</v>
      </c>
      <c r="L723" s="2">
        <f t="shared" si="64"/>
        <v>636.39999999999986</v>
      </c>
      <c r="M723" s="15">
        <f t="shared" si="68"/>
        <v>8750.4999999999982</v>
      </c>
      <c r="N723" t="str">
        <f t="shared" si="65"/>
        <v>SP</v>
      </c>
      <c r="O723" t="str">
        <f t="shared" si="66"/>
        <v>São Paulo</v>
      </c>
    </row>
    <row r="724" spans="1:15" x14ac:dyDescent="0.3">
      <c r="A724" s="10">
        <v>45748</v>
      </c>
      <c r="B724" s="9" t="s">
        <v>46</v>
      </c>
      <c r="C724" t="s">
        <v>47</v>
      </c>
      <c r="D724" s="9">
        <v>19755</v>
      </c>
      <c r="E724" s="5" t="s">
        <v>482</v>
      </c>
      <c r="F724" t="s">
        <v>53</v>
      </c>
      <c r="G724">
        <v>1130</v>
      </c>
      <c r="H724">
        <v>485</v>
      </c>
      <c r="I724" s="8">
        <f t="shared" si="67"/>
        <v>0.42920353982300885</v>
      </c>
      <c r="J724" s="17">
        <v>0.7</v>
      </c>
      <c r="K724" s="12">
        <v>13.75</v>
      </c>
      <c r="L724" s="2">
        <f t="shared" si="64"/>
        <v>306</v>
      </c>
      <c r="M724" s="15">
        <f t="shared" si="68"/>
        <v>4207.5</v>
      </c>
      <c r="N724" t="str">
        <f t="shared" si="65"/>
        <v>DF</v>
      </c>
      <c r="O724" t="str">
        <f t="shared" si="66"/>
        <v>Brasília</v>
      </c>
    </row>
    <row r="725" spans="1:15" x14ac:dyDescent="0.3">
      <c r="A725" s="10">
        <v>45748</v>
      </c>
      <c r="B725" s="9" t="s">
        <v>3</v>
      </c>
      <c r="C725" t="s">
        <v>248</v>
      </c>
      <c r="D725" s="9">
        <v>19753</v>
      </c>
      <c r="E725" s="5" t="s">
        <v>483</v>
      </c>
      <c r="F725" t="s">
        <v>265</v>
      </c>
      <c r="G725">
        <v>2726</v>
      </c>
      <c r="H725">
        <v>1103</v>
      </c>
      <c r="I725" s="8">
        <f t="shared" si="67"/>
        <v>0.40462215700660309</v>
      </c>
      <c r="J725" s="17">
        <v>0.7</v>
      </c>
      <c r="K725" s="12">
        <v>13.75</v>
      </c>
      <c r="L725" s="2">
        <f t="shared" si="64"/>
        <v>805.19999999999982</v>
      </c>
      <c r="M725" s="15">
        <f t="shared" si="68"/>
        <v>11071.499999999998</v>
      </c>
      <c r="N725" t="str">
        <f t="shared" si="65"/>
        <v>SP</v>
      </c>
      <c r="O725" t="str">
        <f t="shared" si="66"/>
        <v>São Paulo</v>
      </c>
    </row>
    <row r="726" spans="1:15" x14ac:dyDescent="0.3">
      <c r="A726" s="10">
        <v>45748</v>
      </c>
      <c r="B726" s="9" t="s">
        <v>7</v>
      </c>
      <c r="C726" t="s">
        <v>99</v>
      </c>
      <c r="D726" s="9">
        <v>19754</v>
      </c>
      <c r="E726" s="5" t="s">
        <v>484</v>
      </c>
      <c r="F726" t="s">
        <v>101</v>
      </c>
      <c r="G726">
        <v>3356</v>
      </c>
      <c r="H726">
        <v>1543</v>
      </c>
      <c r="I726" s="8">
        <f t="shared" si="67"/>
        <v>0.4597735399284863</v>
      </c>
      <c r="J726" s="17">
        <v>0.7</v>
      </c>
      <c r="K726" s="12">
        <v>13.75</v>
      </c>
      <c r="L726" s="2">
        <f t="shared" si="64"/>
        <v>806.19999999999982</v>
      </c>
      <c r="M726" s="15">
        <f t="shared" si="68"/>
        <v>11085.249999999998</v>
      </c>
      <c r="N726" t="str">
        <f t="shared" si="65"/>
        <v>GO</v>
      </c>
      <c r="O726" t="str">
        <f t="shared" si="66"/>
        <v>Goiânia</v>
      </c>
    </row>
    <row r="727" spans="1:15" x14ac:dyDescent="0.3">
      <c r="A727" s="10">
        <v>45748</v>
      </c>
      <c r="B727" s="9" t="s">
        <v>14</v>
      </c>
      <c r="C727" t="s">
        <v>29</v>
      </c>
      <c r="D727" s="9">
        <v>19759</v>
      </c>
      <c r="E727" s="5" t="s">
        <v>485</v>
      </c>
      <c r="F727" t="s">
        <v>38</v>
      </c>
      <c r="G727">
        <v>1383</v>
      </c>
      <c r="H727">
        <v>648</v>
      </c>
      <c r="I727" s="8">
        <f t="shared" si="67"/>
        <v>0.46854663774403471</v>
      </c>
      <c r="J727" s="17">
        <v>0.7</v>
      </c>
      <c r="K727" s="12">
        <v>13.75</v>
      </c>
      <c r="L727" s="2">
        <f t="shared" si="64"/>
        <v>320.09999999999991</v>
      </c>
      <c r="M727" s="15">
        <f t="shared" si="68"/>
        <v>4401.3749999999991</v>
      </c>
      <c r="N727" t="str">
        <f t="shared" si="65"/>
        <v>MG</v>
      </c>
      <c r="O727" t="str">
        <f t="shared" si="66"/>
        <v>Belo Horizonte</v>
      </c>
    </row>
    <row r="728" spans="1:15" x14ac:dyDescent="0.3">
      <c r="A728" s="10">
        <v>45748</v>
      </c>
      <c r="B728" s="9" t="s">
        <v>195</v>
      </c>
      <c r="C728" t="s">
        <v>196</v>
      </c>
      <c r="D728" s="9">
        <v>19762</v>
      </c>
      <c r="E728" s="5" t="s">
        <v>486</v>
      </c>
      <c r="F728" t="s">
        <v>197</v>
      </c>
      <c r="G728">
        <v>1338</v>
      </c>
      <c r="H728">
        <v>727</v>
      </c>
      <c r="I728" s="8">
        <f t="shared" si="67"/>
        <v>0.5433482810164425</v>
      </c>
      <c r="J728" s="17">
        <v>0.7</v>
      </c>
      <c r="K728" s="12">
        <v>13.75</v>
      </c>
      <c r="L728" s="2">
        <f t="shared" si="64"/>
        <v>209.59999999999991</v>
      </c>
      <c r="M728" s="15">
        <f t="shared" si="68"/>
        <v>2881.9999999999986</v>
      </c>
      <c r="N728" t="str">
        <f t="shared" si="65"/>
        <v>AC</v>
      </c>
      <c r="O728" t="str">
        <f t="shared" si="66"/>
        <v>Rio Branco</v>
      </c>
    </row>
    <row r="729" spans="1:15" x14ac:dyDescent="0.3">
      <c r="A729" s="10">
        <v>45748</v>
      </c>
      <c r="B729" s="9" t="s">
        <v>82</v>
      </c>
      <c r="C729" t="s">
        <v>349</v>
      </c>
      <c r="D729" s="9">
        <v>19772</v>
      </c>
      <c r="E729" s="5" t="s">
        <v>487</v>
      </c>
      <c r="F729" t="s">
        <v>96</v>
      </c>
      <c r="G729">
        <v>1377</v>
      </c>
      <c r="H729">
        <v>784</v>
      </c>
      <c r="I729" s="8">
        <f t="shared" si="67"/>
        <v>0.56935366739288307</v>
      </c>
      <c r="J729" s="17">
        <v>0.7</v>
      </c>
      <c r="K729" s="12">
        <v>13.75</v>
      </c>
      <c r="L729" s="2">
        <f t="shared" si="64"/>
        <v>179.89999999999998</v>
      </c>
      <c r="M729" s="15">
        <f t="shared" si="68"/>
        <v>2473.6249999999995</v>
      </c>
      <c r="N729" t="str">
        <f t="shared" si="65"/>
        <v>PR</v>
      </c>
      <c r="O729" t="str">
        <f t="shared" si="66"/>
        <v>Foz Do Iguaçu</v>
      </c>
    </row>
    <row r="730" spans="1:15" x14ac:dyDescent="0.3">
      <c r="A730" s="10">
        <v>45748</v>
      </c>
      <c r="B730" s="9" t="s">
        <v>15</v>
      </c>
      <c r="C730" t="s">
        <v>345</v>
      </c>
      <c r="D730" s="9">
        <v>19687</v>
      </c>
      <c r="E730" s="5" t="s">
        <v>488</v>
      </c>
      <c r="F730" t="s">
        <v>88</v>
      </c>
      <c r="G730">
        <v>1761</v>
      </c>
      <c r="H730">
        <v>1411</v>
      </c>
      <c r="I730" s="8">
        <f t="shared" si="67"/>
        <v>0.8012492901760363</v>
      </c>
      <c r="J730" s="17">
        <v>0.7</v>
      </c>
      <c r="K730" s="12">
        <v>13.75</v>
      </c>
      <c r="L730" s="2">
        <f>G730-H730</f>
        <v>350</v>
      </c>
      <c r="M730" s="15">
        <f t="shared" si="68"/>
        <v>4812.5</v>
      </c>
      <c r="N730" t="str">
        <f t="shared" si="65"/>
        <v>RJ</v>
      </c>
      <c r="O730" t="str">
        <f t="shared" si="66"/>
        <v>Duque De Caxias</v>
      </c>
    </row>
    <row r="731" spans="1:15" x14ac:dyDescent="0.3">
      <c r="A731" s="10">
        <v>45748</v>
      </c>
      <c r="B731" s="9" t="s">
        <v>21</v>
      </c>
      <c r="C731" t="s">
        <v>181</v>
      </c>
      <c r="D731" s="9">
        <v>19778</v>
      </c>
      <c r="E731" s="5" t="s">
        <v>489</v>
      </c>
      <c r="F731" t="s">
        <v>182</v>
      </c>
      <c r="G731">
        <v>31</v>
      </c>
      <c r="H731">
        <v>10</v>
      </c>
      <c r="I731" s="8">
        <f t="shared" si="67"/>
        <v>0.32258064516129031</v>
      </c>
      <c r="J731" s="17">
        <v>0.7</v>
      </c>
      <c r="K731" s="12">
        <v>13.75</v>
      </c>
      <c r="L731" s="2">
        <f>H731*J731/I731-H731</f>
        <v>11.7</v>
      </c>
      <c r="M731" s="15">
        <f t="shared" si="68"/>
        <v>160.875</v>
      </c>
      <c r="N731" t="str">
        <f t="shared" si="65"/>
        <v>BA</v>
      </c>
      <c r="O731" t="str">
        <f t="shared" si="66"/>
        <v>Porto Seguro</v>
      </c>
    </row>
    <row r="732" spans="1:15" x14ac:dyDescent="0.3">
      <c r="A732" s="10">
        <v>45748</v>
      </c>
      <c r="B732" s="9" t="s">
        <v>21</v>
      </c>
      <c r="C732" t="s">
        <v>228</v>
      </c>
      <c r="D732" s="9">
        <v>19689</v>
      </c>
      <c r="E732" s="5" t="s">
        <v>490</v>
      </c>
      <c r="F732" t="s">
        <v>230</v>
      </c>
      <c r="G732">
        <v>2205</v>
      </c>
      <c r="H732">
        <v>1129</v>
      </c>
      <c r="I732" s="8">
        <f t="shared" si="67"/>
        <v>0.51201814058956918</v>
      </c>
      <c r="J732" s="17">
        <v>0.7</v>
      </c>
      <c r="K732" s="12">
        <v>13.75</v>
      </c>
      <c r="L732" s="2">
        <f>H732*J732/I732-H732</f>
        <v>414.49999999999977</v>
      </c>
      <c r="M732" s="15">
        <f t="shared" si="68"/>
        <v>5699.3749999999973</v>
      </c>
      <c r="N732" t="str">
        <f t="shared" si="65"/>
        <v>BA</v>
      </c>
      <c r="O732" t="str">
        <f t="shared" si="66"/>
        <v>Salvador</v>
      </c>
    </row>
    <row r="733" spans="1:15" x14ac:dyDescent="0.3">
      <c r="A733" s="10">
        <v>45748</v>
      </c>
      <c r="B733" s="9" t="s">
        <v>21</v>
      </c>
      <c r="C733" t="s">
        <v>228</v>
      </c>
      <c r="D733" s="9">
        <v>19625</v>
      </c>
      <c r="E733" s="5" t="s">
        <v>491</v>
      </c>
      <c r="F733" t="s">
        <v>231</v>
      </c>
      <c r="G733">
        <v>3057</v>
      </c>
      <c r="H733">
        <v>1357</v>
      </c>
      <c r="I733" s="8">
        <f t="shared" si="67"/>
        <v>0.44389924762839383</v>
      </c>
      <c r="J733" s="17">
        <v>0.7</v>
      </c>
      <c r="K733" s="12">
        <v>13.75</v>
      </c>
      <c r="L733" s="2">
        <f>H733*J733/I733-H733</f>
        <v>782.90000000000009</v>
      </c>
      <c r="M733" s="15">
        <f t="shared" si="68"/>
        <v>10764.875000000002</v>
      </c>
      <c r="N733" t="str">
        <f t="shared" si="65"/>
        <v>BA</v>
      </c>
      <c r="O733" t="str">
        <f t="shared" si="66"/>
        <v>Salvador</v>
      </c>
    </row>
    <row r="734" spans="1:15" x14ac:dyDescent="0.3">
      <c r="A734" s="10">
        <v>45748</v>
      </c>
      <c r="B734" s="9" t="s">
        <v>40</v>
      </c>
      <c r="C734" t="s">
        <v>41</v>
      </c>
      <c r="D734" s="9">
        <v>19787</v>
      </c>
      <c r="E734" s="5" t="s">
        <v>492</v>
      </c>
      <c r="F734" t="s">
        <v>42</v>
      </c>
      <c r="G734">
        <v>1025</v>
      </c>
      <c r="H734">
        <v>526</v>
      </c>
      <c r="I734" s="8">
        <f t="shared" si="67"/>
        <v>0.51317073170731708</v>
      </c>
      <c r="J734" s="17">
        <v>0.7</v>
      </c>
      <c r="K734" s="12">
        <v>13.75</v>
      </c>
      <c r="L734" s="2">
        <f>H734*J734/I734-H734</f>
        <v>191.5</v>
      </c>
      <c r="M734" s="15">
        <f t="shared" si="68"/>
        <v>2633.125</v>
      </c>
      <c r="N734" t="str">
        <f t="shared" si="65"/>
        <v>RR</v>
      </c>
      <c r="O734" t="str">
        <f t="shared" si="66"/>
        <v>Boa Vista</v>
      </c>
    </row>
    <row r="735" spans="1:15" x14ac:dyDescent="0.3">
      <c r="A735" s="10">
        <v>45748</v>
      </c>
      <c r="B735" s="9" t="s">
        <v>40</v>
      </c>
      <c r="C735" t="s">
        <v>41</v>
      </c>
      <c r="D735" s="9">
        <v>19868</v>
      </c>
      <c r="E735" s="5" t="s">
        <v>493</v>
      </c>
      <c r="F735" t="s">
        <v>43</v>
      </c>
      <c r="G735">
        <v>2017</v>
      </c>
      <c r="H735">
        <v>1830</v>
      </c>
      <c r="I735" s="8">
        <f t="shared" si="67"/>
        <v>0.90728805156172532</v>
      </c>
      <c r="J735" s="17">
        <v>0.7</v>
      </c>
      <c r="K735" s="12">
        <v>13.75</v>
      </c>
      <c r="L735" s="2">
        <f>G735-H735</f>
        <v>187</v>
      </c>
      <c r="M735" s="15">
        <f t="shared" si="68"/>
        <v>2571.25</v>
      </c>
      <c r="N735" t="str">
        <f t="shared" si="65"/>
        <v>RR</v>
      </c>
      <c r="O735" t="str">
        <f t="shared" si="66"/>
        <v>Boa Vista</v>
      </c>
    </row>
    <row r="736" spans="1:15" x14ac:dyDescent="0.3">
      <c r="A736" s="10">
        <v>45748</v>
      </c>
      <c r="B736" s="9" t="s">
        <v>3</v>
      </c>
      <c r="C736" t="s">
        <v>364</v>
      </c>
      <c r="D736" s="9">
        <v>19777</v>
      </c>
      <c r="E736" s="5" t="s">
        <v>494</v>
      </c>
      <c r="F736" t="s">
        <v>365</v>
      </c>
      <c r="G736">
        <v>1195</v>
      </c>
      <c r="H736">
        <v>322</v>
      </c>
      <c r="I736" s="8">
        <f t="shared" si="67"/>
        <v>0.2694560669456067</v>
      </c>
      <c r="J736" s="17">
        <v>0.7</v>
      </c>
      <c r="K736" s="12">
        <v>13.75</v>
      </c>
      <c r="L736" s="2">
        <f t="shared" ref="L736:L767" si="69">H736*J736/I736-H736</f>
        <v>514.49999999999989</v>
      </c>
      <c r="M736" s="15">
        <f t="shared" si="68"/>
        <v>7074.3749999999982</v>
      </c>
      <c r="N736" t="str">
        <f t="shared" si="65"/>
        <v>SP</v>
      </c>
      <c r="O736" t="str">
        <f t="shared" si="66"/>
        <v>São José Dos Campos</v>
      </c>
    </row>
    <row r="737" spans="1:15" x14ac:dyDescent="0.3">
      <c r="A737" s="10">
        <v>45748</v>
      </c>
      <c r="B737" s="9" t="s">
        <v>71</v>
      </c>
      <c r="C737" t="s">
        <v>175</v>
      </c>
      <c r="D737" s="9">
        <v>19788</v>
      </c>
      <c r="E737" s="5" t="s">
        <v>495</v>
      </c>
      <c r="F737" t="s">
        <v>177</v>
      </c>
      <c r="G737">
        <v>4500</v>
      </c>
      <c r="H737">
        <v>1423</v>
      </c>
      <c r="I737" s="8">
        <f t="shared" si="67"/>
        <v>0.31622222222222224</v>
      </c>
      <c r="J737" s="17">
        <v>0.7</v>
      </c>
      <c r="K737" s="12">
        <v>13.75</v>
      </c>
      <c r="L737" s="2">
        <f t="shared" si="69"/>
        <v>1726.9999999999995</v>
      </c>
      <c r="M737" s="15">
        <f t="shared" si="68"/>
        <v>23746.249999999993</v>
      </c>
      <c r="N737" t="str">
        <f t="shared" si="65"/>
        <v>RS</v>
      </c>
      <c r="O737" t="str">
        <f t="shared" si="66"/>
        <v>Porto Alegre</v>
      </c>
    </row>
    <row r="738" spans="1:15" x14ac:dyDescent="0.3">
      <c r="A738" s="10">
        <v>45748</v>
      </c>
      <c r="B738" s="9" t="s">
        <v>14</v>
      </c>
      <c r="C738" t="s">
        <v>29</v>
      </c>
      <c r="D738" s="9">
        <v>19793</v>
      </c>
      <c r="E738" s="5" t="s">
        <v>496</v>
      </c>
      <c r="F738" t="s">
        <v>39</v>
      </c>
      <c r="G738">
        <v>1267</v>
      </c>
      <c r="H738">
        <v>584</v>
      </c>
      <c r="I738" s="8">
        <f t="shared" si="67"/>
        <v>0.46093133385951063</v>
      </c>
      <c r="J738" s="17">
        <v>0.7</v>
      </c>
      <c r="K738" s="12">
        <v>13.75</v>
      </c>
      <c r="L738" s="2">
        <f t="shared" si="69"/>
        <v>302.89999999999998</v>
      </c>
      <c r="M738" s="15">
        <f t="shared" si="68"/>
        <v>4164.875</v>
      </c>
      <c r="N738" t="str">
        <f t="shared" si="65"/>
        <v>MG</v>
      </c>
      <c r="O738" t="str">
        <f t="shared" si="66"/>
        <v>Belo Horizonte</v>
      </c>
    </row>
    <row r="739" spans="1:15" x14ac:dyDescent="0.3">
      <c r="A739" s="10">
        <v>45748</v>
      </c>
      <c r="B739" s="9" t="s">
        <v>71</v>
      </c>
      <c r="C739" t="s">
        <v>175</v>
      </c>
      <c r="D739" s="9">
        <v>19842</v>
      </c>
      <c r="E739" s="5" t="s">
        <v>498</v>
      </c>
      <c r="F739" t="s">
        <v>178</v>
      </c>
      <c r="G739">
        <v>3176</v>
      </c>
      <c r="H739">
        <v>1084</v>
      </c>
      <c r="I739" s="8">
        <f t="shared" si="67"/>
        <v>0.34130982367758189</v>
      </c>
      <c r="J739" s="17">
        <v>0.7</v>
      </c>
      <c r="K739" s="12">
        <v>13.75</v>
      </c>
      <c r="L739" s="2">
        <f t="shared" si="69"/>
        <v>1139.1999999999998</v>
      </c>
      <c r="M739" s="15">
        <f t="shared" si="68"/>
        <v>15663.999999999998</v>
      </c>
      <c r="N739" t="str">
        <f t="shared" si="65"/>
        <v>RS</v>
      </c>
      <c r="O739" t="str">
        <f t="shared" si="66"/>
        <v>Porto Alegre</v>
      </c>
    </row>
    <row r="740" spans="1:15" x14ac:dyDescent="0.3">
      <c r="A740" s="10">
        <v>45748</v>
      </c>
      <c r="B740" s="9" t="s">
        <v>59</v>
      </c>
      <c r="C740" t="s">
        <v>292</v>
      </c>
      <c r="D740" s="9">
        <v>19580</v>
      </c>
      <c r="E740" s="5" t="s">
        <v>499</v>
      </c>
      <c r="F740" t="s">
        <v>293</v>
      </c>
      <c r="G740">
        <v>2678</v>
      </c>
      <c r="H740">
        <v>803</v>
      </c>
      <c r="I740" s="8">
        <f t="shared" si="67"/>
        <v>0.29985063480209112</v>
      </c>
      <c r="J740" s="17">
        <v>0.7</v>
      </c>
      <c r="K740" s="12">
        <v>13.75</v>
      </c>
      <c r="L740" s="2">
        <f t="shared" si="69"/>
        <v>1071.5999999999997</v>
      </c>
      <c r="M740" s="15">
        <f t="shared" si="68"/>
        <v>14734.499999999996</v>
      </c>
      <c r="N740" t="str">
        <f t="shared" si="65"/>
        <v>ES</v>
      </c>
      <c r="O740" t="str">
        <f t="shared" si="66"/>
        <v>Vitória</v>
      </c>
    </row>
    <row r="741" spans="1:15" x14ac:dyDescent="0.3">
      <c r="A741" s="10">
        <v>45748</v>
      </c>
      <c r="B741" s="9" t="s">
        <v>59</v>
      </c>
      <c r="C741" t="s">
        <v>292</v>
      </c>
      <c r="D741" s="9">
        <v>19719</v>
      </c>
      <c r="E741" s="5" t="s">
        <v>500</v>
      </c>
      <c r="F741" t="s">
        <v>294</v>
      </c>
      <c r="G741">
        <v>2016</v>
      </c>
      <c r="H741">
        <v>716</v>
      </c>
      <c r="I741" s="8">
        <f t="shared" si="67"/>
        <v>0.35515873015873017</v>
      </c>
      <c r="J741" s="17">
        <v>0.7</v>
      </c>
      <c r="K741" s="12">
        <v>13.75</v>
      </c>
      <c r="L741" s="2">
        <f t="shared" si="69"/>
        <v>695.19999999999982</v>
      </c>
      <c r="M741" s="15">
        <f t="shared" si="68"/>
        <v>9558.9999999999982</v>
      </c>
      <c r="N741" t="str">
        <f t="shared" si="65"/>
        <v>ES</v>
      </c>
      <c r="O741" t="str">
        <f t="shared" si="66"/>
        <v>Vitória</v>
      </c>
    </row>
    <row r="742" spans="1:15" x14ac:dyDescent="0.3">
      <c r="A742" s="10">
        <v>45748</v>
      </c>
      <c r="B742" s="9" t="s">
        <v>59</v>
      </c>
      <c r="C742" t="s">
        <v>289</v>
      </c>
      <c r="D742" s="9">
        <v>19581</v>
      </c>
      <c r="E742" s="5" t="s">
        <v>501</v>
      </c>
      <c r="F742" t="s">
        <v>290</v>
      </c>
      <c r="G742">
        <v>1939</v>
      </c>
      <c r="H742">
        <v>638</v>
      </c>
      <c r="I742" s="8">
        <f t="shared" si="67"/>
        <v>0.32903558535327487</v>
      </c>
      <c r="J742" s="17">
        <v>0.7</v>
      </c>
      <c r="K742" s="12">
        <v>13.75</v>
      </c>
      <c r="L742" s="2">
        <f t="shared" si="69"/>
        <v>719.3</v>
      </c>
      <c r="M742" s="15">
        <f t="shared" si="68"/>
        <v>9890.375</v>
      </c>
      <c r="N742" t="str">
        <f t="shared" si="65"/>
        <v>ES</v>
      </c>
      <c r="O742" t="str">
        <f t="shared" si="66"/>
        <v>Vila Velha</v>
      </c>
    </row>
    <row r="743" spans="1:15" x14ac:dyDescent="0.3">
      <c r="A743" s="10">
        <v>45748</v>
      </c>
      <c r="B743" s="9" t="s">
        <v>59</v>
      </c>
      <c r="C743" t="s">
        <v>289</v>
      </c>
      <c r="D743" s="9">
        <v>19876</v>
      </c>
      <c r="E743" s="5" t="s">
        <v>502</v>
      </c>
      <c r="F743" t="s">
        <v>291</v>
      </c>
      <c r="G743">
        <v>2235</v>
      </c>
      <c r="H743">
        <v>730</v>
      </c>
      <c r="I743" s="8">
        <f t="shared" si="67"/>
        <v>0.32662192393736017</v>
      </c>
      <c r="J743" s="17">
        <v>0.7</v>
      </c>
      <c r="K743" s="12">
        <v>13.75</v>
      </c>
      <c r="L743" s="2">
        <f t="shared" si="69"/>
        <v>834.49999999999977</v>
      </c>
      <c r="M743" s="15">
        <f t="shared" si="68"/>
        <v>11474.374999999996</v>
      </c>
      <c r="N743" t="str">
        <f t="shared" si="65"/>
        <v>ES</v>
      </c>
      <c r="O743" t="str">
        <f t="shared" si="66"/>
        <v>Vila Velha</v>
      </c>
    </row>
    <row r="744" spans="1:15" x14ac:dyDescent="0.3">
      <c r="A744" s="10">
        <v>45748</v>
      </c>
      <c r="B744" s="9" t="s">
        <v>59</v>
      </c>
      <c r="C744" t="s">
        <v>271</v>
      </c>
      <c r="D744" s="9">
        <v>19775</v>
      </c>
      <c r="E744" s="5" t="s">
        <v>503</v>
      </c>
      <c r="F744" t="s">
        <v>272</v>
      </c>
      <c r="G744">
        <v>1934</v>
      </c>
      <c r="H744">
        <v>791</v>
      </c>
      <c r="I744" s="8">
        <f t="shared" si="67"/>
        <v>0.40899689762150981</v>
      </c>
      <c r="J744" s="17">
        <v>0.7</v>
      </c>
      <c r="K744" s="12">
        <v>13.75</v>
      </c>
      <c r="L744" s="2">
        <f t="shared" si="69"/>
        <v>562.79999999999995</v>
      </c>
      <c r="M744" s="15">
        <f t="shared" si="68"/>
        <v>7738.4999999999991</v>
      </c>
      <c r="N744" t="str">
        <f t="shared" si="65"/>
        <v>ES</v>
      </c>
      <c r="O744" t="str">
        <f t="shared" si="66"/>
        <v>Serra</v>
      </c>
    </row>
    <row r="745" spans="1:15" x14ac:dyDescent="0.3">
      <c r="A745" s="10">
        <v>45748</v>
      </c>
      <c r="B745" s="9" t="s">
        <v>71</v>
      </c>
      <c r="C745" t="s">
        <v>175</v>
      </c>
      <c r="D745" s="9">
        <v>19874</v>
      </c>
      <c r="E745" s="5" t="s">
        <v>504</v>
      </c>
      <c r="F745" t="s">
        <v>179</v>
      </c>
      <c r="G745">
        <v>3349</v>
      </c>
      <c r="H745">
        <v>1157</v>
      </c>
      <c r="I745" s="8">
        <f t="shared" si="67"/>
        <v>0.34547626157061812</v>
      </c>
      <c r="J745" s="17">
        <v>0.7</v>
      </c>
      <c r="K745" s="12">
        <v>13.75</v>
      </c>
      <c r="L745" s="2">
        <f t="shared" si="69"/>
        <v>1187.2999999999997</v>
      </c>
      <c r="M745" s="15">
        <f t="shared" si="68"/>
        <v>16325.374999999996</v>
      </c>
      <c r="N745" t="str">
        <f t="shared" si="65"/>
        <v>RS</v>
      </c>
      <c r="O745" t="str">
        <f t="shared" si="66"/>
        <v>Porto Alegre</v>
      </c>
    </row>
    <row r="746" spans="1:15" x14ac:dyDescent="0.3">
      <c r="A746" s="10">
        <v>45748</v>
      </c>
      <c r="B746" s="9" t="s">
        <v>3</v>
      </c>
      <c r="C746" t="s">
        <v>165</v>
      </c>
      <c r="D746" s="9">
        <v>19761</v>
      </c>
      <c r="E746" s="5" t="s">
        <v>505</v>
      </c>
      <c r="F746" t="s">
        <v>166</v>
      </c>
      <c r="G746">
        <v>1582</v>
      </c>
      <c r="H746">
        <v>644</v>
      </c>
      <c r="I746" s="8">
        <f t="shared" si="67"/>
        <v>0.40707964601769914</v>
      </c>
      <c r="J746" s="17">
        <v>0.7</v>
      </c>
      <c r="K746" s="12">
        <v>13.75</v>
      </c>
      <c r="L746" s="2">
        <f t="shared" si="69"/>
        <v>463.39999999999986</v>
      </c>
      <c r="M746" s="15">
        <f t="shared" si="68"/>
        <v>6371.7499999999982</v>
      </c>
      <c r="N746" t="str">
        <f t="shared" si="65"/>
        <v>SP</v>
      </c>
      <c r="O746" t="str">
        <f t="shared" si="66"/>
        <v>Paulínia</v>
      </c>
    </row>
    <row r="747" spans="1:15" x14ac:dyDescent="0.3">
      <c r="A747" s="10">
        <v>45748</v>
      </c>
      <c r="B747" s="9" t="s">
        <v>46</v>
      </c>
      <c r="C747" t="s">
        <v>47</v>
      </c>
      <c r="D747" s="9">
        <v>19881</v>
      </c>
      <c r="E747" s="5" t="s">
        <v>507</v>
      </c>
      <c r="F747" t="s">
        <v>54</v>
      </c>
      <c r="G747">
        <v>2379</v>
      </c>
      <c r="H747">
        <v>946</v>
      </c>
      <c r="I747" s="8">
        <f t="shared" si="67"/>
        <v>0.39764606977721734</v>
      </c>
      <c r="J747" s="17">
        <v>0.7</v>
      </c>
      <c r="K747" s="12">
        <v>13.75</v>
      </c>
      <c r="L747" s="2">
        <f t="shared" si="69"/>
        <v>719.29999999999973</v>
      </c>
      <c r="M747" s="15">
        <f t="shared" si="68"/>
        <v>9890.3749999999964</v>
      </c>
      <c r="N747" t="str">
        <f t="shared" si="65"/>
        <v>DF</v>
      </c>
      <c r="O747" t="str">
        <f t="shared" si="66"/>
        <v>Brasília</v>
      </c>
    </row>
    <row r="748" spans="1:15" x14ac:dyDescent="0.3">
      <c r="A748" s="10">
        <v>45748</v>
      </c>
      <c r="B748" s="9" t="s">
        <v>3</v>
      </c>
      <c r="C748" t="s">
        <v>64</v>
      </c>
      <c r="D748" s="9">
        <v>19696</v>
      </c>
      <c r="E748" s="5" t="s">
        <v>508</v>
      </c>
      <c r="F748" t="s">
        <v>65</v>
      </c>
      <c r="G748">
        <v>1675</v>
      </c>
      <c r="H748">
        <v>558</v>
      </c>
      <c r="I748" s="8">
        <f t="shared" si="67"/>
        <v>0.33313432835820894</v>
      </c>
      <c r="J748" s="17">
        <v>0.7</v>
      </c>
      <c r="K748" s="12">
        <v>13.75</v>
      </c>
      <c r="L748" s="2">
        <f t="shared" si="69"/>
        <v>614.5</v>
      </c>
      <c r="M748" s="15">
        <f t="shared" si="68"/>
        <v>8449.375</v>
      </c>
      <c r="N748" t="str">
        <f t="shared" si="65"/>
        <v>SP</v>
      </c>
      <c r="O748" t="str">
        <f t="shared" si="66"/>
        <v>Campinas</v>
      </c>
    </row>
    <row r="749" spans="1:15" x14ac:dyDescent="0.3">
      <c r="A749" s="10">
        <v>45748</v>
      </c>
      <c r="B749" s="9" t="s">
        <v>71</v>
      </c>
      <c r="C749" t="s">
        <v>72</v>
      </c>
      <c r="D749" s="9">
        <v>19883</v>
      </c>
      <c r="E749" s="5" t="s">
        <v>509</v>
      </c>
      <c r="F749" t="s">
        <v>73</v>
      </c>
      <c r="G749">
        <v>1318</v>
      </c>
      <c r="H749">
        <v>410</v>
      </c>
      <c r="I749" s="8">
        <f t="shared" si="67"/>
        <v>0.31107738998482548</v>
      </c>
      <c r="J749" s="17">
        <v>0.7</v>
      </c>
      <c r="K749" s="12">
        <v>13.75</v>
      </c>
      <c r="L749" s="2">
        <f t="shared" si="69"/>
        <v>512.6</v>
      </c>
      <c r="M749" s="15">
        <f t="shared" si="68"/>
        <v>7048.25</v>
      </c>
      <c r="N749" t="str">
        <f t="shared" si="65"/>
        <v>RS</v>
      </c>
      <c r="O749" t="str">
        <f t="shared" si="66"/>
        <v>Canoas</v>
      </c>
    </row>
    <row r="750" spans="1:15" x14ac:dyDescent="0.3">
      <c r="A750" s="10">
        <v>45748</v>
      </c>
      <c r="B750" s="9" t="s">
        <v>15</v>
      </c>
      <c r="C750" t="s">
        <v>358</v>
      </c>
      <c r="D750" s="9">
        <v>19514</v>
      </c>
      <c r="E750" s="5" t="s">
        <v>510</v>
      </c>
      <c r="F750" t="s">
        <v>221</v>
      </c>
      <c r="G750">
        <v>3037</v>
      </c>
      <c r="H750">
        <v>1132</v>
      </c>
      <c r="I750" s="8">
        <f t="shared" si="67"/>
        <v>0.37273625288113271</v>
      </c>
      <c r="J750" s="17">
        <v>0.7</v>
      </c>
      <c r="K750" s="12">
        <v>13.75</v>
      </c>
      <c r="L750" s="2">
        <f t="shared" si="69"/>
        <v>993.89999999999964</v>
      </c>
      <c r="M750" s="15">
        <f t="shared" si="68"/>
        <v>13666.124999999995</v>
      </c>
      <c r="N750" t="str">
        <f t="shared" si="65"/>
        <v>RJ</v>
      </c>
      <c r="O750" t="str">
        <f t="shared" si="66"/>
        <v>Rio De Janeiro</v>
      </c>
    </row>
    <row r="751" spans="1:15" x14ac:dyDescent="0.3">
      <c r="A751" s="10">
        <v>45748</v>
      </c>
      <c r="B751" s="9" t="s">
        <v>15</v>
      </c>
      <c r="C751" t="s">
        <v>358</v>
      </c>
      <c r="D751" s="9">
        <v>19600</v>
      </c>
      <c r="E751" s="5" t="s">
        <v>511</v>
      </c>
      <c r="F751" t="s">
        <v>222</v>
      </c>
      <c r="G751">
        <v>2512</v>
      </c>
      <c r="H751">
        <v>972</v>
      </c>
      <c r="I751" s="8">
        <f t="shared" si="67"/>
        <v>0.38694267515923569</v>
      </c>
      <c r="J751" s="17">
        <v>0.7</v>
      </c>
      <c r="K751" s="12">
        <v>13.75</v>
      </c>
      <c r="L751" s="2">
        <f t="shared" si="69"/>
        <v>786.39999999999986</v>
      </c>
      <c r="M751" s="15">
        <f t="shared" si="68"/>
        <v>10812.999999999998</v>
      </c>
      <c r="N751" t="str">
        <f t="shared" si="65"/>
        <v>RJ</v>
      </c>
      <c r="O751" t="str">
        <f t="shared" si="66"/>
        <v>Rio De Janeiro</v>
      </c>
    </row>
    <row r="752" spans="1:15" x14ac:dyDescent="0.3">
      <c r="A752" s="10">
        <v>45748</v>
      </c>
      <c r="B752" s="9" t="s">
        <v>78</v>
      </c>
      <c r="C752" t="s">
        <v>277</v>
      </c>
      <c r="D752" s="9">
        <v>19896</v>
      </c>
      <c r="E752" s="5" t="s">
        <v>512</v>
      </c>
      <c r="F752" t="s">
        <v>278</v>
      </c>
      <c r="G752">
        <v>1624</v>
      </c>
      <c r="H752">
        <v>704</v>
      </c>
      <c r="I752" s="8">
        <f t="shared" si="67"/>
        <v>0.43349753694581283</v>
      </c>
      <c r="J752" s="17">
        <v>0.7</v>
      </c>
      <c r="K752" s="12">
        <v>13.75</v>
      </c>
      <c r="L752" s="2">
        <f t="shared" si="69"/>
        <v>432.79999999999973</v>
      </c>
      <c r="M752" s="15">
        <f t="shared" si="68"/>
        <v>5950.9999999999964</v>
      </c>
      <c r="N752" t="str">
        <f t="shared" si="65"/>
        <v>MT</v>
      </c>
      <c r="O752" t="str">
        <f t="shared" si="66"/>
        <v>Sorriso</v>
      </c>
    </row>
    <row r="753" spans="1:15" x14ac:dyDescent="0.3">
      <c r="A753" s="10">
        <v>45748</v>
      </c>
      <c r="B753" s="9" t="s">
        <v>14</v>
      </c>
      <c r="C753" t="s">
        <v>287</v>
      </c>
      <c r="D753" s="9">
        <v>19905</v>
      </c>
      <c r="E753" s="5" t="s">
        <v>513</v>
      </c>
      <c r="F753" t="s">
        <v>288</v>
      </c>
      <c r="G753">
        <v>1238</v>
      </c>
      <c r="H753">
        <v>542</v>
      </c>
      <c r="I753" s="8">
        <f t="shared" si="67"/>
        <v>0.43780290791599352</v>
      </c>
      <c r="J753" s="17">
        <v>0.7</v>
      </c>
      <c r="K753" s="12">
        <v>13.75</v>
      </c>
      <c r="L753" s="2">
        <f t="shared" si="69"/>
        <v>324.60000000000002</v>
      </c>
      <c r="M753" s="15">
        <f t="shared" si="68"/>
        <v>4463.25</v>
      </c>
      <c r="N753" t="str">
        <f t="shared" si="65"/>
        <v>MG</v>
      </c>
      <c r="O753" t="str">
        <f t="shared" si="66"/>
        <v>Varginha</v>
      </c>
    </row>
    <row r="754" spans="1:15" x14ac:dyDescent="0.3">
      <c r="A754" s="10">
        <v>45748</v>
      </c>
      <c r="B754" s="9" t="s">
        <v>3</v>
      </c>
      <c r="C754" t="s">
        <v>12</v>
      </c>
      <c r="D754" s="9">
        <v>19901</v>
      </c>
      <c r="E754" s="5" t="s">
        <v>514</v>
      </c>
      <c r="F754" t="s">
        <v>13</v>
      </c>
      <c r="G754">
        <v>802</v>
      </c>
      <c r="H754">
        <v>188</v>
      </c>
      <c r="I754" s="8">
        <f t="shared" si="67"/>
        <v>0.23441396508728179</v>
      </c>
      <c r="J754" s="17">
        <v>0.7</v>
      </c>
      <c r="K754" s="12">
        <v>13.75</v>
      </c>
      <c r="L754" s="2">
        <f t="shared" si="69"/>
        <v>373.4</v>
      </c>
      <c r="M754" s="15">
        <f t="shared" si="68"/>
        <v>5134.25</v>
      </c>
      <c r="N754" t="str">
        <f t="shared" si="65"/>
        <v>SP</v>
      </c>
      <c r="O754" t="str">
        <f t="shared" si="66"/>
        <v>Araras</v>
      </c>
    </row>
    <row r="755" spans="1:15" x14ac:dyDescent="0.3">
      <c r="A755" s="10">
        <v>45748</v>
      </c>
      <c r="B755" s="9" t="s">
        <v>14</v>
      </c>
      <c r="C755" t="s">
        <v>137</v>
      </c>
      <c r="D755" s="9">
        <v>19899</v>
      </c>
      <c r="E755" s="5" t="s">
        <v>515</v>
      </c>
      <c r="F755" t="s">
        <v>138</v>
      </c>
      <c r="G755">
        <v>1427</v>
      </c>
      <c r="H755">
        <v>668</v>
      </c>
      <c r="I755" s="8">
        <f t="shared" si="67"/>
        <v>0.46811492641906094</v>
      </c>
      <c r="J755" s="17">
        <v>0.7</v>
      </c>
      <c r="K755" s="12">
        <v>13.75</v>
      </c>
      <c r="L755" s="2">
        <f t="shared" si="69"/>
        <v>330.9</v>
      </c>
      <c r="M755" s="15">
        <f t="shared" si="68"/>
        <v>4549.875</v>
      </c>
      <c r="N755" t="str">
        <f t="shared" si="65"/>
        <v>MG</v>
      </c>
      <c r="O755" t="str">
        <f t="shared" si="66"/>
        <v>Montes Claros</v>
      </c>
    </row>
    <row r="756" spans="1:15" x14ac:dyDescent="0.3">
      <c r="A756" s="10">
        <v>45748</v>
      </c>
      <c r="B756" s="9" t="s">
        <v>14</v>
      </c>
      <c r="C756" t="s">
        <v>137</v>
      </c>
      <c r="D756" s="9">
        <v>19796</v>
      </c>
      <c r="E756" s="5" t="s">
        <v>516</v>
      </c>
      <c r="F756" t="s">
        <v>139</v>
      </c>
      <c r="G756">
        <v>3003</v>
      </c>
      <c r="H756">
        <v>1479</v>
      </c>
      <c r="I756" s="8">
        <f t="shared" si="67"/>
        <v>0.49250749250749248</v>
      </c>
      <c r="J756" s="17">
        <v>0.7</v>
      </c>
      <c r="K756" s="12">
        <v>13.75</v>
      </c>
      <c r="L756" s="2">
        <f t="shared" si="69"/>
        <v>623.09999999999991</v>
      </c>
      <c r="M756" s="15">
        <f t="shared" si="68"/>
        <v>8567.6249999999982</v>
      </c>
      <c r="N756" t="str">
        <f t="shared" si="65"/>
        <v>MG</v>
      </c>
      <c r="O756" t="str">
        <f t="shared" si="66"/>
        <v>Montes Claros</v>
      </c>
    </row>
    <row r="757" spans="1:15" x14ac:dyDescent="0.3">
      <c r="A757" s="10">
        <v>45748</v>
      </c>
      <c r="B757" s="9" t="s">
        <v>15</v>
      </c>
      <c r="C757" t="s">
        <v>358</v>
      </c>
      <c r="D757" s="9">
        <v>19528</v>
      </c>
      <c r="E757" s="5" t="s">
        <v>517</v>
      </c>
      <c r="F757" t="s">
        <v>223</v>
      </c>
      <c r="G757">
        <v>2744</v>
      </c>
      <c r="H757">
        <v>859</v>
      </c>
      <c r="I757" s="8">
        <f t="shared" si="67"/>
        <v>0.31304664723032072</v>
      </c>
      <c r="J757" s="17">
        <v>0.7</v>
      </c>
      <c r="K757" s="12">
        <v>13.75</v>
      </c>
      <c r="L757" s="2">
        <f t="shared" si="69"/>
        <v>1061.7999999999997</v>
      </c>
      <c r="M757" s="15">
        <f t="shared" si="68"/>
        <v>14599.749999999996</v>
      </c>
      <c r="N757" t="str">
        <f t="shared" si="65"/>
        <v>RJ</v>
      </c>
      <c r="O757" t="str">
        <f t="shared" si="66"/>
        <v>Rio De Janeiro</v>
      </c>
    </row>
    <row r="758" spans="1:15" x14ac:dyDescent="0.3">
      <c r="A758" s="10">
        <v>45748</v>
      </c>
      <c r="B758" s="9" t="s">
        <v>6</v>
      </c>
      <c r="C758" t="s">
        <v>158</v>
      </c>
      <c r="D758" s="9">
        <v>19914</v>
      </c>
      <c r="E758" s="5" t="s">
        <v>519</v>
      </c>
      <c r="F758" t="s">
        <v>159</v>
      </c>
      <c r="G758">
        <v>2249</v>
      </c>
      <c r="H758">
        <v>1324</v>
      </c>
      <c r="I758" s="8">
        <f t="shared" si="67"/>
        <v>0.58870609159626497</v>
      </c>
      <c r="J758" s="17">
        <v>0.7</v>
      </c>
      <c r="K758" s="12">
        <v>13.75</v>
      </c>
      <c r="L758" s="2">
        <f t="shared" si="69"/>
        <v>250.29999999999995</v>
      </c>
      <c r="M758" s="15">
        <f t="shared" si="68"/>
        <v>3441.6249999999995</v>
      </c>
      <c r="N758" t="str">
        <f t="shared" si="65"/>
        <v>PA</v>
      </c>
      <c r="O758" t="str">
        <f t="shared" si="66"/>
        <v>Parauapebas</v>
      </c>
    </row>
    <row r="759" spans="1:15" x14ac:dyDescent="0.3">
      <c r="A759" s="10">
        <v>45748</v>
      </c>
      <c r="B759" s="9" t="s">
        <v>155</v>
      </c>
      <c r="C759" t="s">
        <v>156</v>
      </c>
      <c r="D759" s="9">
        <v>19916</v>
      </c>
      <c r="E759" s="5" t="s">
        <v>520</v>
      </c>
      <c r="F759" t="s">
        <v>157</v>
      </c>
      <c r="G759">
        <v>2221</v>
      </c>
      <c r="H759">
        <v>992</v>
      </c>
      <c r="I759" s="8">
        <f t="shared" si="67"/>
        <v>0.44664565511031068</v>
      </c>
      <c r="J759" s="17">
        <v>0.7</v>
      </c>
      <c r="K759" s="12">
        <v>13.75</v>
      </c>
      <c r="L759" s="2">
        <f t="shared" si="69"/>
        <v>562.69999999999982</v>
      </c>
      <c r="M759" s="15">
        <f t="shared" si="68"/>
        <v>7737.1249999999973</v>
      </c>
      <c r="N759" t="str">
        <f t="shared" si="65"/>
        <v>TO</v>
      </c>
      <c r="O759" t="str">
        <f t="shared" si="66"/>
        <v>Palmas</v>
      </c>
    </row>
    <row r="760" spans="1:15" x14ac:dyDescent="0.3">
      <c r="A760" s="10">
        <v>45748</v>
      </c>
      <c r="B760" s="9" t="s">
        <v>74</v>
      </c>
      <c r="C760" t="s">
        <v>97</v>
      </c>
      <c r="D760" s="9">
        <v>19911</v>
      </c>
      <c r="E760" s="5" t="s">
        <v>522</v>
      </c>
      <c r="F760" t="s">
        <v>98</v>
      </c>
      <c r="G760">
        <v>1691</v>
      </c>
      <c r="H760">
        <v>834</v>
      </c>
      <c r="I760" s="8">
        <f t="shared" si="67"/>
        <v>0.49319929036073329</v>
      </c>
      <c r="J760" s="17">
        <v>0.7</v>
      </c>
      <c r="K760" s="12">
        <v>13.75</v>
      </c>
      <c r="L760" s="2">
        <f t="shared" si="69"/>
        <v>349.69999999999982</v>
      </c>
      <c r="M760" s="15">
        <f t="shared" si="68"/>
        <v>4808.3749999999973</v>
      </c>
      <c r="N760" t="str">
        <f t="shared" si="65"/>
        <v>PE</v>
      </c>
      <c r="O760" t="str">
        <f t="shared" si="66"/>
        <v>Garanhuns</v>
      </c>
    </row>
    <row r="761" spans="1:15" x14ac:dyDescent="0.3">
      <c r="A761" s="10">
        <v>45748</v>
      </c>
      <c r="B761" s="9" t="s">
        <v>15</v>
      </c>
      <c r="C761" t="s">
        <v>341</v>
      </c>
      <c r="D761" s="9">
        <v>19908</v>
      </c>
      <c r="E761" s="5" t="s">
        <v>523</v>
      </c>
      <c r="F761" t="s">
        <v>16</v>
      </c>
      <c r="G761">
        <v>1520</v>
      </c>
      <c r="H761">
        <v>754</v>
      </c>
      <c r="I761" s="8">
        <f t="shared" si="67"/>
        <v>0.49605263157894736</v>
      </c>
      <c r="J761" s="17">
        <v>0.7</v>
      </c>
      <c r="K761" s="12">
        <v>13.75</v>
      </c>
      <c r="L761" s="2">
        <f t="shared" si="69"/>
        <v>310</v>
      </c>
      <c r="M761" s="15">
        <f t="shared" si="68"/>
        <v>4262.5</v>
      </c>
      <c r="N761" t="str">
        <f t="shared" si="65"/>
        <v>RJ</v>
      </c>
      <c r="O761" t="str">
        <f t="shared" si="66"/>
        <v>Armação Dos Búzios</v>
      </c>
    </row>
    <row r="762" spans="1:15" x14ac:dyDescent="0.3">
      <c r="A762" s="10">
        <v>45748</v>
      </c>
      <c r="B762" s="9" t="s">
        <v>21</v>
      </c>
      <c r="C762" t="s">
        <v>121</v>
      </c>
      <c r="D762" s="9">
        <v>19910</v>
      </c>
      <c r="E762" s="5" t="s">
        <v>524</v>
      </c>
      <c r="F762" t="s">
        <v>122</v>
      </c>
      <c r="G762">
        <v>1244</v>
      </c>
      <c r="H762">
        <v>644</v>
      </c>
      <c r="I762" s="8">
        <f t="shared" si="67"/>
        <v>0.51768488745980712</v>
      </c>
      <c r="J762" s="17">
        <v>0.7</v>
      </c>
      <c r="K762" s="12">
        <v>13.75</v>
      </c>
      <c r="L762" s="2">
        <f t="shared" si="69"/>
        <v>226.79999999999984</v>
      </c>
      <c r="M762" s="15">
        <f t="shared" si="68"/>
        <v>3118.4999999999977</v>
      </c>
      <c r="N762" t="str">
        <f t="shared" si="65"/>
        <v>BA</v>
      </c>
      <c r="O762" t="str">
        <f t="shared" si="66"/>
        <v>Luís Eduardo Magalhães</v>
      </c>
    </row>
    <row r="763" spans="1:15" x14ac:dyDescent="0.3">
      <c r="A763" s="10">
        <v>45748</v>
      </c>
      <c r="B763" s="9" t="s">
        <v>82</v>
      </c>
      <c r="C763" t="s">
        <v>173</v>
      </c>
      <c r="D763" s="9">
        <v>19926</v>
      </c>
      <c r="E763" s="5" t="s">
        <v>525</v>
      </c>
      <c r="F763" t="s">
        <v>174</v>
      </c>
      <c r="G763">
        <v>1358</v>
      </c>
      <c r="H763">
        <v>502</v>
      </c>
      <c r="I763" s="8">
        <f t="shared" si="67"/>
        <v>0.36966126656848308</v>
      </c>
      <c r="J763" s="17">
        <v>0.7</v>
      </c>
      <c r="K763" s="12">
        <v>13.75</v>
      </c>
      <c r="L763" s="2">
        <f t="shared" si="69"/>
        <v>448.59999999999991</v>
      </c>
      <c r="M763" s="15">
        <f t="shared" si="68"/>
        <v>6168.2499999999991</v>
      </c>
      <c r="N763" t="str">
        <f t="shared" si="65"/>
        <v>PR</v>
      </c>
      <c r="O763" t="str">
        <f t="shared" si="66"/>
        <v>Ponta Grossa</v>
      </c>
    </row>
    <row r="764" spans="1:15" x14ac:dyDescent="0.3">
      <c r="A764" s="10">
        <v>45748</v>
      </c>
      <c r="B764" s="9" t="s">
        <v>15</v>
      </c>
      <c r="C764" t="s">
        <v>358</v>
      </c>
      <c r="D764" s="9">
        <v>19523</v>
      </c>
      <c r="E764" s="5" t="s">
        <v>526</v>
      </c>
      <c r="F764" t="s">
        <v>224</v>
      </c>
      <c r="G764">
        <v>2811</v>
      </c>
      <c r="H764">
        <v>820</v>
      </c>
      <c r="I764" s="8">
        <f t="shared" si="67"/>
        <v>0.29171113482746353</v>
      </c>
      <c r="J764" s="17">
        <v>0.7</v>
      </c>
      <c r="K764" s="12">
        <v>13.75</v>
      </c>
      <c r="L764" s="2">
        <f t="shared" si="69"/>
        <v>1147.7</v>
      </c>
      <c r="M764" s="15">
        <f t="shared" si="68"/>
        <v>15780.875</v>
      </c>
      <c r="N764" t="str">
        <f t="shared" si="65"/>
        <v>RJ</v>
      </c>
      <c r="O764" t="str">
        <f t="shared" si="66"/>
        <v>Rio De Janeiro</v>
      </c>
    </row>
    <row r="765" spans="1:15" x14ac:dyDescent="0.3">
      <c r="A765" s="10">
        <v>45748</v>
      </c>
      <c r="B765" s="9" t="s">
        <v>15</v>
      </c>
      <c r="C765" t="s">
        <v>358</v>
      </c>
      <c r="D765" s="9">
        <v>19652</v>
      </c>
      <c r="E765" s="5" t="s">
        <v>527</v>
      </c>
      <c r="F765" t="s">
        <v>225</v>
      </c>
      <c r="G765">
        <v>4325</v>
      </c>
      <c r="H765">
        <v>1359</v>
      </c>
      <c r="I765" s="8">
        <f t="shared" si="67"/>
        <v>0.31421965317919076</v>
      </c>
      <c r="J765" s="17">
        <v>0.7</v>
      </c>
      <c r="K765" s="12">
        <v>13.75</v>
      </c>
      <c r="L765" s="2">
        <f t="shared" si="69"/>
        <v>1668.4999999999995</v>
      </c>
      <c r="M765" s="15">
        <f t="shared" si="68"/>
        <v>22941.874999999993</v>
      </c>
      <c r="N765" t="str">
        <f t="shared" si="65"/>
        <v>RJ</v>
      </c>
      <c r="O765" t="str">
        <f t="shared" si="66"/>
        <v>Rio De Janeiro</v>
      </c>
    </row>
    <row r="766" spans="1:15" x14ac:dyDescent="0.3">
      <c r="A766" s="10">
        <v>45748</v>
      </c>
      <c r="B766" s="9" t="s">
        <v>15</v>
      </c>
      <c r="C766" t="s">
        <v>358</v>
      </c>
      <c r="D766" s="9">
        <v>19529</v>
      </c>
      <c r="E766" s="5" t="s">
        <v>528</v>
      </c>
      <c r="F766" t="s">
        <v>226</v>
      </c>
      <c r="G766">
        <v>4809</v>
      </c>
      <c r="H766">
        <v>1473</v>
      </c>
      <c r="I766" s="8">
        <f t="shared" si="67"/>
        <v>0.30630068621334999</v>
      </c>
      <c r="J766" s="17">
        <v>0.7</v>
      </c>
      <c r="K766" s="12">
        <v>13.75</v>
      </c>
      <c r="L766" s="2">
        <f t="shared" si="69"/>
        <v>1893.2999999999993</v>
      </c>
      <c r="M766" s="15">
        <f t="shared" si="68"/>
        <v>26032.874999999989</v>
      </c>
      <c r="N766" t="str">
        <f t="shared" si="65"/>
        <v>RJ</v>
      </c>
      <c r="O766" t="str">
        <f t="shared" si="66"/>
        <v>Rio De Janeiro</v>
      </c>
    </row>
    <row r="767" spans="1:15" x14ac:dyDescent="0.3">
      <c r="A767" s="10">
        <v>45748</v>
      </c>
      <c r="B767" s="9" t="s">
        <v>3</v>
      </c>
      <c r="C767" t="s">
        <v>248</v>
      </c>
      <c r="D767" s="9">
        <v>19889</v>
      </c>
      <c r="E767" s="5" t="s">
        <v>529</v>
      </c>
      <c r="F767" t="s">
        <v>266</v>
      </c>
      <c r="G767">
        <v>1606</v>
      </c>
      <c r="H767">
        <v>631</v>
      </c>
      <c r="I767" s="8">
        <f t="shared" si="67"/>
        <v>0.39290161892901621</v>
      </c>
      <c r="J767" s="17">
        <v>0.7</v>
      </c>
      <c r="K767" s="12">
        <v>13.75</v>
      </c>
      <c r="L767" s="2">
        <f t="shared" si="69"/>
        <v>493.19999999999982</v>
      </c>
      <c r="M767" s="15">
        <f t="shared" si="68"/>
        <v>6781.4999999999973</v>
      </c>
      <c r="N767" t="str">
        <f t="shared" si="65"/>
        <v>SP</v>
      </c>
      <c r="O767" t="str">
        <f t="shared" si="66"/>
        <v>São Paulo</v>
      </c>
    </row>
    <row r="768" spans="1:15" x14ac:dyDescent="0.3">
      <c r="A768" s="10">
        <v>45748</v>
      </c>
      <c r="B768" s="9" t="s">
        <v>3</v>
      </c>
      <c r="C768" t="s">
        <v>248</v>
      </c>
      <c r="D768" s="9">
        <v>19888</v>
      </c>
      <c r="E768" s="5" t="s">
        <v>530</v>
      </c>
      <c r="F768" t="s">
        <v>267</v>
      </c>
      <c r="G768">
        <v>1443</v>
      </c>
      <c r="H768">
        <v>487</v>
      </c>
      <c r="I768" s="8">
        <f t="shared" si="67"/>
        <v>0.33749133749133747</v>
      </c>
      <c r="J768" s="17">
        <v>0.7</v>
      </c>
      <c r="K768" s="12">
        <v>13.75</v>
      </c>
      <c r="L768" s="2">
        <f t="shared" ref="L768:L799" si="70">H768*J768/I768-H768</f>
        <v>523.1</v>
      </c>
      <c r="M768" s="15">
        <f t="shared" si="68"/>
        <v>7192.625</v>
      </c>
      <c r="N768" t="str">
        <f t="shared" si="65"/>
        <v>SP</v>
      </c>
      <c r="O768" t="str">
        <f t="shared" si="66"/>
        <v>São Paulo</v>
      </c>
    </row>
    <row r="769" spans="1:15" x14ac:dyDescent="0.3">
      <c r="A769" s="10">
        <v>45748</v>
      </c>
      <c r="B769" s="9" t="s">
        <v>82</v>
      </c>
      <c r="C769" t="s">
        <v>106</v>
      </c>
      <c r="D769" s="9">
        <v>19927</v>
      </c>
      <c r="E769" s="5" t="s">
        <v>531</v>
      </c>
      <c r="F769" t="s">
        <v>107</v>
      </c>
      <c r="G769">
        <v>750</v>
      </c>
      <c r="H769">
        <v>220</v>
      </c>
      <c r="I769" s="8">
        <f t="shared" si="67"/>
        <v>0.29333333333333333</v>
      </c>
      <c r="J769" s="17">
        <v>0.7</v>
      </c>
      <c r="K769" s="12">
        <v>13.75</v>
      </c>
      <c r="L769" s="2">
        <f t="shared" si="70"/>
        <v>305</v>
      </c>
      <c r="M769" s="15">
        <f t="shared" si="68"/>
        <v>4193.75</v>
      </c>
      <c r="N769" t="str">
        <f t="shared" si="65"/>
        <v>PR</v>
      </c>
      <c r="O769" t="str">
        <f t="shared" si="66"/>
        <v>Guarapuava</v>
      </c>
    </row>
    <row r="770" spans="1:15" x14ac:dyDescent="0.3">
      <c r="A770" s="10">
        <v>45748</v>
      </c>
      <c r="B770" s="9" t="s">
        <v>3</v>
      </c>
      <c r="C770" t="s">
        <v>44</v>
      </c>
      <c r="D770" s="9">
        <v>19930</v>
      </c>
      <c r="E770" s="5" t="s">
        <v>533</v>
      </c>
      <c r="F770" t="s">
        <v>45</v>
      </c>
      <c r="G770">
        <v>1914</v>
      </c>
      <c r="H770">
        <v>1013</v>
      </c>
      <c r="I770" s="8">
        <f t="shared" si="67"/>
        <v>0.52925809822361547</v>
      </c>
      <c r="J770" s="17">
        <v>0.7</v>
      </c>
      <c r="K770" s="12">
        <v>13.75</v>
      </c>
      <c r="L770" s="2">
        <f t="shared" si="70"/>
        <v>326.79999999999973</v>
      </c>
      <c r="M770" s="15">
        <f t="shared" si="68"/>
        <v>4493.4999999999964</v>
      </c>
      <c r="N770" t="str">
        <f t="shared" ref="N770:N833" si="71">B770</f>
        <v>SP</v>
      </c>
      <c r="O770" t="str">
        <f t="shared" ref="O770:O833" si="72">C770</f>
        <v>Botucatu</v>
      </c>
    </row>
    <row r="771" spans="1:15" x14ac:dyDescent="0.3">
      <c r="A771" s="10">
        <v>45748</v>
      </c>
      <c r="B771" s="9" t="s">
        <v>3</v>
      </c>
      <c r="C771" t="s">
        <v>353</v>
      </c>
      <c r="D771" s="9">
        <v>19675</v>
      </c>
      <c r="E771" s="5" t="s">
        <v>534</v>
      </c>
      <c r="F771" t="s">
        <v>354</v>
      </c>
      <c r="G771">
        <v>797</v>
      </c>
      <c r="H771">
        <v>292</v>
      </c>
      <c r="I771" s="8">
        <f t="shared" ref="I771:I834" si="73">H771/G771</f>
        <v>0.36637390213299875</v>
      </c>
      <c r="J771" s="17">
        <v>0.7</v>
      </c>
      <c r="K771" s="12">
        <v>13.75</v>
      </c>
      <c r="L771" s="2">
        <f t="shared" si="70"/>
        <v>265.89999999999998</v>
      </c>
      <c r="M771" s="15">
        <f t="shared" ref="M771:M834" si="74">L771*K771</f>
        <v>3656.1249999999995</v>
      </c>
      <c r="N771" t="str">
        <f t="shared" si="71"/>
        <v>SP</v>
      </c>
      <c r="O771" t="str">
        <f t="shared" si="72"/>
        <v>Limeira</v>
      </c>
    </row>
    <row r="772" spans="1:15" x14ac:dyDescent="0.3">
      <c r="A772" s="10">
        <v>45748</v>
      </c>
      <c r="B772" s="9" t="s">
        <v>15</v>
      </c>
      <c r="C772" t="s">
        <v>358</v>
      </c>
      <c r="D772" s="9">
        <v>19609</v>
      </c>
      <c r="E772" s="5" t="s">
        <v>535</v>
      </c>
      <c r="F772" t="s">
        <v>227</v>
      </c>
      <c r="G772">
        <v>2149</v>
      </c>
      <c r="H772">
        <v>946</v>
      </c>
      <c r="I772" s="8">
        <f t="shared" si="73"/>
        <v>0.44020474639367146</v>
      </c>
      <c r="J772" s="17">
        <v>0.7</v>
      </c>
      <c r="K772" s="12">
        <v>13.75</v>
      </c>
      <c r="L772" s="2">
        <f t="shared" si="70"/>
        <v>558.29999999999995</v>
      </c>
      <c r="M772" s="15">
        <f t="shared" si="74"/>
        <v>7676.6249999999991</v>
      </c>
      <c r="N772" t="str">
        <f t="shared" si="71"/>
        <v>RJ</v>
      </c>
      <c r="O772" t="str">
        <f t="shared" si="72"/>
        <v>Rio De Janeiro</v>
      </c>
    </row>
    <row r="773" spans="1:15" x14ac:dyDescent="0.3">
      <c r="A773" s="10">
        <v>45748</v>
      </c>
      <c r="B773" s="9" t="s">
        <v>3</v>
      </c>
      <c r="C773" t="s">
        <v>4</v>
      </c>
      <c r="D773" s="9">
        <v>19928</v>
      </c>
      <c r="E773" s="5" t="s">
        <v>536</v>
      </c>
      <c r="F773" t="s">
        <v>5</v>
      </c>
      <c r="G773">
        <v>1368</v>
      </c>
      <c r="H773">
        <v>715</v>
      </c>
      <c r="I773" s="8">
        <f t="shared" si="73"/>
        <v>0.52266081871345027</v>
      </c>
      <c r="J773" s="17">
        <v>0.7</v>
      </c>
      <c r="K773" s="12">
        <v>13.75</v>
      </c>
      <c r="L773" s="2">
        <f t="shared" si="70"/>
        <v>242.59999999999991</v>
      </c>
      <c r="M773" s="15">
        <f t="shared" si="74"/>
        <v>3335.7499999999986</v>
      </c>
      <c r="N773" t="str">
        <f t="shared" si="71"/>
        <v>SP</v>
      </c>
      <c r="O773" t="str">
        <f t="shared" si="72"/>
        <v>Americana</v>
      </c>
    </row>
    <row r="774" spans="1:15" x14ac:dyDescent="0.3">
      <c r="A774" s="10">
        <v>45748</v>
      </c>
      <c r="B774" s="9" t="s">
        <v>15</v>
      </c>
      <c r="C774" t="s">
        <v>149</v>
      </c>
      <c r="D774" s="9">
        <v>19746</v>
      </c>
      <c r="E774" s="5" t="s">
        <v>537</v>
      </c>
      <c r="F774" t="s">
        <v>150</v>
      </c>
      <c r="G774">
        <v>759</v>
      </c>
      <c r="H774">
        <v>391</v>
      </c>
      <c r="I774" s="8">
        <f t="shared" si="73"/>
        <v>0.51515151515151514</v>
      </c>
      <c r="J774" s="17">
        <v>0.7</v>
      </c>
      <c r="K774" s="12">
        <v>13.75</v>
      </c>
      <c r="L774" s="2">
        <f t="shared" si="70"/>
        <v>140.29999999999995</v>
      </c>
      <c r="M774" s="15">
        <f t="shared" si="74"/>
        <v>1929.1249999999993</v>
      </c>
      <c r="N774" t="str">
        <f t="shared" si="71"/>
        <v>RJ</v>
      </c>
      <c r="O774" t="str">
        <f t="shared" si="72"/>
        <v>Nova Friburgo</v>
      </c>
    </row>
    <row r="775" spans="1:15" x14ac:dyDescent="0.3">
      <c r="A775" s="10">
        <v>45748</v>
      </c>
      <c r="B775" s="9" t="s">
        <v>71</v>
      </c>
      <c r="C775" t="s">
        <v>163</v>
      </c>
      <c r="D775" s="9">
        <v>19933</v>
      </c>
      <c r="E775" s="5" t="s">
        <v>538</v>
      </c>
      <c r="F775" t="s">
        <v>164</v>
      </c>
      <c r="G775">
        <v>815</v>
      </c>
      <c r="H775">
        <v>276</v>
      </c>
      <c r="I775" s="8">
        <f t="shared" si="73"/>
        <v>0.33865030674846625</v>
      </c>
      <c r="J775" s="17">
        <v>0.7</v>
      </c>
      <c r="K775" s="12">
        <v>13.75</v>
      </c>
      <c r="L775" s="2">
        <f t="shared" si="70"/>
        <v>294.5</v>
      </c>
      <c r="M775" s="15">
        <f t="shared" si="74"/>
        <v>4049.375</v>
      </c>
      <c r="N775" t="str">
        <f t="shared" si="71"/>
        <v>RS</v>
      </c>
      <c r="O775" t="str">
        <f t="shared" si="72"/>
        <v>Passo</v>
      </c>
    </row>
    <row r="776" spans="1:15" x14ac:dyDescent="0.3">
      <c r="A776" s="10">
        <v>45748</v>
      </c>
      <c r="B776" s="9" t="s">
        <v>59</v>
      </c>
      <c r="C776" t="s">
        <v>343</v>
      </c>
      <c r="D776" s="9">
        <v>19944</v>
      </c>
      <c r="E776" s="5" t="s">
        <v>539</v>
      </c>
      <c r="F776" t="s">
        <v>60</v>
      </c>
      <c r="G776">
        <v>2388</v>
      </c>
      <c r="H776">
        <v>1039</v>
      </c>
      <c r="I776" s="8">
        <f t="shared" si="73"/>
        <v>0.43509212730318259</v>
      </c>
      <c r="J776" s="17">
        <v>0.7</v>
      </c>
      <c r="K776" s="12">
        <v>13.75</v>
      </c>
      <c r="L776" s="2">
        <f t="shared" si="70"/>
        <v>632.59999999999991</v>
      </c>
      <c r="M776" s="15">
        <f t="shared" si="74"/>
        <v>8698.2499999999982</v>
      </c>
      <c r="N776" t="str">
        <f t="shared" si="71"/>
        <v>ES</v>
      </c>
      <c r="O776" t="str">
        <f t="shared" si="72"/>
        <v>Cachoeira De Itapemirim</v>
      </c>
    </row>
    <row r="777" spans="1:15" x14ac:dyDescent="0.3">
      <c r="A777" s="10">
        <v>45748</v>
      </c>
      <c r="B777" s="9" t="s">
        <v>82</v>
      </c>
      <c r="C777" t="s">
        <v>83</v>
      </c>
      <c r="D777" s="9">
        <v>19936</v>
      </c>
      <c r="E777" s="5" t="s">
        <v>540</v>
      </c>
      <c r="F777" t="s">
        <v>86</v>
      </c>
      <c r="G777">
        <v>1901</v>
      </c>
      <c r="H777">
        <v>556</v>
      </c>
      <c r="I777" s="8">
        <f t="shared" si="73"/>
        <v>0.29247764334560755</v>
      </c>
      <c r="J777" s="17">
        <v>0.7</v>
      </c>
      <c r="K777" s="12">
        <v>13.75</v>
      </c>
      <c r="L777" s="2">
        <f t="shared" si="70"/>
        <v>774.7</v>
      </c>
      <c r="M777" s="15">
        <f t="shared" si="74"/>
        <v>10652.125</v>
      </c>
      <c r="N777" t="str">
        <f t="shared" si="71"/>
        <v>PR</v>
      </c>
      <c r="O777" t="str">
        <f t="shared" si="72"/>
        <v>Curitiba</v>
      </c>
    </row>
    <row r="778" spans="1:15" x14ac:dyDescent="0.3">
      <c r="A778" s="10">
        <v>45748</v>
      </c>
      <c r="B778" s="9" t="s">
        <v>21</v>
      </c>
      <c r="C778" t="s">
        <v>228</v>
      </c>
      <c r="D778" s="9">
        <v>19931</v>
      </c>
      <c r="E778" s="5" t="s">
        <v>541</v>
      </c>
      <c r="F778" t="s">
        <v>233</v>
      </c>
      <c r="G778">
        <v>1806</v>
      </c>
      <c r="H778">
        <v>788</v>
      </c>
      <c r="I778" s="8">
        <f t="shared" si="73"/>
        <v>0.43632336655592469</v>
      </c>
      <c r="J778" s="17">
        <v>0.7</v>
      </c>
      <c r="K778" s="12">
        <v>13.75</v>
      </c>
      <c r="L778" s="2">
        <f t="shared" si="70"/>
        <v>476.19999999999982</v>
      </c>
      <c r="M778" s="15">
        <f t="shared" si="74"/>
        <v>6547.7499999999973</v>
      </c>
      <c r="N778" t="str">
        <f t="shared" si="71"/>
        <v>BA</v>
      </c>
      <c r="O778" t="str">
        <f t="shared" si="72"/>
        <v>Salvador</v>
      </c>
    </row>
    <row r="779" spans="1:15" x14ac:dyDescent="0.3">
      <c r="A779" s="10">
        <v>45748</v>
      </c>
      <c r="B779" s="9" t="s">
        <v>14</v>
      </c>
      <c r="C779" t="s">
        <v>273</v>
      </c>
      <c r="D779" s="9">
        <v>19937</v>
      </c>
      <c r="E779" s="5" t="s">
        <v>542</v>
      </c>
      <c r="F779" t="s">
        <v>274</v>
      </c>
      <c r="G779">
        <v>1295</v>
      </c>
      <c r="H779">
        <v>725</v>
      </c>
      <c r="I779" s="8">
        <f t="shared" si="73"/>
        <v>0.55984555984555984</v>
      </c>
      <c r="J779" s="17">
        <v>0.7</v>
      </c>
      <c r="K779" s="12">
        <v>13.75</v>
      </c>
      <c r="L779" s="2">
        <f t="shared" si="70"/>
        <v>181.49999999999989</v>
      </c>
      <c r="M779" s="15">
        <f t="shared" si="74"/>
        <v>2495.6249999999986</v>
      </c>
      <c r="N779" t="str">
        <f t="shared" si="71"/>
        <v>MG</v>
      </c>
      <c r="O779" t="str">
        <f t="shared" si="72"/>
        <v>Sete Lagoas</v>
      </c>
    </row>
    <row r="780" spans="1:15" x14ac:dyDescent="0.3">
      <c r="A780" s="10">
        <v>45748</v>
      </c>
      <c r="B780" s="9" t="s">
        <v>46</v>
      </c>
      <c r="C780" t="s">
        <v>102</v>
      </c>
      <c r="D780" s="9">
        <v>19553</v>
      </c>
      <c r="E780" s="5" t="s">
        <v>543</v>
      </c>
      <c r="F780" t="s">
        <v>103</v>
      </c>
      <c r="G780">
        <v>2432</v>
      </c>
      <c r="H780">
        <v>964</v>
      </c>
      <c r="I780" s="8">
        <f t="shared" si="73"/>
        <v>0.39638157894736842</v>
      </c>
      <c r="J780" s="17">
        <v>0.7</v>
      </c>
      <c r="K780" s="12">
        <v>13.75</v>
      </c>
      <c r="L780" s="2">
        <f t="shared" si="70"/>
        <v>738.39999999999986</v>
      </c>
      <c r="M780" s="15">
        <f t="shared" si="74"/>
        <v>10152.999999999998</v>
      </c>
      <c r="N780" t="str">
        <f t="shared" si="71"/>
        <v>DF</v>
      </c>
      <c r="O780" t="str">
        <f t="shared" si="72"/>
        <v>Guará</v>
      </c>
    </row>
    <row r="781" spans="1:15" x14ac:dyDescent="0.3">
      <c r="A781" s="10">
        <v>45748</v>
      </c>
      <c r="B781" s="9" t="s">
        <v>140</v>
      </c>
      <c r="C781" t="s">
        <v>141</v>
      </c>
      <c r="D781" s="9">
        <v>19940</v>
      </c>
      <c r="E781" s="5" t="s">
        <v>545</v>
      </c>
      <c r="F781" t="s">
        <v>142</v>
      </c>
      <c r="G781">
        <v>2004</v>
      </c>
      <c r="H781">
        <v>1129</v>
      </c>
      <c r="I781" s="8">
        <f t="shared" si="73"/>
        <v>0.56337325349301393</v>
      </c>
      <c r="J781" s="17">
        <v>0.7</v>
      </c>
      <c r="K781" s="12">
        <v>13.75</v>
      </c>
      <c r="L781" s="2">
        <f t="shared" si="70"/>
        <v>273.79999999999995</v>
      </c>
      <c r="M781" s="15">
        <f t="shared" si="74"/>
        <v>3764.7499999999995</v>
      </c>
      <c r="N781" t="str">
        <f t="shared" si="71"/>
        <v>RN</v>
      </c>
      <c r="O781" t="str">
        <f t="shared" si="72"/>
        <v>Natal</v>
      </c>
    </row>
    <row r="782" spans="1:15" x14ac:dyDescent="0.3">
      <c r="A782" s="10">
        <v>45748</v>
      </c>
      <c r="B782" s="9" t="s">
        <v>123</v>
      </c>
      <c r="C782" t="s">
        <v>124</v>
      </c>
      <c r="D782" s="9">
        <v>19945</v>
      </c>
      <c r="E782" s="5" t="s">
        <v>546</v>
      </c>
      <c r="F782" t="s">
        <v>125</v>
      </c>
      <c r="G782">
        <v>1772</v>
      </c>
      <c r="H782">
        <v>1135</v>
      </c>
      <c r="I782" s="8">
        <f t="shared" si="73"/>
        <v>0.64051918735891644</v>
      </c>
      <c r="J782" s="17">
        <v>0.7</v>
      </c>
      <c r="K782" s="12">
        <v>13.75</v>
      </c>
      <c r="L782" s="2">
        <f t="shared" si="70"/>
        <v>105.40000000000009</v>
      </c>
      <c r="M782" s="15">
        <f t="shared" si="74"/>
        <v>1449.2500000000014</v>
      </c>
      <c r="N782" t="str">
        <f t="shared" si="71"/>
        <v>AP</v>
      </c>
      <c r="O782" t="str">
        <f t="shared" si="72"/>
        <v>Macapa</v>
      </c>
    </row>
    <row r="783" spans="1:15" x14ac:dyDescent="0.3">
      <c r="A783" s="10">
        <v>45748</v>
      </c>
      <c r="B783" s="9" t="s">
        <v>21</v>
      </c>
      <c r="C783" t="s">
        <v>228</v>
      </c>
      <c r="D783" s="9">
        <v>19907</v>
      </c>
      <c r="E783" s="5" t="s">
        <v>547</v>
      </c>
      <c r="F783" t="s">
        <v>234</v>
      </c>
      <c r="G783">
        <v>1309</v>
      </c>
      <c r="H783">
        <v>671</v>
      </c>
      <c r="I783" s="8">
        <f t="shared" si="73"/>
        <v>0.51260504201680668</v>
      </c>
      <c r="J783" s="17">
        <v>0.7</v>
      </c>
      <c r="K783" s="12">
        <v>13.75</v>
      </c>
      <c r="L783" s="2">
        <f t="shared" si="70"/>
        <v>245.30000000000007</v>
      </c>
      <c r="M783" s="15">
        <f t="shared" si="74"/>
        <v>3372.8750000000009</v>
      </c>
      <c r="N783" t="str">
        <f t="shared" si="71"/>
        <v>BA</v>
      </c>
      <c r="O783" t="str">
        <f t="shared" si="72"/>
        <v>Salvador</v>
      </c>
    </row>
    <row r="784" spans="1:15" x14ac:dyDescent="0.3">
      <c r="A784" s="10">
        <v>45748</v>
      </c>
      <c r="B784" s="9" t="s">
        <v>15</v>
      </c>
      <c r="C784" t="s">
        <v>145</v>
      </c>
      <c r="D784" s="9">
        <v>19538</v>
      </c>
      <c r="E784" s="5" t="s">
        <v>548</v>
      </c>
      <c r="F784" t="s">
        <v>146</v>
      </c>
      <c r="G784">
        <v>2571</v>
      </c>
      <c r="H784">
        <v>1181</v>
      </c>
      <c r="I784" s="8">
        <f t="shared" si="73"/>
        <v>0.45935433683391674</v>
      </c>
      <c r="J784" s="17">
        <v>0.7</v>
      </c>
      <c r="K784" s="12">
        <v>13.75</v>
      </c>
      <c r="L784" s="2">
        <f t="shared" si="70"/>
        <v>618.70000000000005</v>
      </c>
      <c r="M784" s="15">
        <f t="shared" si="74"/>
        <v>8507.125</v>
      </c>
      <c r="N784" t="str">
        <f t="shared" si="71"/>
        <v>RJ</v>
      </c>
      <c r="O784" t="str">
        <f t="shared" si="72"/>
        <v>Niterói</v>
      </c>
    </row>
    <row r="785" spans="1:15" x14ac:dyDescent="0.3">
      <c r="A785" s="10">
        <v>45748</v>
      </c>
      <c r="B785" s="9" t="s">
        <v>71</v>
      </c>
      <c r="C785" t="s">
        <v>175</v>
      </c>
      <c r="D785" s="9">
        <v>19947</v>
      </c>
      <c r="E785" s="5" t="s">
        <v>550</v>
      </c>
      <c r="F785" t="s">
        <v>180</v>
      </c>
      <c r="G785">
        <v>2883</v>
      </c>
      <c r="H785">
        <v>960</v>
      </c>
      <c r="I785" s="8">
        <f t="shared" si="73"/>
        <v>0.33298647242455776</v>
      </c>
      <c r="J785" s="17">
        <v>0.7</v>
      </c>
      <c r="K785" s="12">
        <v>13.75</v>
      </c>
      <c r="L785" s="2">
        <f t="shared" si="70"/>
        <v>1058.0999999999999</v>
      </c>
      <c r="M785" s="15">
        <f t="shared" si="74"/>
        <v>14548.874999999998</v>
      </c>
      <c r="N785" t="str">
        <f t="shared" si="71"/>
        <v>RS</v>
      </c>
      <c r="O785" t="str">
        <f t="shared" si="72"/>
        <v>Porto Alegre</v>
      </c>
    </row>
    <row r="786" spans="1:15" x14ac:dyDescent="0.3">
      <c r="A786" s="10">
        <v>45748</v>
      </c>
      <c r="B786" s="9" t="s">
        <v>14</v>
      </c>
      <c r="C786" t="s">
        <v>114</v>
      </c>
      <c r="D786" s="9">
        <v>19943</v>
      </c>
      <c r="E786" s="5" t="s">
        <v>551</v>
      </c>
      <c r="F786" t="s">
        <v>115</v>
      </c>
      <c r="G786">
        <v>1033</v>
      </c>
      <c r="H786">
        <v>427</v>
      </c>
      <c r="I786" s="8">
        <f t="shared" si="73"/>
        <v>0.41335914811229429</v>
      </c>
      <c r="J786" s="17">
        <v>0.7</v>
      </c>
      <c r="K786" s="12">
        <v>13.75</v>
      </c>
      <c r="L786" s="2">
        <f t="shared" si="70"/>
        <v>296.09999999999991</v>
      </c>
      <c r="M786" s="15">
        <f t="shared" si="74"/>
        <v>4071.3749999999986</v>
      </c>
      <c r="N786" t="str">
        <f t="shared" si="71"/>
        <v>MG</v>
      </c>
      <c r="O786" t="str">
        <f t="shared" si="72"/>
        <v>Ituiutaba</v>
      </c>
    </row>
    <row r="787" spans="1:15" x14ac:dyDescent="0.3">
      <c r="A787" s="10">
        <v>45748</v>
      </c>
      <c r="B787" s="9" t="s">
        <v>244</v>
      </c>
      <c r="C787" t="s">
        <v>245</v>
      </c>
      <c r="D787" s="9">
        <v>19617</v>
      </c>
      <c r="E787" s="5" t="s">
        <v>552</v>
      </c>
      <c r="F787" t="s">
        <v>246</v>
      </c>
      <c r="G787">
        <v>3382</v>
      </c>
      <c r="H787">
        <v>1499</v>
      </c>
      <c r="I787" s="8">
        <f t="shared" si="73"/>
        <v>0.44322885866351269</v>
      </c>
      <c r="J787" s="17">
        <v>0.7</v>
      </c>
      <c r="K787" s="12">
        <v>13.75</v>
      </c>
      <c r="L787" s="2">
        <f t="shared" si="70"/>
        <v>868.40000000000009</v>
      </c>
      <c r="M787" s="15">
        <f t="shared" si="74"/>
        <v>11940.500000000002</v>
      </c>
      <c r="N787" t="str">
        <f t="shared" si="71"/>
        <v>MA</v>
      </c>
      <c r="O787" t="str">
        <f t="shared" si="72"/>
        <v>São Luís</v>
      </c>
    </row>
    <row r="788" spans="1:15" x14ac:dyDescent="0.3">
      <c r="A788" s="10">
        <v>45748</v>
      </c>
      <c r="B788" s="9" t="s">
        <v>244</v>
      </c>
      <c r="C788" t="s">
        <v>245</v>
      </c>
      <c r="D788" s="9">
        <v>19595</v>
      </c>
      <c r="E788" s="5" t="s">
        <v>553</v>
      </c>
      <c r="F788" t="s">
        <v>247</v>
      </c>
      <c r="G788">
        <v>3111</v>
      </c>
      <c r="H788">
        <v>1397</v>
      </c>
      <c r="I788" s="8">
        <f t="shared" si="73"/>
        <v>0.44905175184828028</v>
      </c>
      <c r="J788" s="17">
        <v>0.7</v>
      </c>
      <c r="K788" s="12">
        <v>13.75</v>
      </c>
      <c r="L788" s="2">
        <f t="shared" si="70"/>
        <v>780.69999999999982</v>
      </c>
      <c r="M788" s="15">
        <f t="shared" si="74"/>
        <v>10734.624999999998</v>
      </c>
      <c r="N788" t="str">
        <f t="shared" si="71"/>
        <v>MA</v>
      </c>
      <c r="O788" t="str">
        <f t="shared" si="72"/>
        <v>São Luís</v>
      </c>
    </row>
    <row r="789" spans="1:15" x14ac:dyDescent="0.3">
      <c r="A789" s="10">
        <v>45748</v>
      </c>
      <c r="B789" s="9" t="s">
        <v>3</v>
      </c>
      <c r="C789" t="s">
        <v>10</v>
      </c>
      <c r="D789" s="9">
        <v>19948</v>
      </c>
      <c r="E789" s="5" t="s">
        <v>555</v>
      </c>
      <c r="F789" t="s">
        <v>11</v>
      </c>
      <c r="G789">
        <v>852</v>
      </c>
      <c r="H789">
        <v>341</v>
      </c>
      <c r="I789" s="8">
        <f t="shared" si="73"/>
        <v>0.40023474178403756</v>
      </c>
      <c r="J789" s="17">
        <v>0.7</v>
      </c>
      <c r="K789" s="12">
        <v>13.75</v>
      </c>
      <c r="L789" s="2">
        <f t="shared" si="70"/>
        <v>255.39999999999998</v>
      </c>
      <c r="M789" s="15">
        <f t="shared" si="74"/>
        <v>3511.7499999999995</v>
      </c>
      <c r="N789" t="str">
        <f t="shared" si="71"/>
        <v>SP</v>
      </c>
      <c r="O789" t="str">
        <f t="shared" si="72"/>
        <v>Araraquara</v>
      </c>
    </row>
    <row r="790" spans="1:15" x14ac:dyDescent="0.3">
      <c r="A790" s="10">
        <v>45748</v>
      </c>
      <c r="B790" s="9" t="s">
        <v>74</v>
      </c>
      <c r="C790" t="s">
        <v>75</v>
      </c>
      <c r="D790" s="9">
        <v>19798</v>
      </c>
      <c r="E790" s="5" t="s">
        <v>556</v>
      </c>
      <c r="F790" t="s">
        <v>76</v>
      </c>
      <c r="G790">
        <v>3215</v>
      </c>
      <c r="H790">
        <v>1628</v>
      </c>
      <c r="I790" s="8">
        <f t="shared" si="73"/>
        <v>0.50637636080870918</v>
      </c>
      <c r="J790" s="17">
        <v>0.7</v>
      </c>
      <c r="K790" s="12">
        <v>13.75</v>
      </c>
      <c r="L790" s="2">
        <f t="shared" si="70"/>
        <v>622.5</v>
      </c>
      <c r="M790" s="15">
        <f t="shared" si="74"/>
        <v>8559.375</v>
      </c>
      <c r="N790" t="str">
        <f t="shared" si="71"/>
        <v>PE</v>
      </c>
      <c r="O790" t="str">
        <f t="shared" si="72"/>
        <v>Caruaru</v>
      </c>
    </row>
    <row r="791" spans="1:15" x14ac:dyDescent="0.3">
      <c r="A791" s="10">
        <v>45748</v>
      </c>
      <c r="B791" s="9" t="s">
        <v>15</v>
      </c>
      <c r="C791" t="s">
        <v>19</v>
      </c>
      <c r="D791" s="9">
        <v>19694</v>
      </c>
      <c r="E791" s="5" t="s">
        <v>557</v>
      </c>
      <c r="F791" t="s">
        <v>20</v>
      </c>
      <c r="G791">
        <v>2054</v>
      </c>
      <c r="H791">
        <v>1107</v>
      </c>
      <c r="I791" s="8">
        <f t="shared" si="73"/>
        <v>0.53894839337877309</v>
      </c>
      <c r="J791" s="17">
        <v>0.7</v>
      </c>
      <c r="K791" s="12">
        <v>13.75</v>
      </c>
      <c r="L791" s="2">
        <f t="shared" si="70"/>
        <v>330.79999999999995</v>
      </c>
      <c r="M791" s="15">
        <f t="shared" si="74"/>
        <v>4548.4999999999991</v>
      </c>
      <c r="N791" t="str">
        <f t="shared" si="71"/>
        <v>RJ</v>
      </c>
      <c r="O791" t="str">
        <f t="shared" si="72"/>
        <v>Barra Mansa</v>
      </c>
    </row>
    <row r="792" spans="1:15" x14ac:dyDescent="0.3">
      <c r="A792" s="10">
        <v>45748</v>
      </c>
      <c r="B792" s="9" t="s">
        <v>14</v>
      </c>
      <c r="C792" t="s">
        <v>112</v>
      </c>
      <c r="D792" s="9">
        <v>19951</v>
      </c>
      <c r="E792" s="5" t="s">
        <v>558</v>
      </c>
      <c r="F792" t="s">
        <v>113</v>
      </c>
      <c r="G792">
        <v>2201</v>
      </c>
      <c r="H792">
        <v>918</v>
      </c>
      <c r="I792" s="8">
        <f t="shared" si="73"/>
        <v>0.417083144025443</v>
      </c>
      <c r="J792" s="17">
        <v>0.7</v>
      </c>
      <c r="K792" s="12">
        <v>13.75</v>
      </c>
      <c r="L792" s="2">
        <f t="shared" si="70"/>
        <v>622.69999999999982</v>
      </c>
      <c r="M792" s="15">
        <f t="shared" si="74"/>
        <v>8562.1249999999982</v>
      </c>
      <c r="N792" t="str">
        <f t="shared" si="71"/>
        <v>MG</v>
      </c>
      <c r="O792" t="str">
        <f t="shared" si="72"/>
        <v>Ipatinga</v>
      </c>
    </row>
    <row r="793" spans="1:15" x14ac:dyDescent="0.3">
      <c r="A793" s="10">
        <v>45748</v>
      </c>
      <c r="B793" s="9" t="s">
        <v>160</v>
      </c>
      <c r="C793" t="s">
        <v>161</v>
      </c>
      <c r="D793" s="9">
        <v>19954</v>
      </c>
      <c r="E793" s="5" t="s">
        <v>559</v>
      </c>
      <c r="F793" t="s">
        <v>162</v>
      </c>
      <c r="G793">
        <v>805</v>
      </c>
      <c r="H793">
        <v>444</v>
      </c>
      <c r="I793" s="8">
        <f t="shared" si="73"/>
        <v>0.55155279503105592</v>
      </c>
      <c r="J793" s="17">
        <v>0.7</v>
      </c>
      <c r="K793" s="12">
        <v>13.75</v>
      </c>
      <c r="L793" s="2">
        <f t="shared" si="70"/>
        <v>119.49999999999989</v>
      </c>
      <c r="M793" s="15">
        <f t="shared" si="74"/>
        <v>1643.1249999999984</v>
      </c>
      <c r="N793" t="str">
        <f t="shared" si="71"/>
        <v>PI</v>
      </c>
      <c r="O793" t="str">
        <f t="shared" si="72"/>
        <v>Parnaíba</v>
      </c>
    </row>
    <row r="794" spans="1:15" x14ac:dyDescent="0.3">
      <c r="A794" s="10">
        <v>45748</v>
      </c>
      <c r="B794" s="9" t="s">
        <v>14</v>
      </c>
      <c r="C794" t="s">
        <v>351</v>
      </c>
      <c r="D794" s="9">
        <v>19615</v>
      </c>
      <c r="E794" s="5" t="s">
        <v>560</v>
      </c>
      <c r="F794" t="s">
        <v>117</v>
      </c>
      <c r="G794">
        <v>2657</v>
      </c>
      <c r="H794">
        <v>950</v>
      </c>
      <c r="I794" s="8">
        <f t="shared" si="73"/>
        <v>0.35754610462928116</v>
      </c>
      <c r="J794" s="17">
        <v>0.7</v>
      </c>
      <c r="K794" s="12">
        <v>13.75</v>
      </c>
      <c r="L794" s="2">
        <f t="shared" si="70"/>
        <v>909.89999999999986</v>
      </c>
      <c r="M794" s="15">
        <f t="shared" si="74"/>
        <v>12511.124999999998</v>
      </c>
      <c r="N794" t="str">
        <f t="shared" si="71"/>
        <v>MG</v>
      </c>
      <c r="O794" t="str">
        <f t="shared" si="72"/>
        <v>Juiz De Fora</v>
      </c>
    </row>
    <row r="795" spans="1:15" x14ac:dyDescent="0.3">
      <c r="A795" s="10">
        <v>45748</v>
      </c>
      <c r="B795" s="9" t="s">
        <v>46</v>
      </c>
      <c r="C795" t="s">
        <v>47</v>
      </c>
      <c r="D795" s="9">
        <v>19647</v>
      </c>
      <c r="E795" s="5" t="s">
        <v>561</v>
      </c>
      <c r="F795" t="s">
        <v>55</v>
      </c>
      <c r="G795">
        <v>1754</v>
      </c>
      <c r="H795">
        <v>600</v>
      </c>
      <c r="I795" s="8">
        <f t="shared" si="73"/>
        <v>0.34207525655644244</v>
      </c>
      <c r="J795" s="17">
        <v>0.7</v>
      </c>
      <c r="K795" s="12">
        <v>13.75</v>
      </c>
      <c r="L795" s="2">
        <f t="shared" si="70"/>
        <v>627.79999999999995</v>
      </c>
      <c r="M795" s="15">
        <f t="shared" si="74"/>
        <v>8632.25</v>
      </c>
      <c r="N795" t="str">
        <f t="shared" si="71"/>
        <v>DF</v>
      </c>
      <c r="O795" t="str">
        <f t="shared" si="72"/>
        <v>Brasília</v>
      </c>
    </row>
    <row r="796" spans="1:15" x14ac:dyDescent="0.3">
      <c r="A796" s="10">
        <v>45748</v>
      </c>
      <c r="B796" s="9" t="s">
        <v>46</v>
      </c>
      <c r="C796" t="s">
        <v>47</v>
      </c>
      <c r="D796" s="9">
        <v>19898</v>
      </c>
      <c r="E796" s="5" t="s">
        <v>562</v>
      </c>
      <c r="F796" t="s">
        <v>56</v>
      </c>
      <c r="G796">
        <v>1411</v>
      </c>
      <c r="H796">
        <v>467</v>
      </c>
      <c r="I796" s="8">
        <f t="shared" si="73"/>
        <v>0.33097094259390503</v>
      </c>
      <c r="J796" s="17">
        <v>0.7</v>
      </c>
      <c r="K796" s="12">
        <v>13.75</v>
      </c>
      <c r="L796" s="2">
        <f t="shared" si="70"/>
        <v>520.69999999999993</v>
      </c>
      <c r="M796" s="15">
        <f t="shared" si="74"/>
        <v>7159.6249999999991</v>
      </c>
      <c r="N796" t="str">
        <f t="shared" si="71"/>
        <v>DF</v>
      </c>
      <c r="O796" t="str">
        <f t="shared" si="72"/>
        <v>Brasília</v>
      </c>
    </row>
    <row r="797" spans="1:15" x14ac:dyDescent="0.3">
      <c r="A797" s="10">
        <v>45748</v>
      </c>
      <c r="B797" s="9" t="s">
        <v>3</v>
      </c>
      <c r="C797" t="s">
        <v>64</v>
      </c>
      <c r="D797" s="9">
        <v>19616</v>
      </c>
      <c r="E797" s="5" t="s">
        <v>563</v>
      </c>
      <c r="F797" t="s">
        <v>66</v>
      </c>
      <c r="G797">
        <v>2601</v>
      </c>
      <c r="H797">
        <v>987</v>
      </c>
      <c r="I797" s="8">
        <f t="shared" si="73"/>
        <v>0.37946943483275664</v>
      </c>
      <c r="J797" s="17">
        <v>0.7</v>
      </c>
      <c r="K797" s="12">
        <v>13.75</v>
      </c>
      <c r="L797" s="2">
        <f t="shared" si="70"/>
        <v>833.69999999999982</v>
      </c>
      <c r="M797" s="15">
        <f t="shared" si="74"/>
        <v>11463.374999999998</v>
      </c>
      <c r="N797" t="str">
        <f t="shared" si="71"/>
        <v>SP</v>
      </c>
      <c r="O797" t="str">
        <f t="shared" si="72"/>
        <v>Campinas</v>
      </c>
    </row>
    <row r="798" spans="1:15" x14ac:dyDescent="0.3">
      <c r="A798" s="10">
        <v>45748</v>
      </c>
      <c r="B798" s="9" t="s">
        <v>3</v>
      </c>
      <c r="C798" t="s">
        <v>64</v>
      </c>
      <c r="D798" s="9">
        <v>19688</v>
      </c>
      <c r="E798" s="5" t="s">
        <v>564</v>
      </c>
      <c r="F798" t="s">
        <v>67</v>
      </c>
      <c r="G798">
        <v>2131</v>
      </c>
      <c r="H798">
        <v>779</v>
      </c>
      <c r="I798" s="8">
        <f t="shared" si="73"/>
        <v>0.36555607695917408</v>
      </c>
      <c r="J798" s="17">
        <v>0.7</v>
      </c>
      <c r="K798" s="12">
        <v>13.75</v>
      </c>
      <c r="L798" s="2">
        <f t="shared" si="70"/>
        <v>712.7</v>
      </c>
      <c r="M798" s="15">
        <f t="shared" si="74"/>
        <v>9799.625</v>
      </c>
      <c r="N798" t="str">
        <f t="shared" si="71"/>
        <v>SP</v>
      </c>
      <c r="O798" t="str">
        <f t="shared" si="72"/>
        <v>Campinas</v>
      </c>
    </row>
    <row r="799" spans="1:15" x14ac:dyDescent="0.3">
      <c r="A799" s="10">
        <v>45748</v>
      </c>
      <c r="B799" s="9" t="s">
        <v>3</v>
      </c>
      <c r="C799" t="s">
        <v>248</v>
      </c>
      <c r="D799" s="9">
        <v>19863</v>
      </c>
      <c r="E799" s="5" t="s">
        <v>566</v>
      </c>
      <c r="F799" t="s">
        <v>268</v>
      </c>
      <c r="G799">
        <v>2640</v>
      </c>
      <c r="H799">
        <v>899</v>
      </c>
      <c r="I799" s="8">
        <f t="shared" si="73"/>
        <v>0.34053030303030302</v>
      </c>
      <c r="J799" s="17">
        <v>0.7</v>
      </c>
      <c r="K799" s="12">
        <v>13.75</v>
      </c>
      <c r="L799" s="2">
        <f t="shared" si="70"/>
        <v>949</v>
      </c>
      <c r="M799" s="15">
        <f t="shared" si="74"/>
        <v>13048.75</v>
      </c>
      <c r="N799" t="str">
        <f t="shared" si="71"/>
        <v>SP</v>
      </c>
      <c r="O799" t="str">
        <f t="shared" si="72"/>
        <v>São Paulo</v>
      </c>
    </row>
    <row r="800" spans="1:15" x14ac:dyDescent="0.3">
      <c r="A800" s="10">
        <v>45748</v>
      </c>
      <c r="B800" s="9" t="s">
        <v>3</v>
      </c>
      <c r="C800" t="s">
        <v>248</v>
      </c>
      <c r="D800" s="9">
        <v>19817</v>
      </c>
      <c r="E800" s="5" t="s">
        <v>567</v>
      </c>
      <c r="F800" t="s">
        <v>269</v>
      </c>
      <c r="G800">
        <v>1578</v>
      </c>
      <c r="H800">
        <v>647</v>
      </c>
      <c r="I800" s="8">
        <f t="shared" si="73"/>
        <v>0.41001267427122939</v>
      </c>
      <c r="J800" s="17">
        <v>0.7</v>
      </c>
      <c r="K800" s="12">
        <v>13.75</v>
      </c>
      <c r="L800" s="2">
        <f t="shared" ref="L800:L831" si="75">H800*J800/I800-H800</f>
        <v>457.59999999999991</v>
      </c>
      <c r="M800" s="15">
        <f t="shared" si="74"/>
        <v>6291.9999999999991</v>
      </c>
      <c r="N800" t="str">
        <f t="shared" si="71"/>
        <v>SP</v>
      </c>
      <c r="O800" t="str">
        <f t="shared" si="72"/>
        <v>São Paulo</v>
      </c>
    </row>
    <row r="801" spans="1:15" x14ac:dyDescent="0.3">
      <c r="A801" s="10">
        <v>45748</v>
      </c>
      <c r="B801" s="9" t="s">
        <v>3</v>
      </c>
      <c r="C801" t="s">
        <v>248</v>
      </c>
      <c r="D801" s="9">
        <v>19866</v>
      </c>
      <c r="E801" s="5" t="s">
        <v>568</v>
      </c>
      <c r="F801" t="s">
        <v>270</v>
      </c>
      <c r="G801">
        <v>1936</v>
      </c>
      <c r="H801">
        <v>797</v>
      </c>
      <c r="I801" s="8">
        <f t="shared" si="73"/>
        <v>0.41167355371900827</v>
      </c>
      <c r="J801" s="17">
        <v>0.7</v>
      </c>
      <c r="K801" s="12">
        <v>13.75</v>
      </c>
      <c r="L801" s="2">
        <f t="shared" si="75"/>
        <v>558.20000000000005</v>
      </c>
      <c r="M801" s="15">
        <f t="shared" si="74"/>
        <v>7675.2500000000009</v>
      </c>
      <c r="N801" t="str">
        <f t="shared" si="71"/>
        <v>SP</v>
      </c>
      <c r="O801" t="str">
        <f t="shared" si="72"/>
        <v>São Paulo</v>
      </c>
    </row>
    <row r="802" spans="1:15" x14ac:dyDescent="0.3">
      <c r="A802" s="10">
        <v>45748</v>
      </c>
      <c r="B802" s="9" t="s">
        <v>15</v>
      </c>
      <c r="C802" t="s">
        <v>171</v>
      </c>
      <c r="D802" s="9">
        <v>19520</v>
      </c>
      <c r="E802" s="5" t="s">
        <v>569</v>
      </c>
      <c r="F802" t="s">
        <v>172</v>
      </c>
      <c r="G802">
        <v>1551</v>
      </c>
      <c r="H802">
        <v>682</v>
      </c>
      <c r="I802" s="8">
        <f t="shared" si="73"/>
        <v>0.43971631205673761</v>
      </c>
      <c r="J802" s="17">
        <v>0.7</v>
      </c>
      <c r="K802" s="12">
        <v>13.75</v>
      </c>
      <c r="L802" s="2">
        <f t="shared" si="75"/>
        <v>403.69999999999982</v>
      </c>
      <c r="M802" s="15">
        <f t="shared" si="74"/>
        <v>5550.8749999999973</v>
      </c>
      <c r="N802" t="str">
        <f t="shared" si="71"/>
        <v>RJ</v>
      </c>
      <c r="O802" t="str">
        <f t="shared" si="72"/>
        <v>Petrópolis</v>
      </c>
    </row>
    <row r="803" spans="1:15" x14ac:dyDescent="0.3">
      <c r="A803" s="10">
        <v>45748</v>
      </c>
      <c r="B803" s="9" t="s">
        <v>68</v>
      </c>
      <c r="C803" t="s">
        <v>69</v>
      </c>
      <c r="D803" s="9">
        <v>19602</v>
      </c>
      <c r="E803" s="5" t="s">
        <v>570</v>
      </c>
      <c r="F803" t="s">
        <v>70</v>
      </c>
      <c r="G803">
        <v>416</v>
      </c>
      <c r="H803">
        <v>63</v>
      </c>
      <c r="I803" s="8">
        <f t="shared" si="73"/>
        <v>0.15144230769230768</v>
      </c>
      <c r="J803" s="17">
        <v>0.7</v>
      </c>
      <c r="K803" s="12">
        <v>13.75</v>
      </c>
      <c r="L803" s="2">
        <f t="shared" si="75"/>
        <v>228.2</v>
      </c>
      <c r="M803" s="15">
        <f t="shared" si="74"/>
        <v>3137.75</v>
      </c>
      <c r="N803" t="str">
        <f t="shared" si="71"/>
        <v>MS</v>
      </c>
      <c r="O803" t="str">
        <f t="shared" si="72"/>
        <v>Campo Grande</v>
      </c>
    </row>
    <row r="804" spans="1:15" x14ac:dyDescent="0.3">
      <c r="A804" s="10">
        <v>45748</v>
      </c>
      <c r="B804" s="9" t="s">
        <v>15</v>
      </c>
      <c r="C804" t="s">
        <v>332</v>
      </c>
      <c r="D804" s="9">
        <v>19679</v>
      </c>
      <c r="E804" s="5" t="s">
        <v>571</v>
      </c>
      <c r="F804" t="s">
        <v>333</v>
      </c>
      <c r="G804">
        <v>2081</v>
      </c>
      <c r="H804">
        <v>923</v>
      </c>
      <c r="I804" s="8">
        <f t="shared" si="73"/>
        <v>0.44353676117251323</v>
      </c>
      <c r="J804" s="17">
        <v>0.7</v>
      </c>
      <c r="K804" s="12">
        <v>13.75</v>
      </c>
      <c r="L804" s="2">
        <f t="shared" si="75"/>
        <v>533.69999999999982</v>
      </c>
      <c r="M804" s="15">
        <f t="shared" si="74"/>
        <v>7338.3749999999973</v>
      </c>
      <c r="N804" t="str">
        <f t="shared" si="71"/>
        <v>RJ</v>
      </c>
      <c r="O804" t="str">
        <f t="shared" si="72"/>
        <v>Macaé</v>
      </c>
    </row>
    <row r="805" spans="1:15" x14ac:dyDescent="0.3">
      <c r="A805" s="10">
        <v>45748</v>
      </c>
      <c r="B805" s="9" t="s">
        <v>59</v>
      </c>
      <c r="C805" t="s">
        <v>104</v>
      </c>
      <c r="D805" s="9">
        <v>19872</v>
      </c>
      <c r="E805" s="5" t="s">
        <v>572</v>
      </c>
      <c r="F805" t="s">
        <v>105</v>
      </c>
      <c r="G805">
        <v>2539</v>
      </c>
      <c r="H805">
        <v>1163</v>
      </c>
      <c r="I805" s="8">
        <f t="shared" si="73"/>
        <v>0.4580543521071288</v>
      </c>
      <c r="J805" s="17">
        <v>0.7</v>
      </c>
      <c r="K805" s="12">
        <v>13.75</v>
      </c>
      <c r="L805" s="2">
        <f t="shared" si="75"/>
        <v>614.29999999999973</v>
      </c>
      <c r="M805" s="15">
        <f t="shared" si="74"/>
        <v>8446.6249999999964</v>
      </c>
      <c r="N805" t="str">
        <f t="shared" si="71"/>
        <v>ES</v>
      </c>
      <c r="O805" t="str">
        <f t="shared" si="72"/>
        <v>Guarapari</v>
      </c>
    </row>
    <row r="806" spans="1:15" x14ac:dyDescent="0.3">
      <c r="A806" s="10">
        <v>45748</v>
      </c>
      <c r="B806" s="9" t="s">
        <v>82</v>
      </c>
      <c r="C806" t="s">
        <v>83</v>
      </c>
      <c r="D806" s="9">
        <v>19547</v>
      </c>
      <c r="E806" s="5" t="s">
        <v>573</v>
      </c>
      <c r="F806" t="s">
        <v>87</v>
      </c>
      <c r="G806">
        <v>2613</v>
      </c>
      <c r="H806">
        <v>789</v>
      </c>
      <c r="I806" s="8">
        <f t="shared" si="73"/>
        <v>0.30195177956371988</v>
      </c>
      <c r="J806" s="17">
        <v>0.7</v>
      </c>
      <c r="K806" s="12">
        <v>13.75</v>
      </c>
      <c r="L806" s="2">
        <f t="shared" si="75"/>
        <v>1040.0999999999997</v>
      </c>
      <c r="M806" s="15">
        <f t="shared" si="74"/>
        <v>14301.374999999996</v>
      </c>
      <c r="N806" t="str">
        <f t="shared" si="71"/>
        <v>PR</v>
      </c>
      <c r="O806" t="str">
        <f t="shared" si="72"/>
        <v>Curitiba</v>
      </c>
    </row>
    <row r="807" spans="1:15" x14ac:dyDescent="0.3">
      <c r="A807" s="10">
        <v>45748</v>
      </c>
      <c r="B807" s="9" t="s">
        <v>15</v>
      </c>
      <c r="C807" t="s">
        <v>145</v>
      </c>
      <c r="D807" s="9">
        <v>19513</v>
      </c>
      <c r="E807" s="5" t="s">
        <v>574</v>
      </c>
      <c r="F807" t="s">
        <v>147</v>
      </c>
      <c r="G807">
        <v>2642</v>
      </c>
      <c r="H807">
        <v>912</v>
      </c>
      <c r="I807" s="8">
        <f t="shared" si="73"/>
        <v>0.34519303557910674</v>
      </c>
      <c r="J807" s="17">
        <v>0.7</v>
      </c>
      <c r="K807" s="12">
        <v>13.75</v>
      </c>
      <c r="L807" s="2">
        <f t="shared" si="75"/>
        <v>937.39999999999986</v>
      </c>
      <c r="M807" s="15">
        <f t="shared" si="74"/>
        <v>12889.249999999998</v>
      </c>
      <c r="N807" t="str">
        <f t="shared" si="71"/>
        <v>RJ</v>
      </c>
      <c r="O807" t="str">
        <f t="shared" si="72"/>
        <v>Niterói</v>
      </c>
    </row>
    <row r="808" spans="1:15" x14ac:dyDescent="0.3">
      <c r="A808" s="10">
        <v>45748</v>
      </c>
      <c r="B808" s="9" t="s">
        <v>15</v>
      </c>
      <c r="C808" t="s">
        <v>145</v>
      </c>
      <c r="D808" s="9">
        <v>19525</v>
      </c>
      <c r="E808" s="5" t="s">
        <v>575</v>
      </c>
      <c r="F808" t="s">
        <v>148</v>
      </c>
      <c r="G808">
        <v>3726</v>
      </c>
      <c r="H808">
        <v>1455</v>
      </c>
      <c r="I808" s="8">
        <f t="shared" si="73"/>
        <v>0.39049919484702095</v>
      </c>
      <c r="J808" s="17">
        <v>0.7</v>
      </c>
      <c r="K808" s="12">
        <v>13.75</v>
      </c>
      <c r="L808" s="2">
        <f t="shared" si="75"/>
        <v>1153.1999999999998</v>
      </c>
      <c r="M808" s="15">
        <f t="shared" si="74"/>
        <v>15856.499999999998</v>
      </c>
      <c r="N808" t="str">
        <f t="shared" si="71"/>
        <v>RJ</v>
      </c>
      <c r="O808" t="str">
        <f t="shared" si="72"/>
        <v>Niterói</v>
      </c>
    </row>
    <row r="809" spans="1:15" x14ac:dyDescent="0.3">
      <c r="A809" s="10">
        <v>45748</v>
      </c>
      <c r="B809" s="9" t="s">
        <v>21</v>
      </c>
      <c r="C809" t="s">
        <v>228</v>
      </c>
      <c r="D809" s="9">
        <v>19771</v>
      </c>
      <c r="E809" s="5" t="s">
        <v>576</v>
      </c>
      <c r="F809" t="s">
        <v>235</v>
      </c>
      <c r="G809">
        <v>1646</v>
      </c>
      <c r="H809">
        <v>626</v>
      </c>
      <c r="I809" s="8">
        <f t="shared" si="73"/>
        <v>0.38031591737545567</v>
      </c>
      <c r="J809" s="17">
        <v>0.7</v>
      </c>
      <c r="K809" s="12">
        <v>13.75</v>
      </c>
      <c r="L809" s="2">
        <f t="shared" si="75"/>
        <v>526.19999999999982</v>
      </c>
      <c r="M809" s="15">
        <f t="shared" si="74"/>
        <v>7235.2499999999973</v>
      </c>
      <c r="N809" t="str">
        <f t="shared" si="71"/>
        <v>BA</v>
      </c>
      <c r="O809" t="str">
        <f t="shared" si="72"/>
        <v>Salvador</v>
      </c>
    </row>
    <row r="810" spans="1:15" x14ac:dyDescent="0.3">
      <c r="A810" s="10">
        <v>45748</v>
      </c>
      <c r="B810" s="9" t="s">
        <v>15</v>
      </c>
      <c r="C810" t="s">
        <v>358</v>
      </c>
      <c r="D810" s="9">
        <v>19685</v>
      </c>
      <c r="E810" s="5" t="s">
        <v>359</v>
      </c>
      <c r="F810" t="s">
        <v>198</v>
      </c>
      <c r="G810">
        <v>1616</v>
      </c>
      <c r="H810">
        <v>659</v>
      </c>
      <c r="I810" s="8">
        <f t="shared" si="73"/>
        <v>0.40779702970297027</v>
      </c>
      <c r="J810" s="17">
        <v>0.7</v>
      </c>
      <c r="K810" s="12">
        <v>13.75</v>
      </c>
      <c r="L810" s="2">
        <f t="shared" si="75"/>
        <v>472.20000000000005</v>
      </c>
      <c r="M810" s="15">
        <f t="shared" si="74"/>
        <v>6492.7500000000009</v>
      </c>
      <c r="N810" t="str">
        <f t="shared" si="71"/>
        <v>RJ</v>
      </c>
      <c r="O810" t="str">
        <f t="shared" si="72"/>
        <v>Rio De Janeiro</v>
      </c>
    </row>
    <row r="811" spans="1:15" x14ac:dyDescent="0.3">
      <c r="A811" s="10">
        <v>45778</v>
      </c>
      <c r="B811" s="9" t="s">
        <v>71</v>
      </c>
      <c r="C811" t="s">
        <v>175</v>
      </c>
      <c r="D811" s="9">
        <v>19540</v>
      </c>
      <c r="E811" s="5" t="s">
        <v>370</v>
      </c>
      <c r="F811" t="s">
        <v>176</v>
      </c>
      <c r="G811">
        <v>5097</v>
      </c>
      <c r="H811">
        <v>2059</v>
      </c>
      <c r="I811" s="8">
        <f t="shared" si="73"/>
        <v>0.40396311555817149</v>
      </c>
      <c r="J811" s="17">
        <v>0.7</v>
      </c>
      <c r="K811" s="12">
        <v>13.75</v>
      </c>
      <c r="L811" s="2">
        <f t="shared" si="75"/>
        <v>1508.8999999999996</v>
      </c>
      <c r="M811" s="15">
        <f t="shared" si="74"/>
        <v>20747.374999999996</v>
      </c>
      <c r="N811" t="str">
        <f t="shared" si="71"/>
        <v>RS</v>
      </c>
      <c r="O811" t="str">
        <f t="shared" si="72"/>
        <v>Porto Alegre</v>
      </c>
    </row>
    <row r="812" spans="1:15" x14ac:dyDescent="0.3">
      <c r="A812" s="10">
        <v>45778</v>
      </c>
      <c r="B812" s="9" t="s">
        <v>15</v>
      </c>
      <c r="C812" t="s">
        <v>358</v>
      </c>
      <c r="D812" s="9">
        <v>19521</v>
      </c>
      <c r="E812" s="5" t="s">
        <v>371</v>
      </c>
      <c r="F812" t="s">
        <v>199</v>
      </c>
      <c r="G812">
        <v>3038</v>
      </c>
      <c r="H812">
        <v>1435</v>
      </c>
      <c r="I812" s="8">
        <f t="shared" si="73"/>
        <v>0.47235023041474655</v>
      </c>
      <c r="J812" s="17">
        <v>0.7</v>
      </c>
      <c r="K812" s="12">
        <v>13.75</v>
      </c>
      <c r="L812" s="2">
        <f t="shared" si="75"/>
        <v>691.59999999999991</v>
      </c>
      <c r="M812" s="15">
        <f t="shared" si="74"/>
        <v>9509.4999999999982</v>
      </c>
      <c r="N812" t="str">
        <f t="shared" si="71"/>
        <v>RJ</v>
      </c>
      <c r="O812" t="str">
        <f t="shared" si="72"/>
        <v>Rio De Janeiro</v>
      </c>
    </row>
    <row r="813" spans="1:15" x14ac:dyDescent="0.3">
      <c r="A813" s="10">
        <v>45778</v>
      </c>
      <c r="B813" s="9" t="s">
        <v>6</v>
      </c>
      <c r="C813" t="s">
        <v>236</v>
      </c>
      <c r="D813" s="9">
        <v>19606</v>
      </c>
      <c r="E813" s="5" t="s">
        <v>372</v>
      </c>
      <c r="F813" t="s">
        <v>237</v>
      </c>
      <c r="G813">
        <v>2105</v>
      </c>
      <c r="H813">
        <v>1092</v>
      </c>
      <c r="I813" s="8">
        <f t="shared" si="73"/>
        <v>0.51876484560570069</v>
      </c>
      <c r="J813" s="17">
        <v>0.7</v>
      </c>
      <c r="K813" s="12">
        <v>13.75</v>
      </c>
      <c r="L813" s="2">
        <f t="shared" si="75"/>
        <v>381.5</v>
      </c>
      <c r="M813" s="15">
        <f t="shared" si="74"/>
        <v>5245.625</v>
      </c>
      <c r="N813" t="str">
        <f t="shared" si="71"/>
        <v>PA</v>
      </c>
      <c r="O813" t="str">
        <f t="shared" si="72"/>
        <v>Santarém</v>
      </c>
    </row>
    <row r="814" spans="1:15" x14ac:dyDescent="0.3">
      <c r="A814" s="10">
        <v>45778</v>
      </c>
      <c r="B814" s="9" t="s">
        <v>61</v>
      </c>
      <c r="C814" t="s">
        <v>344</v>
      </c>
      <c r="D814" s="9">
        <v>19706</v>
      </c>
      <c r="E814" s="5" t="s">
        <v>373</v>
      </c>
      <c r="F814" t="s">
        <v>77</v>
      </c>
      <c r="G814">
        <v>2417</v>
      </c>
      <c r="H814">
        <v>1116</v>
      </c>
      <c r="I814" s="8">
        <f t="shared" si="73"/>
        <v>0.46172941663218864</v>
      </c>
      <c r="J814" s="17">
        <v>0.7</v>
      </c>
      <c r="K814" s="12">
        <v>13.75</v>
      </c>
      <c r="L814" s="2">
        <f t="shared" si="75"/>
        <v>575.89999999999986</v>
      </c>
      <c r="M814" s="15">
        <f t="shared" si="74"/>
        <v>7918.6249999999982</v>
      </c>
      <c r="N814" t="str">
        <f t="shared" si="71"/>
        <v>PB</v>
      </c>
      <c r="O814" t="str">
        <f t="shared" si="72"/>
        <v>Coronel João Pessoa</v>
      </c>
    </row>
    <row r="815" spans="1:15" x14ac:dyDescent="0.3">
      <c r="A815" s="10">
        <v>45778</v>
      </c>
      <c r="B815" s="9" t="s">
        <v>14</v>
      </c>
      <c r="C815" t="s">
        <v>285</v>
      </c>
      <c r="D815" s="9">
        <v>19563</v>
      </c>
      <c r="E815" s="5" t="s">
        <v>374</v>
      </c>
      <c r="F815" t="s">
        <v>286</v>
      </c>
      <c r="G815">
        <v>3011</v>
      </c>
      <c r="H815">
        <v>1040</v>
      </c>
      <c r="I815" s="8">
        <f t="shared" si="73"/>
        <v>0.34540019926934573</v>
      </c>
      <c r="J815" s="17">
        <v>0.7</v>
      </c>
      <c r="K815" s="12">
        <v>13.75</v>
      </c>
      <c r="L815" s="2">
        <f t="shared" si="75"/>
        <v>1067.6999999999998</v>
      </c>
      <c r="M815" s="15">
        <f t="shared" si="74"/>
        <v>14680.874999999998</v>
      </c>
      <c r="N815" t="str">
        <f t="shared" si="71"/>
        <v>MG</v>
      </c>
      <c r="O815" t="str">
        <f t="shared" si="72"/>
        <v>Uberlândia</v>
      </c>
    </row>
    <row r="816" spans="1:15" x14ac:dyDescent="0.3">
      <c r="A816" s="10">
        <v>45778</v>
      </c>
      <c r="B816" s="9" t="s">
        <v>6</v>
      </c>
      <c r="C816" t="s">
        <v>26</v>
      </c>
      <c r="D816" s="9">
        <v>19597</v>
      </c>
      <c r="E816" s="5" t="s">
        <v>375</v>
      </c>
      <c r="F816" t="s">
        <v>27</v>
      </c>
      <c r="G816">
        <v>3151</v>
      </c>
      <c r="H816">
        <v>1670</v>
      </c>
      <c r="I816" s="8">
        <f t="shared" si="73"/>
        <v>0.52999047921294828</v>
      </c>
      <c r="J816" s="17">
        <v>0.7</v>
      </c>
      <c r="K816" s="12">
        <v>13.75</v>
      </c>
      <c r="L816" s="2">
        <f t="shared" si="75"/>
        <v>535.69999999999982</v>
      </c>
      <c r="M816" s="15">
        <f t="shared" si="74"/>
        <v>7365.8749999999973</v>
      </c>
      <c r="N816" t="str">
        <f t="shared" si="71"/>
        <v>PA</v>
      </c>
      <c r="O816" t="str">
        <f t="shared" si="72"/>
        <v>Belém</v>
      </c>
    </row>
    <row r="817" spans="1:15" x14ac:dyDescent="0.3">
      <c r="A817" s="10">
        <v>45778</v>
      </c>
      <c r="B817" s="9" t="s">
        <v>15</v>
      </c>
      <c r="C817" t="s">
        <v>296</v>
      </c>
      <c r="D817" s="9">
        <v>19524</v>
      </c>
      <c r="E817" s="5" t="s">
        <v>376</v>
      </c>
      <c r="F817" t="s">
        <v>297</v>
      </c>
      <c r="G817">
        <v>2552</v>
      </c>
      <c r="H817">
        <v>1125</v>
      </c>
      <c r="I817" s="8">
        <f t="shared" si="73"/>
        <v>0.44083072100313481</v>
      </c>
      <c r="J817" s="17">
        <v>0.7</v>
      </c>
      <c r="K817" s="12">
        <v>13.75</v>
      </c>
      <c r="L817" s="2">
        <f t="shared" si="75"/>
        <v>661.39999999999986</v>
      </c>
      <c r="M817" s="15">
        <f t="shared" si="74"/>
        <v>9094.2499999999982</v>
      </c>
      <c r="N817" t="str">
        <f t="shared" si="71"/>
        <v>RJ</v>
      </c>
      <c r="O817" t="str">
        <f t="shared" si="72"/>
        <v>Volta Redonda</v>
      </c>
    </row>
    <row r="818" spans="1:15" x14ac:dyDescent="0.3">
      <c r="A818" s="10">
        <v>45778</v>
      </c>
      <c r="B818" s="9" t="s">
        <v>15</v>
      </c>
      <c r="C818" t="s">
        <v>151</v>
      </c>
      <c r="D818" s="9">
        <v>19599</v>
      </c>
      <c r="E818" s="5" t="s">
        <v>377</v>
      </c>
      <c r="F818" t="s">
        <v>152</v>
      </c>
      <c r="G818">
        <v>2758</v>
      </c>
      <c r="H818">
        <v>1274</v>
      </c>
      <c r="I818" s="8">
        <f t="shared" si="73"/>
        <v>0.46192893401015228</v>
      </c>
      <c r="J818" s="17">
        <v>0.7</v>
      </c>
      <c r="K818" s="12">
        <v>13.75</v>
      </c>
      <c r="L818" s="2">
        <f t="shared" si="75"/>
        <v>656.59999999999991</v>
      </c>
      <c r="M818" s="15">
        <f t="shared" si="74"/>
        <v>9028.2499999999982</v>
      </c>
      <c r="N818" t="str">
        <f t="shared" si="71"/>
        <v>RJ</v>
      </c>
      <c r="O818" t="str">
        <f t="shared" si="72"/>
        <v>Nova Iguaçu</v>
      </c>
    </row>
    <row r="819" spans="1:15" x14ac:dyDescent="0.3">
      <c r="A819" s="10">
        <v>45778</v>
      </c>
      <c r="B819" s="9" t="s">
        <v>160</v>
      </c>
      <c r="C819" t="s">
        <v>279</v>
      </c>
      <c r="D819" s="9">
        <v>19564</v>
      </c>
      <c r="E819" s="5" t="s">
        <v>378</v>
      </c>
      <c r="F819" t="s">
        <v>280</v>
      </c>
      <c r="G819">
        <v>1615</v>
      </c>
      <c r="H819">
        <v>734</v>
      </c>
      <c r="I819" s="8">
        <f t="shared" si="73"/>
        <v>0.45448916408668733</v>
      </c>
      <c r="J819" s="17">
        <v>0.7</v>
      </c>
      <c r="K819" s="12">
        <v>13.75</v>
      </c>
      <c r="L819" s="2">
        <f t="shared" si="75"/>
        <v>396.49999999999977</v>
      </c>
      <c r="M819" s="15">
        <f t="shared" si="74"/>
        <v>5451.8749999999973</v>
      </c>
      <c r="N819" t="str">
        <f t="shared" si="71"/>
        <v>PI</v>
      </c>
      <c r="O819" t="str">
        <f t="shared" si="72"/>
        <v>Teresina</v>
      </c>
    </row>
    <row r="820" spans="1:15" x14ac:dyDescent="0.3">
      <c r="A820" s="10">
        <v>45778</v>
      </c>
      <c r="B820" s="9" t="s">
        <v>15</v>
      </c>
      <c r="C820" t="s">
        <v>358</v>
      </c>
      <c r="D820" s="9">
        <v>19536</v>
      </c>
      <c r="E820" s="5" t="s">
        <v>379</v>
      </c>
      <c r="F820" t="s">
        <v>200</v>
      </c>
      <c r="G820">
        <v>2934</v>
      </c>
      <c r="H820">
        <v>1070</v>
      </c>
      <c r="I820" s="8">
        <f t="shared" si="73"/>
        <v>0.36468984321745057</v>
      </c>
      <c r="J820" s="17">
        <v>0.7</v>
      </c>
      <c r="K820" s="12">
        <v>13.75</v>
      </c>
      <c r="L820" s="2">
        <f t="shared" si="75"/>
        <v>983.80000000000018</v>
      </c>
      <c r="M820" s="15">
        <f t="shared" si="74"/>
        <v>13527.250000000002</v>
      </c>
      <c r="N820" t="str">
        <f t="shared" si="71"/>
        <v>RJ</v>
      </c>
      <c r="O820" t="str">
        <f t="shared" si="72"/>
        <v>Rio De Janeiro</v>
      </c>
    </row>
    <row r="821" spans="1:15" x14ac:dyDescent="0.3">
      <c r="A821" s="10">
        <v>45778</v>
      </c>
      <c r="B821" s="9" t="s">
        <v>15</v>
      </c>
      <c r="C821" t="s">
        <v>358</v>
      </c>
      <c r="D821" s="9">
        <v>19727</v>
      </c>
      <c r="E821" s="5" t="s">
        <v>380</v>
      </c>
      <c r="F821" t="s">
        <v>201</v>
      </c>
      <c r="G821">
        <v>1850</v>
      </c>
      <c r="H821">
        <v>736</v>
      </c>
      <c r="I821" s="8">
        <f t="shared" si="73"/>
        <v>0.39783783783783783</v>
      </c>
      <c r="J821" s="17">
        <v>0.7</v>
      </c>
      <c r="K821" s="12">
        <v>13.75</v>
      </c>
      <c r="L821" s="2">
        <f t="shared" si="75"/>
        <v>558.99999999999977</v>
      </c>
      <c r="M821" s="15">
        <f t="shared" si="74"/>
        <v>7686.2499999999973</v>
      </c>
      <c r="N821" t="str">
        <f t="shared" si="71"/>
        <v>RJ</v>
      </c>
      <c r="O821" t="str">
        <f t="shared" si="72"/>
        <v>Rio De Janeiro</v>
      </c>
    </row>
    <row r="822" spans="1:15" x14ac:dyDescent="0.3">
      <c r="A822" s="10">
        <v>45778</v>
      </c>
      <c r="B822" s="9" t="s">
        <v>3</v>
      </c>
      <c r="C822" t="s">
        <v>248</v>
      </c>
      <c r="D822" s="9">
        <v>19572</v>
      </c>
      <c r="E822" s="5" t="s">
        <v>381</v>
      </c>
      <c r="F822" t="s">
        <v>249</v>
      </c>
      <c r="G822">
        <v>4114</v>
      </c>
      <c r="H822">
        <v>1604</v>
      </c>
      <c r="I822" s="8">
        <f t="shared" si="73"/>
        <v>0.38988818667963054</v>
      </c>
      <c r="J822" s="17">
        <v>0.7</v>
      </c>
      <c r="K822" s="12">
        <v>13.75</v>
      </c>
      <c r="L822" s="2">
        <f t="shared" si="75"/>
        <v>1275.7999999999997</v>
      </c>
      <c r="M822" s="15">
        <f t="shared" si="74"/>
        <v>17542.249999999996</v>
      </c>
      <c r="N822" t="str">
        <f t="shared" si="71"/>
        <v>SP</v>
      </c>
      <c r="O822" t="str">
        <f t="shared" si="72"/>
        <v>São Paulo</v>
      </c>
    </row>
    <row r="823" spans="1:15" x14ac:dyDescent="0.3">
      <c r="A823" s="10">
        <v>45778</v>
      </c>
      <c r="B823" s="9" t="s">
        <v>3</v>
      </c>
      <c r="C823" t="s">
        <v>167</v>
      </c>
      <c r="D823" s="9">
        <v>19578</v>
      </c>
      <c r="E823" s="5" t="s">
        <v>382</v>
      </c>
      <c r="F823" t="s">
        <v>168</v>
      </c>
      <c r="G823">
        <v>1840</v>
      </c>
      <c r="H823">
        <v>645</v>
      </c>
      <c r="I823" s="8">
        <f t="shared" si="73"/>
        <v>0.35054347826086957</v>
      </c>
      <c r="J823" s="17">
        <v>0.7</v>
      </c>
      <c r="K823" s="12">
        <v>13.75</v>
      </c>
      <c r="L823" s="2">
        <f t="shared" si="75"/>
        <v>642.99999999999977</v>
      </c>
      <c r="M823" s="15">
        <f t="shared" si="74"/>
        <v>8841.2499999999964</v>
      </c>
      <c r="N823" t="str">
        <f t="shared" si="71"/>
        <v>SP</v>
      </c>
      <c r="O823" t="str">
        <f t="shared" si="72"/>
        <v>Perdizes</v>
      </c>
    </row>
    <row r="824" spans="1:15" x14ac:dyDescent="0.3">
      <c r="A824" s="10">
        <v>45778</v>
      </c>
      <c r="B824" s="9" t="s">
        <v>3</v>
      </c>
      <c r="C824" t="s">
        <v>248</v>
      </c>
      <c r="D824" s="9">
        <v>19774</v>
      </c>
      <c r="E824" s="5" t="s">
        <v>383</v>
      </c>
      <c r="F824" t="s">
        <v>250</v>
      </c>
      <c r="G824">
        <v>3864</v>
      </c>
      <c r="H824">
        <v>1200</v>
      </c>
      <c r="I824" s="8">
        <f t="shared" si="73"/>
        <v>0.3105590062111801</v>
      </c>
      <c r="J824" s="17">
        <v>0.7</v>
      </c>
      <c r="K824" s="12">
        <v>13.75</v>
      </c>
      <c r="L824" s="2">
        <f t="shared" si="75"/>
        <v>1504.8000000000002</v>
      </c>
      <c r="M824" s="15">
        <f t="shared" si="74"/>
        <v>20691.000000000004</v>
      </c>
      <c r="N824" t="str">
        <f t="shared" si="71"/>
        <v>SP</v>
      </c>
      <c r="O824" t="str">
        <f t="shared" si="72"/>
        <v>São Paulo</v>
      </c>
    </row>
    <row r="825" spans="1:15" x14ac:dyDescent="0.3">
      <c r="A825" s="10">
        <v>45778</v>
      </c>
      <c r="B825" s="9" t="s">
        <v>46</v>
      </c>
      <c r="C825" t="s">
        <v>47</v>
      </c>
      <c r="D825" s="9">
        <v>19551</v>
      </c>
      <c r="E825" s="5" t="s">
        <v>384</v>
      </c>
      <c r="F825" t="s">
        <v>48</v>
      </c>
      <c r="G825">
        <v>2999</v>
      </c>
      <c r="H825">
        <v>1246</v>
      </c>
      <c r="I825" s="8">
        <f t="shared" si="73"/>
        <v>0.41547182394131377</v>
      </c>
      <c r="J825" s="17">
        <v>0.7</v>
      </c>
      <c r="K825" s="12">
        <v>13.75</v>
      </c>
      <c r="L825" s="2">
        <f t="shared" si="75"/>
        <v>853.29999999999973</v>
      </c>
      <c r="M825" s="15">
        <f t="shared" si="74"/>
        <v>11732.874999999996</v>
      </c>
      <c r="N825" t="str">
        <f t="shared" si="71"/>
        <v>DF</v>
      </c>
      <c r="O825" t="str">
        <f t="shared" si="72"/>
        <v>Brasília</v>
      </c>
    </row>
    <row r="826" spans="1:15" x14ac:dyDescent="0.3">
      <c r="A826" s="10">
        <v>45778</v>
      </c>
      <c r="B826" s="9" t="s">
        <v>15</v>
      </c>
      <c r="C826" t="s">
        <v>151</v>
      </c>
      <c r="D826" s="9">
        <v>19596</v>
      </c>
      <c r="E826" s="5" t="s">
        <v>385</v>
      </c>
      <c r="F826" t="s">
        <v>153</v>
      </c>
      <c r="G826">
        <v>2458</v>
      </c>
      <c r="H826">
        <v>929</v>
      </c>
      <c r="I826" s="8">
        <f t="shared" si="73"/>
        <v>0.37794955248169243</v>
      </c>
      <c r="J826" s="17">
        <v>0.7</v>
      </c>
      <c r="K826" s="12">
        <v>13.75</v>
      </c>
      <c r="L826" s="2">
        <f t="shared" si="75"/>
        <v>791.59999999999991</v>
      </c>
      <c r="M826" s="15">
        <f t="shared" si="74"/>
        <v>10884.499999999998</v>
      </c>
      <c r="N826" t="str">
        <f t="shared" si="71"/>
        <v>RJ</v>
      </c>
      <c r="O826" t="str">
        <f t="shared" si="72"/>
        <v>Nova Iguaçu</v>
      </c>
    </row>
    <row r="827" spans="1:15" x14ac:dyDescent="0.3">
      <c r="A827" s="10">
        <v>45778</v>
      </c>
      <c r="B827" s="9" t="s">
        <v>15</v>
      </c>
      <c r="C827" t="s">
        <v>358</v>
      </c>
      <c r="D827" s="9">
        <v>19618</v>
      </c>
      <c r="E827" s="5" t="s">
        <v>386</v>
      </c>
      <c r="F827" t="s">
        <v>202</v>
      </c>
      <c r="G827">
        <v>3087</v>
      </c>
      <c r="H827">
        <v>1339</v>
      </c>
      <c r="I827" s="8">
        <f t="shared" si="73"/>
        <v>0.43375445416261743</v>
      </c>
      <c r="J827" s="17">
        <v>0.7</v>
      </c>
      <c r="K827" s="12">
        <v>13.75</v>
      </c>
      <c r="L827" s="2">
        <f t="shared" si="75"/>
        <v>821.90000000000009</v>
      </c>
      <c r="M827" s="15">
        <f t="shared" si="74"/>
        <v>11301.125000000002</v>
      </c>
      <c r="N827" t="str">
        <f t="shared" si="71"/>
        <v>RJ</v>
      </c>
      <c r="O827" t="str">
        <f t="shared" si="72"/>
        <v>Rio De Janeiro</v>
      </c>
    </row>
    <row r="828" spans="1:15" x14ac:dyDescent="0.3">
      <c r="A828" s="10">
        <v>45778</v>
      </c>
      <c r="B828" s="9" t="s">
        <v>21</v>
      </c>
      <c r="C828" t="s">
        <v>22</v>
      </c>
      <c r="D828" s="9">
        <v>19741</v>
      </c>
      <c r="E828" s="5" t="s">
        <v>387</v>
      </c>
      <c r="F828" t="s">
        <v>23</v>
      </c>
      <c r="G828">
        <v>1697</v>
      </c>
      <c r="H828">
        <v>865</v>
      </c>
      <c r="I828" s="8">
        <f t="shared" si="73"/>
        <v>0.50972304065998819</v>
      </c>
      <c r="J828" s="17">
        <v>0.7</v>
      </c>
      <c r="K828" s="12">
        <v>13.75</v>
      </c>
      <c r="L828" s="2">
        <f t="shared" si="75"/>
        <v>322.90000000000009</v>
      </c>
      <c r="M828" s="15">
        <f t="shared" si="74"/>
        <v>4439.8750000000009</v>
      </c>
      <c r="N828" t="str">
        <f t="shared" si="71"/>
        <v>BA</v>
      </c>
      <c r="O828" t="str">
        <f t="shared" si="72"/>
        <v>Barreiras</v>
      </c>
    </row>
    <row r="829" spans="1:15" x14ac:dyDescent="0.3">
      <c r="A829" s="10">
        <v>45778</v>
      </c>
      <c r="B829" s="9" t="s">
        <v>74</v>
      </c>
      <c r="C829" t="s">
        <v>169</v>
      </c>
      <c r="D829" s="9">
        <v>19897</v>
      </c>
      <c r="E829" s="5" t="s">
        <v>388</v>
      </c>
      <c r="F829" t="s">
        <v>170</v>
      </c>
      <c r="G829">
        <v>2148</v>
      </c>
      <c r="H829">
        <v>989</v>
      </c>
      <c r="I829" s="8">
        <f t="shared" si="73"/>
        <v>0.46042830540037244</v>
      </c>
      <c r="J829" s="17">
        <v>0.7</v>
      </c>
      <c r="K829" s="12">
        <v>13.75</v>
      </c>
      <c r="L829" s="2">
        <f t="shared" si="75"/>
        <v>514.59999999999991</v>
      </c>
      <c r="M829" s="15">
        <f t="shared" si="74"/>
        <v>7075.7499999999991</v>
      </c>
      <c r="N829" t="str">
        <f t="shared" si="71"/>
        <v>PE</v>
      </c>
      <c r="O829" t="str">
        <f t="shared" si="72"/>
        <v>Petrolina</v>
      </c>
    </row>
    <row r="830" spans="1:15" x14ac:dyDescent="0.3">
      <c r="A830" s="10">
        <v>45778</v>
      </c>
      <c r="B830" s="9" t="s">
        <v>61</v>
      </c>
      <c r="C830" t="s">
        <v>62</v>
      </c>
      <c r="D830" s="9">
        <v>19633</v>
      </c>
      <c r="E830" s="5" t="s">
        <v>389</v>
      </c>
      <c r="F830" t="s">
        <v>63</v>
      </c>
      <c r="G830">
        <v>2119</v>
      </c>
      <c r="H830">
        <v>1236</v>
      </c>
      <c r="I830" s="8">
        <f t="shared" si="73"/>
        <v>0.58329400660689001</v>
      </c>
      <c r="J830" s="17">
        <v>0.7</v>
      </c>
      <c r="K830" s="12">
        <v>13.75</v>
      </c>
      <c r="L830" s="2">
        <f t="shared" si="75"/>
        <v>247.29999999999995</v>
      </c>
      <c r="M830" s="15">
        <f t="shared" si="74"/>
        <v>3400.3749999999995</v>
      </c>
      <c r="N830" t="str">
        <f t="shared" si="71"/>
        <v>PB</v>
      </c>
      <c r="O830" t="str">
        <f t="shared" si="72"/>
        <v>Campina Grande</v>
      </c>
    </row>
    <row r="831" spans="1:15" x14ac:dyDescent="0.3">
      <c r="A831" s="10">
        <v>45778</v>
      </c>
      <c r="B831" s="9" t="s">
        <v>6</v>
      </c>
      <c r="C831" t="s">
        <v>26</v>
      </c>
      <c r="D831" s="9">
        <v>19622</v>
      </c>
      <c r="E831" s="5" t="s">
        <v>390</v>
      </c>
      <c r="F831" t="s">
        <v>28</v>
      </c>
      <c r="G831">
        <v>1975</v>
      </c>
      <c r="H831">
        <v>1099</v>
      </c>
      <c r="I831" s="8">
        <f t="shared" si="73"/>
        <v>0.55645569620253166</v>
      </c>
      <c r="J831" s="17">
        <v>0.7</v>
      </c>
      <c r="K831" s="12">
        <v>13.75</v>
      </c>
      <c r="L831" s="2">
        <f t="shared" si="75"/>
        <v>283.5</v>
      </c>
      <c r="M831" s="15">
        <f t="shared" si="74"/>
        <v>3898.125</v>
      </c>
      <c r="N831" t="str">
        <f t="shared" si="71"/>
        <v>PA</v>
      </c>
      <c r="O831" t="str">
        <f t="shared" si="72"/>
        <v>Belém</v>
      </c>
    </row>
    <row r="832" spans="1:15" x14ac:dyDescent="0.3">
      <c r="A832" s="10">
        <v>45778</v>
      </c>
      <c r="B832" s="9" t="s">
        <v>46</v>
      </c>
      <c r="C832" t="s">
        <v>47</v>
      </c>
      <c r="D832" s="9">
        <v>19666</v>
      </c>
      <c r="E832" s="5" t="s">
        <v>391</v>
      </c>
      <c r="F832" t="s">
        <v>624</v>
      </c>
      <c r="G832">
        <v>2600</v>
      </c>
      <c r="H832">
        <v>783</v>
      </c>
      <c r="I832" s="8">
        <f t="shared" si="73"/>
        <v>0.30115384615384616</v>
      </c>
      <c r="J832" s="17">
        <v>0.7</v>
      </c>
      <c r="K832" s="12">
        <v>13.75</v>
      </c>
      <c r="L832" s="2">
        <f t="shared" ref="L832:L863" si="76">H832*J832/I832-H832</f>
        <v>1036.9999999999995</v>
      </c>
      <c r="M832" s="15">
        <f t="shared" si="74"/>
        <v>14258.749999999995</v>
      </c>
      <c r="N832" t="str">
        <f t="shared" si="71"/>
        <v>DF</v>
      </c>
      <c r="O832" t="str">
        <f t="shared" si="72"/>
        <v>Brasília</v>
      </c>
    </row>
    <row r="833" spans="1:15" x14ac:dyDescent="0.3">
      <c r="A833" s="10">
        <v>45778</v>
      </c>
      <c r="B833" s="9" t="s">
        <v>15</v>
      </c>
      <c r="C833" t="s">
        <v>358</v>
      </c>
      <c r="D833" s="9">
        <v>19632</v>
      </c>
      <c r="E833" s="5" t="s">
        <v>392</v>
      </c>
      <c r="F833" t="s">
        <v>203</v>
      </c>
      <c r="G833">
        <v>2310</v>
      </c>
      <c r="H833">
        <v>1062</v>
      </c>
      <c r="I833" s="8">
        <f t="shared" si="73"/>
        <v>0.45974025974025973</v>
      </c>
      <c r="J833" s="17">
        <v>0.7</v>
      </c>
      <c r="K833" s="12">
        <v>13.75</v>
      </c>
      <c r="L833" s="2">
        <f t="shared" si="76"/>
        <v>555</v>
      </c>
      <c r="M833" s="15">
        <f t="shared" si="74"/>
        <v>7631.25</v>
      </c>
      <c r="N833" t="str">
        <f t="shared" si="71"/>
        <v>RJ</v>
      </c>
      <c r="O833" t="str">
        <f t="shared" si="72"/>
        <v>Rio De Janeiro</v>
      </c>
    </row>
    <row r="834" spans="1:15" x14ac:dyDescent="0.3">
      <c r="A834" s="10">
        <v>45778</v>
      </c>
      <c r="B834" s="9" t="s">
        <v>46</v>
      </c>
      <c r="C834" t="s">
        <v>47</v>
      </c>
      <c r="D834" s="9">
        <v>19552</v>
      </c>
      <c r="E834" s="5" t="s">
        <v>393</v>
      </c>
      <c r="F834" t="s">
        <v>50</v>
      </c>
      <c r="G834">
        <v>4028</v>
      </c>
      <c r="H834">
        <v>1631</v>
      </c>
      <c r="I834" s="8">
        <f t="shared" si="73"/>
        <v>0.40491559086395235</v>
      </c>
      <c r="J834" s="17">
        <v>0.7</v>
      </c>
      <c r="K834" s="12">
        <v>13.75</v>
      </c>
      <c r="L834" s="2">
        <f t="shared" si="76"/>
        <v>1188.5999999999995</v>
      </c>
      <c r="M834" s="15">
        <f t="shared" si="74"/>
        <v>16343.249999999993</v>
      </c>
      <c r="N834" t="str">
        <f t="shared" ref="N834:N897" si="77">B834</f>
        <v>DF</v>
      </c>
      <c r="O834" t="str">
        <f t="shared" ref="O834:O897" si="78">C834</f>
        <v>Brasília</v>
      </c>
    </row>
    <row r="835" spans="1:15" x14ac:dyDescent="0.3">
      <c r="A835" s="10">
        <v>45778</v>
      </c>
      <c r="B835" s="9" t="s">
        <v>15</v>
      </c>
      <c r="C835" t="s">
        <v>191</v>
      </c>
      <c r="D835" s="9">
        <v>19636</v>
      </c>
      <c r="E835" s="5" t="s">
        <v>394</v>
      </c>
      <c r="F835" t="s">
        <v>192</v>
      </c>
      <c r="G835">
        <v>2426</v>
      </c>
      <c r="H835">
        <v>952</v>
      </c>
      <c r="I835" s="8">
        <f t="shared" ref="I835:I898" si="79">H835/G835</f>
        <v>0.39241549876339654</v>
      </c>
      <c r="J835" s="17">
        <v>0.7</v>
      </c>
      <c r="K835" s="12">
        <v>13.75</v>
      </c>
      <c r="L835" s="2">
        <f t="shared" si="76"/>
        <v>746.19999999999982</v>
      </c>
      <c r="M835" s="15">
        <f t="shared" ref="M835:M898" si="80">L835*K835</f>
        <v>10260.249999999998</v>
      </c>
      <c r="N835" t="str">
        <f t="shared" si="77"/>
        <v>RJ</v>
      </c>
      <c r="O835" t="str">
        <f t="shared" si="78"/>
        <v>Resende</v>
      </c>
    </row>
    <row r="836" spans="1:15" x14ac:dyDescent="0.3">
      <c r="A836" s="10">
        <v>45778</v>
      </c>
      <c r="B836" s="9" t="s">
        <v>74</v>
      </c>
      <c r="C836" t="s">
        <v>186</v>
      </c>
      <c r="D836" s="9">
        <v>19649</v>
      </c>
      <c r="E836" s="5" t="s">
        <v>395</v>
      </c>
      <c r="F836" t="s">
        <v>187</v>
      </c>
      <c r="G836">
        <v>3263</v>
      </c>
      <c r="H836">
        <v>1363</v>
      </c>
      <c r="I836" s="8">
        <f t="shared" si="79"/>
        <v>0.41771376034324242</v>
      </c>
      <c r="J836" s="17">
        <v>0.7</v>
      </c>
      <c r="K836" s="12">
        <v>13.75</v>
      </c>
      <c r="L836" s="2">
        <f t="shared" si="76"/>
        <v>921.09999999999991</v>
      </c>
      <c r="M836" s="15">
        <f t="shared" si="80"/>
        <v>12665.124999999998</v>
      </c>
      <c r="N836" t="str">
        <f t="shared" si="77"/>
        <v>PE</v>
      </c>
      <c r="O836" t="str">
        <f t="shared" si="78"/>
        <v>Recife</v>
      </c>
    </row>
    <row r="837" spans="1:15" x14ac:dyDescent="0.3">
      <c r="A837" s="10">
        <v>45778</v>
      </c>
      <c r="B837" s="9" t="s">
        <v>74</v>
      </c>
      <c r="C837" t="s">
        <v>186</v>
      </c>
      <c r="D837" s="9">
        <v>19601</v>
      </c>
      <c r="E837" s="5" t="s">
        <v>396</v>
      </c>
      <c r="F837" t="s">
        <v>188</v>
      </c>
      <c r="G837">
        <v>2811</v>
      </c>
      <c r="H837">
        <v>1171</v>
      </c>
      <c r="I837" s="8">
        <f t="shared" si="79"/>
        <v>0.41657773034507295</v>
      </c>
      <c r="J837" s="17">
        <v>0.7</v>
      </c>
      <c r="K837" s="12">
        <v>13.75</v>
      </c>
      <c r="L837" s="2">
        <f t="shared" si="76"/>
        <v>796.69999999999982</v>
      </c>
      <c r="M837" s="15">
        <f t="shared" si="80"/>
        <v>10954.624999999998</v>
      </c>
      <c r="N837" t="str">
        <f t="shared" si="77"/>
        <v>PE</v>
      </c>
      <c r="O837" t="str">
        <f t="shared" si="78"/>
        <v>Recife</v>
      </c>
    </row>
    <row r="838" spans="1:15" x14ac:dyDescent="0.3">
      <c r="A838" s="10">
        <v>45778</v>
      </c>
      <c r="B838" s="9" t="s">
        <v>74</v>
      </c>
      <c r="C838" t="s">
        <v>186</v>
      </c>
      <c r="D838" s="9">
        <v>19565</v>
      </c>
      <c r="E838" s="5" t="s">
        <v>397</v>
      </c>
      <c r="F838" t="s">
        <v>189</v>
      </c>
      <c r="G838">
        <v>2709</v>
      </c>
      <c r="H838">
        <v>958</v>
      </c>
      <c r="I838" s="8">
        <f t="shared" si="79"/>
        <v>0.35363602805463268</v>
      </c>
      <c r="J838" s="17">
        <v>0.7</v>
      </c>
      <c r="K838" s="12">
        <v>13.75</v>
      </c>
      <c r="L838" s="2">
        <f t="shared" si="76"/>
        <v>938.3</v>
      </c>
      <c r="M838" s="15">
        <f t="shared" si="80"/>
        <v>12901.625</v>
      </c>
      <c r="N838" t="str">
        <f t="shared" si="77"/>
        <v>PE</v>
      </c>
      <c r="O838" t="str">
        <f t="shared" si="78"/>
        <v>Recife</v>
      </c>
    </row>
    <row r="839" spans="1:15" x14ac:dyDescent="0.3">
      <c r="A839" s="10">
        <v>45778</v>
      </c>
      <c r="B839" s="9" t="s">
        <v>74</v>
      </c>
      <c r="C839" t="s">
        <v>186</v>
      </c>
      <c r="D839" s="9">
        <v>19654</v>
      </c>
      <c r="E839" s="5" t="s">
        <v>398</v>
      </c>
      <c r="F839" t="s">
        <v>190</v>
      </c>
      <c r="G839">
        <v>2277</v>
      </c>
      <c r="H839">
        <v>852</v>
      </c>
      <c r="I839" s="8">
        <f t="shared" si="79"/>
        <v>0.37417654808959155</v>
      </c>
      <c r="J839" s="17">
        <v>0.7</v>
      </c>
      <c r="K839" s="12">
        <v>13.75</v>
      </c>
      <c r="L839" s="2">
        <f t="shared" si="76"/>
        <v>741.90000000000009</v>
      </c>
      <c r="M839" s="15">
        <f t="shared" si="80"/>
        <v>10201.125000000002</v>
      </c>
      <c r="N839" t="str">
        <f t="shared" si="77"/>
        <v>PE</v>
      </c>
      <c r="O839" t="str">
        <f t="shared" si="78"/>
        <v>Recife</v>
      </c>
    </row>
    <row r="840" spans="1:15" x14ac:dyDescent="0.3">
      <c r="A840" s="10">
        <v>45778</v>
      </c>
      <c r="B840" s="9" t="s">
        <v>74</v>
      </c>
      <c r="C840" t="s">
        <v>350</v>
      </c>
      <c r="D840" s="9">
        <v>19624</v>
      </c>
      <c r="E840" s="5" t="s">
        <v>399</v>
      </c>
      <c r="F840" t="s">
        <v>116</v>
      </c>
      <c r="G840">
        <v>1728</v>
      </c>
      <c r="H840">
        <v>674</v>
      </c>
      <c r="I840" s="8">
        <f t="shared" si="79"/>
        <v>0.39004629629629628</v>
      </c>
      <c r="J840" s="17">
        <v>0.7</v>
      </c>
      <c r="K840" s="12">
        <v>13.75</v>
      </c>
      <c r="L840" s="2">
        <f t="shared" si="76"/>
        <v>535.59999999999991</v>
      </c>
      <c r="M840" s="15">
        <f t="shared" si="80"/>
        <v>7364.4999999999991</v>
      </c>
      <c r="N840" t="str">
        <f t="shared" si="77"/>
        <v>PE</v>
      </c>
      <c r="O840" t="str">
        <f t="shared" si="78"/>
        <v>Jaboatão Dos Guararapes</v>
      </c>
    </row>
    <row r="841" spans="1:15" x14ac:dyDescent="0.3">
      <c r="A841" s="10">
        <v>45778</v>
      </c>
      <c r="B841" s="9" t="s">
        <v>15</v>
      </c>
      <c r="C841" t="s">
        <v>143</v>
      </c>
      <c r="D841" s="9">
        <v>19648</v>
      </c>
      <c r="E841" s="5" t="s">
        <v>400</v>
      </c>
      <c r="F841" t="s">
        <v>144</v>
      </c>
      <c r="G841">
        <v>1885</v>
      </c>
      <c r="H841">
        <v>539</v>
      </c>
      <c r="I841" s="8">
        <f t="shared" si="79"/>
        <v>0.28594164456233423</v>
      </c>
      <c r="J841" s="17">
        <v>0.7</v>
      </c>
      <c r="K841" s="12">
        <v>13.75</v>
      </c>
      <c r="L841" s="2">
        <f t="shared" si="76"/>
        <v>780.49999999999977</v>
      </c>
      <c r="M841" s="15">
        <f t="shared" si="80"/>
        <v>10731.874999999996</v>
      </c>
      <c r="N841" t="str">
        <f t="shared" si="77"/>
        <v>RJ</v>
      </c>
      <c r="O841" t="str">
        <f t="shared" si="78"/>
        <v>Nilópolis</v>
      </c>
    </row>
    <row r="842" spans="1:15" x14ac:dyDescent="0.3">
      <c r="A842" s="10">
        <v>45778</v>
      </c>
      <c r="B842" s="9" t="s">
        <v>15</v>
      </c>
      <c r="C842" t="s">
        <v>57</v>
      </c>
      <c r="D842" s="9">
        <v>19657</v>
      </c>
      <c r="E842" s="5" t="s">
        <v>401</v>
      </c>
      <c r="F842" t="s">
        <v>58</v>
      </c>
      <c r="G842">
        <v>1647</v>
      </c>
      <c r="H842">
        <v>773</v>
      </c>
      <c r="I842" s="8">
        <f t="shared" si="79"/>
        <v>0.46933819064966609</v>
      </c>
      <c r="J842" s="17">
        <v>0.7</v>
      </c>
      <c r="K842" s="12">
        <v>13.75</v>
      </c>
      <c r="L842" s="2">
        <f t="shared" si="76"/>
        <v>379.89999999999964</v>
      </c>
      <c r="M842" s="15">
        <f t="shared" si="80"/>
        <v>5223.6249999999945</v>
      </c>
      <c r="N842" t="str">
        <f t="shared" si="77"/>
        <v>RJ</v>
      </c>
      <c r="O842" t="str">
        <f t="shared" si="78"/>
        <v>Cabo Frio</v>
      </c>
    </row>
    <row r="843" spans="1:15" x14ac:dyDescent="0.3">
      <c r="A843" s="10">
        <v>45778</v>
      </c>
      <c r="B843" s="9" t="s">
        <v>74</v>
      </c>
      <c r="C843" t="s">
        <v>186</v>
      </c>
      <c r="D843" s="9">
        <v>19658</v>
      </c>
      <c r="E843" s="5" t="s">
        <v>402</v>
      </c>
      <c r="F843" t="s">
        <v>357</v>
      </c>
      <c r="G843">
        <v>1801</v>
      </c>
      <c r="H843">
        <v>849</v>
      </c>
      <c r="I843" s="8">
        <f t="shared" si="79"/>
        <v>0.47140477512493062</v>
      </c>
      <c r="J843" s="17">
        <v>0.7</v>
      </c>
      <c r="K843" s="12">
        <v>13.75</v>
      </c>
      <c r="L843" s="2">
        <f t="shared" si="76"/>
        <v>411.69999999999982</v>
      </c>
      <c r="M843" s="15">
        <f t="shared" si="80"/>
        <v>5660.8749999999973</v>
      </c>
      <c r="N843" t="str">
        <f t="shared" si="77"/>
        <v>PE</v>
      </c>
      <c r="O843" t="str">
        <f t="shared" si="78"/>
        <v>Recife</v>
      </c>
    </row>
    <row r="844" spans="1:15" x14ac:dyDescent="0.3">
      <c r="A844" s="10">
        <v>45778</v>
      </c>
      <c r="B844" s="9" t="s">
        <v>82</v>
      </c>
      <c r="C844" t="s">
        <v>119</v>
      </c>
      <c r="D844" s="9">
        <v>19661</v>
      </c>
      <c r="E844" s="5" t="s">
        <v>403</v>
      </c>
      <c r="F844" t="s">
        <v>120</v>
      </c>
      <c r="G844">
        <v>3278</v>
      </c>
      <c r="H844">
        <v>1117</v>
      </c>
      <c r="I844" s="8">
        <f t="shared" si="79"/>
        <v>0.34075655887736422</v>
      </c>
      <c r="J844" s="17">
        <v>0.7</v>
      </c>
      <c r="K844" s="12">
        <v>13.75</v>
      </c>
      <c r="L844" s="2">
        <f t="shared" si="76"/>
        <v>1177.5999999999999</v>
      </c>
      <c r="M844" s="15">
        <f t="shared" si="80"/>
        <v>16191.999999999998</v>
      </c>
      <c r="N844" t="str">
        <f t="shared" si="77"/>
        <v>PR</v>
      </c>
      <c r="O844" t="str">
        <f t="shared" si="78"/>
        <v>Londrina</v>
      </c>
    </row>
    <row r="845" spans="1:15" x14ac:dyDescent="0.3">
      <c r="A845" s="10">
        <v>45778</v>
      </c>
      <c r="B845" s="9" t="s">
        <v>183</v>
      </c>
      <c r="C845" t="s">
        <v>184</v>
      </c>
      <c r="D845" s="9">
        <v>19752</v>
      </c>
      <c r="E845" s="5" t="s">
        <v>404</v>
      </c>
      <c r="F845" t="s">
        <v>185</v>
      </c>
      <c r="G845">
        <v>1236</v>
      </c>
      <c r="H845">
        <v>685</v>
      </c>
      <c r="I845" s="8">
        <f t="shared" si="79"/>
        <v>0.55420711974110037</v>
      </c>
      <c r="J845" s="17">
        <v>0.7</v>
      </c>
      <c r="K845" s="12">
        <v>13.75</v>
      </c>
      <c r="L845" s="2">
        <f t="shared" si="76"/>
        <v>180.19999999999982</v>
      </c>
      <c r="M845" s="15">
        <f t="shared" si="80"/>
        <v>2477.7499999999973</v>
      </c>
      <c r="N845" t="str">
        <f t="shared" si="77"/>
        <v>RO</v>
      </c>
      <c r="O845" t="str">
        <f t="shared" si="78"/>
        <v>Porto Velho</v>
      </c>
    </row>
    <row r="846" spans="1:15" x14ac:dyDescent="0.3">
      <c r="A846" s="10">
        <v>45778</v>
      </c>
      <c r="B846" s="9" t="s">
        <v>15</v>
      </c>
      <c r="C846" t="s">
        <v>281</v>
      </c>
      <c r="D846" s="9">
        <v>19671</v>
      </c>
      <c r="E846" s="5" t="s">
        <v>405</v>
      </c>
      <c r="F846" t="s">
        <v>282</v>
      </c>
      <c r="G846">
        <v>2444</v>
      </c>
      <c r="H846">
        <v>1141</v>
      </c>
      <c r="I846" s="8">
        <f t="shared" si="79"/>
        <v>0.46685761047463176</v>
      </c>
      <c r="J846" s="17">
        <v>0.7</v>
      </c>
      <c r="K846" s="12">
        <v>13.75</v>
      </c>
      <c r="L846" s="2">
        <f t="shared" si="76"/>
        <v>569.79999999999973</v>
      </c>
      <c r="M846" s="15">
        <f t="shared" si="80"/>
        <v>7834.7499999999964</v>
      </c>
      <c r="N846" t="str">
        <f t="shared" si="77"/>
        <v>RJ</v>
      </c>
      <c r="O846" t="str">
        <f t="shared" si="78"/>
        <v>Teresópolis</v>
      </c>
    </row>
    <row r="847" spans="1:15" x14ac:dyDescent="0.3">
      <c r="A847" s="10">
        <v>45778</v>
      </c>
      <c r="B847" s="9" t="s">
        <v>3</v>
      </c>
      <c r="C847" t="s">
        <v>248</v>
      </c>
      <c r="D847" s="9">
        <v>19674</v>
      </c>
      <c r="E847" s="5" t="s">
        <v>406</v>
      </c>
      <c r="F847" t="s">
        <v>251</v>
      </c>
      <c r="G847">
        <v>2321</v>
      </c>
      <c r="H847">
        <v>925</v>
      </c>
      <c r="I847" s="8">
        <f t="shared" si="79"/>
        <v>0.3985351141749246</v>
      </c>
      <c r="J847" s="17">
        <v>0.7</v>
      </c>
      <c r="K847" s="12">
        <v>13.75</v>
      </c>
      <c r="L847" s="2">
        <f t="shared" si="76"/>
        <v>699.7</v>
      </c>
      <c r="M847" s="15">
        <f t="shared" si="80"/>
        <v>9620.875</v>
      </c>
      <c r="N847" t="str">
        <f t="shared" si="77"/>
        <v>SP</v>
      </c>
      <c r="O847" t="str">
        <f t="shared" si="78"/>
        <v>São Paulo</v>
      </c>
    </row>
    <row r="848" spans="1:15" x14ac:dyDescent="0.3">
      <c r="A848" s="10">
        <v>45778</v>
      </c>
      <c r="B848" s="9" t="s">
        <v>3</v>
      </c>
      <c r="C848" t="s">
        <v>248</v>
      </c>
      <c r="D848" s="9">
        <v>19756</v>
      </c>
      <c r="E848" s="5" t="s">
        <v>407</v>
      </c>
      <c r="F848" t="s">
        <v>252</v>
      </c>
      <c r="G848">
        <v>2144</v>
      </c>
      <c r="H848">
        <v>791</v>
      </c>
      <c r="I848" s="8">
        <f t="shared" si="79"/>
        <v>0.36893656716417911</v>
      </c>
      <c r="J848" s="17">
        <v>0.7</v>
      </c>
      <c r="K848" s="12">
        <v>13.75</v>
      </c>
      <c r="L848" s="2">
        <f t="shared" si="76"/>
        <v>709.79999999999973</v>
      </c>
      <c r="M848" s="15">
        <f t="shared" si="80"/>
        <v>9759.7499999999964</v>
      </c>
      <c r="N848" t="str">
        <f t="shared" si="77"/>
        <v>SP</v>
      </c>
      <c r="O848" t="str">
        <f t="shared" si="78"/>
        <v>São Paulo</v>
      </c>
    </row>
    <row r="849" spans="1:15" x14ac:dyDescent="0.3">
      <c r="A849" s="10">
        <v>45778</v>
      </c>
      <c r="B849" s="9" t="s">
        <v>3</v>
      </c>
      <c r="C849" t="s">
        <v>248</v>
      </c>
      <c r="D849" s="9">
        <v>19579</v>
      </c>
      <c r="E849" s="5" t="s">
        <v>409</v>
      </c>
      <c r="F849" t="s">
        <v>254</v>
      </c>
      <c r="G849">
        <v>2366</v>
      </c>
      <c r="H849">
        <v>790</v>
      </c>
      <c r="I849" s="8">
        <f t="shared" si="79"/>
        <v>0.33389687235841081</v>
      </c>
      <c r="J849" s="17">
        <v>0.7</v>
      </c>
      <c r="K849" s="12">
        <v>13.75</v>
      </c>
      <c r="L849" s="2">
        <f t="shared" si="76"/>
        <v>866.2</v>
      </c>
      <c r="M849" s="15">
        <f t="shared" si="80"/>
        <v>11910.25</v>
      </c>
      <c r="N849" t="str">
        <f t="shared" si="77"/>
        <v>SP</v>
      </c>
      <c r="O849" t="str">
        <f t="shared" si="78"/>
        <v>São Paulo</v>
      </c>
    </row>
    <row r="850" spans="1:15" x14ac:dyDescent="0.3">
      <c r="A850" s="10">
        <v>45778</v>
      </c>
      <c r="B850" s="9" t="s">
        <v>126</v>
      </c>
      <c r="C850" t="s">
        <v>127</v>
      </c>
      <c r="D850" s="9">
        <v>19623</v>
      </c>
      <c r="E850" s="5" t="s">
        <v>410</v>
      </c>
      <c r="F850" t="s">
        <v>128</v>
      </c>
      <c r="G850">
        <v>1679</v>
      </c>
      <c r="H850">
        <v>752</v>
      </c>
      <c r="I850" s="8">
        <f t="shared" si="79"/>
        <v>0.44788564621798688</v>
      </c>
      <c r="J850" s="17">
        <v>0.7</v>
      </c>
      <c r="K850" s="12">
        <v>13.75</v>
      </c>
      <c r="L850" s="2">
        <f t="shared" si="76"/>
        <v>423.29999999999995</v>
      </c>
      <c r="M850" s="15">
        <f t="shared" si="80"/>
        <v>5820.3749999999991</v>
      </c>
      <c r="N850" t="str">
        <f t="shared" si="77"/>
        <v>AL</v>
      </c>
      <c r="O850" t="str">
        <f t="shared" si="78"/>
        <v>Maceió</v>
      </c>
    </row>
    <row r="851" spans="1:15" x14ac:dyDescent="0.3">
      <c r="A851" s="10">
        <v>45778</v>
      </c>
      <c r="B851" s="9" t="s">
        <v>46</v>
      </c>
      <c r="C851" t="s">
        <v>47</v>
      </c>
      <c r="D851" s="9">
        <v>19693</v>
      </c>
      <c r="E851" s="5" t="s">
        <v>411</v>
      </c>
      <c r="F851" t="s">
        <v>51</v>
      </c>
      <c r="G851">
        <v>2888</v>
      </c>
      <c r="H851">
        <v>791</v>
      </c>
      <c r="I851" s="8">
        <f t="shared" si="79"/>
        <v>0.27389196675900279</v>
      </c>
      <c r="J851" s="17">
        <v>0.7</v>
      </c>
      <c r="K851" s="12">
        <v>13.75</v>
      </c>
      <c r="L851" s="2">
        <f t="shared" si="76"/>
        <v>1230.5999999999997</v>
      </c>
      <c r="M851" s="15">
        <f t="shared" si="80"/>
        <v>16920.749999999996</v>
      </c>
      <c r="N851" t="str">
        <f t="shared" si="77"/>
        <v>DF</v>
      </c>
      <c r="O851" t="str">
        <f t="shared" si="78"/>
        <v>Brasília</v>
      </c>
    </row>
    <row r="852" spans="1:15" x14ac:dyDescent="0.3">
      <c r="A852" s="10">
        <v>45778</v>
      </c>
      <c r="B852" s="9" t="s">
        <v>78</v>
      </c>
      <c r="C852" t="s">
        <v>79</v>
      </c>
      <c r="D852" s="9">
        <v>19730</v>
      </c>
      <c r="E852" s="5" t="s">
        <v>413</v>
      </c>
      <c r="F852" t="s">
        <v>80</v>
      </c>
      <c r="G852">
        <v>3107</v>
      </c>
      <c r="H852">
        <v>1036</v>
      </c>
      <c r="I852" s="8">
        <f t="shared" si="79"/>
        <v>0.33344061795944641</v>
      </c>
      <c r="J852" s="17">
        <v>0.7</v>
      </c>
      <c r="K852" s="12">
        <v>13.75</v>
      </c>
      <c r="L852" s="2">
        <f t="shared" si="76"/>
        <v>1138.8999999999996</v>
      </c>
      <c r="M852" s="15">
        <f t="shared" si="80"/>
        <v>15659.874999999995</v>
      </c>
      <c r="N852" t="str">
        <f t="shared" si="77"/>
        <v>MT</v>
      </c>
      <c r="O852" t="str">
        <f t="shared" si="78"/>
        <v>Cuiabá</v>
      </c>
    </row>
    <row r="853" spans="1:15" x14ac:dyDescent="0.3">
      <c r="A853" s="10">
        <v>45778</v>
      </c>
      <c r="B853" s="9" t="s">
        <v>78</v>
      </c>
      <c r="C853" t="s">
        <v>79</v>
      </c>
      <c r="D853" s="9">
        <v>19794</v>
      </c>
      <c r="E853" s="5" t="s">
        <v>414</v>
      </c>
      <c r="F853" t="s">
        <v>81</v>
      </c>
      <c r="G853">
        <v>2853</v>
      </c>
      <c r="H853">
        <v>1186</v>
      </c>
      <c r="I853" s="8">
        <f t="shared" si="79"/>
        <v>0.41570276901507186</v>
      </c>
      <c r="J853" s="17">
        <v>0.7</v>
      </c>
      <c r="K853" s="12">
        <v>13.75</v>
      </c>
      <c r="L853" s="2">
        <f t="shared" si="76"/>
        <v>811.09999999999991</v>
      </c>
      <c r="M853" s="15">
        <f t="shared" si="80"/>
        <v>11152.624999999998</v>
      </c>
      <c r="N853" t="str">
        <f t="shared" si="77"/>
        <v>MT</v>
      </c>
      <c r="O853" t="str">
        <f t="shared" si="78"/>
        <v>Cuiabá</v>
      </c>
    </row>
    <row r="854" spans="1:15" x14ac:dyDescent="0.3">
      <c r="A854" s="10">
        <v>45778</v>
      </c>
      <c r="B854" s="9" t="s">
        <v>7</v>
      </c>
      <c r="C854" t="s">
        <v>99</v>
      </c>
      <c r="D854" s="9">
        <v>19691</v>
      </c>
      <c r="E854" s="5" t="s">
        <v>415</v>
      </c>
      <c r="F854" t="s">
        <v>100</v>
      </c>
      <c r="G854">
        <v>3024</v>
      </c>
      <c r="H854">
        <v>1401</v>
      </c>
      <c r="I854" s="8">
        <f t="shared" si="79"/>
        <v>0.46329365079365081</v>
      </c>
      <c r="J854" s="17">
        <v>0.7</v>
      </c>
      <c r="K854" s="12">
        <v>13.75</v>
      </c>
      <c r="L854" s="2">
        <f t="shared" si="76"/>
        <v>715.79999999999973</v>
      </c>
      <c r="M854" s="15">
        <f t="shared" si="80"/>
        <v>9842.2499999999964</v>
      </c>
      <c r="N854" t="str">
        <f t="shared" si="77"/>
        <v>GO</v>
      </c>
      <c r="O854" t="str">
        <f t="shared" si="78"/>
        <v>Goiânia</v>
      </c>
    </row>
    <row r="855" spans="1:15" x14ac:dyDescent="0.3">
      <c r="A855" s="10">
        <v>45778</v>
      </c>
      <c r="B855" s="9" t="s">
        <v>15</v>
      </c>
      <c r="C855" t="s">
        <v>358</v>
      </c>
      <c r="D855" s="9">
        <v>19505</v>
      </c>
      <c r="E855" s="5" t="s">
        <v>416</v>
      </c>
      <c r="F855" t="s">
        <v>204</v>
      </c>
      <c r="G855">
        <v>2605</v>
      </c>
      <c r="H855">
        <v>946</v>
      </c>
      <c r="I855" s="8">
        <f t="shared" si="79"/>
        <v>0.36314779270633396</v>
      </c>
      <c r="J855" s="17">
        <v>0.7</v>
      </c>
      <c r="K855" s="12">
        <v>13.75</v>
      </c>
      <c r="L855" s="2">
        <f t="shared" si="76"/>
        <v>877.49999999999977</v>
      </c>
      <c r="M855" s="15">
        <f t="shared" si="80"/>
        <v>12065.624999999996</v>
      </c>
      <c r="N855" t="str">
        <f t="shared" si="77"/>
        <v>RJ</v>
      </c>
      <c r="O855" t="str">
        <f t="shared" si="78"/>
        <v>Rio De Janeiro</v>
      </c>
    </row>
    <row r="856" spans="1:15" x14ac:dyDescent="0.3">
      <c r="A856" s="10">
        <v>45778</v>
      </c>
      <c r="B856" s="9" t="s">
        <v>15</v>
      </c>
      <c r="C856" t="s">
        <v>358</v>
      </c>
      <c r="D856" s="9">
        <v>19515</v>
      </c>
      <c r="E856" s="5" t="s">
        <v>417</v>
      </c>
      <c r="F856" t="s">
        <v>205</v>
      </c>
      <c r="G856">
        <v>3764</v>
      </c>
      <c r="H856">
        <v>1555</v>
      </c>
      <c r="I856" s="8">
        <f t="shared" si="79"/>
        <v>0.41312433581296493</v>
      </c>
      <c r="J856" s="17">
        <v>0.7</v>
      </c>
      <c r="K856" s="12">
        <v>13.75</v>
      </c>
      <c r="L856" s="2">
        <f t="shared" si="76"/>
        <v>1079.8000000000002</v>
      </c>
      <c r="M856" s="15">
        <f t="shared" si="80"/>
        <v>14847.250000000002</v>
      </c>
      <c r="N856" t="str">
        <f t="shared" si="77"/>
        <v>RJ</v>
      </c>
      <c r="O856" t="str">
        <f t="shared" si="78"/>
        <v>Rio De Janeiro</v>
      </c>
    </row>
    <row r="857" spans="1:15" x14ac:dyDescent="0.3">
      <c r="A857" s="10">
        <v>45778</v>
      </c>
      <c r="B857" s="9" t="s">
        <v>15</v>
      </c>
      <c r="C857" t="s">
        <v>358</v>
      </c>
      <c r="D857" s="9">
        <v>19519</v>
      </c>
      <c r="E857" s="5" t="s">
        <v>418</v>
      </c>
      <c r="F857" t="s">
        <v>206</v>
      </c>
      <c r="G857">
        <v>5778</v>
      </c>
      <c r="H857">
        <v>2145</v>
      </c>
      <c r="I857" s="8">
        <f t="shared" si="79"/>
        <v>0.37123572170301145</v>
      </c>
      <c r="J857" s="17">
        <v>0.7</v>
      </c>
      <c r="K857" s="12">
        <v>13.75</v>
      </c>
      <c r="L857" s="2">
        <f t="shared" si="76"/>
        <v>1899.6</v>
      </c>
      <c r="M857" s="15">
        <f t="shared" si="80"/>
        <v>26119.5</v>
      </c>
      <c r="N857" t="str">
        <f t="shared" si="77"/>
        <v>RJ</v>
      </c>
      <c r="O857" t="str">
        <f t="shared" si="78"/>
        <v>Rio De Janeiro</v>
      </c>
    </row>
    <row r="858" spans="1:15" x14ac:dyDescent="0.3">
      <c r="A858" s="10">
        <v>45778</v>
      </c>
      <c r="B858" s="9" t="s">
        <v>15</v>
      </c>
      <c r="C858" t="s">
        <v>358</v>
      </c>
      <c r="D858" s="9">
        <v>19518</v>
      </c>
      <c r="E858" s="5" t="s">
        <v>419</v>
      </c>
      <c r="F858" t="s">
        <v>207</v>
      </c>
      <c r="G858">
        <v>4271</v>
      </c>
      <c r="H858">
        <v>1929</v>
      </c>
      <c r="I858" s="8">
        <f t="shared" si="79"/>
        <v>0.45165066729103254</v>
      </c>
      <c r="J858" s="17">
        <v>0.7</v>
      </c>
      <c r="K858" s="12">
        <v>13.75</v>
      </c>
      <c r="L858" s="2">
        <f t="shared" si="76"/>
        <v>1060.6999999999998</v>
      </c>
      <c r="M858" s="15">
        <f t="shared" si="80"/>
        <v>14584.624999999998</v>
      </c>
      <c r="N858" t="str">
        <f t="shared" si="77"/>
        <v>RJ</v>
      </c>
      <c r="O858" t="str">
        <f t="shared" si="78"/>
        <v>Rio De Janeiro</v>
      </c>
    </row>
    <row r="859" spans="1:15" x14ac:dyDescent="0.3">
      <c r="A859" s="10">
        <v>45778</v>
      </c>
      <c r="B859" s="9" t="s">
        <v>15</v>
      </c>
      <c r="C859" t="s">
        <v>358</v>
      </c>
      <c r="D859" s="9">
        <v>19507</v>
      </c>
      <c r="E859" s="5" t="s">
        <v>420</v>
      </c>
      <c r="F859" t="s">
        <v>208</v>
      </c>
      <c r="G859">
        <v>3449</v>
      </c>
      <c r="H859">
        <v>1176</v>
      </c>
      <c r="I859" s="8">
        <f t="shared" si="79"/>
        <v>0.34096839663670631</v>
      </c>
      <c r="J859" s="17">
        <v>0.7</v>
      </c>
      <c r="K859" s="12">
        <v>13.75</v>
      </c>
      <c r="L859" s="2">
        <f t="shared" si="76"/>
        <v>1238.2999999999997</v>
      </c>
      <c r="M859" s="15">
        <f t="shared" si="80"/>
        <v>17026.624999999996</v>
      </c>
      <c r="N859" t="str">
        <f t="shared" si="77"/>
        <v>RJ</v>
      </c>
      <c r="O859" t="str">
        <f t="shared" si="78"/>
        <v>Rio De Janeiro</v>
      </c>
    </row>
    <row r="860" spans="1:15" x14ac:dyDescent="0.3">
      <c r="A860" s="10">
        <v>45778</v>
      </c>
      <c r="B860" s="9" t="s">
        <v>15</v>
      </c>
      <c r="C860" t="s">
        <v>358</v>
      </c>
      <c r="D860" s="9">
        <v>19714</v>
      </c>
      <c r="E860" s="5" t="s">
        <v>421</v>
      </c>
      <c r="F860" t="s">
        <v>209</v>
      </c>
      <c r="G860">
        <v>2862</v>
      </c>
      <c r="H860">
        <v>1224</v>
      </c>
      <c r="I860" s="8">
        <f t="shared" si="79"/>
        <v>0.42767295597484278</v>
      </c>
      <c r="J860" s="17">
        <v>0.7</v>
      </c>
      <c r="K860" s="12">
        <v>13.75</v>
      </c>
      <c r="L860" s="2">
        <f t="shared" si="76"/>
        <v>779.39999999999986</v>
      </c>
      <c r="M860" s="15">
        <f t="shared" si="80"/>
        <v>10716.749999999998</v>
      </c>
      <c r="N860" t="str">
        <f t="shared" si="77"/>
        <v>RJ</v>
      </c>
      <c r="O860" t="str">
        <f t="shared" si="78"/>
        <v>Rio De Janeiro</v>
      </c>
    </row>
    <row r="861" spans="1:15" x14ac:dyDescent="0.3">
      <c r="A861" s="10">
        <v>45778</v>
      </c>
      <c r="B861" s="9" t="s">
        <v>3</v>
      </c>
      <c r="C861" t="s">
        <v>248</v>
      </c>
      <c r="D861" s="9">
        <v>19804</v>
      </c>
      <c r="E861" s="5" t="s">
        <v>422</v>
      </c>
      <c r="F861" t="s">
        <v>255</v>
      </c>
      <c r="G861">
        <v>1604</v>
      </c>
      <c r="H861">
        <v>641</v>
      </c>
      <c r="I861" s="8">
        <f t="shared" si="79"/>
        <v>0.39962593516209477</v>
      </c>
      <c r="J861" s="17">
        <v>0.7</v>
      </c>
      <c r="K861" s="12">
        <v>13.75</v>
      </c>
      <c r="L861" s="2">
        <f t="shared" si="76"/>
        <v>481.79999999999995</v>
      </c>
      <c r="M861" s="15">
        <f t="shared" si="80"/>
        <v>6624.7499999999991</v>
      </c>
      <c r="N861" t="str">
        <f t="shared" si="77"/>
        <v>SP</v>
      </c>
      <c r="O861" t="str">
        <f t="shared" si="78"/>
        <v>São Paulo</v>
      </c>
    </row>
    <row r="862" spans="1:15" x14ac:dyDescent="0.3">
      <c r="A862" s="10">
        <v>45778</v>
      </c>
      <c r="B862" s="9" t="s">
        <v>3</v>
      </c>
      <c r="C862" t="s">
        <v>363</v>
      </c>
      <c r="D862" s="9">
        <v>19808</v>
      </c>
      <c r="E862" s="5" t="s">
        <v>423</v>
      </c>
      <c r="F862" t="s">
        <v>243</v>
      </c>
      <c r="G862">
        <v>1472</v>
      </c>
      <c r="H862">
        <v>439</v>
      </c>
      <c r="I862" s="8">
        <f t="shared" si="79"/>
        <v>0.29823369565217389</v>
      </c>
      <c r="J862" s="17">
        <v>0.7</v>
      </c>
      <c r="K862" s="12">
        <v>13.75</v>
      </c>
      <c r="L862" s="2">
        <f t="shared" si="76"/>
        <v>591.39999999999986</v>
      </c>
      <c r="M862" s="15">
        <f t="shared" si="80"/>
        <v>8131.7499999999982</v>
      </c>
      <c r="N862" t="str">
        <f t="shared" si="77"/>
        <v>SP</v>
      </c>
      <c r="O862" t="str">
        <f t="shared" si="78"/>
        <v>São Caetano Do Sul</v>
      </c>
    </row>
    <row r="863" spans="1:15" x14ac:dyDescent="0.3">
      <c r="A863" s="10">
        <v>45778</v>
      </c>
      <c r="B863" s="9" t="s">
        <v>3</v>
      </c>
      <c r="C863" t="s">
        <v>24</v>
      </c>
      <c r="D863" s="9">
        <v>19805</v>
      </c>
      <c r="E863" s="5" t="s">
        <v>424</v>
      </c>
      <c r="F863" t="s">
        <v>25</v>
      </c>
      <c r="G863">
        <v>1762</v>
      </c>
      <c r="H863">
        <v>841</v>
      </c>
      <c r="I863" s="8">
        <f t="shared" si="79"/>
        <v>0.47729852440408627</v>
      </c>
      <c r="J863" s="17">
        <v>0.7</v>
      </c>
      <c r="K863" s="12">
        <v>13.75</v>
      </c>
      <c r="L863" s="2">
        <f t="shared" si="76"/>
        <v>392.39999999999986</v>
      </c>
      <c r="M863" s="15">
        <f t="shared" si="80"/>
        <v>5395.4999999999982</v>
      </c>
      <c r="N863" t="str">
        <f t="shared" si="77"/>
        <v>SP</v>
      </c>
      <c r="O863" t="str">
        <f t="shared" si="78"/>
        <v>Barueri</v>
      </c>
    </row>
    <row r="864" spans="1:15" x14ac:dyDescent="0.3">
      <c r="A864" s="10">
        <v>45778</v>
      </c>
      <c r="B864" s="9" t="s">
        <v>3</v>
      </c>
      <c r="C864" t="s">
        <v>248</v>
      </c>
      <c r="D864" s="9">
        <v>19821</v>
      </c>
      <c r="E864" s="5" t="s">
        <v>425</v>
      </c>
      <c r="F864" t="s">
        <v>256</v>
      </c>
      <c r="G864">
        <v>636</v>
      </c>
      <c r="H864">
        <v>85</v>
      </c>
      <c r="I864" s="8">
        <f t="shared" si="79"/>
        <v>0.13364779874213836</v>
      </c>
      <c r="J864" s="17">
        <v>0.7</v>
      </c>
      <c r="K864" s="12">
        <v>13.75</v>
      </c>
      <c r="L864" s="2">
        <f t="shared" ref="L864:L895" si="81">H864*J864/I864-H864</f>
        <v>360.19999999999993</v>
      </c>
      <c r="M864" s="15">
        <f t="shared" si="80"/>
        <v>4952.7499999999991</v>
      </c>
      <c r="N864" t="str">
        <f t="shared" si="77"/>
        <v>SP</v>
      </c>
      <c r="O864" t="str">
        <f t="shared" si="78"/>
        <v>São Paulo</v>
      </c>
    </row>
    <row r="865" spans="1:15" x14ac:dyDescent="0.3">
      <c r="A865" s="10">
        <v>45778</v>
      </c>
      <c r="B865" s="9" t="s">
        <v>3</v>
      </c>
      <c r="C865" t="s">
        <v>362</v>
      </c>
      <c r="D865" s="9">
        <v>19825</v>
      </c>
      <c r="E865" s="5" t="s">
        <v>426</v>
      </c>
      <c r="F865" t="s">
        <v>241</v>
      </c>
      <c r="G865">
        <v>1308</v>
      </c>
      <c r="H865">
        <v>458</v>
      </c>
      <c r="I865" s="8">
        <f t="shared" si="79"/>
        <v>0.35015290519877673</v>
      </c>
      <c r="J865" s="17">
        <v>0.7</v>
      </c>
      <c r="K865" s="12">
        <v>13.75</v>
      </c>
      <c r="L865" s="2">
        <f t="shared" si="81"/>
        <v>457.6</v>
      </c>
      <c r="M865" s="15">
        <f t="shared" si="80"/>
        <v>6292</v>
      </c>
      <c r="N865" t="str">
        <f t="shared" si="77"/>
        <v>SP</v>
      </c>
      <c r="O865" t="str">
        <f t="shared" si="78"/>
        <v>São Bernardo Do Campo</v>
      </c>
    </row>
    <row r="866" spans="1:15" x14ac:dyDescent="0.3">
      <c r="A866" s="10">
        <v>45778</v>
      </c>
      <c r="B866" s="9" t="s">
        <v>3</v>
      </c>
      <c r="C866" t="s">
        <v>193</v>
      </c>
      <c r="D866" s="9">
        <v>19832</v>
      </c>
      <c r="E866" s="5" t="s">
        <v>427</v>
      </c>
      <c r="F866" t="s">
        <v>194</v>
      </c>
      <c r="G866">
        <v>1713</v>
      </c>
      <c r="H866">
        <v>567</v>
      </c>
      <c r="I866" s="8">
        <f t="shared" si="79"/>
        <v>0.3309982486865149</v>
      </c>
      <c r="J866" s="17">
        <v>0.7</v>
      </c>
      <c r="K866" s="12">
        <v>13.75</v>
      </c>
      <c r="L866" s="2">
        <f t="shared" si="81"/>
        <v>632.09999999999991</v>
      </c>
      <c r="M866" s="15">
        <f t="shared" si="80"/>
        <v>8691.3749999999982</v>
      </c>
      <c r="N866" t="str">
        <f t="shared" si="77"/>
        <v>SP</v>
      </c>
      <c r="O866" t="str">
        <f t="shared" si="78"/>
        <v>Ribeirão Preto</v>
      </c>
    </row>
    <row r="867" spans="1:15" x14ac:dyDescent="0.3">
      <c r="A867" s="10">
        <v>45778</v>
      </c>
      <c r="B867" s="9" t="s">
        <v>15</v>
      </c>
      <c r="C867" t="s">
        <v>358</v>
      </c>
      <c r="D867" s="9">
        <v>19844</v>
      </c>
      <c r="E867" s="5" t="s">
        <v>428</v>
      </c>
      <c r="F867" t="s">
        <v>210</v>
      </c>
      <c r="G867">
        <v>2347</v>
      </c>
      <c r="H867">
        <v>879</v>
      </c>
      <c r="I867" s="8">
        <f t="shared" si="79"/>
        <v>0.37452066467831274</v>
      </c>
      <c r="J867" s="17">
        <v>0.7</v>
      </c>
      <c r="K867" s="12">
        <v>13.75</v>
      </c>
      <c r="L867" s="2">
        <f t="shared" si="81"/>
        <v>763.89999999999986</v>
      </c>
      <c r="M867" s="15">
        <f t="shared" si="80"/>
        <v>10503.624999999998</v>
      </c>
      <c r="N867" t="str">
        <f t="shared" si="77"/>
        <v>RJ</v>
      </c>
      <c r="O867" t="str">
        <f t="shared" si="78"/>
        <v>Rio De Janeiro</v>
      </c>
    </row>
    <row r="868" spans="1:15" x14ac:dyDescent="0.3">
      <c r="A868" s="10">
        <v>45778</v>
      </c>
      <c r="B868" s="9" t="s">
        <v>14</v>
      </c>
      <c r="C868" t="s">
        <v>29</v>
      </c>
      <c r="D868" s="9">
        <v>19704</v>
      </c>
      <c r="E868" s="5" t="s">
        <v>429</v>
      </c>
      <c r="F868" t="s">
        <v>30</v>
      </c>
      <c r="G868">
        <v>2924</v>
      </c>
      <c r="H868">
        <v>1372</v>
      </c>
      <c r="I868" s="8">
        <f t="shared" si="79"/>
        <v>0.4692202462380301</v>
      </c>
      <c r="J868" s="17">
        <v>0.7</v>
      </c>
      <c r="K868" s="12">
        <v>13.75</v>
      </c>
      <c r="L868" s="2">
        <f t="shared" si="81"/>
        <v>674.8</v>
      </c>
      <c r="M868" s="15">
        <f t="shared" si="80"/>
        <v>9278.5</v>
      </c>
      <c r="N868" t="str">
        <f t="shared" si="77"/>
        <v>MG</v>
      </c>
      <c r="O868" t="str">
        <f t="shared" si="78"/>
        <v>Belo Horizonte</v>
      </c>
    </row>
    <row r="869" spans="1:15" x14ac:dyDescent="0.3">
      <c r="A869" s="10">
        <v>45778</v>
      </c>
      <c r="B869" s="9" t="s">
        <v>15</v>
      </c>
      <c r="C869" t="s">
        <v>358</v>
      </c>
      <c r="D869" s="9">
        <v>19512</v>
      </c>
      <c r="E869" s="5" t="s">
        <v>430</v>
      </c>
      <c r="F869" t="s">
        <v>211</v>
      </c>
      <c r="G869">
        <v>1987</v>
      </c>
      <c r="H869">
        <v>661</v>
      </c>
      <c r="I869" s="8">
        <f t="shared" si="79"/>
        <v>0.33266230498238553</v>
      </c>
      <c r="J869" s="17">
        <v>0.7</v>
      </c>
      <c r="K869" s="12">
        <v>13.75</v>
      </c>
      <c r="L869" s="2">
        <f t="shared" si="81"/>
        <v>729.89999999999986</v>
      </c>
      <c r="M869" s="15">
        <f t="shared" si="80"/>
        <v>10036.124999999998</v>
      </c>
      <c r="N869" t="str">
        <f t="shared" si="77"/>
        <v>RJ</v>
      </c>
      <c r="O869" t="str">
        <f t="shared" si="78"/>
        <v>Rio De Janeiro</v>
      </c>
    </row>
    <row r="870" spans="1:15" x14ac:dyDescent="0.3">
      <c r="A870" s="10">
        <v>45778</v>
      </c>
      <c r="B870" s="9" t="s">
        <v>14</v>
      </c>
      <c r="C870" t="s">
        <v>29</v>
      </c>
      <c r="D870" s="9">
        <v>19562</v>
      </c>
      <c r="E870" s="5" t="s">
        <v>431</v>
      </c>
      <c r="F870" t="s">
        <v>31</v>
      </c>
      <c r="G870">
        <v>1503</v>
      </c>
      <c r="H870">
        <v>644</v>
      </c>
      <c r="I870" s="8">
        <f t="shared" si="79"/>
        <v>0.42847638057218895</v>
      </c>
      <c r="J870" s="17">
        <v>0.7</v>
      </c>
      <c r="K870" s="12">
        <v>13.75</v>
      </c>
      <c r="L870" s="2">
        <f t="shared" si="81"/>
        <v>408.09999999999991</v>
      </c>
      <c r="M870" s="15">
        <f t="shared" si="80"/>
        <v>5611.3749999999991</v>
      </c>
      <c r="N870" t="str">
        <f t="shared" si="77"/>
        <v>MG</v>
      </c>
      <c r="O870" t="str">
        <f t="shared" si="78"/>
        <v>Belo Horizonte</v>
      </c>
    </row>
    <row r="871" spans="1:15" x14ac:dyDescent="0.3">
      <c r="A871" s="10">
        <v>45778</v>
      </c>
      <c r="B871" s="9" t="s">
        <v>14</v>
      </c>
      <c r="C871" t="s">
        <v>29</v>
      </c>
      <c r="D871" s="9">
        <v>19748</v>
      </c>
      <c r="E871" s="5" t="s">
        <v>432</v>
      </c>
      <c r="F871" t="s">
        <v>32</v>
      </c>
      <c r="G871">
        <v>2094</v>
      </c>
      <c r="H871">
        <v>934</v>
      </c>
      <c r="I871" s="8">
        <f t="shared" si="79"/>
        <v>0.44603629417383001</v>
      </c>
      <c r="J871" s="17">
        <v>0.7</v>
      </c>
      <c r="K871" s="12">
        <v>13.75</v>
      </c>
      <c r="L871" s="2">
        <f t="shared" si="81"/>
        <v>531.79999999999995</v>
      </c>
      <c r="M871" s="15">
        <f t="shared" si="80"/>
        <v>7312.2499999999991</v>
      </c>
      <c r="N871" t="str">
        <f t="shared" si="77"/>
        <v>MG</v>
      </c>
      <c r="O871" t="str">
        <f t="shared" si="78"/>
        <v>Belo Horizonte</v>
      </c>
    </row>
    <row r="872" spans="1:15" x14ac:dyDescent="0.3">
      <c r="A872" s="10">
        <v>45778</v>
      </c>
      <c r="B872" s="9" t="s">
        <v>14</v>
      </c>
      <c r="C872" t="s">
        <v>29</v>
      </c>
      <c r="D872" s="9">
        <v>19561</v>
      </c>
      <c r="E872" s="5" t="s">
        <v>433</v>
      </c>
      <c r="F872" t="s">
        <v>33</v>
      </c>
      <c r="G872">
        <v>1446</v>
      </c>
      <c r="H872">
        <v>511</v>
      </c>
      <c r="I872" s="8">
        <f t="shared" si="79"/>
        <v>0.3533886583679115</v>
      </c>
      <c r="J872" s="17">
        <v>0.7</v>
      </c>
      <c r="K872" s="12">
        <v>13.75</v>
      </c>
      <c r="L872" s="2">
        <f t="shared" si="81"/>
        <v>501.19999999999993</v>
      </c>
      <c r="M872" s="15">
        <f t="shared" si="80"/>
        <v>6891.4999999999991</v>
      </c>
      <c r="N872" t="str">
        <f t="shared" si="77"/>
        <v>MG</v>
      </c>
      <c r="O872" t="str">
        <f t="shared" si="78"/>
        <v>Belo Horizonte</v>
      </c>
    </row>
    <row r="873" spans="1:15" x14ac:dyDescent="0.3">
      <c r="A873" s="10">
        <v>45778</v>
      </c>
      <c r="B873" s="9" t="s">
        <v>3</v>
      </c>
      <c r="C873" t="s">
        <v>248</v>
      </c>
      <c r="D873" s="9">
        <v>19855</v>
      </c>
      <c r="E873" s="5" t="s">
        <v>434</v>
      </c>
      <c r="F873" t="s">
        <v>257</v>
      </c>
      <c r="G873">
        <v>483</v>
      </c>
      <c r="H873">
        <v>127</v>
      </c>
      <c r="I873" s="8">
        <f t="shared" si="79"/>
        <v>0.26293995859213248</v>
      </c>
      <c r="J873" s="17">
        <v>0.7</v>
      </c>
      <c r="K873" s="12">
        <v>13.75</v>
      </c>
      <c r="L873" s="2">
        <f t="shared" si="81"/>
        <v>211.10000000000002</v>
      </c>
      <c r="M873" s="15">
        <f t="shared" si="80"/>
        <v>2902.6250000000005</v>
      </c>
      <c r="N873" t="str">
        <f t="shared" si="77"/>
        <v>SP</v>
      </c>
      <c r="O873" t="str">
        <f t="shared" si="78"/>
        <v>São Paulo</v>
      </c>
    </row>
    <row r="874" spans="1:15" x14ac:dyDescent="0.3">
      <c r="A874" s="10">
        <v>45778</v>
      </c>
      <c r="B874" s="9" t="s">
        <v>14</v>
      </c>
      <c r="C874" t="s">
        <v>29</v>
      </c>
      <c r="D874" s="9">
        <v>19560</v>
      </c>
      <c r="E874" s="5" t="s">
        <v>435</v>
      </c>
      <c r="F874" t="s">
        <v>34</v>
      </c>
      <c r="G874">
        <v>3489</v>
      </c>
      <c r="H874">
        <v>1419</v>
      </c>
      <c r="I874" s="8">
        <f t="shared" si="79"/>
        <v>0.4067067927773001</v>
      </c>
      <c r="J874" s="17">
        <v>0.7</v>
      </c>
      <c r="K874" s="12">
        <v>13.75</v>
      </c>
      <c r="L874" s="2">
        <f t="shared" si="81"/>
        <v>1023.2999999999997</v>
      </c>
      <c r="M874" s="15">
        <f t="shared" si="80"/>
        <v>14070.374999999996</v>
      </c>
      <c r="N874" t="str">
        <f t="shared" si="77"/>
        <v>MG</v>
      </c>
      <c r="O874" t="str">
        <f t="shared" si="78"/>
        <v>Belo Horizonte</v>
      </c>
    </row>
    <row r="875" spans="1:15" x14ac:dyDescent="0.3">
      <c r="A875" s="10">
        <v>45778</v>
      </c>
      <c r="B875" s="9" t="s">
        <v>3</v>
      </c>
      <c r="C875" t="s">
        <v>248</v>
      </c>
      <c r="D875" s="9">
        <v>19859</v>
      </c>
      <c r="E875" s="5" t="s">
        <v>436</v>
      </c>
      <c r="F875" t="s">
        <v>258</v>
      </c>
      <c r="G875">
        <v>1963</v>
      </c>
      <c r="H875">
        <v>570</v>
      </c>
      <c r="I875" s="8">
        <f t="shared" si="79"/>
        <v>0.29037187977585327</v>
      </c>
      <c r="J875" s="17">
        <v>0.7</v>
      </c>
      <c r="K875" s="12">
        <v>13.75</v>
      </c>
      <c r="L875" s="2">
        <f t="shared" si="81"/>
        <v>804.10000000000014</v>
      </c>
      <c r="M875" s="15">
        <f t="shared" si="80"/>
        <v>11056.375000000002</v>
      </c>
      <c r="N875" t="str">
        <f t="shared" si="77"/>
        <v>SP</v>
      </c>
      <c r="O875" t="str">
        <f t="shared" si="78"/>
        <v>São Paulo</v>
      </c>
    </row>
    <row r="876" spans="1:15" x14ac:dyDescent="0.3">
      <c r="A876" s="10">
        <v>45778</v>
      </c>
      <c r="B876" s="9" t="s">
        <v>14</v>
      </c>
      <c r="C876" t="s">
        <v>29</v>
      </c>
      <c r="D876" s="9">
        <v>19780</v>
      </c>
      <c r="E876" s="5" t="s">
        <v>437</v>
      </c>
      <c r="F876" t="s">
        <v>35</v>
      </c>
      <c r="G876">
        <v>1394</v>
      </c>
      <c r="H876">
        <v>693</v>
      </c>
      <c r="I876" s="8">
        <f t="shared" si="79"/>
        <v>0.49713055954088953</v>
      </c>
      <c r="J876" s="17">
        <v>0.7</v>
      </c>
      <c r="K876" s="12">
        <v>13.75</v>
      </c>
      <c r="L876" s="2">
        <f t="shared" si="81"/>
        <v>282.79999999999995</v>
      </c>
      <c r="M876" s="15">
        <f t="shared" si="80"/>
        <v>3888.4999999999995</v>
      </c>
      <c r="N876" t="str">
        <f t="shared" si="77"/>
        <v>MG</v>
      </c>
      <c r="O876" t="str">
        <f t="shared" si="78"/>
        <v>Belo Horizonte</v>
      </c>
    </row>
    <row r="877" spans="1:15" x14ac:dyDescent="0.3">
      <c r="A877" s="10">
        <v>45778</v>
      </c>
      <c r="B877" s="9" t="s">
        <v>3</v>
      </c>
      <c r="C877" t="s">
        <v>361</v>
      </c>
      <c r="D877" s="9">
        <v>19847</v>
      </c>
      <c r="E877" s="5" t="s">
        <v>438</v>
      </c>
      <c r="F877" t="s">
        <v>238</v>
      </c>
      <c r="G877">
        <v>1586</v>
      </c>
      <c r="H877">
        <v>393</v>
      </c>
      <c r="I877" s="8">
        <f t="shared" si="79"/>
        <v>0.24779319041614123</v>
      </c>
      <c r="J877" s="17">
        <v>0.7</v>
      </c>
      <c r="K877" s="12">
        <v>13.75</v>
      </c>
      <c r="L877" s="2">
        <f t="shared" si="81"/>
        <v>717.19999999999982</v>
      </c>
      <c r="M877" s="15">
        <f t="shared" si="80"/>
        <v>9861.4999999999982</v>
      </c>
      <c r="N877" t="str">
        <f t="shared" si="77"/>
        <v>SP</v>
      </c>
      <c r="O877" t="str">
        <f t="shared" si="78"/>
        <v>Santo André</v>
      </c>
    </row>
    <row r="878" spans="1:15" x14ac:dyDescent="0.3">
      <c r="A878" s="10">
        <v>45778</v>
      </c>
      <c r="B878" s="9" t="s">
        <v>3</v>
      </c>
      <c r="C878" t="s">
        <v>110</v>
      </c>
      <c r="D878" s="9">
        <v>19884</v>
      </c>
      <c r="E878" s="5" t="s">
        <v>439</v>
      </c>
      <c r="F878" t="s">
        <v>111</v>
      </c>
      <c r="G878">
        <v>2055</v>
      </c>
      <c r="H878">
        <v>690</v>
      </c>
      <c r="I878" s="8">
        <f t="shared" si="79"/>
        <v>0.33576642335766421</v>
      </c>
      <c r="J878" s="17">
        <v>0.7</v>
      </c>
      <c r="K878" s="12">
        <v>13.75</v>
      </c>
      <c r="L878" s="2">
        <f t="shared" si="81"/>
        <v>748.5</v>
      </c>
      <c r="M878" s="15">
        <f t="shared" si="80"/>
        <v>10291.875</v>
      </c>
      <c r="N878" t="str">
        <f t="shared" si="77"/>
        <v>SP</v>
      </c>
      <c r="O878" t="str">
        <f t="shared" si="78"/>
        <v>Guarulhos</v>
      </c>
    </row>
    <row r="879" spans="1:15" x14ac:dyDescent="0.3">
      <c r="A879" s="10">
        <v>45778</v>
      </c>
      <c r="B879" s="9" t="s">
        <v>3</v>
      </c>
      <c r="C879" t="s">
        <v>108</v>
      </c>
      <c r="D879" s="9">
        <v>19877</v>
      </c>
      <c r="E879" s="5" t="s">
        <v>440</v>
      </c>
      <c r="F879" t="s">
        <v>109</v>
      </c>
      <c r="G879">
        <v>2138</v>
      </c>
      <c r="H879">
        <v>785</v>
      </c>
      <c r="I879" s="8">
        <f t="shared" si="79"/>
        <v>0.36716557530402244</v>
      </c>
      <c r="J879" s="17">
        <v>0.7</v>
      </c>
      <c r="K879" s="12">
        <v>13.75</v>
      </c>
      <c r="L879" s="2">
        <f t="shared" si="81"/>
        <v>711.60000000000014</v>
      </c>
      <c r="M879" s="15">
        <f t="shared" si="80"/>
        <v>9784.5000000000018</v>
      </c>
      <c r="N879" t="str">
        <f t="shared" si="77"/>
        <v>SP</v>
      </c>
      <c r="O879" t="str">
        <f t="shared" si="78"/>
        <v>Guarujá</v>
      </c>
    </row>
    <row r="880" spans="1:15" x14ac:dyDescent="0.3">
      <c r="A880" s="10">
        <v>45778</v>
      </c>
      <c r="B880" s="9" t="s">
        <v>3</v>
      </c>
      <c r="C880" t="s">
        <v>248</v>
      </c>
      <c r="D880" s="9">
        <v>19890</v>
      </c>
      <c r="E880" s="5" t="s">
        <v>441</v>
      </c>
      <c r="F880" t="s">
        <v>259</v>
      </c>
      <c r="G880">
        <v>1038</v>
      </c>
      <c r="H880">
        <v>345</v>
      </c>
      <c r="I880" s="8">
        <f t="shared" si="79"/>
        <v>0.33236994219653176</v>
      </c>
      <c r="J880" s="17">
        <v>0.7</v>
      </c>
      <c r="K880" s="12">
        <v>13.75</v>
      </c>
      <c r="L880" s="2">
        <f t="shared" si="81"/>
        <v>381.6</v>
      </c>
      <c r="M880" s="15">
        <f t="shared" si="80"/>
        <v>5247</v>
      </c>
      <c r="N880" t="str">
        <f t="shared" si="77"/>
        <v>SP</v>
      </c>
      <c r="O880" t="str">
        <f t="shared" si="78"/>
        <v>São Paulo</v>
      </c>
    </row>
    <row r="881" spans="1:15" x14ac:dyDescent="0.3">
      <c r="A881" s="10">
        <v>45778</v>
      </c>
      <c r="B881" s="9" t="s">
        <v>3</v>
      </c>
      <c r="C881" t="s">
        <v>239</v>
      </c>
      <c r="D881" s="9">
        <v>19708</v>
      </c>
      <c r="E881" s="5" t="s">
        <v>443</v>
      </c>
      <c r="F881" t="s">
        <v>240</v>
      </c>
      <c r="G881">
        <v>2622</v>
      </c>
      <c r="H881">
        <v>1006</v>
      </c>
      <c r="I881" s="8">
        <f t="shared" si="79"/>
        <v>0.38367658276125094</v>
      </c>
      <c r="J881" s="17">
        <v>0.7</v>
      </c>
      <c r="K881" s="12">
        <v>13.75</v>
      </c>
      <c r="L881" s="2">
        <f t="shared" si="81"/>
        <v>829.39999999999986</v>
      </c>
      <c r="M881" s="15">
        <f t="shared" si="80"/>
        <v>11404.249999999998</v>
      </c>
      <c r="N881" t="str">
        <f t="shared" si="77"/>
        <v>SP</v>
      </c>
      <c r="O881" t="str">
        <f t="shared" si="78"/>
        <v>Santos</v>
      </c>
    </row>
    <row r="882" spans="1:15" x14ac:dyDescent="0.3">
      <c r="A882" s="10">
        <v>45778</v>
      </c>
      <c r="B882" s="9" t="s">
        <v>15</v>
      </c>
      <c r="C882" t="s">
        <v>358</v>
      </c>
      <c r="D882" s="9">
        <v>19508</v>
      </c>
      <c r="E882" s="5" t="s">
        <v>444</v>
      </c>
      <c r="F882" t="s">
        <v>212</v>
      </c>
      <c r="G882">
        <v>2972</v>
      </c>
      <c r="H882">
        <v>1361</v>
      </c>
      <c r="I882" s="8">
        <f t="shared" si="79"/>
        <v>0.4579407806191117</v>
      </c>
      <c r="J882" s="17">
        <v>0.7</v>
      </c>
      <c r="K882" s="12">
        <v>13.75</v>
      </c>
      <c r="L882" s="2">
        <f t="shared" si="81"/>
        <v>719.40000000000009</v>
      </c>
      <c r="M882" s="15">
        <f t="shared" si="80"/>
        <v>9891.7500000000018</v>
      </c>
      <c r="N882" t="str">
        <f t="shared" si="77"/>
        <v>RJ</v>
      </c>
      <c r="O882" t="str">
        <f t="shared" si="78"/>
        <v>Rio De Janeiro</v>
      </c>
    </row>
    <row r="883" spans="1:15" x14ac:dyDescent="0.3">
      <c r="A883" s="10">
        <v>45778</v>
      </c>
      <c r="B883" s="9" t="s">
        <v>3</v>
      </c>
      <c r="C883" t="s">
        <v>362</v>
      </c>
      <c r="D883" s="9">
        <v>19820</v>
      </c>
      <c r="E883" s="5" t="s">
        <v>445</v>
      </c>
      <c r="F883" t="s">
        <v>242</v>
      </c>
      <c r="G883">
        <v>1412</v>
      </c>
      <c r="H883">
        <v>431</v>
      </c>
      <c r="I883" s="8">
        <f t="shared" si="79"/>
        <v>0.30524079320113312</v>
      </c>
      <c r="J883" s="17">
        <v>0.7</v>
      </c>
      <c r="K883" s="12">
        <v>13.75</v>
      </c>
      <c r="L883" s="2">
        <f t="shared" si="81"/>
        <v>557.40000000000009</v>
      </c>
      <c r="M883" s="15">
        <f t="shared" si="80"/>
        <v>7664.2500000000009</v>
      </c>
      <c r="N883" t="str">
        <f t="shared" si="77"/>
        <v>SP</v>
      </c>
      <c r="O883" t="str">
        <f t="shared" si="78"/>
        <v>São Bernardo Do Campo</v>
      </c>
    </row>
    <row r="884" spans="1:15" x14ac:dyDescent="0.3">
      <c r="A884" s="10">
        <v>45778</v>
      </c>
      <c r="B884" s="9" t="s">
        <v>15</v>
      </c>
      <c r="C884" t="s">
        <v>358</v>
      </c>
      <c r="D884" s="9">
        <v>19894</v>
      </c>
      <c r="E884" s="5" t="s">
        <v>446</v>
      </c>
      <c r="F884" t="s">
        <v>213</v>
      </c>
      <c r="G884">
        <v>2384</v>
      </c>
      <c r="H884">
        <v>775</v>
      </c>
      <c r="I884" s="8">
        <f t="shared" si="79"/>
        <v>0.32508389261744969</v>
      </c>
      <c r="J884" s="17">
        <v>0.7</v>
      </c>
      <c r="K884" s="12">
        <v>13.75</v>
      </c>
      <c r="L884" s="2">
        <f t="shared" si="81"/>
        <v>893.8</v>
      </c>
      <c r="M884" s="15">
        <f t="shared" si="80"/>
        <v>12289.75</v>
      </c>
      <c r="N884" t="str">
        <f t="shared" si="77"/>
        <v>RJ</v>
      </c>
      <c r="O884" t="str">
        <f t="shared" si="78"/>
        <v>Rio De Janeiro</v>
      </c>
    </row>
    <row r="885" spans="1:15" x14ac:dyDescent="0.3">
      <c r="A885" s="10">
        <v>45778</v>
      </c>
      <c r="B885" s="9" t="s">
        <v>15</v>
      </c>
      <c r="C885" t="s">
        <v>358</v>
      </c>
      <c r="D885" s="9">
        <v>19526</v>
      </c>
      <c r="E885" s="5" t="s">
        <v>447</v>
      </c>
      <c r="F885" t="s">
        <v>214</v>
      </c>
      <c r="G885">
        <v>1459</v>
      </c>
      <c r="H885">
        <v>528</v>
      </c>
      <c r="I885" s="8">
        <f t="shared" si="79"/>
        <v>0.36189170664838932</v>
      </c>
      <c r="J885" s="17">
        <v>0.7</v>
      </c>
      <c r="K885" s="12">
        <v>13.75</v>
      </c>
      <c r="L885" s="2">
        <f t="shared" si="81"/>
        <v>493.29999999999984</v>
      </c>
      <c r="M885" s="15">
        <f t="shared" si="80"/>
        <v>6782.8749999999982</v>
      </c>
      <c r="N885" t="str">
        <f t="shared" si="77"/>
        <v>RJ</v>
      </c>
      <c r="O885" t="str">
        <f t="shared" si="78"/>
        <v>Rio De Janeiro</v>
      </c>
    </row>
    <row r="886" spans="1:15" x14ac:dyDescent="0.3">
      <c r="A886" s="10">
        <v>45778</v>
      </c>
      <c r="B886" s="9" t="s">
        <v>15</v>
      </c>
      <c r="C886" t="s">
        <v>358</v>
      </c>
      <c r="D886" s="9">
        <v>19509</v>
      </c>
      <c r="E886" s="5" t="s">
        <v>448</v>
      </c>
      <c r="F886" t="s">
        <v>215</v>
      </c>
      <c r="G886">
        <v>2491</v>
      </c>
      <c r="H886">
        <v>901</v>
      </c>
      <c r="I886" s="8">
        <f t="shared" si="79"/>
        <v>0.36170212765957449</v>
      </c>
      <c r="J886" s="17">
        <v>0.7</v>
      </c>
      <c r="K886" s="12">
        <v>13.75</v>
      </c>
      <c r="L886" s="2">
        <f t="shared" si="81"/>
        <v>842.69999999999959</v>
      </c>
      <c r="M886" s="15">
        <f t="shared" si="80"/>
        <v>11587.124999999995</v>
      </c>
      <c r="N886" t="str">
        <f t="shared" si="77"/>
        <v>RJ</v>
      </c>
      <c r="O886" t="str">
        <f t="shared" si="78"/>
        <v>Rio De Janeiro</v>
      </c>
    </row>
    <row r="887" spans="1:15" x14ac:dyDescent="0.3">
      <c r="A887" s="10">
        <v>45778</v>
      </c>
      <c r="B887" s="9" t="s">
        <v>3</v>
      </c>
      <c r="C887" t="s">
        <v>356</v>
      </c>
      <c r="D887" s="9">
        <v>19745</v>
      </c>
      <c r="E887" s="5" t="s">
        <v>449</v>
      </c>
      <c r="F887" t="s">
        <v>154</v>
      </c>
      <c r="G887">
        <v>1899</v>
      </c>
      <c r="H887">
        <v>790</v>
      </c>
      <c r="I887" s="8">
        <f t="shared" si="79"/>
        <v>0.41600842548709849</v>
      </c>
      <c r="J887" s="17">
        <v>0.7</v>
      </c>
      <c r="K887" s="12">
        <v>13.75</v>
      </c>
      <c r="L887" s="2">
        <f t="shared" si="81"/>
        <v>539.29999999999995</v>
      </c>
      <c r="M887" s="15">
        <f t="shared" si="80"/>
        <v>7415.3749999999991</v>
      </c>
      <c r="N887" t="str">
        <f t="shared" si="77"/>
        <v>SP</v>
      </c>
      <c r="O887" t="str">
        <f t="shared" si="78"/>
        <v>Osasco</v>
      </c>
    </row>
    <row r="888" spans="1:15" x14ac:dyDescent="0.3">
      <c r="A888" s="10">
        <v>45778</v>
      </c>
      <c r="B888" s="9" t="s">
        <v>3</v>
      </c>
      <c r="C888" t="s">
        <v>248</v>
      </c>
      <c r="D888" s="9">
        <v>19710</v>
      </c>
      <c r="E888" s="5" t="s">
        <v>450</v>
      </c>
      <c r="F888" t="s">
        <v>261</v>
      </c>
      <c r="G888">
        <v>1921</v>
      </c>
      <c r="H888">
        <v>938</v>
      </c>
      <c r="I888" s="8">
        <f t="shared" si="79"/>
        <v>0.48828735033836546</v>
      </c>
      <c r="J888" s="17">
        <v>0.7</v>
      </c>
      <c r="K888" s="12">
        <v>13.75</v>
      </c>
      <c r="L888" s="2">
        <f t="shared" si="81"/>
        <v>406.69999999999982</v>
      </c>
      <c r="M888" s="15">
        <f t="shared" si="80"/>
        <v>5592.1249999999973</v>
      </c>
      <c r="N888" t="str">
        <f t="shared" si="77"/>
        <v>SP</v>
      </c>
      <c r="O888" t="str">
        <f t="shared" si="78"/>
        <v>São Paulo</v>
      </c>
    </row>
    <row r="889" spans="1:15" x14ac:dyDescent="0.3">
      <c r="A889" s="10">
        <v>45778</v>
      </c>
      <c r="B889" s="9" t="s">
        <v>14</v>
      </c>
      <c r="C889" t="s">
        <v>29</v>
      </c>
      <c r="D889" s="9">
        <v>19720</v>
      </c>
      <c r="E889" s="5" t="s">
        <v>451</v>
      </c>
      <c r="F889" t="s">
        <v>36</v>
      </c>
      <c r="G889">
        <v>1618</v>
      </c>
      <c r="H889">
        <v>623</v>
      </c>
      <c r="I889" s="8">
        <f t="shared" si="79"/>
        <v>0.38504326328800986</v>
      </c>
      <c r="J889" s="17">
        <v>0.7</v>
      </c>
      <c r="K889" s="12">
        <v>13.75</v>
      </c>
      <c r="L889" s="2">
        <f t="shared" si="81"/>
        <v>509.59999999999991</v>
      </c>
      <c r="M889" s="15">
        <f t="shared" si="80"/>
        <v>7006.9999999999991</v>
      </c>
      <c r="N889" t="str">
        <f t="shared" si="77"/>
        <v>MG</v>
      </c>
      <c r="O889" t="str">
        <f t="shared" si="78"/>
        <v>Belo Horizonte</v>
      </c>
    </row>
    <row r="890" spans="1:15" x14ac:dyDescent="0.3">
      <c r="A890" s="10">
        <v>45778</v>
      </c>
      <c r="B890" s="9" t="s">
        <v>15</v>
      </c>
      <c r="C890" t="s">
        <v>358</v>
      </c>
      <c r="D890" s="9">
        <v>19635</v>
      </c>
      <c r="E890" s="5" t="s">
        <v>452</v>
      </c>
      <c r="F890" t="s">
        <v>216</v>
      </c>
      <c r="G890">
        <v>1894</v>
      </c>
      <c r="H890">
        <v>822</v>
      </c>
      <c r="I890" s="8">
        <f t="shared" si="79"/>
        <v>0.43400211193241817</v>
      </c>
      <c r="J890" s="17">
        <v>0.7</v>
      </c>
      <c r="K890" s="12">
        <v>13.75</v>
      </c>
      <c r="L890" s="2">
        <f t="shared" si="81"/>
        <v>503.79999999999995</v>
      </c>
      <c r="M890" s="15">
        <f t="shared" si="80"/>
        <v>6927.2499999999991</v>
      </c>
      <c r="N890" t="str">
        <f t="shared" si="77"/>
        <v>RJ</v>
      </c>
      <c r="O890" t="str">
        <f t="shared" si="78"/>
        <v>Rio De Janeiro</v>
      </c>
    </row>
    <row r="891" spans="1:15" x14ac:dyDescent="0.3">
      <c r="A891" s="10">
        <v>45778</v>
      </c>
      <c r="B891" s="9" t="s">
        <v>15</v>
      </c>
      <c r="C891" t="s">
        <v>358</v>
      </c>
      <c r="D891" s="9">
        <v>19665</v>
      </c>
      <c r="E891" s="5" t="s">
        <v>453</v>
      </c>
      <c r="F891" t="s">
        <v>217</v>
      </c>
      <c r="G891">
        <v>1862</v>
      </c>
      <c r="H891">
        <v>799</v>
      </c>
      <c r="I891" s="8">
        <f t="shared" si="79"/>
        <v>0.42910848549946295</v>
      </c>
      <c r="J891" s="17">
        <v>0.7</v>
      </c>
      <c r="K891" s="12">
        <v>13.75</v>
      </c>
      <c r="L891" s="2">
        <f t="shared" si="81"/>
        <v>504.39999999999986</v>
      </c>
      <c r="M891" s="15">
        <f t="shared" si="80"/>
        <v>6935.4999999999982</v>
      </c>
      <c r="N891" t="str">
        <f t="shared" si="77"/>
        <v>RJ</v>
      </c>
      <c r="O891" t="str">
        <f t="shared" si="78"/>
        <v>Rio De Janeiro</v>
      </c>
    </row>
    <row r="892" spans="1:15" x14ac:dyDescent="0.3">
      <c r="A892" s="10">
        <v>45778</v>
      </c>
      <c r="B892" s="9" t="s">
        <v>15</v>
      </c>
      <c r="C892" t="s">
        <v>358</v>
      </c>
      <c r="D892" s="9">
        <v>19504</v>
      </c>
      <c r="E892" s="5" t="s">
        <v>454</v>
      </c>
      <c r="F892" t="s">
        <v>218</v>
      </c>
      <c r="G892">
        <v>3268</v>
      </c>
      <c r="H892">
        <v>1394</v>
      </c>
      <c r="I892" s="8">
        <f t="shared" si="79"/>
        <v>0.4265605875152999</v>
      </c>
      <c r="J892" s="17">
        <v>0.7</v>
      </c>
      <c r="K892" s="12">
        <v>13.75</v>
      </c>
      <c r="L892" s="2">
        <f t="shared" si="81"/>
        <v>893.59999999999991</v>
      </c>
      <c r="M892" s="15">
        <f t="shared" si="80"/>
        <v>12286.999999999998</v>
      </c>
      <c r="N892" t="str">
        <f t="shared" si="77"/>
        <v>RJ</v>
      </c>
      <c r="O892" t="str">
        <f t="shared" si="78"/>
        <v>Rio De Janeiro</v>
      </c>
    </row>
    <row r="893" spans="1:15" x14ac:dyDescent="0.3">
      <c r="A893" s="10">
        <v>45778</v>
      </c>
      <c r="B893" s="9" t="s">
        <v>15</v>
      </c>
      <c r="C893" t="s">
        <v>358</v>
      </c>
      <c r="D893" s="9">
        <v>19511</v>
      </c>
      <c r="E893" s="5" t="s">
        <v>455</v>
      </c>
      <c r="F893" t="s">
        <v>219</v>
      </c>
      <c r="G893">
        <v>2836</v>
      </c>
      <c r="H893">
        <v>1061</v>
      </c>
      <c r="I893" s="8">
        <f t="shared" si="79"/>
        <v>0.37411847672778559</v>
      </c>
      <c r="J893" s="17">
        <v>0.7</v>
      </c>
      <c r="K893" s="12">
        <v>13.75</v>
      </c>
      <c r="L893" s="2">
        <f t="shared" si="81"/>
        <v>924.2</v>
      </c>
      <c r="M893" s="15">
        <f t="shared" si="80"/>
        <v>12707.75</v>
      </c>
      <c r="N893" t="str">
        <f t="shared" si="77"/>
        <v>RJ</v>
      </c>
      <c r="O893" t="str">
        <f t="shared" si="78"/>
        <v>Rio De Janeiro</v>
      </c>
    </row>
    <row r="894" spans="1:15" x14ac:dyDescent="0.3">
      <c r="A894" s="10">
        <v>45778</v>
      </c>
      <c r="B894" s="9" t="s">
        <v>14</v>
      </c>
      <c r="C894" t="s">
        <v>285</v>
      </c>
      <c r="D894" s="9">
        <v>19698</v>
      </c>
      <c r="E894" s="5" t="s">
        <v>456</v>
      </c>
      <c r="F894" t="s">
        <v>331</v>
      </c>
      <c r="G894">
        <v>2481</v>
      </c>
      <c r="H894">
        <v>909</v>
      </c>
      <c r="I894" s="8">
        <f t="shared" si="79"/>
        <v>0.36638452237001207</v>
      </c>
      <c r="J894" s="17">
        <v>0.7</v>
      </c>
      <c r="K894" s="12">
        <v>13.75</v>
      </c>
      <c r="L894" s="2">
        <f t="shared" si="81"/>
        <v>827.7</v>
      </c>
      <c r="M894" s="15">
        <f t="shared" si="80"/>
        <v>11380.875</v>
      </c>
      <c r="N894" t="str">
        <f t="shared" si="77"/>
        <v>MG</v>
      </c>
      <c r="O894" t="str">
        <f t="shared" si="78"/>
        <v>Uberlândia</v>
      </c>
    </row>
    <row r="895" spans="1:15" x14ac:dyDescent="0.3">
      <c r="A895" s="10">
        <v>45778</v>
      </c>
      <c r="B895" s="9" t="s">
        <v>15</v>
      </c>
      <c r="C895" t="s">
        <v>358</v>
      </c>
      <c r="D895" s="9">
        <v>19506</v>
      </c>
      <c r="E895" s="5" t="s">
        <v>457</v>
      </c>
      <c r="F895" t="s">
        <v>220</v>
      </c>
      <c r="G895">
        <v>2932</v>
      </c>
      <c r="H895">
        <v>1136</v>
      </c>
      <c r="I895" s="8">
        <f t="shared" si="79"/>
        <v>0.38744884038199179</v>
      </c>
      <c r="J895" s="17">
        <v>0.7</v>
      </c>
      <c r="K895" s="12">
        <v>13.75</v>
      </c>
      <c r="L895" s="2">
        <f t="shared" si="81"/>
        <v>916.40000000000009</v>
      </c>
      <c r="M895" s="15">
        <f t="shared" si="80"/>
        <v>12600.500000000002</v>
      </c>
      <c r="N895" t="str">
        <f t="shared" si="77"/>
        <v>RJ</v>
      </c>
      <c r="O895" t="str">
        <f t="shared" si="78"/>
        <v>Rio De Janeiro</v>
      </c>
    </row>
    <row r="896" spans="1:15" x14ac:dyDescent="0.3">
      <c r="A896" s="10">
        <v>45778</v>
      </c>
      <c r="B896" s="9" t="s">
        <v>7</v>
      </c>
      <c r="C896" t="s">
        <v>8</v>
      </c>
      <c r="D896" s="9">
        <v>19700</v>
      </c>
      <c r="E896" s="5" t="s">
        <v>458</v>
      </c>
      <c r="F896" t="s">
        <v>9</v>
      </c>
      <c r="G896">
        <v>2017</v>
      </c>
      <c r="H896">
        <v>758</v>
      </c>
      <c r="I896" s="8">
        <f t="shared" si="79"/>
        <v>0.37580565195835397</v>
      </c>
      <c r="J896" s="17">
        <v>0.7</v>
      </c>
      <c r="K896" s="12">
        <v>13.75</v>
      </c>
      <c r="L896" s="2">
        <f t="shared" ref="L896:L924" si="82">H896*J896/I896-H896</f>
        <v>653.90000000000009</v>
      </c>
      <c r="M896" s="15">
        <f t="shared" si="80"/>
        <v>8991.1250000000018</v>
      </c>
      <c r="N896" t="str">
        <f t="shared" si="77"/>
        <v>GO</v>
      </c>
      <c r="O896" t="str">
        <f t="shared" si="78"/>
        <v>Anápolis</v>
      </c>
    </row>
    <row r="897" spans="1:15" x14ac:dyDescent="0.3">
      <c r="A897" s="10">
        <v>45778</v>
      </c>
      <c r="B897" s="9" t="s">
        <v>14</v>
      </c>
      <c r="C897" t="s">
        <v>29</v>
      </c>
      <c r="D897" s="9">
        <v>19697</v>
      </c>
      <c r="E897" s="5" t="s">
        <v>459</v>
      </c>
      <c r="F897" t="s">
        <v>37</v>
      </c>
      <c r="G897">
        <v>2522</v>
      </c>
      <c r="H897">
        <v>907</v>
      </c>
      <c r="I897" s="8">
        <f t="shared" si="79"/>
        <v>0.35963521015067407</v>
      </c>
      <c r="J897" s="17">
        <v>0.7</v>
      </c>
      <c r="K897" s="12">
        <v>13.75</v>
      </c>
      <c r="L897" s="2">
        <f t="shared" si="82"/>
        <v>858.39999999999986</v>
      </c>
      <c r="M897" s="15">
        <f t="shared" si="80"/>
        <v>11802.999999999998</v>
      </c>
      <c r="N897" t="str">
        <f t="shared" si="77"/>
        <v>MG</v>
      </c>
      <c r="O897" t="str">
        <f t="shared" si="78"/>
        <v>Belo Horizonte</v>
      </c>
    </row>
    <row r="898" spans="1:15" x14ac:dyDescent="0.3">
      <c r="A898" s="10">
        <v>45778</v>
      </c>
      <c r="B898" s="9" t="s">
        <v>46</v>
      </c>
      <c r="C898" t="s">
        <v>47</v>
      </c>
      <c r="D898" s="9">
        <v>19722</v>
      </c>
      <c r="E898" s="5" t="s">
        <v>460</v>
      </c>
      <c r="F898" t="s">
        <v>52</v>
      </c>
      <c r="G898">
        <v>1768</v>
      </c>
      <c r="H898">
        <v>522</v>
      </c>
      <c r="I898" s="8">
        <f t="shared" si="79"/>
        <v>0.29524886877828055</v>
      </c>
      <c r="J898" s="17">
        <v>0.7</v>
      </c>
      <c r="K898" s="12">
        <v>13.75</v>
      </c>
      <c r="L898" s="2">
        <f t="shared" si="82"/>
        <v>715.59999999999991</v>
      </c>
      <c r="M898" s="15">
        <f t="shared" si="80"/>
        <v>9839.4999999999982</v>
      </c>
      <c r="N898" t="str">
        <f t="shared" ref="N898:N961" si="83">B898</f>
        <v>DF</v>
      </c>
      <c r="O898" t="str">
        <f t="shared" ref="O898:O961" si="84">C898</f>
        <v>Brasília</v>
      </c>
    </row>
    <row r="899" spans="1:15" x14ac:dyDescent="0.3">
      <c r="A899" s="10">
        <v>45778</v>
      </c>
      <c r="B899" s="9" t="s">
        <v>3</v>
      </c>
      <c r="C899" t="s">
        <v>248</v>
      </c>
      <c r="D899" s="9">
        <v>19716</v>
      </c>
      <c r="E899" s="5" t="s">
        <v>461</v>
      </c>
      <c r="F899" t="s">
        <v>262</v>
      </c>
      <c r="G899">
        <v>1843</v>
      </c>
      <c r="H899">
        <v>797</v>
      </c>
      <c r="I899" s="8">
        <f t="shared" ref="I899:I962" si="85">H899/G899</f>
        <v>0.43244709712425394</v>
      </c>
      <c r="J899" s="17">
        <v>0.7</v>
      </c>
      <c r="K899" s="12">
        <v>13.75</v>
      </c>
      <c r="L899" s="2">
        <f t="shared" si="82"/>
        <v>493.09999999999991</v>
      </c>
      <c r="M899" s="15">
        <f t="shared" ref="M899:M962" si="86">L899*K899</f>
        <v>6780.1249999999991</v>
      </c>
      <c r="N899" t="str">
        <f t="shared" si="83"/>
        <v>SP</v>
      </c>
      <c r="O899" t="str">
        <f t="shared" si="84"/>
        <v>São Paulo</v>
      </c>
    </row>
    <row r="900" spans="1:15" x14ac:dyDescent="0.3">
      <c r="A900" s="10">
        <v>45778</v>
      </c>
      <c r="B900" s="9" t="s">
        <v>3</v>
      </c>
      <c r="C900" t="s">
        <v>17</v>
      </c>
      <c r="D900" s="9">
        <v>19715</v>
      </c>
      <c r="E900" s="5" t="s">
        <v>462</v>
      </c>
      <c r="F900" t="s">
        <v>18</v>
      </c>
      <c r="G900">
        <v>1967</v>
      </c>
      <c r="H900">
        <v>1060</v>
      </c>
      <c r="I900" s="8">
        <f t="shared" si="85"/>
        <v>0.53889171326893748</v>
      </c>
      <c r="J900" s="17">
        <v>0.7</v>
      </c>
      <c r="K900" s="12">
        <v>13.75</v>
      </c>
      <c r="L900" s="2">
        <f t="shared" si="82"/>
        <v>316.89999999999986</v>
      </c>
      <c r="M900" s="15">
        <f t="shared" si="86"/>
        <v>4357.3749999999982</v>
      </c>
      <c r="N900" t="str">
        <f t="shared" si="83"/>
        <v>SP</v>
      </c>
      <c r="O900" t="str">
        <f t="shared" si="84"/>
        <v>Atibaia</v>
      </c>
    </row>
    <row r="901" spans="1:15" x14ac:dyDescent="0.3">
      <c r="A901" s="10">
        <v>45778</v>
      </c>
      <c r="B901" s="9" t="s">
        <v>21</v>
      </c>
      <c r="C901" t="s">
        <v>368</v>
      </c>
      <c r="D901" s="9">
        <v>19736</v>
      </c>
      <c r="E901" s="5" t="s">
        <v>464</v>
      </c>
      <c r="F901" t="s">
        <v>295</v>
      </c>
      <c r="G901">
        <v>3868</v>
      </c>
      <c r="H901">
        <v>1492</v>
      </c>
      <c r="I901" s="8">
        <f t="shared" si="85"/>
        <v>0.38572905894519133</v>
      </c>
      <c r="J901" s="17">
        <v>0.7</v>
      </c>
      <c r="K901" s="12">
        <v>13.75</v>
      </c>
      <c r="L901" s="2">
        <f t="shared" si="82"/>
        <v>1215.5999999999995</v>
      </c>
      <c r="M901" s="15">
        <f t="shared" si="86"/>
        <v>16714.499999999993</v>
      </c>
      <c r="N901" t="str">
        <f t="shared" si="83"/>
        <v>BA</v>
      </c>
      <c r="O901" t="str">
        <f t="shared" si="84"/>
        <v>Vitória Da Conquista</v>
      </c>
    </row>
    <row r="902" spans="1:15" x14ac:dyDescent="0.3">
      <c r="A902" s="10">
        <v>45778</v>
      </c>
      <c r="B902" s="9" t="s">
        <v>21</v>
      </c>
      <c r="C902" t="s">
        <v>228</v>
      </c>
      <c r="D902" s="9">
        <v>19740</v>
      </c>
      <c r="E902" s="5" t="s">
        <v>465</v>
      </c>
      <c r="F902" t="s">
        <v>229</v>
      </c>
      <c r="G902">
        <v>2269</v>
      </c>
      <c r="H902">
        <v>782</v>
      </c>
      <c r="I902" s="8">
        <f t="shared" si="85"/>
        <v>0.34464521815777877</v>
      </c>
      <c r="J902" s="17">
        <v>0.7</v>
      </c>
      <c r="K902" s="12">
        <v>13.75</v>
      </c>
      <c r="L902" s="2">
        <f t="shared" si="82"/>
        <v>806.3</v>
      </c>
      <c r="M902" s="15">
        <f t="shared" si="86"/>
        <v>11086.625</v>
      </c>
      <c r="N902" t="str">
        <f t="shared" si="83"/>
        <v>BA</v>
      </c>
      <c r="O902" t="str">
        <f t="shared" si="84"/>
        <v>Salvador</v>
      </c>
    </row>
    <row r="903" spans="1:15" x14ac:dyDescent="0.3">
      <c r="A903" s="10">
        <v>45778</v>
      </c>
      <c r="B903" s="9" t="s">
        <v>21</v>
      </c>
      <c r="C903" t="s">
        <v>352</v>
      </c>
      <c r="D903" s="9">
        <v>19738</v>
      </c>
      <c r="E903" s="5" t="s">
        <v>466</v>
      </c>
      <c r="F903" t="s">
        <v>118</v>
      </c>
      <c r="G903">
        <v>4506</v>
      </c>
      <c r="H903">
        <v>2293</v>
      </c>
      <c r="I903" s="8">
        <f t="shared" si="85"/>
        <v>0.50887705281846429</v>
      </c>
      <c r="J903" s="17">
        <v>0.7</v>
      </c>
      <c r="K903" s="12">
        <v>13.75</v>
      </c>
      <c r="L903" s="2">
        <f t="shared" si="82"/>
        <v>861.19999999999982</v>
      </c>
      <c r="M903" s="15">
        <f t="shared" si="86"/>
        <v>11841.499999999998</v>
      </c>
      <c r="N903" t="str">
        <f t="shared" si="83"/>
        <v>BA</v>
      </c>
      <c r="O903" t="str">
        <f t="shared" si="84"/>
        <v>Lauro De Freitas</v>
      </c>
    </row>
    <row r="904" spans="1:15" x14ac:dyDescent="0.3">
      <c r="A904" s="10">
        <v>45778</v>
      </c>
      <c r="B904" s="9" t="s">
        <v>129</v>
      </c>
      <c r="C904" t="s">
        <v>130</v>
      </c>
      <c r="D904" s="9">
        <v>19742</v>
      </c>
      <c r="E904" s="5" t="s">
        <v>467</v>
      </c>
      <c r="F904" t="s">
        <v>131</v>
      </c>
      <c r="G904">
        <v>1623</v>
      </c>
      <c r="H904">
        <v>782</v>
      </c>
      <c r="I904" s="8">
        <f t="shared" si="85"/>
        <v>0.48182378311768331</v>
      </c>
      <c r="J904" s="17">
        <v>0.7</v>
      </c>
      <c r="K904" s="12">
        <v>13.75</v>
      </c>
      <c r="L904" s="2">
        <f t="shared" si="82"/>
        <v>354.09999999999991</v>
      </c>
      <c r="M904" s="15">
        <f t="shared" si="86"/>
        <v>4868.8749999999991</v>
      </c>
      <c r="N904" t="str">
        <f t="shared" si="83"/>
        <v>AM</v>
      </c>
      <c r="O904" t="str">
        <f t="shared" si="84"/>
        <v>Manaus</v>
      </c>
    </row>
    <row r="905" spans="1:15" x14ac:dyDescent="0.3">
      <c r="A905" s="10">
        <v>45778</v>
      </c>
      <c r="B905" s="9" t="s">
        <v>129</v>
      </c>
      <c r="C905" t="s">
        <v>130</v>
      </c>
      <c r="D905" s="9">
        <v>19785</v>
      </c>
      <c r="E905" s="5" t="s">
        <v>468</v>
      </c>
      <c r="F905" t="s">
        <v>132</v>
      </c>
      <c r="G905">
        <v>1824</v>
      </c>
      <c r="H905">
        <v>892</v>
      </c>
      <c r="I905" s="8">
        <f t="shared" si="85"/>
        <v>0.48903508771929827</v>
      </c>
      <c r="J905" s="17">
        <v>0.7</v>
      </c>
      <c r="K905" s="12">
        <v>13.75</v>
      </c>
      <c r="L905" s="2">
        <f t="shared" si="82"/>
        <v>384.79999999999995</v>
      </c>
      <c r="M905" s="15">
        <f t="shared" si="86"/>
        <v>5290.9999999999991</v>
      </c>
      <c r="N905" t="str">
        <f t="shared" si="83"/>
        <v>AM</v>
      </c>
      <c r="O905" t="str">
        <f t="shared" si="84"/>
        <v>Manaus</v>
      </c>
    </row>
    <row r="906" spans="1:15" x14ac:dyDescent="0.3">
      <c r="A906" s="10">
        <v>45778</v>
      </c>
      <c r="B906" s="9" t="s">
        <v>129</v>
      </c>
      <c r="C906" t="s">
        <v>130</v>
      </c>
      <c r="D906" s="9">
        <v>19843</v>
      </c>
      <c r="E906" s="5" t="s">
        <v>469</v>
      </c>
      <c r="F906" t="s">
        <v>133</v>
      </c>
      <c r="G906">
        <v>1314</v>
      </c>
      <c r="H906">
        <v>626</v>
      </c>
      <c r="I906" s="8">
        <f t="shared" si="85"/>
        <v>0.47640791476407912</v>
      </c>
      <c r="J906" s="17">
        <v>0.7</v>
      </c>
      <c r="K906" s="12">
        <v>13.75</v>
      </c>
      <c r="L906" s="2">
        <f t="shared" si="82"/>
        <v>293.80000000000007</v>
      </c>
      <c r="M906" s="15">
        <f t="shared" si="86"/>
        <v>4039.7500000000009</v>
      </c>
      <c r="N906" t="str">
        <f t="shared" si="83"/>
        <v>AM</v>
      </c>
      <c r="O906" t="str">
        <f t="shared" si="84"/>
        <v>Manaus</v>
      </c>
    </row>
    <row r="907" spans="1:15" x14ac:dyDescent="0.3">
      <c r="A907" s="10">
        <v>45778</v>
      </c>
      <c r="B907" s="9" t="s">
        <v>129</v>
      </c>
      <c r="C907" t="s">
        <v>130</v>
      </c>
      <c r="D907" s="9">
        <v>19879</v>
      </c>
      <c r="E907" s="5" t="s">
        <v>470</v>
      </c>
      <c r="F907" t="s">
        <v>134</v>
      </c>
      <c r="G907">
        <v>1574</v>
      </c>
      <c r="H907">
        <v>852</v>
      </c>
      <c r="I907" s="8">
        <f t="shared" si="85"/>
        <v>0.5412960609911055</v>
      </c>
      <c r="J907" s="17">
        <v>0.7</v>
      </c>
      <c r="K907" s="12">
        <v>13.75</v>
      </c>
      <c r="L907" s="2">
        <f t="shared" si="82"/>
        <v>249.79999999999995</v>
      </c>
      <c r="M907" s="15">
        <f t="shared" si="86"/>
        <v>3434.7499999999995</v>
      </c>
      <c r="N907" t="str">
        <f t="shared" si="83"/>
        <v>AM</v>
      </c>
      <c r="O907" t="str">
        <f t="shared" si="84"/>
        <v>Manaus</v>
      </c>
    </row>
    <row r="908" spans="1:15" x14ac:dyDescent="0.3">
      <c r="A908" s="10">
        <v>45778</v>
      </c>
      <c r="B908" s="9" t="s">
        <v>89</v>
      </c>
      <c r="C908" t="s">
        <v>346</v>
      </c>
      <c r="D908" s="9">
        <v>19735</v>
      </c>
      <c r="E908" s="5" t="s">
        <v>471</v>
      </c>
      <c r="F908" t="s">
        <v>90</v>
      </c>
      <c r="G908">
        <v>1415</v>
      </c>
      <c r="H908">
        <v>700</v>
      </c>
      <c r="I908" s="8">
        <f t="shared" si="85"/>
        <v>0.49469964664310956</v>
      </c>
      <c r="J908" s="17">
        <v>0.7</v>
      </c>
      <c r="K908" s="12">
        <v>13.75</v>
      </c>
      <c r="L908" s="2">
        <f t="shared" si="82"/>
        <v>290.49999999999989</v>
      </c>
      <c r="M908" s="15">
        <f t="shared" si="86"/>
        <v>3994.3749999999986</v>
      </c>
      <c r="N908" t="str">
        <f t="shared" si="83"/>
        <v>CE</v>
      </c>
      <c r="O908" t="str">
        <f t="shared" si="84"/>
        <v>Fortaleza</v>
      </c>
    </row>
    <row r="909" spans="1:15" x14ac:dyDescent="0.3">
      <c r="A909" s="10">
        <v>45778</v>
      </c>
      <c r="B909" s="9" t="s">
        <v>89</v>
      </c>
      <c r="C909" t="s">
        <v>346</v>
      </c>
      <c r="D909" s="9">
        <v>19607</v>
      </c>
      <c r="E909" s="5" t="s">
        <v>472</v>
      </c>
      <c r="F909" t="s">
        <v>91</v>
      </c>
      <c r="G909">
        <v>1859</v>
      </c>
      <c r="H909">
        <v>796</v>
      </c>
      <c r="I909" s="8">
        <f t="shared" si="85"/>
        <v>0.42818719741796663</v>
      </c>
      <c r="J909" s="17">
        <v>0.7</v>
      </c>
      <c r="K909" s="12">
        <v>13.75</v>
      </c>
      <c r="L909" s="2">
        <f t="shared" si="82"/>
        <v>505.29999999999995</v>
      </c>
      <c r="M909" s="15">
        <f t="shared" si="86"/>
        <v>6947.8749999999991</v>
      </c>
      <c r="N909" t="str">
        <f t="shared" si="83"/>
        <v>CE</v>
      </c>
      <c r="O909" t="str">
        <f t="shared" si="84"/>
        <v>Fortaleza</v>
      </c>
    </row>
    <row r="910" spans="1:15" x14ac:dyDescent="0.3">
      <c r="A910" s="10">
        <v>45778</v>
      </c>
      <c r="B910" s="9" t="s">
        <v>89</v>
      </c>
      <c r="C910" t="s">
        <v>346</v>
      </c>
      <c r="D910" s="9">
        <v>19642</v>
      </c>
      <c r="E910" s="5" t="s">
        <v>473</v>
      </c>
      <c r="F910" t="s">
        <v>92</v>
      </c>
      <c r="G910">
        <v>1594</v>
      </c>
      <c r="H910">
        <v>634</v>
      </c>
      <c r="I910" s="8">
        <f t="shared" si="85"/>
        <v>0.39774153074027602</v>
      </c>
      <c r="J910" s="17">
        <v>0.7</v>
      </c>
      <c r="K910" s="12">
        <v>13.75</v>
      </c>
      <c r="L910" s="2">
        <f t="shared" si="82"/>
        <v>481.79999999999995</v>
      </c>
      <c r="M910" s="15">
        <f t="shared" si="86"/>
        <v>6624.7499999999991</v>
      </c>
      <c r="N910" t="str">
        <f t="shared" si="83"/>
        <v>CE</v>
      </c>
      <c r="O910" t="str">
        <f t="shared" si="84"/>
        <v>Fortaleza</v>
      </c>
    </row>
    <row r="911" spans="1:15" x14ac:dyDescent="0.3">
      <c r="A911" s="10">
        <v>45778</v>
      </c>
      <c r="B911" s="9" t="s">
        <v>89</v>
      </c>
      <c r="C911" t="s">
        <v>346</v>
      </c>
      <c r="D911" s="9">
        <v>19725</v>
      </c>
      <c r="E911" s="5" t="s">
        <v>474</v>
      </c>
      <c r="F911" t="s">
        <v>93</v>
      </c>
      <c r="G911">
        <v>1145</v>
      </c>
      <c r="H911">
        <v>457</v>
      </c>
      <c r="I911" s="8">
        <f t="shared" si="85"/>
        <v>0.39912663755458516</v>
      </c>
      <c r="J911" s="17">
        <v>0.7</v>
      </c>
      <c r="K911" s="12">
        <v>13.75</v>
      </c>
      <c r="L911" s="2">
        <f t="shared" si="82"/>
        <v>344.49999999999989</v>
      </c>
      <c r="M911" s="15">
        <f t="shared" si="86"/>
        <v>4736.8749999999982</v>
      </c>
      <c r="N911" t="str">
        <f t="shared" si="83"/>
        <v>CE</v>
      </c>
      <c r="O911" t="str">
        <f t="shared" si="84"/>
        <v>Fortaleza</v>
      </c>
    </row>
    <row r="912" spans="1:15" x14ac:dyDescent="0.3">
      <c r="A912" s="10">
        <v>45778</v>
      </c>
      <c r="B912" s="9" t="s">
        <v>89</v>
      </c>
      <c r="C912" t="s">
        <v>346</v>
      </c>
      <c r="D912" s="9">
        <v>19902</v>
      </c>
      <c r="E912" s="5" t="s">
        <v>475</v>
      </c>
      <c r="F912" t="s">
        <v>94</v>
      </c>
      <c r="G912">
        <v>1535</v>
      </c>
      <c r="H912">
        <v>690</v>
      </c>
      <c r="I912" s="8">
        <f t="shared" si="85"/>
        <v>0.44951140065146578</v>
      </c>
      <c r="J912" s="17">
        <v>0.7</v>
      </c>
      <c r="K912" s="12">
        <v>13.75</v>
      </c>
      <c r="L912" s="2">
        <f t="shared" si="82"/>
        <v>384.5</v>
      </c>
      <c r="M912" s="15">
        <f t="shared" si="86"/>
        <v>5286.875</v>
      </c>
      <c r="N912" t="str">
        <f t="shared" si="83"/>
        <v>CE</v>
      </c>
      <c r="O912" t="str">
        <f t="shared" si="84"/>
        <v>Fortaleza</v>
      </c>
    </row>
    <row r="913" spans="1:15" x14ac:dyDescent="0.3">
      <c r="A913" s="10">
        <v>45778</v>
      </c>
      <c r="B913" s="9" t="s">
        <v>89</v>
      </c>
      <c r="C913" t="s">
        <v>346</v>
      </c>
      <c r="D913" s="9">
        <v>19903</v>
      </c>
      <c r="E913" s="5" t="s">
        <v>476</v>
      </c>
      <c r="F913" t="s">
        <v>95</v>
      </c>
      <c r="G913">
        <v>1406</v>
      </c>
      <c r="H913">
        <v>757</v>
      </c>
      <c r="I913" s="8">
        <f t="shared" si="85"/>
        <v>0.53840682788051208</v>
      </c>
      <c r="J913" s="17">
        <v>0.7</v>
      </c>
      <c r="K913" s="12">
        <v>13.75</v>
      </c>
      <c r="L913" s="2">
        <f t="shared" si="82"/>
        <v>227.19999999999993</v>
      </c>
      <c r="M913" s="15">
        <f t="shared" si="86"/>
        <v>3123.9999999999991</v>
      </c>
      <c r="N913" t="str">
        <f t="shared" si="83"/>
        <v>CE</v>
      </c>
      <c r="O913" t="str">
        <f t="shared" si="84"/>
        <v>Fortaleza</v>
      </c>
    </row>
    <row r="914" spans="1:15" x14ac:dyDescent="0.3">
      <c r="A914" s="10">
        <v>45778</v>
      </c>
      <c r="B914" s="9" t="s">
        <v>82</v>
      </c>
      <c r="C914" t="s">
        <v>135</v>
      </c>
      <c r="D914" s="9">
        <v>19749</v>
      </c>
      <c r="E914" s="5" t="s">
        <v>477</v>
      </c>
      <c r="F914" t="s">
        <v>136</v>
      </c>
      <c r="G914">
        <v>1645</v>
      </c>
      <c r="H914">
        <v>572</v>
      </c>
      <c r="I914" s="8">
        <f t="shared" si="85"/>
        <v>0.34772036474164136</v>
      </c>
      <c r="J914" s="17">
        <v>0.7</v>
      </c>
      <c r="K914" s="12">
        <v>13.75</v>
      </c>
      <c r="L914" s="2">
        <f t="shared" si="82"/>
        <v>579.49999999999977</v>
      </c>
      <c r="M914" s="15">
        <f t="shared" si="86"/>
        <v>7968.1249999999973</v>
      </c>
      <c r="N914" t="str">
        <f t="shared" si="83"/>
        <v>PR</v>
      </c>
      <c r="O914" t="str">
        <f t="shared" si="84"/>
        <v>Maringá</v>
      </c>
    </row>
    <row r="915" spans="1:15" x14ac:dyDescent="0.3">
      <c r="A915" s="10">
        <v>45778</v>
      </c>
      <c r="B915" s="9" t="s">
        <v>82</v>
      </c>
      <c r="C915" t="s">
        <v>83</v>
      </c>
      <c r="D915" s="9">
        <v>19545</v>
      </c>
      <c r="E915" s="5" t="s">
        <v>478</v>
      </c>
      <c r="F915" t="s">
        <v>84</v>
      </c>
      <c r="G915">
        <v>3366</v>
      </c>
      <c r="H915">
        <v>1419</v>
      </c>
      <c r="I915" s="8">
        <f t="shared" si="85"/>
        <v>0.42156862745098039</v>
      </c>
      <c r="J915" s="17">
        <v>0.7</v>
      </c>
      <c r="K915" s="12">
        <v>13.75</v>
      </c>
      <c r="L915" s="2">
        <f t="shared" si="82"/>
        <v>937.19999999999982</v>
      </c>
      <c r="M915" s="15">
        <f t="shared" si="86"/>
        <v>12886.499999999998</v>
      </c>
      <c r="N915" t="str">
        <f t="shared" si="83"/>
        <v>PR</v>
      </c>
      <c r="O915" t="str">
        <f t="shared" si="84"/>
        <v>Curitiba</v>
      </c>
    </row>
    <row r="916" spans="1:15" x14ac:dyDescent="0.3">
      <c r="A916" s="10">
        <v>45778</v>
      </c>
      <c r="B916" s="9" t="s">
        <v>82</v>
      </c>
      <c r="C916" t="s">
        <v>83</v>
      </c>
      <c r="D916" s="9">
        <v>19546</v>
      </c>
      <c r="E916" s="5" t="s">
        <v>479</v>
      </c>
      <c r="F916" t="s">
        <v>85</v>
      </c>
      <c r="G916">
        <v>2251</v>
      </c>
      <c r="H916">
        <v>852</v>
      </c>
      <c r="I916" s="8">
        <f t="shared" si="85"/>
        <v>0.37849844513549535</v>
      </c>
      <c r="J916" s="17">
        <v>0.7</v>
      </c>
      <c r="K916" s="12">
        <v>13.75</v>
      </c>
      <c r="L916" s="2">
        <f t="shared" si="82"/>
        <v>723.69999999999982</v>
      </c>
      <c r="M916" s="15">
        <f t="shared" si="86"/>
        <v>9950.8749999999982</v>
      </c>
      <c r="N916" t="str">
        <f t="shared" si="83"/>
        <v>PR</v>
      </c>
      <c r="O916" t="str">
        <f t="shared" si="84"/>
        <v>Curitiba</v>
      </c>
    </row>
    <row r="917" spans="1:15" x14ac:dyDescent="0.3">
      <c r="A917" s="10">
        <v>45778</v>
      </c>
      <c r="B917" s="9" t="s">
        <v>3</v>
      </c>
      <c r="C917" t="s">
        <v>248</v>
      </c>
      <c r="D917" s="9">
        <v>19763</v>
      </c>
      <c r="E917" s="5" t="s">
        <v>480</v>
      </c>
      <c r="F917" t="s">
        <v>263</v>
      </c>
      <c r="G917">
        <v>1346</v>
      </c>
      <c r="H917">
        <v>443</v>
      </c>
      <c r="I917" s="8">
        <f t="shared" si="85"/>
        <v>0.32912332838038633</v>
      </c>
      <c r="J917" s="17">
        <v>0.7</v>
      </c>
      <c r="K917" s="12">
        <v>13.75</v>
      </c>
      <c r="L917" s="2">
        <f t="shared" si="82"/>
        <v>499.19999999999993</v>
      </c>
      <c r="M917" s="15">
        <f t="shared" si="86"/>
        <v>6863.9999999999991</v>
      </c>
      <c r="N917" t="str">
        <f t="shared" si="83"/>
        <v>SP</v>
      </c>
      <c r="O917" t="str">
        <f t="shared" si="84"/>
        <v>São Paulo</v>
      </c>
    </row>
    <row r="918" spans="1:15" x14ac:dyDescent="0.3">
      <c r="A918" s="10">
        <v>45778</v>
      </c>
      <c r="B918" s="9" t="s">
        <v>3</v>
      </c>
      <c r="C918" t="s">
        <v>248</v>
      </c>
      <c r="D918" s="9">
        <v>19711</v>
      </c>
      <c r="E918" s="5" t="s">
        <v>481</v>
      </c>
      <c r="F918" t="s">
        <v>264</v>
      </c>
      <c r="G918">
        <v>1529</v>
      </c>
      <c r="H918">
        <v>566</v>
      </c>
      <c r="I918" s="8">
        <f t="shared" si="85"/>
        <v>0.37017658600392411</v>
      </c>
      <c r="J918" s="17">
        <v>0.7</v>
      </c>
      <c r="K918" s="12">
        <v>13.75</v>
      </c>
      <c r="L918" s="2">
        <f t="shared" si="82"/>
        <v>504.29999999999995</v>
      </c>
      <c r="M918" s="15">
        <f t="shared" si="86"/>
        <v>6934.1249999999991</v>
      </c>
      <c r="N918" t="str">
        <f t="shared" si="83"/>
        <v>SP</v>
      </c>
      <c r="O918" t="str">
        <f t="shared" si="84"/>
        <v>São Paulo</v>
      </c>
    </row>
    <row r="919" spans="1:15" x14ac:dyDescent="0.3">
      <c r="A919" s="10">
        <v>45778</v>
      </c>
      <c r="B919" s="9" t="s">
        <v>46</v>
      </c>
      <c r="C919" t="s">
        <v>47</v>
      </c>
      <c r="D919" s="9">
        <v>19755</v>
      </c>
      <c r="E919" s="5" t="s">
        <v>482</v>
      </c>
      <c r="F919" t="s">
        <v>53</v>
      </c>
      <c r="G919">
        <v>1195</v>
      </c>
      <c r="H919">
        <v>488</v>
      </c>
      <c r="I919" s="8">
        <f t="shared" si="85"/>
        <v>0.40836820083682007</v>
      </c>
      <c r="J919" s="17">
        <v>0.7</v>
      </c>
      <c r="K919" s="12">
        <v>13.75</v>
      </c>
      <c r="L919" s="2">
        <f t="shared" si="82"/>
        <v>348.49999999999989</v>
      </c>
      <c r="M919" s="15">
        <f t="shared" si="86"/>
        <v>4791.8749999999982</v>
      </c>
      <c r="N919" t="str">
        <f t="shared" si="83"/>
        <v>DF</v>
      </c>
      <c r="O919" t="str">
        <f t="shared" si="84"/>
        <v>Brasília</v>
      </c>
    </row>
    <row r="920" spans="1:15" x14ac:dyDescent="0.3">
      <c r="A920" s="10">
        <v>45778</v>
      </c>
      <c r="B920" s="9" t="s">
        <v>3</v>
      </c>
      <c r="C920" t="s">
        <v>248</v>
      </c>
      <c r="D920" s="9">
        <v>19753</v>
      </c>
      <c r="E920" s="5" t="s">
        <v>483</v>
      </c>
      <c r="F920" t="s">
        <v>265</v>
      </c>
      <c r="G920">
        <v>2696</v>
      </c>
      <c r="H920">
        <v>1010</v>
      </c>
      <c r="I920" s="8">
        <f t="shared" si="85"/>
        <v>0.37462908011869434</v>
      </c>
      <c r="J920" s="17">
        <v>0.7</v>
      </c>
      <c r="K920" s="12">
        <v>13.75</v>
      </c>
      <c r="L920" s="2">
        <f t="shared" si="82"/>
        <v>877.2</v>
      </c>
      <c r="M920" s="15">
        <f t="shared" si="86"/>
        <v>12061.5</v>
      </c>
      <c r="N920" t="str">
        <f t="shared" si="83"/>
        <v>SP</v>
      </c>
      <c r="O920" t="str">
        <f t="shared" si="84"/>
        <v>São Paulo</v>
      </c>
    </row>
    <row r="921" spans="1:15" x14ac:dyDescent="0.3">
      <c r="A921" s="10">
        <v>45778</v>
      </c>
      <c r="B921" s="9" t="s">
        <v>7</v>
      </c>
      <c r="C921" t="s">
        <v>99</v>
      </c>
      <c r="D921" s="9">
        <v>19754</v>
      </c>
      <c r="E921" s="5" t="s">
        <v>484</v>
      </c>
      <c r="F921" t="s">
        <v>101</v>
      </c>
      <c r="G921">
        <v>3465</v>
      </c>
      <c r="H921">
        <v>1630</v>
      </c>
      <c r="I921" s="8">
        <f t="shared" si="85"/>
        <v>0.4704184704184704</v>
      </c>
      <c r="J921" s="17">
        <v>0.7</v>
      </c>
      <c r="K921" s="12">
        <v>13.75</v>
      </c>
      <c r="L921" s="2">
        <f t="shared" si="82"/>
        <v>795.5</v>
      </c>
      <c r="M921" s="15">
        <f t="shared" si="86"/>
        <v>10938.125</v>
      </c>
      <c r="N921" t="str">
        <f t="shared" si="83"/>
        <v>GO</v>
      </c>
      <c r="O921" t="str">
        <f t="shared" si="84"/>
        <v>Goiânia</v>
      </c>
    </row>
    <row r="922" spans="1:15" x14ac:dyDescent="0.3">
      <c r="A922" s="10">
        <v>45778</v>
      </c>
      <c r="B922" s="9" t="s">
        <v>14</v>
      </c>
      <c r="C922" t="s">
        <v>29</v>
      </c>
      <c r="D922" s="9">
        <v>19759</v>
      </c>
      <c r="E922" s="5" t="s">
        <v>485</v>
      </c>
      <c r="F922" t="s">
        <v>38</v>
      </c>
      <c r="G922">
        <v>1741</v>
      </c>
      <c r="H922">
        <v>779</v>
      </c>
      <c r="I922" s="8">
        <f t="shared" si="85"/>
        <v>0.44744399770246984</v>
      </c>
      <c r="J922" s="17">
        <v>0.7</v>
      </c>
      <c r="K922" s="12">
        <v>13.75</v>
      </c>
      <c r="L922" s="2">
        <f t="shared" si="82"/>
        <v>439.69999999999982</v>
      </c>
      <c r="M922" s="15">
        <f t="shared" si="86"/>
        <v>6045.8749999999973</v>
      </c>
      <c r="N922" t="str">
        <f t="shared" si="83"/>
        <v>MG</v>
      </c>
      <c r="O922" t="str">
        <f t="shared" si="84"/>
        <v>Belo Horizonte</v>
      </c>
    </row>
    <row r="923" spans="1:15" x14ac:dyDescent="0.3">
      <c r="A923" s="10">
        <v>45778</v>
      </c>
      <c r="B923" s="9" t="s">
        <v>195</v>
      </c>
      <c r="C923" t="s">
        <v>196</v>
      </c>
      <c r="D923" s="9">
        <v>19762</v>
      </c>
      <c r="E923" s="5" t="s">
        <v>486</v>
      </c>
      <c r="F923" t="s">
        <v>197</v>
      </c>
      <c r="G923">
        <v>1562</v>
      </c>
      <c r="H923">
        <v>841</v>
      </c>
      <c r="I923" s="8">
        <f t="shared" si="85"/>
        <v>0.53841229193341866</v>
      </c>
      <c r="J923" s="17">
        <v>0.7</v>
      </c>
      <c r="K923" s="12">
        <v>13.75</v>
      </c>
      <c r="L923" s="2">
        <f t="shared" si="82"/>
        <v>252.39999999999986</v>
      </c>
      <c r="M923" s="15">
        <f t="shared" si="86"/>
        <v>3470.4999999999982</v>
      </c>
      <c r="N923" t="str">
        <f t="shared" si="83"/>
        <v>AC</v>
      </c>
      <c r="O923" t="str">
        <f t="shared" si="84"/>
        <v>Rio Branco</v>
      </c>
    </row>
    <row r="924" spans="1:15" x14ac:dyDescent="0.3">
      <c r="A924" s="10">
        <v>45778</v>
      </c>
      <c r="B924" s="9" t="s">
        <v>82</v>
      </c>
      <c r="C924" t="s">
        <v>349</v>
      </c>
      <c r="D924" s="9">
        <v>19772</v>
      </c>
      <c r="E924" s="5" t="s">
        <v>487</v>
      </c>
      <c r="F924" t="s">
        <v>96</v>
      </c>
      <c r="G924">
        <v>1327</v>
      </c>
      <c r="H924">
        <v>743</v>
      </c>
      <c r="I924" s="8">
        <f t="shared" si="85"/>
        <v>0.55990957045968348</v>
      </c>
      <c r="J924" s="17">
        <v>0.7</v>
      </c>
      <c r="K924" s="12">
        <v>13.75</v>
      </c>
      <c r="L924" s="2">
        <f t="shared" si="82"/>
        <v>185.90000000000009</v>
      </c>
      <c r="M924" s="15">
        <f t="shared" si="86"/>
        <v>2556.1250000000014</v>
      </c>
      <c r="N924" t="str">
        <f t="shared" si="83"/>
        <v>PR</v>
      </c>
      <c r="O924" t="str">
        <f t="shared" si="84"/>
        <v>Foz Do Iguaçu</v>
      </c>
    </row>
    <row r="925" spans="1:15" x14ac:dyDescent="0.3">
      <c r="A925" s="10">
        <v>45778</v>
      </c>
      <c r="B925" s="9" t="s">
        <v>15</v>
      </c>
      <c r="C925" t="s">
        <v>345</v>
      </c>
      <c r="D925" s="9">
        <v>19687</v>
      </c>
      <c r="E925" s="5" t="s">
        <v>488</v>
      </c>
      <c r="F925" t="s">
        <v>88</v>
      </c>
      <c r="G925">
        <v>1846</v>
      </c>
      <c r="H925">
        <v>1466</v>
      </c>
      <c r="I925" s="8">
        <f t="shared" si="85"/>
        <v>0.7941495124593716</v>
      </c>
      <c r="J925" s="17">
        <v>0.7</v>
      </c>
      <c r="K925" s="12">
        <v>13.75</v>
      </c>
      <c r="L925" s="2">
        <f>G925-H925</f>
        <v>380</v>
      </c>
      <c r="M925" s="15">
        <f t="shared" si="86"/>
        <v>5225</v>
      </c>
      <c r="N925" t="str">
        <f t="shared" si="83"/>
        <v>RJ</v>
      </c>
      <c r="O925" t="str">
        <f t="shared" si="84"/>
        <v>Duque De Caxias</v>
      </c>
    </row>
    <row r="926" spans="1:15" x14ac:dyDescent="0.3">
      <c r="A926" s="10">
        <v>45778</v>
      </c>
      <c r="B926" s="9" t="s">
        <v>21</v>
      </c>
      <c r="C926" t="s">
        <v>228</v>
      </c>
      <c r="D926" s="9">
        <v>19689</v>
      </c>
      <c r="E926" s="5" t="s">
        <v>490</v>
      </c>
      <c r="F926" t="s">
        <v>230</v>
      </c>
      <c r="G926">
        <v>2262</v>
      </c>
      <c r="H926">
        <v>1047</v>
      </c>
      <c r="I926" s="8">
        <f t="shared" si="85"/>
        <v>0.46286472148541113</v>
      </c>
      <c r="J926" s="17">
        <v>0.7</v>
      </c>
      <c r="K926" s="12">
        <v>13.75</v>
      </c>
      <c r="L926" s="2">
        <f>H926*J926/I926-H926</f>
        <v>536.39999999999986</v>
      </c>
      <c r="M926" s="15">
        <f t="shared" si="86"/>
        <v>7375.4999999999982</v>
      </c>
      <c r="N926" t="str">
        <f t="shared" si="83"/>
        <v>BA</v>
      </c>
      <c r="O926" t="str">
        <f t="shared" si="84"/>
        <v>Salvador</v>
      </c>
    </row>
    <row r="927" spans="1:15" x14ac:dyDescent="0.3">
      <c r="A927" s="10">
        <v>45778</v>
      </c>
      <c r="B927" s="9" t="s">
        <v>21</v>
      </c>
      <c r="C927" t="s">
        <v>228</v>
      </c>
      <c r="D927" s="9">
        <v>19625</v>
      </c>
      <c r="E927" s="5" t="s">
        <v>491</v>
      </c>
      <c r="F927" t="s">
        <v>231</v>
      </c>
      <c r="G927">
        <v>3099</v>
      </c>
      <c r="H927">
        <v>1400</v>
      </c>
      <c r="I927" s="8">
        <f t="shared" si="85"/>
        <v>0.45175863181671505</v>
      </c>
      <c r="J927" s="17">
        <v>0.7</v>
      </c>
      <c r="K927" s="12">
        <v>13.75</v>
      </c>
      <c r="L927" s="2">
        <f>H927*J927/I927-H927</f>
        <v>769.29999999999973</v>
      </c>
      <c r="M927" s="15">
        <f t="shared" si="86"/>
        <v>10577.874999999996</v>
      </c>
      <c r="N927" t="str">
        <f t="shared" si="83"/>
        <v>BA</v>
      </c>
      <c r="O927" t="str">
        <f t="shared" si="84"/>
        <v>Salvador</v>
      </c>
    </row>
    <row r="928" spans="1:15" x14ac:dyDescent="0.3">
      <c r="A928" s="10">
        <v>45778</v>
      </c>
      <c r="B928" s="9" t="s">
        <v>40</v>
      </c>
      <c r="C928" t="s">
        <v>41</v>
      </c>
      <c r="D928" s="9">
        <v>19787</v>
      </c>
      <c r="E928" s="5" t="s">
        <v>492</v>
      </c>
      <c r="F928" t="s">
        <v>42</v>
      </c>
      <c r="G928">
        <v>750</v>
      </c>
      <c r="H928">
        <v>404</v>
      </c>
      <c r="I928" s="8">
        <f t="shared" si="85"/>
        <v>0.53866666666666663</v>
      </c>
      <c r="J928" s="17">
        <v>0.7</v>
      </c>
      <c r="K928" s="12">
        <v>13.75</v>
      </c>
      <c r="L928" s="2">
        <f>H928*J928/I928-H928</f>
        <v>121</v>
      </c>
      <c r="M928" s="15">
        <f t="shared" si="86"/>
        <v>1663.75</v>
      </c>
      <c r="N928" t="str">
        <f t="shared" si="83"/>
        <v>RR</v>
      </c>
      <c r="O928" t="str">
        <f t="shared" si="84"/>
        <v>Boa Vista</v>
      </c>
    </row>
    <row r="929" spans="1:15" x14ac:dyDescent="0.3">
      <c r="A929" s="10">
        <v>45778</v>
      </c>
      <c r="B929" s="9" t="s">
        <v>40</v>
      </c>
      <c r="C929" t="s">
        <v>41</v>
      </c>
      <c r="D929" s="9">
        <v>19868</v>
      </c>
      <c r="E929" s="5" t="s">
        <v>493</v>
      </c>
      <c r="F929" t="s">
        <v>43</v>
      </c>
      <c r="G929">
        <v>2111</v>
      </c>
      <c r="H929">
        <v>1702</v>
      </c>
      <c r="I929" s="8">
        <f t="shared" si="85"/>
        <v>0.80625296068214114</v>
      </c>
      <c r="J929" s="17">
        <v>0.7</v>
      </c>
      <c r="K929" s="12">
        <v>13.75</v>
      </c>
      <c r="L929" s="2">
        <f>G929-H929</f>
        <v>409</v>
      </c>
      <c r="M929" s="15">
        <f t="shared" si="86"/>
        <v>5623.75</v>
      </c>
      <c r="N929" t="str">
        <f t="shared" si="83"/>
        <v>RR</v>
      </c>
      <c r="O929" t="str">
        <f t="shared" si="84"/>
        <v>Boa Vista</v>
      </c>
    </row>
    <row r="930" spans="1:15" x14ac:dyDescent="0.3">
      <c r="A930" s="10">
        <v>45778</v>
      </c>
      <c r="B930" s="9" t="s">
        <v>3</v>
      </c>
      <c r="C930" t="s">
        <v>364</v>
      </c>
      <c r="D930" s="9">
        <v>19777</v>
      </c>
      <c r="E930" s="5" t="s">
        <v>494</v>
      </c>
      <c r="F930" t="s">
        <v>365</v>
      </c>
      <c r="G930">
        <v>170</v>
      </c>
      <c r="H930">
        <v>57</v>
      </c>
      <c r="I930" s="8">
        <f t="shared" si="85"/>
        <v>0.3352941176470588</v>
      </c>
      <c r="J930" s="17">
        <v>0.7</v>
      </c>
      <c r="K930" s="12">
        <v>13.75</v>
      </c>
      <c r="L930" s="2">
        <f t="shared" ref="L930:L961" si="87">H930*J930/I930-H930</f>
        <v>62</v>
      </c>
      <c r="M930" s="15">
        <f t="shared" si="86"/>
        <v>852.5</v>
      </c>
      <c r="N930" t="str">
        <f t="shared" si="83"/>
        <v>SP</v>
      </c>
      <c r="O930" t="str">
        <f t="shared" si="84"/>
        <v>São José Dos Campos</v>
      </c>
    </row>
    <row r="931" spans="1:15" x14ac:dyDescent="0.3">
      <c r="A931" s="10">
        <v>45778</v>
      </c>
      <c r="B931" s="9" t="s">
        <v>71</v>
      </c>
      <c r="C931" t="s">
        <v>175</v>
      </c>
      <c r="D931" s="9">
        <v>19788</v>
      </c>
      <c r="E931" s="5" t="s">
        <v>495</v>
      </c>
      <c r="F931" t="s">
        <v>177</v>
      </c>
      <c r="G931">
        <v>4926</v>
      </c>
      <c r="H931">
        <v>1549</v>
      </c>
      <c r="I931" s="8">
        <f t="shared" si="85"/>
        <v>0.31445391798619571</v>
      </c>
      <c r="J931" s="17">
        <v>0.7</v>
      </c>
      <c r="K931" s="12">
        <v>13.75</v>
      </c>
      <c r="L931" s="2">
        <f t="shared" si="87"/>
        <v>1899.1999999999998</v>
      </c>
      <c r="M931" s="15">
        <f t="shared" si="86"/>
        <v>26113.999999999996</v>
      </c>
      <c r="N931" t="str">
        <f t="shared" si="83"/>
        <v>RS</v>
      </c>
      <c r="O931" t="str">
        <f t="shared" si="84"/>
        <v>Porto Alegre</v>
      </c>
    </row>
    <row r="932" spans="1:15" x14ac:dyDescent="0.3">
      <c r="A932" s="10">
        <v>45778</v>
      </c>
      <c r="B932" s="9" t="s">
        <v>14</v>
      </c>
      <c r="C932" t="s">
        <v>29</v>
      </c>
      <c r="D932" s="9">
        <v>19793</v>
      </c>
      <c r="E932" s="5" t="s">
        <v>496</v>
      </c>
      <c r="F932" t="s">
        <v>39</v>
      </c>
      <c r="G932">
        <v>229</v>
      </c>
      <c r="H932">
        <v>87</v>
      </c>
      <c r="I932" s="8">
        <f t="shared" si="85"/>
        <v>0.37991266375545851</v>
      </c>
      <c r="J932" s="17">
        <v>0.7</v>
      </c>
      <c r="K932" s="12">
        <v>13.75</v>
      </c>
      <c r="L932" s="2">
        <f t="shared" si="87"/>
        <v>73.300000000000011</v>
      </c>
      <c r="M932" s="15">
        <f t="shared" si="86"/>
        <v>1007.8750000000001</v>
      </c>
      <c r="N932" t="str">
        <f t="shared" si="83"/>
        <v>MG</v>
      </c>
      <c r="O932" t="str">
        <f t="shared" si="84"/>
        <v>Belo Horizonte</v>
      </c>
    </row>
    <row r="933" spans="1:15" x14ac:dyDescent="0.3">
      <c r="A933" s="10">
        <v>45778</v>
      </c>
      <c r="B933" s="9" t="s">
        <v>71</v>
      </c>
      <c r="C933" t="s">
        <v>175</v>
      </c>
      <c r="D933" s="9">
        <v>19842</v>
      </c>
      <c r="E933" s="5" t="s">
        <v>498</v>
      </c>
      <c r="F933" t="s">
        <v>178</v>
      </c>
      <c r="G933">
        <v>3302</v>
      </c>
      <c r="H933">
        <v>1079</v>
      </c>
      <c r="I933" s="8">
        <f t="shared" si="85"/>
        <v>0.32677165354330706</v>
      </c>
      <c r="J933" s="17">
        <v>0.7</v>
      </c>
      <c r="K933" s="12">
        <v>13.75</v>
      </c>
      <c r="L933" s="2">
        <f t="shared" si="87"/>
        <v>1232.4000000000001</v>
      </c>
      <c r="M933" s="15">
        <f t="shared" si="86"/>
        <v>16945.5</v>
      </c>
      <c r="N933" t="str">
        <f t="shared" si="83"/>
        <v>RS</v>
      </c>
      <c r="O933" t="str">
        <f t="shared" si="84"/>
        <v>Porto Alegre</v>
      </c>
    </row>
    <row r="934" spans="1:15" x14ac:dyDescent="0.3">
      <c r="A934" s="10">
        <v>45778</v>
      </c>
      <c r="B934" s="9" t="s">
        <v>59</v>
      </c>
      <c r="C934" t="s">
        <v>292</v>
      </c>
      <c r="D934" s="9">
        <v>19580</v>
      </c>
      <c r="E934" s="5" t="s">
        <v>499</v>
      </c>
      <c r="F934" t="s">
        <v>293</v>
      </c>
      <c r="G934">
        <v>2474</v>
      </c>
      <c r="H934">
        <v>627</v>
      </c>
      <c r="I934" s="8">
        <f t="shared" si="85"/>
        <v>0.25343573160873079</v>
      </c>
      <c r="J934" s="17">
        <v>0.7</v>
      </c>
      <c r="K934" s="12">
        <v>13.75</v>
      </c>
      <c r="L934" s="2">
        <f t="shared" si="87"/>
        <v>1104.8</v>
      </c>
      <c r="M934" s="15">
        <f t="shared" si="86"/>
        <v>15191</v>
      </c>
      <c r="N934" t="str">
        <f t="shared" si="83"/>
        <v>ES</v>
      </c>
      <c r="O934" t="str">
        <f t="shared" si="84"/>
        <v>Vitória</v>
      </c>
    </row>
    <row r="935" spans="1:15" x14ac:dyDescent="0.3">
      <c r="A935" s="10">
        <v>45778</v>
      </c>
      <c r="B935" s="9" t="s">
        <v>59</v>
      </c>
      <c r="C935" t="s">
        <v>292</v>
      </c>
      <c r="D935" s="9">
        <v>19719</v>
      </c>
      <c r="E935" s="5" t="s">
        <v>500</v>
      </c>
      <c r="F935" t="s">
        <v>294</v>
      </c>
      <c r="G935">
        <v>2127</v>
      </c>
      <c r="H935">
        <v>778</v>
      </c>
      <c r="I935" s="8">
        <f t="shared" si="85"/>
        <v>0.36577338975082274</v>
      </c>
      <c r="J935" s="17">
        <v>0.7</v>
      </c>
      <c r="K935" s="12">
        <v>13.75</v>
      </c>
      <c r="L935" s="2">
        <f t="shared" si="87"/>
        <v>710.89999999999986</v>
      </c>
      <c r="M935" s="15">
        <f t="shared" si="86"/>
        <v>9774.8749999999982</v>
      </c>
      <c r="N935" t="str">
        <f t="shared" si="83"/>
        <v>ES</v>
      </c>
      <c r="O935" t="str">
        <f t="shared" si="84"/>
        <v>Vitória</v>
      </c>
    </row>
    <row r="936" spans="1:15" x14ac:dyDescent="0.3">
      <c r="A936" s="10">
        <v>45778</v>
      </c>
      <c r="B936" s="9" t="s">
        <v>59</v>
      </c>
      <c r="C936" t="s">
        <v>289</v>
      </c>
      <c r="D936" s="9">
        <v>19581</v>
      </c>
      <c r="E936" s="5" t="s">
        <v>501</v>
      </c>
      <c r="F936" t="s">
        <v>290</v>
      </c>
      <c r="G936">
        <v>2554</v>
      </c>
      <c r="H936">
        <v>855</v>
      </c>
      <c r="I936" s="8">
        <f t="shared" si="85"/>
        <v>0.33476898981989039</v>
      </c>
      <c r="J936" s="17">
        <v>0.7</v>
      </c>
      <c r="K936" s="12">
        <v>13.75</v>
      </c>
      <c r="L936" s="2">
        <f t="shared" si="87"/>
        <v>932.8</v>
      </c>
      <c r="M936" s="15">
        <f t="shared" si="86"/>
        <v>12826</v>
      </c>
      <c r="N936" t="str">
        <f t="shared" si="83"/>
        <v>ES</v>
      </c>
      <c r="O936" t="str">
        <f t="shared" si="84"/>
        <v>Vila Velha</v>
      </c>
    </row>
    <row r="937" spans="1:15" x14ac:dyDescent="0.3">
      <c r="A937" s="10">
        <v>45778</v>
      </c>
      <c r="B937" s="9" t="s">
        <v>59</v>
      </c>
      <c r="C937" t="s">
        <v>289</v>
      </c>
      <c r="D937" s="9">
        <v>19876</v>
      </c>
      <c r="E937" s="5" t="s">
        <v>502</v>
      </c>
      <c r="F937" t="s">
        <v>291</v>
      </c>
      <c r="G937">
        <v>2677</v>
      </c>
      <c r="H937">
        <v>942</v>
      </c>
      <c r="I937" s="8">
        <f t="shared" si="85"/>
        <v>0.35188644004482628</v>
      </c>
      <c r="J937" s="17">
        <v>0.7</v>
      </c>
      <c r="K937" s="12">
        <v>13.75</v>
      </c>
      <c r="L937" s="2">
        <f t="shared" si="87"/>
        <v>931.90000000000009</v>
      </c>
      <c r="M937" s="15">
        <f t="shared" si="86"/>
        <v>12813.625000000002</v>
      </c>
      <c r="N937" t="str">
        <f t="shared" si="83"/>
        <v>ES</v>
      </c>
      <c r="O937" t="str">
        <f t="shared" si="84"/>
        <v>Vila Velha</v>
      </c>
    </row>
    <row r="938" spans="1:15" x14ac:dyDescent="0.3">
      <c r="A938" s="10">
        <v>45778</v>
      </c>
      <c r="B938" s="9" t="s">
        <v>59</v>
      </c>
      <c r="C938" t="s">
        <v>271</v>
      </c>
      <c r="D938" s="9">
        <v>19775</v>
      </c>
      <c r="E938" s="5" t="s">
        <v>503</v>
      </c>
      <c r="F938" t="s">
        <v>272</v>
      </c>
      <c r="G938">
        <v>1973</v>
      </c>
      <c r="H938">
        <v>799</v>
      </c>
      <c r="I938" s="8">
        <f t="shared" si="85"/>
        <v>0.40496705524581855</v>
      </c>
      <c r="J938" s="17">
        <v>0.7</v>
      </c>
      <c r="K938" s="12">
        <v>13.75</v>
      </c>
      <c r="L938" s="2">
        <f t="shared" si="87"/>
        <v>582.09999999999991</v>
      </c>
      <c r="M938" s="15">
        <f t="shared" si="86"/>
        <v>8003.8749999999991</v>
      </c>
      <c r="N938" t="str">
        <f t="shared" si="83"/>
        <v>ES</v>
      </c>
      <c r="O938" t="str">
        <f t="shared" si="84"/>
        <v>Serra</v>
      </c>
    </row>
    <row r="939" spans="1:15" x14ac:dyDescent="0.3">
      <c r="A939" s="10">
        <v>45778</v>
      </c>
      <c r="B939" s="9" t="s">
        <v>71</v>
      </c>
      <c r="C939" t="s">
        <v>175</v>
      </c>
      <c r="D939" s="9">
        <v>19874</v>
      </c>
      <c r="E939" s="5" t="s">
        <v>504</v>
      </c>
      <c r="F939" t="s">
        <v>179</v>
      </c>
      <c r="G939">
        <v>3797</v>
      </c>
      <c r="H939">
        <v>1372</v>
      </c>
      <c r="I939" s="8">
        <f t="shared" si="85"/>
        <v>0.36133789834079538</v>
      </c>
      <c r="J939" s="17">
        <v>0.7</v>
      </c>
      <c r="K939" s="12">
        <v>13.75</v>
      </c>
      <c r="L939" s="2">
        <f t="shared" si="87"/>
        <v>1285.8999999999996</v>
      </c>
      <c r="M939" s="15">
        <f t="shared" si="86"/>
        <v>17681.124999999996</v>
      </c>
      <c r="N939" t="str">
        <f t="shared" si="83"/>
        <v>RS</v>
      </c>
      <c r="O939" t="str">
        <f t="shared" si="84"/>
        <v>Porto Alegre</v>
      </c>
    </row>
    <row r="940" spans="1:15" x14ac:dyDescent="0.3">
      <c r="A940" s="10">
        <v>45778</v>
      </c>
      <c r="B940" s="9" t="s">
        <v>3</v>
      </c>
      <c r="C940" t="s">
        <v>165</v>
      </c>
      <c r="D940" s="9">
        <v>19761</v>
      </c>
      <c r="E940" s="5" t="s">
        <v>505</v>
      </c>
      <c r="F940" t="s">
        <v>166</v>
      </c>
      <c r="G940">
        <v>1599</v>
      </c>
      <c r="H940">
        <v>645</v>
      </c>
      <c r="I940" s="8">
        <f t="shared" si="85"/>
        <v>0.40337711069418386</v>
      </c>
      <c r="J940" s="17">
        <v>0.7</v>
      </c>
      <c r="K940" s="12">
        <v>13.75</v>
      </c>
      <c r="L940" s="2">
        <f t="shared" si="87"/>
        <v>474.29999999999995</v>
      </c>
      <c r="M940" s="15">
        <f t="shared" si="86"/>
        <v>6521.6249999999991</v>
      </c>
      <c r="N940" t="str">
        <f t="shared" si="83"/>
        <v>SP</v>
      </c>
      <c r="O940" t="str">
        <f t="shared" si="84"/>
        <v>Paulínia</v>
      </c>
    </row>
    <row r="941" spans="1:15" x14ac:dyDescent="0.3">
      <c r="A941" s="10">
        <v>45778</v>
      </c>
      <c r="B941" s="9" t="s">
        <v>46</v>
      </c>
      <c r="C941" t="s">
        <v>47</v>
      </c>
      <c r="D941" s="9">
        <v>19881</v>
      </c>
      <c r="E941" s="5" t="s">
        <v>507</v>
      </c>
      <c r="F941" t="s">
        <v>54</v>
      </c>
      <c r="G941">
        <v>3355</v>
      </c>
      <c r="H941">
        <v>1334</v>
      </c>
      <c r="I941" s="8">
        <f t="shared" si="85"/>
        <v>0.39761549925484352</v>
      </c>
      <c r="J941" s="17">
        <v>0.7</v>
      </c>
      <c r="K941" s="12">
        <v>13.75</v>
      </c>
      <c r="L941" s="2">
        <f t="shared" si="87"/>
        <v>1014.5</v>
      </c>
      <c r="M941" s="15">
        <f t="shared" si="86"/>
        <v>13949.375</v>
      </c>
      <c r="N941" t="str">
        <f t="shared" si="83"/>
        <v>DF</v>
      </c>
      <c r="O941" t="str">
        <f t="shared" si="84"/>
        <v>Brasília</v>
      </c>
    </row>
    <row r="942" spans="1:15" x14ac:dyDescent="0.3">
      <c r="A942" s="10">
        <v>45778</v>
      </c>
      <c r="B942" s="9" t="s">
        <v>3</v>
      </c>
      <c r="C942" t="s">
        <v>64</v>
      </c>
      <c r="D942" s="9">
        <v>19696</v>
      </c>
      <c r="E942" s="5" t="s">
        <v>508</v>
      </c>
      <c r="F942" t="s">
        <v>65</v>
      </c>
      <c r="G942">
        <v>1564</v>
      </c>
      <c r="H942">
        <v>522</v>
      </c>
      <c r="I942" s="8">
        <f t="shared" si="85"/>
        <v>0.3337595907928389</v>
      </c>
      <c r="J942" s="17">
        <v>0.7</v>
      </c>
      <c r="K942" s="12">
        <v>13.75</v>
      </c>
      <c r="L942" s="2">
        <f t="shared" si="87"/>
        <v>572.79999999999995</v>
      </c>
      <c r="M942" s="15">
        <f t="shared" si="86"/>
        <v>7875.9999999999991</v>
      </c>
      <c r="N942" t="str">
        <f t="shared" si="83"/>
        <v>SP</v>
      </c>
      <c r="O942" t="str">
        <f t="shared" si="84"/>
        <v>Campinas</v>
      </c>
    </row>
    <row r="943" spans="1:15" x14ac:dyDescent="0.3">
      <c r="A943" s="10">
        <v>45778</v>
      </c>
      <c r="B943" s="9" t="s">
        <v>71</v>
      </c>
      <c r="C943" t="s">
        <v>72</v>
      </c>
      <c r="D943" s="9">
        <v>19883</v>
      </c>
      <c r="E943" s="5" t="s">
        <v>509</v>
      </c>
      <c r="F943" t="s">
        <v>73</v>
      </c>
      <c r="G943">
        <v>1681</v>
      </c>
      <c r="H943">
        <v>585</v>
      </c>
      <c r="I943" s="8">
        <f t="shared" si="85"/>
        <v>0.34800713860797144</v>
      </c>
      <c r="J943" s="17">
        <v>0.7</v>
      </c>
      <c r="K943" s="12">
        <v>13.75</v>
      </c>
      <c r="L943" s="2">
        <f t="shared" si="87"/>
        <v>591.70000000000005</v>
      </c>
      <c r="M943" s="15">
        <f t="shared" si="86"/>
        <v>8135.8750000000009</v>
      </c>
      <c r="N943" t="str">
        <f t="shared" si="83"/>
        <v>RS</v>
      </c>
      <c r="O943" t="str">
        <f t="shared" si="84"/>
        <v>Canoas</v>
      </c>
    </row>
    <row r="944" spans="1:15" x14ac:dyDescent="0.3">
      <c r="A944" s="10">
        <v>45778</v>
      </c>
      <c r="B944" s="9" t="s">
        <v>15</v>
      </c>
      <c r="C944" t="s">
        <v>358</v>
      </c>
      <c r="D944" s="9">
        <v>19514</v>
      </c>
      <c r="E944" s="5" t="s">
        <v>510</v>
      </c>
      <c r="F944" t="s">
        <v>221</v>
      </c>
      <c r="G944">
        <v>3373</v>
      </c>
      <c r="H944">
        <v>1201</v>
      </c>
      <c r="I944" s="8">
        <f t="shared" si="85"/>
        <v>0.35606285206048027</v>
      </c>
      <c r="J944" s="17">
        <v>0.7</v>
      </c>
      <c r="K944" s="12">
        <v>13.75</v>
      </c>
      <c r="L944" s="2">
        <f t="shared" si="87"/>
        <v>1160.0999999999999</v>
      </c>
      <c r="M944" s="15">
        <f t="shared" si="86"/>
        <v>15951.374999999998</v>
      </c>
      <c r="N944" t="str">
        <f t="shared" si="83"/>
        <v>RJ</v>
      </c>
      <c r="O944" t="str">
        <f t="shared" si="84"/>
        <v>Rio De Janeiro</v>
      </c>
    </row>
    <row r="945" spans="1:15" x14ac:dyDescent="0.3">
      <c r="A945" s="10">
        <v>45778</v>
      </c>
      <c r="B945" s="9" t="s">
        <v>15</v>
      </c>
      <c r="C945" t="s">
        <v>358</v>
      </c>
      <c r="D945" s="9">
        <v>19600</v>
      </c>
      <c r="E945" s="5" t="s">
        <v>511</v>
      </c>
      <c r="F945" t="s">
        <v>222</v>
      </c>
      <c r="G945">
        <v>2654</v>
      </c>
      <c r="H945">
        <v>1112</v>
      </c>
      <c r="I945" s="8">
        <f t="shared" si="85"/>
        <v>0.4189902034664657</v>
      </c>
      <c r="J945" s="17">
        <v>0.7</v>
      </c>
      <c r="K945" s="12">
        <v>13.75</v>
      </c>
      <c r="L945" s="2">
        <f t="shared" si="87"/>
        <v>745.8</v>
      </c>
      <c r="M945" s="15">
        <f t="shared" si="86"/>
        <v>10254.75</v>
      </c>
      <c r="N945" t="str">
        <f t="shared" si="83"/>
        <v>RJ</v>
      </c>
      <c r="O945" t="str">
        <f t="shared" si="84"/>
        <v>Rio De Janeiro</v>
      </c>
    </row>
    <row r="946" spans="1:15" x14ac:dyDescent="0.3">
      <c r="A946" s="10">
        <v>45778</v>
      </c>
      <c r="B946" s="9" t="s">
        <v>78</v>
      </c>
      <c r="C946" t="s">
        <v>277</v>
      </c>
      <c r="D946" s="9">
        <v>19896</v>
      </c>
      <c r="E946" s="5" t="s">
        <v>512</v>
      </c>
      <c r="F946" t="s">
        <v>278</v>
      </c>
      <c r="G946">
        <v>1747</v>
      </c>
      <c r="H946">
        <v>832</v>
      </c>
      <c r="I946" s="8">
        <f t="shared" si="85"/>
        <v>0.47624499141385229</v>
      </c>
      <c r="J946" s="17">
        <v>0.7</v>
      </c>
      <c r="K946" s="12">
        <v>13.75</v>
      </c>
      <c r="L946" s="2">
        <f t="shared" si="87"/>
        <v>390.90000000000009</v>
      </c>
      <c r="M946" s="15">
        <f t="shared" si="86"/>
        <v>5374.8750000000009</v>
      </c>
      <c r="N946" t="str">
        <f t="shared" si="83"/>
        <v>MT</v>
      </c>
      <c r="O946" t="str">
        <f t="shared" si="84"/>
        <v>Sorriso</v>
      </c>
    </row>
    <row r="947" spans="1:15" x14ac:dyDescent="0.3">
      <c r="A947" s="10">
        <v>45778</v>
      </c>
      <c r="B947" s="9" t="s">
        <v>14</v>
      </c>
      <c r="C947" t="s">
        <v>287</v>
      </c>
      <c r="D947" s="9">
        <v>19905</v>
      </c>
      <c r="E947" s="5" t="s">
        <v>513</v>
      </c>
      <c r="F947" t="s">
        <v>288</v>
      </c>
      <c r="G947">
        <v>1195</v>
      </c>
      <c r="H947">
        <v>564</v>
      </c>
      <c r="I947" s="8">
        <f t="shared" si="85"/>
        <v>0.47196652719665272</v>
      </c>
      <c r="J947" s="17">
        <v>0.7</v>
      </c>
      <c r="K947" s="12">
        <v>13.75</v>
      </c>
      <c r="L947" s="2">
        <f t="shared" si="87"/>
        <v>272.49999999999989</v>
      </c>
      <c r="M947" s="15">
        <f t="shared" si="86"/>
        <v>3746.8749999999986</v>
      </c>
      <c r="N947" t="str">
        <f t="shared" si="83"/>
        <v>MG</v>
      </c>
      <c r="O947" t="str">
        <f t="shared" si="84"/>
        <v>Varginha</v>
      </c>
    </row>
    <row r="948" spans="1:15" x14ac:dyDescent="0.3">
      <c r="A948" s="10">
        <v>45778</v>
      </c>
      <c r="B948" s="9" t="s">
        <v>3</v>
      </c>
      <c r="C948" t="s">
        <v>12</v>
      </c>
      <c r="D948" s="9">
        <v>19901</v>
      </c>
      <c r="E948" s="5" t="s">
        <v>514</v>
      </c>
      <c r="F948" t="s">
        <v>13</v>
      </c>
      <c r="G948">
        <v>990</v>
      </c>
      <c r="H948">
        <v>293</v>
      </c>
      <c r="I948" s="8">
        <f t="shared" si="85"/>
        <v>0.29595959595959598</v>
      </c>
      <c r="J948" s="17">
        <v>0.7</v>
      </c>
      <c r="K948" s="12">
        <v>13.75</v>
      </c>
      <c r="L948" s="2">
        <f t="shared" si="87"/>
        <v>399.99999999999989</v>
      </c>
      <c r="M948" s="15">
        <f t="shared" si="86"/>
        <v>5499.9999999999982</v>
      </c>
      <c r="N948" t="str">
        <f t="shared" si="83"/>
        <v>SP</v>
      </c>
      <c r="O948" t="str">
        <f t="shared" si="84"/>
        <v>Araras</v>
      </c>
    </row>
    <row r="949" spans="1:15" x14ac:dyDescent="0.3">
      <c r="A949" s="10">
        <v>45778</v>
      </c>
      <c r="B949" s="9" t="s">
        <v>14</v>
      </c>
      <c r="C949" t="s">
        <v>137</v>
      </c>
      <c r="D949" s="9">
        <v>19899</v>
      </c>
      <c r="E949" s="5" t="s">
        <v>515</v>
      </c>
      <c r="F949" t="s">
        <v>138</v>
      </c>
      <c r="G949">
        <v>1421</v>
      </c>
      <c r="H949">
        <v>612</v>
      </c>
      <c r="I949" s="8">
        <f t="shared" si="85"/>
        <v>0.43068261787473611</v>
      </c>
      <c r="J949" s="17">
        <v>0.7</v>
      </c>
      <c r="K949" s="12">
        <v>13.75</v>
      </c>
      <c r="L949" s="2">
        <f t="shared" si="87"/>
        <v>382.69999999999993</v>
      </c>
      <c r="M949" s="15">
        <f t="shared" si="86"/>
        <v>5262.1249999999991</v>
      </c>
      <c r="N949" t="str">
        <f t="shared" si="83"/>
        <v>MG</v>
      </c>
      <c r="O949" t="str">
        <f t="shared" si="84"/>
        <v>Montes Claros</v>
      </c>
    </row>
    <row r="950" spans="1:15" x14ac:dyDescent="0.3">
      <c r="A950" s="10">
        <v>45778</v>
      </c>
      <c r="B950" s="9" t="s">
        <v>14</v>
      </c>
      <c r="C950" t="s">
        <v>137</v>
      </c>
      <c r="D950" s="9">
        <v>19796</v>
      </c>
      <c r="E950" s="5" t="s">
        <v>516</v>
      </c>
      <c r="F950" t="s">
        <v>139</v>
      </c>
      <c r="G950">
        <v>3058</v>
      </c>
      <c r="H950">
        <v>1528</v>
      </c>
      <c r="I950" s="8">
        <f t="shared" si="85"/>
        <v>0.49967298888162198</v>
      </c>
      <c r="J950" s="17">
        <v>0.7</v>
      </c>
      <c r="K950" s="12">
        <v>13.75</v>
      </c>
      <c r="L950" s="2">
        <f t="shared" si="87"/>
        <v>612.59999999999991</v>
      </c>
      <c r="M950" s="15">
        <f t="shared" si="86"/>
        <v>8423.2499999999982</v>
      </c>
      <c r="N950" t="str">
        <f t="shared" si="83"/>
        <v>MG</v>
      </c>
      <c r="O950" t="str">
        <f t="shared" si="84"/>
        <v>Montes Claros</v>
      </c>
    </row>
    <row r="951" spans="1:15" x14ac:dyDescent="0.3">
      <c r="A951" s="10">
        <v>45778</v>
      </c>
      <c r="B951" s="9" t="s">
        <v>15</v>
      </c>
      <c r="C951" t="s">
        <v>358</v>
      </c>
      <c r="D951" s="9">
        <v>19528</v>
      </c>
      <c r="E951" s="5" t="s">
        <v>517</v>
      </c>
      <c r="F951" t="s">
        <v>223</v>
      </c>
      <c r="G951">
        <v>2970</v>
      </c>
      <c r="H951">
        <v>969</v>
      </c>
      <c r="I951" s="8">
        <f t="shared" si="85"/>
        <v>0.32626262626262625</v>
      </c>
      <c r="J951" s="17">
        <v>0.7</v>
      </c>
      <c r="K951" s="12">
        <v>13.75</v>
      </c>
      <c r="L951" s="2">
        <f t="shared" si="87"/>
        <v>1110</v>
      </c>
      <c r="M951" s="15">
        <f t="shared" si="86"/>
        <v>15262.5</v>
      </c>
      <c r="N951" t="str">
        <f t="shared" si="83"/>
        <v>RJ</v>
      </c>
      <c r="O951" t="str">
        <f t="shared" si="84"/>
        <v>Rio De Janeiro</v>
      </c>
    </row>
    <row r="952" spans="1:15" x14ac:dyDescent="0.3">
      <c r="A952" s="10">
        <v>45778</v>
      </c>
      <c r="B952" s="9" t="s">
        <v>6</v>
      </c>
      <c r="C952" t="s">
        <v>158</v>
      </c>
      <c r="D952" s="9">
        <v>19914</v>
      </c>
      <c r="E952" s="5" t="s">
        <v>519</v>
      </c>
      <c r="F952" t="s">
        <v>159</v>
      </c>
      <c r="G952">
        <v>2411</v>
      </c>
      <c r="H952">
        <v>1459</v>
      </c>
      <c r="I952" s="8">
        <f t="shared" si="85"/>
        <v>0.60514309415180423</v>
      </c>
      <c r="J952" s="17">
        <v>0.7</v>
      </c>
      <c r="K952" s="12">
        <v>13.75</v>
      </c>
      <c r="L952" s="2">
        <f t="shared" si="87"/>
        <v>228.69999999999982</v>
      </c>
      <c r="M952" s="15">
        <f t="shared" si="86"/>
        <v>3144.6249999999973</v>
      </c>
      <c r="N952" t="str">
        <f t="shared" si="83"/>
        <v>PA</v>
      </c>
      <c r="O952" t="str">
        <f t="shared" si="84"/>
        <v>Parauapebas</v>
      </c>
    </row>
    <row r="953" spans="1:15" x14ac:dyDescent="0.3">
      <c r="A953" s="10">
        <v>45778</v>
      </c>
      <c r="B953" s="9" t="s">
        <v>155</v>
      </c>
      <c r="C953" t="s">
        <v>156</v>
      </c>
      <c r="D953" s="9">
        <v>19916</v>
      </c>
      <c r="E953" s="5" t="s">
        <v>520</v>
      </c>
      <c r="F953" t="s">
        <v>157</v>
      </c>
      <c r="G953">
        <v>2219</v>
      </c>
      <c r="H953">
        <v>939</v>
      </c>
      <c r="I953" s="8">
        <f t="shared" si="85"/>
        <v>0.42316358720144209</v>
      </c>
      <c r="J953" s="17">
        <v>0.7</v>
      </c>
      <c r="K953" s="12">
        <v>13.75</v>
      </c>
      <c r="L953" s="2">
        <f t="shared" si="87"/>
        <v>614.29999999999995</v>
      </c>
      <c r="M953" s="15">
        <f t="shared" si="86"/>
        <v>8446.625</v>
      </c>
      <c r="N953" t="str">
        <f t="shared" si="83"/>
        <v>TO</v>
      </c>
      <c r="O953" t="str">
        <f t="shared" si="84"/>
        <v>Palmas</v>
      </c>
    </row>
    <row r="954" spans="1:15" x14ac:dyDescent="0.3">
      <c r="A954" s="10">
        <v>45778</v>
      </c>
      <c r="B954" s="9" t="s">
        <v>74</v>
      </c>
      <c r="C954" t="s">
        <v>97</v>
      </c>
      <c r="D954" s="9">
        <v>19911</v>
      </c>
      <c r="E954" s="5" t="s">
        <v>522</v>
      </c>
      <c r="F954" t="s">
        <v>98</v>
      </c>
      <c r="G954">
        <v>1847</v>
      </c>
      <c r="H954">
        <v>997</v>
      </c>
      <c r="I954" s="8">
        <f t="shared" si="85"/>
        <v>0.53979426096372496</v>
      </c>
      <c r="J954" s="17">
        <v>0.7</v>
      </c>
      <c r="K954" s="12">
        <v>13.75</v>
      </c>
      <c r="L954" s="2">
        <f t="shared" si="87"/>
        <v>295.89999999999986</v>
      </c>
      <c r="M954" s="15">
        <f t="shared" si="86"/>
        <v>4068.6249999999982</v>
      </c>
      <c r="N954" t="str">
        <f t="shared" si="83"/>
        <v>PE</v>
      </c>
      <c r="O954" t="str">
        <f t="shared" si="84"/>
        <v>Garanhuns</v>
      </c>
    </row>
    <row r="955" spans="1:15" x14ac:dyDescent="0.3">
      <c r="A955" s="10">
        <v>45778</v>
      </c>
      <c r="B955" s="9" t="s">
        <v>15</v>
      </c>
      <c r="C955" t="s">
        <v>341</v>
      </c>
      <c r="D955" s="9">
        <v>19908</v>
      </c>
      <c r="E955" s="5" t="s">
        <v>523</v>
      </c>
      <c r="F955" t="s">
        <v>16</v>
      </c>
      <c r="G955">
        <v>1162</v>
      </c>
      <c r="H955">
        <v>617</v>
      </c>
      <c r="I955" s="8">
        <f t="shared" si="85"/>
        <v>0.53098106712564541</v>
      </c>
      <c r="J955" s="17">
        <v>0.7</v>
      </c>
      <c r="K955" s="12">
        <v>13.75</v>
      </c>
      <c r="L955" s="2">
        <f t="shared" si="87"/>
        <v>196.39999999999998</v>
      </c>
      <c r="M955" s="15">
        <f t="shared" si="86"/>
        <v>2700.4999999999995</v>
      </c>
      <c r="N955" t="str">
        <f t="shared" si="83"/>
        <v>RJ</v>
      </c>
      <c r="O955" t="str">
        <f t="shared" si="84"/>
        <v>Armação Dos Búzios</v>
      </c>
    </row>
    <row r="956" spans="1:15" x14ac:dyDescent="0.3">
      <c r="A956" s="10">
        <v>45778</v>
      </c>
      <c r="B956" s="9" t="s">
        <v>21</v>
      </c>
      <c r="C956" t="s">
        <v>121</v>
      </c>
      <c r="D956" s="9">
        <v>19910</v>
      </c>
      <c r="E956" s="5" t="s">
        <v>524</v>
      </c>
      <c r="F956" t="s">
        <v>122</v>
      </c>
      <c r="G956">
        <v>1264</v>
      </c>
      <c r="H956">
        <v>694</v>
      </c>
      <c r="I956" s="8">
        <f t="shared" si="85"/>
        <v>0.54905063291139244</v>
      </c>
      <c r="J956" s="17">
        <v>0.7</v>
      </c>
      <c r="K956" s="12">
        <v>13.75</v>
      </c>
      <c r="L956" s="2">
        <f t="shared" si="87"/>
        <v>190.79999999999984</v>
      </c>
      <c r="M956" s="15">
        <f t="shared" si="86"/>
        <v>2623.4999999999977</v>
      </c>
      <c r="N956" t="str">
        <f t="shared" si="83"/>
        <v>BA</v>
      </c>
      <c r="O956" t="str">
        <f t="shared" si="84"/>
        <v>Luís Eduardo Magalhães</v>
      </c>
    </row>
    <row r="957" spans="1:15" x14ac:dyDescent="0.3">
      <c r="A957" s="10">
        <v>45778</v>
      </c>
      <c r="B957" s="9" t="s">
        <v>82</v>
      </c>
      <c r="C957" t="s">
        <v>173</v>
      </c>
      <c r="D957" s="9">
        <v>19926</v>
      </c>
      <c r="E957" s="5" t="s">
        <v>525</v>
      </c>
      <c r="F957" t="s">
        <v>174</v>
      </c>
      <c r="G957">
        <v>1172</v>
      </c>
      <c r="H957">
        <v>455</v>
      </c>
      <c r="I957" s="8">
        <f t="shared" si="85"/>
        <v>0.38822525597269625</v>
      </c>
      <c r="J957" s="17">
        <v>0.7</v>
      </c>
      <c r="K957" s="12">
        <v>13.75</v>
      </c>
      <c r="L957" s="2">
        <f t="shared" si="87"/>
        <v>365.4</v>
      </c>
      <c r="M957" s="15">
        <f t="shared" si="86"/>
        <v>5024.25</v>
      </c>
      <c r="N957" t="str">
        <f t="shared" si="83"/>
        <v>PR</v>
      </c>
      <c r="O957" t="str">
        <f t="shared" si="84"/>
        <v>Ponta Grossa</v>
      </c>
    </row>
    <row r="958" spans="1:15" x14ac:dyDescent="0.3">
      <c r="A958" s="10">
        <v>45778</v>
      </c>
      <c r="B958" s="9" t="s">
        <v>15</v>
      </c>
      <c r="C958" t="s">
        <v>358</v>
      </c>
      <c r="D958" s="9">
        <v>19523</v>
      </c>
      <c r="E958" s="5" t="s">
        <v>526</v>
      </c>
      <c r="F958" t="s">
        <v>224</v>
      </c>
      <c r="G958">
        <v>2728</v>
      </c>
      <c r="H958">
        <v>798</v>
      </c>
      <c r="I958" s="8">
        <f t="shared" si="85"/>
        <v>0.29252199413489738</v>
      </c>
      <c r="J958" s="17">
        <v>0.7</v>
      </c>
      <c r="K958" s="12">
        <v>13.75</v>
      </c>
      <c r="L958" s="2">
        <f t="shared" si="87"/>
        <v>1111.5999999999997</v>
      </c>
      <c r="M958" s="15">
        <f t="shared" si="86"/>
        <v>15284.499999999996</v>
      </c>
      <c r="N958" t="str">
        <f t="shared" si="83"/>
        <v>RJ</v>
      </c>
      <c r="O958" t="str">
        <f t="shared" si="84"/>
        <v>Rio De Janeiro</v>
      </c>
    </row>
    <row r="959" spans="1:15" x14ac:dyDescent="0.3">
      <c r="A959" s="10">
        <v>45778</v>
      </c>
      <c r="B959" s="9" t="s">
        <v>15</v>
      </c>
      <c r="C959" t="s">
        <v>358</v>
      </c>
      <c r="D959" s="9">
        <v>19652</v>
      </c>
      <c r="E959" s="5" t="s">
        <v>527</v>
      </c>
      <c r="F959" t="s">
        <v>225</v>
      </c>
      <c r="G959">
        <v>4398</v>
      </c>
      <c r="H959">
        <v>1434</v>
      </c>
      <c r="I959" s="8">
        <f t="shared" si="85"/>
        <v>0.32605729877216916</v>
      </c>
      <c r="J959" s="17">
        <v>0.7</v>
      </c>
      <c r="K959" s="12">
        <v>13.75</v>
      </c>
      <c r="L959" s="2">
        <f t="shared" si="87"/>
        <v>1644.6</v>
      </c>
      <c r="M959" s="15">
        <f t="shared" si="86"/>
        <v>22613.25</v>
      </c>
      <c r="N959" t="str">
        <f t="shared" si="83"/>
        <v>RJ</v>
      </c>
      <c r="O959" t="str">
        <f t="shared" si="84"/>
        <v>Rio De Janeiro</v>
      </c>
    </row>
    <row r="960" spans="1:15" x14ac:dyDescent="0.3">
      <c r="A960" s="10">
        <v>45778</v>
      </c>
      <c r="B960" s="9" t="s">
        <v>15</v>
      </c>
      <c r="C960" t="s">
        <v>358</v>
      </c>
      <c r="D960" s="9">
        <v>19529</v>
      </c>
      <c r="E960" s="5" t="s">
        <v>528</v>
      </c>
      <c r="F960" t="s">
        <v>226</v>
      </c>
      <c r="G960">
        <v>4799</v>
      </c>
      <c r="H960">
        <v>1503</v>
      </c>
      <c r="I960" s="8">
        <f t="shared" si="85"/>
        <v>0.31319024796832673</v>
      </c>
      <c r="J960" s="17">
        <v>0.7</v>
      </c>
      <c r="K960" s="12">
        <v>13.75</v>
      </c>
      <c r="L960" s="2">
        <f t="shared" si="87"/>
        <v>1856.2999999999997</v>
      </c>
      <c r="M960" s="15">
        <f t="shared" si="86"/>
        <v>25524.124999999996</v>
      </c>
      <c r="N960" t="str">
        <f t="shared" si="83"/>
        <v>RJ</v>
      </c>
      <c r="O960" t="str">
        <f t="shared" si="84"/>
        <v>Rio De Janeiro</v>
      </c>
    </row>
    <row r="961" spans="1:15" x14ac:dyDescent="0.3">
      <c r="A961" s="10">
        <v>45778</v>
      </c>
      <c r="B961" s="9" t="s">
        <v>3</v>
      </c>
      <c r="C961" t="s">
        <v>248</v>
      </c>
      <c r="D961" s="9">
        <v>19889</v>
      </c>
      <c r="E961" s="5" t="s">
        <v>529</v>
      </c>
      <c r="F961" t="s">
        <v>266</v>
      </c>
      <c r="G961">
        <v>1743</v>
      </c>
      <c r="H961">
        <v>626</v>
      </c>
      <c r="I961" s="8">
        <f t="shared" si="85"/>
        <v>0.35915088927137118</v>
      </c>
      <c r="J961" s="17">
        <v>0.7</v>
      </c>
      <c r="K961" s="12">
        <v>13.75</v>
      </c>
      <c r="L961" s="2">
        <f t="shared" si="87"/>
        <v>594.10000000000014</v>
      </c>
      <c r="M961" s="15">
        <f t="shared" si="86"/>
        <v>8168.8750000000018</v>
      </c>
      <c r="N961" t="str">
        <f t="shared" si="83"/>
        <v>SP</v>
      </c>
      <c r="O961" t="str">
        <f t="shared" si="84"/>
        <v>São Paulo</v>
      </c>
    </row>
    <row r="962" spans="1:15" x14ac:dyDescent="0.3">
      <c r="A962" s="10">
        <v>45778</v>
      </c>
      <c r="B962" s="9" t="s">
        <v>3</v>
      </c>
      <c r="C962" t="s">
        <v>248</v>
      </c>
      <c r="D962" s="9">
        <v>19888</v>
      </c>
      <c r="E962" s="5" t="s">
        <v>530</v>
      </c>
      <c r="F962" t="s">
        <v>267</v>
      </c>
      <c r="G962">
        <v>1437</v>
      </c>
      <c r="H962">
        <v>514</v>
      </c>
      <c r="I962" s="8">
        <f t="shared" si="85"/>
        <v>0.35768963117606123</v>
      </c>
      <c r="J962" s="17">
        <v>0.7</v>
      </c>
      <c r="K962" s="12">
        <v>13.75</v>
      </c>
      <c r="L962" s="2">
        <f t="shared" ref="L962:L993" si="88">H962*J962/I962-H962</f>
        <v>491.89999999999986</v>
      </c>
      <c r="M962" s="15">
        <f t="shared" si="86"/>
        <v>6763.6249999999982</v>
      </c>
      <c r="N962" t="str">
        <f t="shared" ref="N962:N1025" si="89">B962</f>
        <v>SP</v>
      </c>
      <c r="O962" t="str">
        <f t="shared" ref="O962:O1025" si="90">C962</f>
        <v>São Paulo</v>
      </c>
    </row>
    <row r="963" spans="1:15" x14ac:dyDescent="0.3">
      <c r="A963" s="10">
        <v>45778</v>
      </c>
      <c r="B963" s="9" t="s">
        <v>82</v>
      </c>
      <c r="C963" t="s">
        <v>106</v>
      </c>
      <c r="D963" s="9">
        <v>19927</v>
      </c>
      <c r="E963" s="5" t="s">
        <v>531</v>
      </c>
      <c r="F963" t="s">
        <v>107</v>
      </c>
      <c r="G963">
        <v>786</v>
      </c>
      <c r="H963">
        <v>209</v>
      </c>
      <c r="I963" s="8">
        <f t="shared" ref="I963:I1026" si="91">H963/G963</f>
        <v>0.26590330788804073</v>
      </c>
      <c r="J963" s="17">
        <v>0.7</v>
      </c>
      <c r="K963" s="12">
        <v>13.75</v>
      </c>
      <c r="L963" s="2">
        <f t="shared" si="88"/>
        <v>341.19999999999993</v>
      </c>
      <c r="M963" s="15">
        <f t="shared" ref="M963:M1026" si="92">L963*K963</f>
        <v>4691.4999999999991</v>
      </c>
      <c r="N963" t="str">
        <f t="shared" si="89"/>
        <v>PR</v>
      </c>
      <c r="O963" t="str">
        <f t="shared" si="90"/>
        <v>Guarapuava</v>
      </c>
    </row>
    <row r="964" spans="1:15" x14ac:dyDescent="0.3">
      <c r="A964" s="10">
        <v>45778</v>
      </c>
      <c r="B964" s="9" t="s">
        <v>3</v>
      </c>
      <c r="C964" t="s">
        <v>44</v>
      </c>
      <c r="D964" s="9">
        <v>19930</v>
      </c>
      <c r="E964" s="5" t="s">
        <v>533</v>
      </c>
      <c r="F964" t="s">
        <v>45</v>
      </c>
      <c r="G964">
        <v>1970</v>
      </c>
      <c r="H964">
        <v>1007</v>
      </c>
      <c r="I964" s="8">
        <f t="shared" si="91"/>
        <v>0.51116751269035532</v>
      </c>
      <c r="J964" s="17">
        <v>0.7</v>
      </c>
      <c r="K964" s="12">
        <v>13.75</v>
      </c>
      <c r="L964" s="2">
        <f t="shared" si="88"/>
        <v>372</v>
      </c>
      <c r="M964" s="15">
        <f t="shared" si="92"/>
        <v>5115</v>
      </c>
      <c r="N964" t="str">
        <f t="shared" si="89"/>
        <v>SP</v>
      </c>
      <c r="O964" t="str">
        <f t="shared" si="90"/>
        <v>Botucatu</v>
      </c>
    </row>
    <row r="965" spans="1:15" x14ac:dyDescent="0.3">
      <c r="A965" s="10">
        <v>45778</v>
      </c>
      <c r="B965" s="9" t="s">
        <v>3</v>
      </c>
      <c r="C965" t="s">
        <v>353</v>
      </c>
      <c r="D965" s="9">
        <v>19675</v>
      </c>
      <c r="E965" s="5" t="s">
        <v>534</v>
      </c>
      <c r="F965" t="s">
        <v>354</v>
      </c>
      <c r="G965">
        <v>896</v>
      </c>
      <c r="H965">
        <v>323</v>
      </c>
      <c r="I965" s="8">
        <f t="shared" si="91"/>
        <v>0.36049107142857145</v>
      </c>
      <c r="J965" s="17">
        <v>0.7</v>
      </c>
      <c r="K965" s="12">
        <v>13.75</v>
      </c>
      <c r="L965" s="2">
        <f t="shared" si="88"/>
        <v>304.19999999999993</v>
      </c>
      <c r="M965" s="15">
        <f t="shared" si="92"/>
        <v>4182.7499999999991</v>
      </c>
      <c r="N965" t="str">
        <f t="shared" si="89"/>
        <v>SP</v>
      </c>
      <c r="O965" t="str">
        <f t="shared" si="90"/>
        <v>Limeira</v>
      </c>
    </row>
    <row r="966" spans="1:15" x14ac:dyDescent="0.3">
      <c r="A966" s="10">
        <v>45778</v>
      </c>
      <c r="B966" s="9" t="s">
        <v>15</v>
      </c>
      <c r="C966" t="s">
        <v>358</v>
      </c>
      <c r="D966" s="9">
        <v>19609</v>
      </c>
      <c r="E966" s="5" t="s">
        <v>535</v>
      </c>
      <c r="F966" t="s">
        <v>227</v>
      </c>
      <c r="G966">
        <v>2108</v>
      </c>
      <c r="H966">
        <v>985</v>
      </c>
      <c r="I966" s="8">
        <f t="shared" si="91"/>
        <v>0.4672675521821632</v>
      </c>
      <c r="J966" s="17">
        <v>0.7</v>
      </c>
      <c r="K966" s="12">
        <v>13.75</v>
      </c>
      <c r="L966" s="2">
        <f t="shared" si="88"/>
        <v>490.59999999999991</v>
      </c>
      <c r="M966" s="15">
        <f t="shared" si="92"/>
        <v>6745.7499999999991</v>
      </c>
      <c r="N966" t="str">
        <f t="shared" si="89"/>
        <v>RJ</v>
      </c>
      <c r="O966" t="str">
        <f t="shared" si="90"/>
        <v>Rio De Janeiro</v>
      </c>
    </row>
    <row r="967" spans="1:15" x14ac:dyDescent="0.3">
      <c r="A967" s="10">
        <v>45778</v>
      </c>
      <c r="B967" s="9" t="s">
        <v>3</v>
      </c>
      <c r="C967" t="s">
        <v>4</v>
      </c>
      <c r="D967" s="9">
        <v>19928</v>
      </c>
      <c r="E967" s="5" t="s">
        <v>536</v>
      </c>
      <c r="F967" t="s">
        <v>5</v>
      </c>
      <c r="G967">
        <v>1445</v>
      </c>
      <c r="H967">
        <v>709</v>
      </c>
      <c r="I967" s="8">
        <f t="shared" si="91"/>
        <v>0.49065743944636681</v>
      </c>
      <c r="J967" s="17">
        <v>0.7</v>
      </c>
      <c r="K967" s="12">
        <v>13.75</v>
      </c>
      <c r="L967" s="2">
        <f t="shared" si="88"/>
        <v>302.49999999999989</v>
      </c>
      <c r="M967" s="15">
        <f t="shared" si="92"/>
        <v>4159.3749999999982</v>
      </c>
      <c r="N967" t="str">
        <f t="shared" si="89"/>
        <v>SP</v>
      </c>
      <c r="O967" t="str">
        <f t="shared" si="90"/>
        <v>Americana</v>
      </c>
    </row>
    <row r="968" spans="1:15" x14ac:dyDescent="0.3">
      <c r="A968" s="10">
        <v>45778</v>
      </c>
      <c r="B968" s="9" t="s">
        <v>71</v>
      </c>
      <c r="C968" t="s">
        <v>163</v>
      </c>
      <c r="D968" s="9">
        <v>19933</v>
      </c>
      <c r="E968" s="5" t="s">
        <v>538</v>
      </c>
      <c r="F968" t="s">
        <v>164</v>
      </c>
      <c r="G968">
        <v>844</v>
      </c>
      <c r="H968">
        <v>285</v>
      </c>
      <c r="I968" s="8">
        <f t="shared" si="91"/>
        <v>0.33767772511848343</v>
      </c>
      <c r="J968" s="17">
        <v>0.7</v>
      </c>
      <c r="K968" s="12">
        <v>13.75</v>
      </c>
      <c r="L968" s="2">
        <f t="shared" si="88"/>
        <v>305.79999999999995</v>
      </c>
      <c r="M968" s="15">
        <f t="shared" si="92"/>
        <v>4204.7499999999991</v>
      </c>
      <c r="N968" t="str">
        <f t="shared" si="89"/>
        <v>RS</v>
      </c>
      <c r="O968" t="str">
        <f t="shared" si="90"/>
        <v>Passo</v>
      </c>
    </row>
    <row r="969" spans="1:15" x14ac:dyDescent="0.3">
      <c r="A969" s="10">
        <v>45778</v>
      </c>
      <c r="B969" s="9" t="s">
        <v>59</v>
      </c>
      <c r="C969" t="s">
        <v>343</v>
      </c>
      <c r="D969" s="9">
        <v>19944</v>
      </c>
      <c r="E969" s="5" t="s">
        <v>539</v>
      </c>
      <c r="F969" t="s">
        <v>60</v>
      </c>
      <c r="G969">
        <v>1646</v>
      </c>
      <c r="H969">
        <v>717</v>
      </c>
      <c r="I969" s="8">
        <f t="shared" si="91"/>
        <v>0.4356014580801944</v>
      </c>
      <c r="J969" s="17">
        <v>0.7</v>
      </c>
      <c r="K969" s="12">
        <v>13.75</v>
      </c>
      <c r="L969" s="2">
        <f t="shared" si="88"/>
        <v>435.20000000000005</v>
      </c>
      <c r="M969" s="15">
        <f t="shared" si="92"/>
        <v>5984.0000000000009</v>
      </c>
      <c r="N969" t="str">
        <f t="shared" si="89"/>
        <v>ES</v>
      </c>
      <c r="O969" t="str">
        <f t="shared" si="90"/>
        <v>Cachoeira De Itapemirim</v>
      </c>
    </row>
    <row r="970" spans="1:15" x14ac:dyDescent="0.3">
      <c r="A970" s="10">
        <v>45778</v>
      </c>
      <c r="B970" s="9" t="s">
        <v>82</v>
      </c>
      <c r="C970" t="s">
        <v>83</v>
      </c>
      <c r="D970" s="9">
        <v>19936</v>
      </c>
      <c r="E970" s="5" t="s">
        <v>540</v>
      </c>
      <c r="F970" t="s">
        <v>86</v>
      </c>
      <c r="G970">
        <v>1895</v>
      </c>
      <c r="H970">
        <v>545</v>
      </c>
      <c r="I970" s="8">
        <f t="shared" si="91"/>
        <v>0.28759894459102903</v>
      </c>
      <c r="J970" s="17">
        <v>0.7</v>
      </c>
      <c r="K970" s="12">
        <v>13.75</v>
      </c>
      <c r="L970" s="2">
        <f t="shared" si="88"/>
        <v>781.5</v>
      </c>
      <c r="M970" s="15">
        <f t="shared" si="92"/>
        <v>10745.625</v>
      </c>
      <c r="N970" t="str">
        <f t="shared" si="89"/>
        <v>PR</v>
      </c>
      <c r="O970" t="str">
        <f t="shared" si="90"/>
        <v>Curitiba</v>
      </c>
    </row>
    <row r="971" spans="1:15" x14ac:dyDescent="0.3">
      <c r="A971" s="10">
        <v>45778</v>
      </c>
      <c r="B971" s="9" t="s">
        <v>21</v>
      </c>
      <c r="C971" t="s">
        <v>228</v>
      </c>
      <c r="D971" s="9">
        <v>19931</v>
      </c>
      <c r="E971" s="5" t="s">
        <v>541</v>
      </c>
      <c r="F971" t="s">
        <v>233</v>
      </c>
      <c r="G971">
        <v>1855</v>
      </c>
      <c r="H971">
        <v>825</v>
      </c>
      <c r="I971" s="8">
        <f t="shared" si="91"/>
        <v>0.44474393530997303</v>
      </c>
      <c r="J971" s="17">
        <v>0.7</v>
      </c>
      <c r="K971" s="12">
        <v>13.75</v>
      </c>
      <c r="L971" s="2">
        <f t="shared" si="88"/>
        <v>473.5</v>
      </c>
      <c r="M971" s="15">
        <f t="shared" si="92"/>
        <v>6510.625</v>
      </c>
      <c r="N971" t="str">
        <f t="shared" si="89"/>
        <v>BA</v>
      </c>
      <c r="O971" t="str">
        <f t="shared" si="90"/>
        <v>Salvador</v>
      </c>
    </row>
    <row r="972" spans="1:15" x14ac:dyDescent="0.3">
      <c r="A972" s="10">
        <v>45778</v>
      </c>
      <c r="B972" s="9" t="s">
        <v>14</v>
      </c>
      <c r="C972" t="s">
        <v>273</v>
      </c>
      <c r="D972" s="9">
        <v>19937</v>
      </c>
      <c r="E972" s="5" t="s">
        <v>542</v>
      </c>
      <c r="F972" t="s">
        <v>274</v>
      </c>
      <c r="G972">
        <v>1183</v>
      </c>
      <c r="H972">
        <v>629</v>
      </c>
      <c r="I972" s="8">
        <f t="shared" si="91"/>
        <v>0.53169907016060858</v>
      </c>
      <c r="J972" s="17">
        <v>0.7</v>
      </c>
      <c r="K972" s="12">
        <v>13.75</v>
      </c>
      <c r="L972" s="2">
        <f t="shared" si="88"/>
        <v>199.10000000000002</v>
      </c>
      <c r="M972" s="15">
        <f t="shared" si="92"/>
        <v>2737.6250000000005</v>
      </c>
      <c r="N972" t="str">
        <f t="shared" si="89"/>
        <v>MG</v>
      </c>
      <c r="O972" t="str">
        <f t="shared" si="90"/>
        <v>Sete Lagoas</v>
      </c>
    </row>
    <row r="973" spans="1:15" x14ac:dyDescent="0.3">
      <c r="A973" s="10">
        <v>45778</v>
      </c>
      <c r="B973" s="9" t="s">
        <v>46</v>
      </c>
      <c r="C973" t="s">
        <v>102</v>
      </c>
      <c r="D973" s="9">
        <v>19553</v>
      </c>
      <c r="E973" s="5" t="s">
        <v>543</v>
      </c>
      <c r="F973" t="s">
        <v>103</v>
      </c>
      <c r="G973">
        <v>2199</v>
      </c>
      <c r="H973">
        <v>891</v>
      </c>
      <c r="I973" s="8">
        <f t="shared" si="91"/>
        <v>0.40518417462482947</v>
      </c>
      <c r="J973" s="17">
        <v>0.7</v>
      </c>
      <c r="K973" s="12">
        <v>13.75</v>
      </c>
      <c r="L973" s="2">
        <f t="shared" si="88"/>
        <v>648.29999999999973</v>
      </c>
      <c r="M973" s="15">
        <f t="shared" si="92"/>
        <v>8914.1249999999964</v>
      </c>
      <c r="N973" t="str">
        <f t="shared" si="89"/>
        <v>DF</v>
      </c>
      <c r="O973" t="str">
        <f t="shared" si="90"/>
        <v>Guará</v>
      </c>
    </row>
    <row r="974" spans="1:15" x14ac:dyDescent="0.3">
      <c r="A974" s="10">
        <v>45778</v>
      </c>
      <c r="B974" s="9" t="s">
        <v>140</v>
      </c>
      <c r="C974" t="s">
        <v>141</v>
      </c>
      <c r="D974" s="9">
        <v>19940</v>
      </c>
      <c r="E974" s="5" t="s">
        <v>545</v>
      </c>
      <c r="F974" t="s">
        <v>142</v>
      </c>
      <c r="G974">
        <v>2320</v>
      </c>
      <c r="H974">
        <v>1301</v>
      </c>
      <c r="I974" s="8">
        <f t="shared" si="91"/>
        <v>0.56077586206896557</v>
      </c>
      <c r="J974" s="17">
        <v>0.7</v>
      </c>
      <c r="K974" s="12">
        <v>13.75</v>
      </c>
      <c r="L974" s="2">
        <f t="shared" si="88"/>
        <v>322.99999999999977</v>
      </c>
      <c r="M974" s="15">
        <f t="shared" si="92"/>
        <v>4441.2499999999973</v>
      </c>
      <c r="N974" t="str">
        <f t="shared" si="89"/>
        <v>RN</v>
      </c>
      <c r="O974" t="str">
        <f t="shared" si="90"/>
        <v>Natal</v>
      </c>
    </row>
    <row r="975" spans="1:15" x14ac:dyDescent="0.3">
      <c r="A975" s="10">
        <v>45778</v>
      </c>
      <c r="B975" s="9" t="s">
        <v>123</v>
      </c>
      <c r="C975" t="s">
        <v>124</v>
      </c>
      <c r="D975" s="9">
        <v>19945</v>
      </c>
      <c r="E975" s="5" t="s">
        <v>546</v>
      </c>
      <c r="F975" t="s">
        <v>125</v>
      </c>
      <c r="G975">
        <v>1502</v>
      </c>
      <c r="H975">
        <v>884</v>
      </c>
      <c r="I975" s="8">
        <f t="shared" si="91"/>
        <v>0.58854860186418112</v>
      </c>
      <c r="J975" s="17">
        <v>0.7</v>
      </c>
      <c r="K975" s="12">
        <v>13.75</v>
      </c>
      <c r="L975" s="2">
        <f t="shared" si="88"/>
        <v>167.39999999999986</v>
      </c>
      <c r="M975" s="15">
        <f t="shared" si="92"/>
        <v>2301.7499999999982</v>
      </c>
      <c r="N975" t="str">
        <f t="shared" si="89"/>
        <v>AP</v>
      </c>
      <c r="O975" t="str">
        <f t="shared" si="90"/>
        <v>Macapa</v>
      </c>
    </row>
    <row r="976" spans="1:15" x14ac:dyDescent="0.3">
      <c r="A976" s="10">
        <v>45778</v>
      </c>
      <c r="B976" s="9" t="s">
        <v>21</v>
      </c>
      <c r="C976" t="s">
        <v>228</v>
      </c>
      <c r="D976" s="9">
        <v>19907</v>
      </c>
      <c r="E976" s="5" t="s">
        <v>547</v>
      </c>
      <c r="F976" t="s">
        <v>234</v>
      </c>
      <c r="G976">
        <v>1327</v>
      </c>
      <c r="H976">
        <v>605</v>
      </c>
      <c r="I976" s="8">
        <f t="shared" si="91"/>
        <v>0.45591559909570462</v>
      </c>
      <c r="J976" s="17">
        <v>0.7</v>
      </c>
      <c r="K976" s="12">
        <v>13.75</v>
      </c>
      <c r="L976" s="2">
        <f t="shared" si="88"/>
        <v>323.89999999999998</v>
      </c>
      <c r="M976" s="15">
        <f t="shared" si="92"/>
        <v>4453.625</v>
      </c>
      <c r="N976" t="str">
        <f t="shared" si="89"/>
        <v>BA</v>
      </c>
      <c r="O976" t="str">
        <f t="shared" si="90"/>
        <v>Salvador</v>
      </c>
    </row>
    <row r="977" spans="1:15" x14ac:dyDescent="0.3">
      <c r="A977" s="10">
        <v>45778</v>
      </c>
      <c r="B977" s="9" t="s">
        <v>15</v>
      </c>
      <c r="C977" t="s">
        <v>145</v>
      </c>
      <c r="D977" s="9">
        <v>19538</v>
      </c>
      <c r="E977" s="5" t="s">
        <v>548</v>
      </c>
      <c r="F977" t="s">
        <v>146</v>
      </c>
      <c r="G977">
        <v>2487</v>
      </c>
      <c r="H977">
        <v>1160</v>
      </c>
      <c r="I977" s="8">
        <f t="shared" si="91"/>
        <v>0.46642541214314437</v>
      </c>
      <c r="J977" s="17">
        <v>0.7</v>
      </c>
      <c r="K977" s="12">
        <v>13.75</v>
      </c>
      <c r="L977" s="2">
        <f t="shared" si="88"/>
        <v>580.89999999999986</v>
      </c>
      <c r="M977" s="15">
        <f t="shared" si="92"/>
        <v>7987.3749999999982</v>
      </c>
      <c r="N977" t="str">
        <f t="shared" si="89"/>
        <v>RJ</v>
      </c>
      <c r="O977" t="str">
        <f t="shared" si="90"/>
        <v>Niterói</v>
      </c>
    </row>
    <row r="978" spans="1:15" x14ac:dyDescent="0.3">
      <c r="A978" s="10">
        <v>45778</v>
      </c>
      <c r="B978" s="9" t="s">
        <v>71</v>
      </c>
      <c r="C978" t="s">
        <v>175</v>
      </c>
      <c r="D978" s="9">
        <v>19947</v>
      </c>
      <c r="E978" s="5" t="s">
        <v>550</v>
      </c>
      <c r="F978" t="s">
        <v>180</v>
      </c>
      <c r="G978">
        <v>3021</v>
      </c>
      <c r="H978">
        <v>1031</v>
      </c>
      <c r="I978" s="8">
        <f t="shared" si="91"/>
        <v>0.34127772260840783</v>
      </c>
      <c r="J978" s="17">
        <v>0.7</v>
      </c>
      <c r="K978" s="12">
        <v>13.75</v>
      </c>
      <c r="L978" s="2">
        <f t="shared" si="88"/>
        <v>1083.6999999999998</v>
      </c>
      <c r="M978" s="15">
        <f t="shared" si="92"/>
        <v>14900.874999999998</v>
      </c>
      <c r="N978" t="str">
        <f t="shared" si="89"/>
        <v>RS</v>
      </c>
      <c r="O978" t="str">
        <f t="shared" si="90"/>
        <v>Porto Alegre</v>
      </c>
    </row>
    <row r="979" spans="1:15" x14ac:dyDescent="0.3">
      <c r="A979" s="10">
        <v>45778</v>
      </c>
      <c r="B979" s="9" t="s">
        <v>14</v>
      </c>
      <c r="C979" t="s">
        <v>114</v>
      </c>
      <c r="D979" s="9">
        <v>19943</v>
      </c>
      <c r="E979" s="5" t="s">
        <v>551</v>
      </c>
      <c r="F979" t="s">
        <v>115</v>
      </c>
      <c r="G979">
        <v>1109</v>
      </c>
      <c r="H979">
        <v>474</v>
      </c>
      <c r="I979" s="8">
        <f t="shared" si="91"/>
        <v>0.42741208295761945</v>
      </c>
      <c r="J979" s="17">
        <v>0.7</v>
      </c>
      <c r="K979" s="12">
        <v>13.75</v>
      </c>
      <c r="L979" s="2">
        <f t="shared" si="88"/>
        <v>302.29999999999995</v>
      </c>
      <c r="M979" s="15">
        <f t="shared" si="92"/>
        <v>4156.6249999999991</v>
      </c>
      <c r="N979" t="str">
        <f t="shared" si="89"/>
        <v>MG</v>
      </c>
      <c r="O979" t="str">
        <f t="shared" si="90"/>
        <v>Ituiutaba</v>
      </c>
    </row>
    <row r="980" spans="1:15" x14ac:dyDescent="0.3">
      <c r="A980" s="10">
        <v>45778</v>
      </c>
      <c r="B980" s="9" t="s">
        <v>244</v>
      </c>
      <c r="C980" t="s">
        <v>245</v>
      </c>
      <c r="D980" s="9">
        <v>19617</v>
      </c>
      <c r="E980" s="5" t="s">
        <v>552</v>
      </c>
      <c r="F980" t="s">
        <v>246</v>
      </c>
      <c r="G980">
        <v>3514</v>
      </c>
      <c r="H980">
        <v>1664</v>
      </c>
      <c r="I980" s="8">
        <f t="shared" si="91"/>
        <v>0.47353443369379622</v>
      </c>
      <c r="J980" s="17">
        <v>0.7</v>
      </c>
      <c r="K980" s="12">
        <v>13.75</v>
      </c>
      <c r="L980" s="2">
        <f t="shared" si="88"/>
        <v>795.80000000000018</v>
      </c>
      <c r="M980" s="15">
        <f t="shared" si="92"/>
        <v>10942.250000000002</v>
      </c>
      <c r="N980" t="str">
        <f t="shared" si="89"/>
        <v>MA</v>
      </c>
      <c r="O980" t="str">
        <f t="shared" si="90"/>
        <v>São Luís</v>
      </c>
    </row>
    <row r="981" spans="1:15" x14ac:dyDescent="0.3">
      <c r="A981" s="10">
        <v>45778</v>
      </c>
      <c r="B981" s="9" t="s">
        <v>244</v>
      </c>
      <c r="C981" t="s">
        <v>245</v>
      </c>
      <c r="D981" s="9">
        <v>19595</v>
      </c>
      <c r="E981" s="5" t="s">
        <v>553</v>
      </c>
      <c r="F981" t="s">
        <v>247</v>
      </c>
      <c r="G981">
        <v>3296</v>
      </c>
      <c r="H981">
        <v>1534</v>
      </c>
      <c r="I981" s="8">
        <f t="shared" si="91"/>
        <v>0.46541262135922329</v>
      </c>
      <c r="J981" s="17">
        <v>0.7</v>
      </c>
      <c r="K981" s="12">
        <v>13.75</v>
      </c>
      <c r="L981" s="2">
        <f t="shared" si="88"/>
        <v>773.19999999999982</v>
      </c>
      <c r="M981" s="15">
        <f t="shared" si="92"/>
        <v>10631.499999999998</v>
      </c>
      <c r="N981" t="str">
        <f t="shared" si="89"/>
        <v>MA</v>
      </c>
      <c r="O981" t="str">
        <f t="shared" si="90"/>
        <v>São Luís</v>
      </c>
    </row>
    <row r="982" spans="1:15" x14ac:dyDescent="0.3">
      <c r="A982" s="10">
        <v>45778</v>
      </c>
      <c r="B982" s="9" t="s">
        <v>3</v>
      </c>
      <c r="C982" t="s">
        <v>10</v>
      </c>
      <c r="D982" s="9">
        <v>19948</v>
      </c>
      <c r="E982" s="5" t="s">
        <v>555</v>
      </c>
      <c r="F982" t="s">
        <v>11</v>
      </c>
      <c r="G982">
        <v>1077</v>
      </c>
      <c r="H982">
        <v>455</v>
      </c>
      <c r="I982" s="8">
        <f t="shared" si="91"/>
        <v>0.42246982358402974</v>
      </c>
      <c r="J982" s="17">
        <v>0.7</v>
      </c>
      <c r="K982" s="12">
        <v>13.75</v>
      </c>
      <c r="L982" s="2">
        <f t="shared" si="88"/>
        <v>298.89999999999998</v>
      </c>
      <c r="M982" s="15">
        <f t="shared" si="92"/>
        <v>4109.875</v>
      </c>
      <c r="N982" t="str">
        <f t="shared" si="89"/>
        <v>SP</v>
      </c>
      <c r="O982" t="str">
        <f t="shared" si="90"/>
        <v>Araraquara</v>
      </c>
    </row>
    <row r="983" spans="1:15" x14ac:dyDescent="0.3">
      <c r="A983" s="10">
        <v>45778</v>
      </c>
      <c r="B983" s="9" t="s">
        <v>74</v>
      </c>
      <c r="C983" t="s">
        <v>75</v>
      </c>
      <c r="D983" s="9">
        <v>19798</v>
      </c>
      <c r="E983" s="5" t="s">
        <v>556</v>
      </c>
      <c r="F983" t="s">
        <v>76</v>
      </c>
      <c r="G983">
        <v>3274</v>
      </c>
      <c r="H983">
        <v>1633</v>
      </c>
      <c r="I983" s="8">
        <f t="shared" si="91"/>
        <v>0.49877825290164934</v>
      </c>
      <c r="J983" s="17">
        <v>0.7</v>
      </c>
      <c r="K983" s="12">
        <v>13.75</v>
      </c>
      <c r="L983" s="2">
        <f t="shared" si="88"/>
        <v>658.79999999999973</v>
      </c>
      <c r="M983" s="15">
        <f t="shared" si="92"/>
        <v>9058.4999999999964</v>
      </c>
      <c r="N983" t="str">
        <f t="shared" si="89"/>
        <v>PE</v>
      </c>
      <c r="O983" t="str">
        <f t="shared" si="90"/>
        <v>Caruaru</v>
      </c>
    </row>
    <row r="984" spans="1:15" x14ac:dyDescent="0.3">
      <c r="A984" s="10">
        <v>45778</v>
      </c>
      <c r="B984" s="9" t="s">
        <v>15</v>
      </c>
      <c r="C984" t="s">
        <v>19</v>
      </c>
      <c r="D984" s="9">
        <v>19694</v>
      </c>
      <c r="E984" s="5" t="s">
        <v>557</v>
      </c>
      <c r="F984" t="s">
        <v>20</v>
      </c>
      <c r="G984">
        <v>2013</v>
      </c>
      <c r="H984">
        <v>1044</v>
      </c>
      <c r="I984" s="8">
        <f t="shared" si="91"/>
        <v>0.51862891207153505</v>
      </c>
      <c r="J984" s="17">
        <v>0.7</v>
      </c>
      <c r="K984" s="12">
        <v>13.75</v>
      </c>
      <c r="L984" s="2">
        <f t="shared" si="88"/>
        <v>365.09999999999991</v>
      </c>
      <c r="M984" s="15">
        <f t="shared" si="92"/>
        <v>5020.1249999999991</v>
      </c>
      <c r="N984" t="str">
        <f t="shared" si="89"/>
        <v>RJ</v>
      </c>
      <c r="O984" t="str">
        <f t="shared" si="90"/>
        <v>Barra Mansa</v>
      </c>
    </row>
    <row r="985" spans="1:15" x14ac:dyDescent="0.3">
      <c r="A985" s="10">
        <v>45778</v>
      </c>
      <c r="B985" s="9" t="s">
        <v>14</v>
      </c>
      <c r="C985" t="s">
        <v>112</v>
      </c>
      <c r="D985" s="9">
        <v>19951</v>
      </c>
      <c r="E985" s="5" t="s">
        <v>558</v>
      </c>
      <c r="F985" t="s">
        <v>113</v>
      </c>
      <c r="G985">
        <v>2272</v>
      </c>
      <c r="H985">
        <v>963</v>
      </c>
      <c r="I985" s="8">
        <f t="shared" si="91"/>
        <v>0.42385563380281688</v>
      </c>
      <c r="J985" s="17">
        <v>0.7</v>
      </c>
      <c r="K985" s="12">
        <v>13.75</v>
      </c>
      <c r="L985" s="2">
        <f t="shared" si="88"/>
        <v>627.39999999999986</v>
      </c>
      <c r="M985" s="15">
        <f t="shared" si="92"/>
        <v>8626.7499999999982</v>
      </c>
      <c r="N985" t="str">
        <f t="shared" si="89"/>
        <v>MG</v>
      </c>
      <c r="O985" t="str">
        <f t="shared" si="90"/>
        <v>Ipatinga</v>
      </c>
    </row>
    <row r="986" spans="1:15" x14ac:dyDescent="0.3">
      <c r="A986" s="10">
        <v>45778</v>
      </c>
      <c r="B986" s="9" t="s">
        <v>160</v>
      </c>
      <c r="C986" t="s">
        <v>161</v>
      </c>
      <c r="D986" s="9">
        <v>19954</v>
      </c>
      <c r="E986" s="5" t="s">
        <v>559</v>
      </c>
      <c r="F986" t="s">
        <v>162</v>
      </c>
      <c r="G986">
        <v>601</v>
      </c>
      <c r="H986">
        <v>405</v>
      </c>
      <c r="I986" s="8">
        <f t="shared" si="91"/>
        <v>0.67387687188019962</v>
      </c>
      <c r="J986" s="17">
        <v>0.7</v>
      </c>
      <c r="K986" s="12">
        <v>13.75</v>
      </c>
      <c r="L986" s="2">
        <f t="shared" si="88"/>
        <v>15.700000000000045</v>
      </c>
      <c r="M986" s="15">
        <f t="shared" si="92"/>
        <v>215.87500000000063</v>
      </c>
      <c r="N986" t="str">
        <f t="shared" si="89"/>
        <v>PI</v>
      </c>
      <c r="O986" t="str">
        <f t="shared" si="90"/>
        <v>Parnaíba</v>
      </c>
    </row>
    <row r="987" spans="1:15" x14ac:dyDescent="0.3">
      <c r="A987" s="10">
        <v>45778</v>
      </c>
      <c r="B987" s="9" t="s">
        <v>14</v>
      </c>
      <c r="C987" t="s">
        <v>351</v>
      </c>
      <c r="D987" s="9">
        <v>19615</v>
      </c>
      <c r="E987" s="5" t="s">
        <v>560</v>
      </c>
      <c r="F987" t="s">
        <v>117</v>
      </c>
      <c r="G987">
        <v>2744</v>
      </c>
      <c r="H987">
        <v>955</v>
      </c>
      <c r="I987" s="8">
        <f t="shared" si="91"/>
        <v>0.34803206997084546</v>
      </c>
      <c r="J987" s="17">
        <v>0.7</v>
      </c>
      <c r="K987" s="12">
        <v>13.75</v>
      </c>
      <c r="L987" s="2">
        <f t="shared" si="88"/>
        <v>965.80000000000018</v>
      </c>
      <c r="M987" s="15">
        <f t="shared" si="92"/>
        <v>13279.750000000002</v>
      </c>
      <c r="N987" t="str">
        <f t="shared" si="89"/>
        <v>MG</v>
      </c>
      <c r="O987" t="str">
        <f t="shared" si="90"/>
        <v>Juiz De Fora</v>
      </c>
    </row>
    <row r="988" spans="1:15" x14ac:dyDescent="0.3">
      <c r="A988" s="10">
        <v>45778</v>
      </c>
      <c r="B988" s="9" t="s">
        <v>46</v>
      </c>
      <c r="C988" t="s">
        <v>47</v>
      </c>
      <c r="D988" s="9">
        <v>19647</v>
      </c>
      <c r="E988" s="5" t="s">
        <v>561</v>
      </c>
      <c r="F988" t="s">
        <v>55</v>
      </c>
      <c r="G988">
        <v>1720</v>
      </c>
      <c r="H988">
        <v>680</v>
      </c>
      <c r="I988" s="8">
        <f t="shared" si="91"/>
        <v>0.39534883720930231</v>
      </c>
      <c r="J988" s="17">
        <v>0.7</v>
      </c>
      <c r="K988" s="12">
        <v>13.75</v>
      </c>
      <c r="L988" s="2">
        <f t="shared" si="88"/>
        <v>524</v>
      </c>
      <c r="M988" s="15">
        <f t="shared" si="92"/>
        <v>7205</v>
      </c>
      <c r="N988" t="str">
        <f t="shared" si="89"/>
        <v>DF</v>
      </c>
      <c r="O988" t="str">
        <f t="shared" si="90"/>
        <v>Brasília</v>
      </c>
    </row>
    <row r="989" spans="1:15" x14ac:dyDescent="0.3">
      <c r="A989" s="10">
        <v>45778</v>
      </c>
      <c r="B989" s="9" t="s">
        <v>46</v>
      </c>
      <c r="C989" t="s">
        <v>47</v>
      </c>
      <c r="D989" s="9">
        <v>19898</v>
      </c>
      <c r="E989" s="5" t="s">
        <v>562</v>
      </c>
      <c r="F989" t="s">
        <v>56</v>
      </c>
      <c r="G989">
        <v>1405</v>
      </c>
      <c r="H989">
        <v>515</v>
      </c>
      <c r="I989" s="8">
        <f t="shared" si="91"/>
        <v>0.36654804270462632</v>
      </c>
      <c r="J989" s="17">
        <v>0.7</v>
      </c>
      <c r="K989" s="12">
        <v>13.75</v>
      </c>
      <c r="L989" s="2">
        <f t="shared" si="88"/>
        <v>468.5</v>
      </c>
      <c r="M989" s="15">
        <f t="shared" si="92"/>
        <v>6441.875</v>
      </c>
      <c r="N989" t="str">
        <f t="shared" si="89"/>
        <v>DF</v>
      </c>
      <c r="O989" t="str">
        <f t="shared" si="90"/>
        <v>Brasília</v>
      </c>
    </row>
    <row r="990" spans="1:15" x14ac:dyDescent="0.3">
      <c r="A990" s="10">
        <v>45778</v>
      </c>
      <c r="B990" s="9" t="s">
        <v>3</v>
      </c>
      <c r="C990" t="s">
        <v>64</v>
      </c>
      <c r="D990" s="9">
        <v>19616</v>
      </c>
      <c r="E990" s="5" t="s">
        <v>563</v>
      </c>
      <c r="F990" t="s">
        <v>66</v>
      </c>
      <c r="G990">
        <v>3360</v>
      </c>
      <c r="H990">
        <v>1225</v>
      </c>
      <c r="I990" s="8">
        <f t="shared" si="91"/>
        <v>0.36458333333333331</v>
      </c>
      <c r="J990" s="17">
        <v>0.7</v>
      </c>
      <c r="K990" s="12">
        <v>13.75</v>
      </c>
      <c r="L990" s="2">
        <f t="shared" si="88"/>
        <v>1127</v>
      </c>
      <c r="M990" s="15">
        <f t="shared" si="92"/>
        <v>15496.25</v>
      </c>
      <c r="N990" t="str">
        <f t="shared" si="89"/>
        <v>SP</v>
      </c>
      <c r="O990" t="str">
        <f t="shared" si="90"/>
        <v>Campinas</v>
      </c>
    </row>
    <row r="991" spans="1:15" x14ac:dyDescent="0.3">
      <c r="A991" s="10">
        <v>45778</v>
      </c>
      <c r="B991" s="9" t="s">
        <v>3</v>
      </c>
      <c r="C991" t="s">
        <v>64</v>
      </c>
      <c r="D991" s="9">
        <v>19688</v>
      </c>
      <c r="E991" s="5" t="s">
        <v>564</v>
      </c>
      <c r="F991" t="s">
        <v>67</v>
      </c>
      <c r="G991">
        <v>2129</v>
      </c>
      <c r="H991">
        <v>815</v>
      </c>
      <c r="I991" s="8">
        <f t="shared" si="91"/>
        <v>0.38280883043682479</v>
      </c>
      <c r="J991" s="17">
        <v>0.7</v>
      </c>
      <c r="K991" s="12">
        <v>13.75</v>
      </c>
      <c r="L991" s="2">
        <f t="shared" si="88"/>
        <v>675.3</v>
      </c>
      <c r="M991" s="15">
        <f t="shared" si="92"/>
        <v>9285.375</v>
      </c>
      <c r="N991" t="str">
        <f t="shared" si="89"/>
        <v>SP</v>
      </c>
      <c r="O991" t="str">
        <f t="shared" si="90"/>
        <v>Campinas</v>
      </c>
    </row>
    <row r="992" spans="1:15" x14ac:dyDescent="0.3">
      <c r="A992" s="10">
        <v>45778</v>
      </c>
      <c r="B992" s="9" t="s">
        <v>3</v>
      </c>
      <c r="C992" t="s">
        <v>248</v>
      </c>
      <c r="D992" s="9">
        <v>19863</v>
      </c>
      <c r="E992" s="5" t="s">
        <v>566</v>
      </c>
      <c r="F992" t="s">
        <v>268</v>
      </c>
      <c r="G992">
        <v>2651</v>
      </c>
      <c r="H992">
        <v>906</v>
      </c>
      <c r="I992" s="8">
        <f t="shared" si="91"/>
        <v>0.34175782723500564</v>
      </c>
      <c r="J992" s="17">
        <v>0.7</v>
      </c>
      <c r="K992" s="12">
        <v>13.75</v>
      </c>
      <c r="L992" s="2">
        <f t="shared" si="88"/>
        <v>949.69999999999982</v>
      </c>
      <c r="M992" s="15">
        <f t="shared" si="92"/>
        <v>13058.374999999998</v>
      </c>
      <c r="N992" t="str">
        <f t="shared" si="89"/>
        <v>SP</v>
      </c>
      <c r="O992" t="str">
        <f t="shared" si="90"/>
        <v>São Paulo</v>
      </c>
    </row>
    <row r="993" spans="1:15" x14ac:dyDescent="0.3">
      <c r="A993" s="10">
        <v>45778</v>
      </c>
      <c r="B993" s="9" t="s">
        <v>3</v>
      </c>
      <c r="C993" t="s">
        <v>248</v>
      </c>
      <c r="D993" s="9">
        <v>19817</v>
      </c>
      <c r="E993" s="5" t="s">
        <v>567</v>
      </c>
      <c r="F993" t="s">
        <v>269</v>
      </c>
      <c r="G993">
        <v>1570</v>
      </c>
      <c r="H993">
        <v>704</v>
      </c>
      <c r="I993" s="8">
        <f t="shared" si="91"/>
        <v>0.44840764331210192</v>
      </c>
      <c r="J993" s="17">
        <v>0.7</v>
      </c>
      <c r="K993" s="12">
        <v>13.75</v>
      </c>
      <c r="L993" s="2">
        <f t="shared" si="88"/>
        <v>394.99999999999977</v>
      </c>
      <c r="M993" s="15">
        <f t="shared" si="92"/>
        <v>5431.2499999999973</v>
      </c>
      <c r="N993" t="str">
        <f t="shared" si="89"/>
        <v>SP</v>
      </c>
      <c r="O993" t="str">
        <f t="shared" si="90"/>
        <v>São Paulo</v>
      </c>
    </row>
    <row r="994" spans="1:15" x14ac:dyDescent="0.3">
      <c r="A994" s="10">
        <v>45778</v>
      </c>
      <c r="B994" s="9" t="s">
        <v>3</v>
      </c>
      <c r="C994" t="s">
        <v>248</v>
      </c>
      <c r="D994" s="9">
        <v>19866</v>
      </c>
      <c r="E994" s="5" t="s">
        <v>568</v>
      </c>
      <c r="F994" t="s">
        <v>270</v>
      </c>
      <c r="G994">
        <v>1609</v>
      </c>
      <c r="H994">
        <v>563</v>
      </c>
      <c r="I994" s="8">
        <f t="shared" si="91"/>
        <v>0.34990677439403356</v>
      </c>
      <c r="J994" s="17">
        <v>0.7</v>
      </c>
      <c r="K994" s="12">
        <v>13.75</v>
      </c>
      <c r="L994" s="2">
        <f t="shared" ref="L994:L1025" si="93">H994*J994/I994-H994</f>
        <v>563.29999999999995</v>
      </c>
      <c r="M994" s="15">
        <f t="shared" si="92"/>
        <v>7745.3749999999991</v>
      </c>
      <c r="N994" t="str">
        <f t="shared" si="89"/>
        <v>SP</v>
      </c>
      <c r="O994" t="str">
        <f t="shared" si="90"/>
        <v>São Paulo</v>
      </c>
    </row>
    <row r="995" spans="1:15" x14ac:dyDescent="0.3">
      <c r="A995" s="10">
        <v>45778</v>
      </c>
      <c r="B995" s="9" t="s">
        <v>15</v>
      </c>
      <c r="C995" t="s">
        <v>171</v>
      </c>
      <c r="D995" s="9">
        <v>19520</v>
      </c>
      <c r="E995" s="5" t="s">
        <v>569</v>
      </c>
      <c r="F995" t="s">
        <v>172</v>
      </c>
      <c r="G995">
        <v>1533</v>
      </c>
      <c r="H995">
        <v>674</v>
      </c>
      <c r="I995" s="8">
        <f t="shared" si="91"/>
        <v>0.43966079582517936</v>
      </c>
      <c r="J995" s="17">
        <v>0.7</v>
      </c>
      <c r="K995" s="12">
        <v>13.75</v>
      </c>
      <c r="L995" s="2">
        <f t="shared" si="93"/>
        <v>399.09999999999991</v>
      </c>
      <c r="M995" s="15">
        <f t="shared" si="92"/>
        <v>5487.6249999999991</v>
      </c>
      <c r="N995" t="str">
        <f t="shared" si="89"/>
        <v>RJ</v>
      </c>
      <c r="O995" t="str">
        <f t="shared" si="90"/>
        <v>Petrópolis</v>
      </c>
    </row>
    <row r="996" spans="1:15" x14ac:dyDescent="0.3">
      <c r="A996" s="10">
        <v>45778</v>
      </c>
      <c r="B996" s="9" t="s">
        <v>68</v>
      </c>
      <c r="C996" t="s">
        <v>69</v>
      </c>
      <c r="D996" s="9">
        <v>19602</v>
      </c>
      <c r="E996" s="5" t="s">
        <v>570</v>
      </c>
      <c r="F996" t="s">
        <v>70</v>
      </c>
      <c r="G996">
        <v>506</v>
      </c>
      <c r="H996">
        <v>96</v>
      </c>
      <c r="I996" s="8">
        <f t="shared" si="91"/>
        <v>0.18972332015810275</v>
      </c>
      <c r="J996" s="17">
        <v>0.7</v>
      </c>
      <c r="K996" s="12">
        <v>13.75</v>
      </c>
      <c r="L996" s="2">
        <f t="shared" si="93"/>
        <v>258.2</v>
      </c>
      <c r="M996" s="15">
        <f t="shared" si="92"/>
        <v>3550.25</v>
      </c>
      <c r="N996" t="str">
        <f t="shared" si="89"/>
        <v>MS</v>
      </c>
      <c r="O996" t="str">
        <f t="shared" si="90"/>
        <v>Campo Grande</v>
      </c>
    </row>
    <row r="997" spans="1:15" x14ac:dyDescent="0.3">
      <c r="A997" s="10">
        <v>45778</v>
      </c>
      <c r="B997" s="9" t="s">
        <v>15</v>
      </c>
      <c r="C997" t="s">
        <v>332</v>
      </c>
      <c r="D997" s="9">
        <v>19679</v>
      </c>
      <c r="E997" s="5" t="s">
        <v>571</v>
      </c>
      <c r="F997" t="s">
        <v>333</v>
      </c>
      <c r="G997">
        <v>2109</v>
      </c>
      <c r="H997">
        <v>974</v>
      </c>
      <c r="I997" s="8">
        <f t="shared" si="91"/>
        <v>0.46183025130393551</v>
      </c>
      <c r="J997" s="17">
        <v>0.7</v>
      </c>
      <c r="K997" s="12">
        <v>13.75</v>
      </c>
      <c r="L997" s="2">
        <f t="shared" si="93"/>
        <v>502.29999999999995</v>
      </c>
      <c r="M997" s="15">
        <f t="shared" si="92"/>
        <v>6906.6249999999991</v>
      </c>
      <c r="N997" t="str">
        <f t="shared" si="89"/>
        <v>RJ</v>
      </c>
      <c r="O997" t="str">
        <f t="shared" si="90"/>
        <v>Macaé</v>
      </c>
    </row>
    <row r="998" spans="1:15" x14ac:dyDescent="0.3">
      <c r="A998" s="10">
        <v>45778</v>
      </c>
      <c r="B998" s="9" t="s">
        <v>59</v>
      </c>
      <c r="C998" t="s">
        <v>104</v>
      </c>
      <c r="D998" s="9">
        <v>19872</v>
      </c>
      <c r="E998" s="5" t="s">
        <v>572</v>
      </c>
      <c r="F998" t="s">
        <v>105</v>
      </c>
      <c r="G998">
        <v>1980</v>
      </c>
      <c r="H998">
        <v>907</v>
      </c>
      <c r="I998" s="8">
        <f t="shared" si="91"/>
        <v>0.45808080808080809</v>
      </c>
      <c r="J998" s="17">
        <v>0.7</v>
      </c>
      <c r="K998" s="12">
        <v>13.75</v>
      </c>
      <c r="L998" s="2">
        <f t="shared" si="93"/>
        <v>479</v>
      </c>
      <c r="M998" s="15">
        <f t="shared" si="92"/>
        <v>6586.25</v>
      </c>
      <c r="N998" t="str">
        <f t="shared" si="89"/>
        <v>ES</v>
      </c>
      <c r="O998" t="str">
        <f t="shared" si="90"/>
        <v>Guarapari</v>
      </c>
    </row>
    <row r="999" spans="1:15" x14ac:dyDescent="0.3">
      <c r="A999" s="10">
        <v>45778</v>
      </c>
      <c r="B999" s="9" t="s">
        <v>82</v>
      </c>
      <c r="C999" t="s">
        <v>83</v>
      </c>
      <c r="D999" s="9">
        <v>19547</v>
      </c>
      <c r="E999" s="5" t="s">
        <v>573</v>
      </c>
      <c r="F999" t="s">
        <v>87</v>
      </c>
      <c r="G999">
        <v>2528</v>
      </c>
      <c r="H999">
        <v>772</v>
      </c>
      <c r="I999" s="8">
        <f t="shared" si="91"/>
        <v>0.30537974683544306</v>
      </c>
      <c r="J999" s="17">
        <v>0.7</v>
      </c>
      <c r="K999" s="12">
        <v>13.75</v>
      </c>
      <c r="L999" s="2">
        <f t="shared" si="93"/>
        <v>997.59999999999991</v>
      </c>
      <c r="M999" s="15">
        <f t="shared" si="92"/>
        <v>13716.999999999998</v>
      </c>
      <c r="N999" t="str">
        <f t="shared" si="89"/>
        <v>PR</v>
      </c>
      <c r="O999" t="str">
        <f t="shared" si="90"/>
        <v>Curitiba</v>
      </c>
    </row>
    <row r="1000" spans="1:15" x14ac:dyDescent="0.3">
      <c r="A1000" s="10">
        <v>45778</v>
      </c>
      <c r="B1000" s="9" t="s">
        <v>15</v>
      </c>
      <c r="C1000" t="s">
        <v>145</v>
      </c>
      <c r="D1000" s="9">
        <v>19513</v>
      </c>
      <c r="E1000" s="5" t="s">
        <v>574</v>
      </c>
      <c r="F1000" t="s">
        <v>147</v>
      </c>
      <c r="G1000">
        <v>2523</v>
      </c>
      <c r="H1000">
        <v>891</v>
      </c>
      <c r="I1000" s="8">
        <f t="shared" si="91"/>
        <v>0.35315101070154575</v>
      </c>
      <c r="J1000" s="17">
        <v>0.7</v>
      </c>
      <c r="K1000" s="12">
        <v>13.75</v>
      </c>
      <c r="L1000" s="2">
        <f t="shared" si="93"/>
        <v>875.09999999999991</v>
      </c>
      <c r="M1000" s="15">
        <f t="shared" si="92"/>
        <v>12032.624999999998</v>
      </c>
      <c r="N1000" t="str">
        <f t="shared" si="89"/>
        <v>RJ</v>
      </c>
      <c r="O1000" t="str">
        <f t="shared" si="90"/>
        <v>Niterói</v>
      </c>
    </row>
    <row r="1001" spans="1:15" x14ac:dyDescent="0.3">
      <c r="A1001" s="10">
        <v>45778</v>
      </c>
      <c r="B1001" s="9" t="s">
        <v>15</v>
      </c>
      <c r="C1001" t="s">
        <v>145</v>
      </c>
      <c r="D1001" s="9">
        <v>19525</v>
      </c>
      <c r="E1001" s="5" t="s">
        <v>575</v>
      </c>
      <c r="F1001" t="s">
        <v>148</v>
      </c>
      <c r="G1001">
        <v>3763</v>
      </c>
      <c r="H1001">
        <v>1446</v>
      </c>
      <c r="I1001" s="8">
        <f t="shared" si="91"/>
        <v>0.3842678713792187</v>
      </c>
      <c r="J1001" s="17">
        <v>0.7</v>
      </c>
      <c r="K1001" s="12">
        <v>13.75</v>
      </c>
      <c r="L1001" s="2">
        <f t="shared" si="93"/>
        <v>1188.0999999999999</v>
      </c>
      <c r="M1001" s="15">
        <f t="shared" si="92"/>
        <v>16336.374999999998</v>
      </c>
      <c r="N1001" t="str">
        <f t="shared" si="89"/>
        <v>RJ</v>
      </c>
      <c r="O1001" t="str">
        <f t="shared" si="90"/>
        <v>Niterói</v>
      </c>
    </row>
    <row r="1002" spans="1:15" x14ac:dyDescent="0.3">
      <c r="A1002" s="10">
        <v>45778</v>
      </c>
      <c r="B1002" s="9" t="s">
        <v>21</v>
      </c>
      <c r="C1002" t="s">
        <v>228</v>
      </c>
      <c r="D1002" s="9">
        <v>19771</v>
      </c>
      <c r="E1002" s="5" t="s">
        <v>576</v>
      </c>
      <c r="F1002" t="s">
        <v>235</v>
      </c>
      <c r="G1002">
        <v>1923</v>
      </c>
      <c r="H1002">
        <v>796</v>
      </c>
      <c r="I1002" s="8">
        <f t="shared" si="91"/>
        <v>0.41393655746229852</v>
      </c>
      <c r="J1002" s="17">
        <v>0.7</v>
      </c>
      <c r="K1002" s="12">
        <v>13.75</v>
      </c>
      <c r="L1002" s="2">
        <f t="shared" si="93"/>
        <v>550.09999999999968</v>
      </c>
      <c r="M1002" s="15">
        <f t="shared" si="92"/>
        <v>7563.8749999999955</v>
      </c>
      <c r="N1002" t="str">
        <f t="shared" si="89"/>
        <v>BA</v>
      </c>
      <c r="O1002" t="str">
        <f t="shared" si="90"/>
        <v>Salvador</v>
      </c>
    </row>
    <row r="1003" spans="1:15" x14ac:dyDescent="0.3">
      <c r="A1003" s="10">
        <v>45778</v>
      </c>
      <c r="B1003" s="9" t="s">
        <v>15</v>
      </c>
      <c r="C1003" t="s">
        <v>358</v>
      </c>
      <c r="D1003" s="9">
        <v>19685</v>
      </c>
      <c r="E1003" s="5" t="s">
        <v>359</v>
      </c>
      <c r="F1003" t="s">
        <v>198</v>
      </c>
      <c r="G1003">
        <v>1760</v>
      </c>
      <c r="H1003">
        <v>758</v>
      </c>
      <c r="I1003" s="8">
        <f t="shared" si="91"/>
        <v>0.43068181818181817</v>
      </c>
      <c r="J1003" s="17">
        <v>0.7</v>
      </c>
      <c r="K1003" s="12">
        <v>13.75</v>
      </c>
      <c r="L1003" s="2">
        <f t="shared" si="93"/>
        <v>474</v>
      </c>
      <c r="M1003" s="15">
        <f t="shared" si="92"/>
        <v>6517.5</v>
      </c>
      <c r="N1003" t="str">
        <f t="shared" si="89"/>
        <v>RJ</v>
      </c>
      <c r="O1003" t="str">
        <f t="shared" si="90"/>
        <v>Rio De Janeiro</v>
      </c>
    </row>
    <row r="1004" spans="1:15" x14ac:dyDescent="0.3">
      <c r="A1004" s="10">
        <v>45809</v>
      </c>
      <c r="B1004" s="9" t="s">
        <v>71</v>
      </c>
      <c r="C1004" t="s">
        <v>175</v>
      </c>
      <c r="D1004" s="9">
        <v>19540</v>
      </c>
      <c r="E1004" s="5" t="s">
        <v>370</v>
      </c>
      <c r="F1004" t="s">
        <v>176</v>
      </c>
      <c r="G1004">
        <v>5156</v>
      </c>
      <c r="H1004">
        <v>1903</v>
      </c>
      <c r="I1004" s="8">
        <f t="shared" si="91"/>
        <v>0.36908456167571763</v>
      </c>
      <c r="J1004" s="17">
        <v>0.7</v>
      </c>
      <c r="K1004" s="12">
        <v>13.75</v>
      </c>
      <c r="L1004" s="2">
        <f t="shared" si="93"/>
        <v>1706.1999999999998</v>
      </c>
      <c r="M1004" s="15">
        <f t="shared" si="92"/>
        <v>23460.249999999996</v>
      </c>
      <c r="N1004" t="str">
        <f t="shared" si="89"/>
        <v>RS</v>
      </c>
      <c r="O1004" t="str">
        <f t="shared" si="90"/>
        <v>Porto Alegre</v>
      </c>
    </row>
    <row r="1005" spans="1:15" x14ac:dyDescent="0.3">
      <c r="A1005" s="10">
        <v>45809</v>
      </c>
      <c r="B1005" s="9" t="s">
        <v>15</v>
      </c>
      <c r="C1005" t="s">
        <v>358</v>
      </c>
      <c r="D1005" s="9">
        <v>19521</v>
      </c>
      <c r="E1005" s="5" t="s">
        <v>371</v>
      </c>
      <c r="F1005" t="s">
        <v>199</v>
      </c>
      <c r="G1005">
        <v>2935</v>
      </c>
      <c r="H1005">
        <v>1426</v>
      </c>
      <c r="I1005" s="8">
        <f t="shared" si="91"/>
        <v>0.4858603066439523</v>
      </c>
      <c r="J1005" s="17">
        <v>0.7</v>
      </c>
      <c r="K1005" s="12">
        <v>13.75</v>
      </c>
      <c r="L1005" s="2">
        <f t="shared" si="93"/>
        <v>628.5</v>
      </c>
      <c r="M1005" s="15">
        <f t="shared" si="92"/>
        <v>8641.875</v>
      </c>
      <c r="N1005" t="str">
        <f t="shared" si="89"/>
        <v>RJ</v>
      </c>
      <c r="O1005" t="str">
        <f t="shared" si="90"/>
        <v>Rio De Janeiro</v>
      </c>
    </row>
    <row r="1006" spans="1:15" x14ac:dyDescent="0.3">
      <c r="A1006" s="10">
        <v>45809</v>
      </c>
      <c r="B1006" s="9" t="s">
        <v>6</v>
      </c>
      <c r="C1006" t="s">
        <v>236</v>
      </c>
      <c r="D1006" s="9">
        <v>19606</v>
      </c>
      <c r="E1006" s="5" t="s">
        <v>372</v>
      </c>
      <c r="F1006" t="s">
        <v>237</v>
      </c>
      <c r="G1006">
        <v>2184</v>
      </c>
      <c r="H1006">
        <v>1180</v>
      </c>
      <c r="I1006" s="8">
        <f t="shared" si="91"/>
        <v>0.54029304029304026</v>
      </c>
      <c r="J1006" s="17">
        <v>0.7</v>
      </c>
      <c r="K1006" s="12">
        <v>13.75</v>
      </c>
      <c r="L1006" s="2">
        <f t="shared" si="93"/>
        <v>348.80000000000018</v>
      </c>
      <c r="M1006" s="15">
        <f t="shared" si="92"/>
        <v>4796.0000000000027</v>
      </c>
      <c r="N1006" t="str">
        <f t="shared" si="89"/>
        <v>PA</v>
      </c>
      <c r="O1006" t="str">
        <f t="shared" si="90"/>
        <v>Santarém</v>
      </c>
    </row>
    <row r="1007" spans="1:15" x14ac:dyDescent="0.3">
      <c r="A1007" s="10">
        <v>45809</v>
      </c>
      <c r="B1007" s="9" t="s">
        <v>61</v>
      </c>
      <c r="C1007" t="s">
        <v>344</v>
      </c>
      <c r="D1007" s="9">
        <v>19706</v>
      </c>
      <c r="E1007" s="5" t="s">
        <v>373</v>
      </c>
      <c r="F1007" t="s">
        <v>77</v>
      </c>
      <c r="G1007">
        <v>2400</v>
      </c>
      <c r="H1007">
        <v>1063</v>
      </c>
      <c r="I1007" s="8">
        <f t="shared" si="91"/>
        <v>0.44291666666666668</v>
      </c>
      <c r="J1007" s="17">
        <v>0.7</v>
      </c>
      <c r="K1007" s="12">
        <v>13.75</v>
      </c>
      <c r="L1007" s="2">
        <f t="shared" si="93"/>
        <v>616.99999999999977</v>
      </c>
      <c r="M1007" s="15">
        <f t="shared" si="92"/>
        <v>8483.7499999999964</v>
      </c>
      <c r="N1007" t="str">
        <f t="shared" si="89"/>
        <v>PB</v>
      </c>
      <c r="O1007" t="str">
        <f t="shared" si="90"/>
        <v>Coronel João Pessoa</v>
      </c>
    </row>
    <row r="1008" spans="1:15" x14ac:dyDescent="0.3">
      <c r="A1008" s="10">
        <v>45809</v>
      </c>
      <c r="B1008" s="9" t="s">
        <v>14</v>
      </c>
      <c r="C1008" t="s">
        <v>285</v>
      </c>
      <c r="D1008" s="9">
        <v>19563</v>
      </c>
      <c r="E1008" s="5" t="s">
        <v>374</v>
      </c>
      <c r="F1008" t="s">
        <v>286</v>
      </c>
      <c r="G1008">
        <v>2875</v>
      </c>
      <c r="H1008">
        <v>1020</v>
      </c>
      <c r="I1008" s="8">
        <f t="shared" si="91"/>
        <v>0.35478260869565215</v>
      </c>
      <c r="J1008" s="17">
        <v>0.7</v>
      </c>
      <c r="K1008" s="12">
        <v>13.75</v>
      </c>
      <c r="L1008" s="2">
        <f t="shared" si="93"/>
        <v>992.50000000000023</v>
      </c>
      <c r="M1008" s="15">
        <f t="shared" si="92"/>
        <v>13646.875000000004</v>
      </c>
      <c r="N1008" t="str">
        <f t="shared" si="89"/>
        <v>MG</v>
      </c>
      <c r="O1008" t="str">
        <f t="shared" si="90"/>
        <v>Uberlândia</v>
      </c>
    </row>
    <row r="1009" spans="1:15" x14ac:dyDescent="0.3">
      <c r="A1009" s="10">
        <v>45809</v>
      </c>
      <c r="B1009" s="9" t="s">
        <v>6</v>
      </c>
      <c r="C1009" t="s">
        <v>26</v>
      </c>
      <c r="D1009" s="9">
        <v>19597</v>
      </c>
      <c r="E1009" s="5" t="s">
        <v>375</v>
      </c>
      <c r="F1009" t="s">
        <v>27</v>
      </c>
      <c r="G1009">
        <v>3039</v>
      </c>
      <c r="H1009">
        <v>1603</v>
      </c>
      <c r="I1009" s="8">
        <f t="shared" si="91"/>
        <v>0.52747614346824612</v>
      </c>
      <c r="J1009" s="17">
        <v>0.7</v>
      </c>
      <c r="K1009" s="12">
        <v>13.75</v>
      </c>
      <c r="L1009" s="2">
        <f t="shared" si="93"/>
        <v>524.29999999999973</v>
      </c>
      <c r="M1009" s="15">
        <f t="shared" si="92"/>
        <v>7209.1249999999964</v>
      </c>
      <c r="N1009" t="str">
        <f t="shared" si="89"/>
        <v>PA</v>
      </c>
      <c r="O1009" t="str">
        <f t="shared" si="90"/>
        <v>Belém</v>
      </c>
    </row>
    <row r="1010" spans="1:15" x14ac:dyDescent="0.3">
      <c r="A1010" s="10">
        <v>45809</v>
      </c>
      <c r="B1010" s="9" t="s">
        <v>15</v>
      </c>
      <c r="C1010" t="s">
        <v>296</v>
      </c>
      <c r="D1010" s="9">
        <v>19524</v>
      </c>
      <c r="E1010" s="5" t="s">
        <v>376</v>
      </c>
      <c r="F1010" t="s">
        <v>297</v>
      </c>
      <c r="G1010">
        <v>2543</v>
      </c>
      <c r="H1010">
        <v>1110</v>
      </c>
      <c r="I1010" s="8">
        <f t="shared" si="91"/>
        <v>0.43649233189146674</v>
      </c>
      <c r="J1010" s="17">
        <v>0.7</v>
      </c>
      <c r="K1010" s="12">
        <v>13.75</v>
      </c>
      <c r="L1010" s="2">
        <f t="shared" si="93"/>
        <v>670.10000000000014</v>
      </c>
      <c r="M1010" s="15">
        <f t="shared" si="92"/>
        <v>9213.8750000000018</v>
      </c>
      <c r="N1010" t="str">
        <f t="shared" si="89"/>
        <v>RJ</v>
      </c>
      <c r="O1010" t="str">
        <f t="shared" si="90"/>
        <v>Volta Redonda</v>
      </c>
    </row>
    <row r="1011" spans="1:15" x14ac:dyDescent="0.3">
      <c r="A1011" s="10">
        <v>45809</v>
      </c>
      <c r="B1011" s="9" t="s">
        <v>15</v>
      </c>
      <c r="C1011" t="s">
        <v>151</v>
      </c>
      <c r="D1011" s="9">
        <v>19599</v>
      </c>
      <c r="E1011" s="5" t="s">
        <v>377</v>
      </c>
      <c r="F1011" t="s">
        <v>152</v>
      </c>
      <c r="G1011">
        <v>2708</v>
      </c>
      <c r="H1011">
        <v>1254</v>
      </c>
      <c r="I1011" s="8">
        <f t="shared" si="91"/>
        <v>0.46307237813884788</v>
      </c>
      <c r="J1011" s="17">
        <v>0.7</v>
      </c>
      <c r="K1011" s="12">
        <v>13.75</v>
      </c>
      <c r="L1011" s="2">
        <f t="shared" si="93"/>
        <v>641.59999999999968</v>
      </c>
      <c r="M1011" s="15">
        <f t="shared" si="92"/>
        <v>8821.9999999999964</v>
      </c>
      <c r="N1011" t="str">
        <f t="shared" si="89"/>
        <v>RJ</v>
      </c>
      <c r="O1011" t="str">
        <f t="shared" si="90"/>
        <v>Nova Iguaçu</v>
      </c>
    </row>
    <row r="1012" spans="1:15" x14ac:dyDescent="0.3">
      <c r="A1012" s="10">
        <v>45809</v>
      </c>
      <c r="B1012" s="9" t="s">
        <v>160</v>
      </c>
      <c r="C1012" t="s">
        <v>279</v>
      </c>
      <c r="D1012" s="9">
        <v>19564</v>
      </c>
      <c r="E1012" s="5" t="s">
        <v>378</v>
      </c>
      <c r="F1012" t="s">
        <v>280</v>
      </c>
      <c r="G1012">
        <v>1526</v>
      </c>
      <c r="H1012">
        <v>715</v>
      </c>
      <c r="I1012" s="8">
        <f t="shared" si="91"/>
        <v>0.46854521625163825</v>
      </c>
      <c r="J1012" s="17">
        <v>0.7</v>
      </c>
      <c r="K1012" s="12">
        <v>13.75</v>
      </c>
      <c r="L1012" s="2">
        <f t="shared" si="93"/>
        <v>353.19999999999982</v>
      </c>
      <c r="M1012" s="15">
        <f t="shared" si="92"/>
        <v>4856.4999999999973</v>
      </c>
      <c r="N1012" t="str">
        <f t="shared" si="89"/>
        <v>PI</v>
      </c>
      <c r="O1012" t="str">
        <f t="shared" si="90"/>
        <v>Teresina</v>
      </c>
    </row>
    <row r="1013" spans="1:15" x14ac:dyDescent="0.3">
      <c r="A1013" s="10">
        <v>45809</v>
      </c>
      <c r="B1013" s="9" t="s">
        <v>15</v>
      </c>
      <c r="C1013" t="s">
        <v>358</v>
      </c>
      <c r="D1013" s="9">
        <v>19536</v>
      </c>
      <c r="E1013" s="5" t="s">
        <v>379</v>
      </c>
      <c r="F1013" t="s">
        <v>200</v>
      </c>
      <c r="G1013">
        <v>2973</v>
      </c>
      <c r="H1013">
        <v>1187</v>
      </c>
      <c r="I1013" s="8">
        <f t="shared" si="91"/>
        <v>0.39926000672721157</v>
      </c>
      <c r="J1013" s="17">
        <v>0.7</v>
      </c>
      <c r="K1013" s="12">
        <v>13.75</v>
      </c>
      <c r="L1013" s="2">
        <f t="shared" si="93"/>
        <v>894.09999999999991</v>
      </c>
      <c r="M1013" s="15">
        <f t="shared" si="92"/>
        <v>12293.874999999998</v>
      </c>
      <c r="N1013" t="str">
        <f t="shared" si="89"/>
        <v>RJ</v>
      </c>
      <c r="O1013" t="str">
        <f t="shared" si="90"/>
        <v>Rio De Janeiro</v>
      </c>
    </row>
    <row r="1014" spans="1:15" x14ac:dyDescent="0.3">
      <c r="A1014" s="10">
        <v>45809</v>
      </c>
      <c r="B1014" s="9" t="s">
        <v>15</v>
      </c>
      <c r="C1014" t="s">
        <v>358</v>
      </c>
      <c r="D1014" s="9">
        <v>19727</v>
      </c>
      <c r="E1014" s="5" t="s">
        <v>380</v>
      </c>
      <c r="F1014" t="s">
        <v>201</v>
      </c>
      <c r="G1014">
        <v>1806</v>
      </c>
      <c r="H1014">
        <v>724</v>
      </c>
      <c r="I1014" s="8">
        <f t="shared" si="91"/>
        <v>0.4008859357696567</v>
      </c>
      <c r="J1014" s="17">
        <v>0.7</v>
      </c>
      <c r="K1014" s="12">
        <v>13.75</v>
      </c>
      <c r="L1014" s="2">
        <f t="shared" si="93"/>
        <v>540.19999999999982</v>
      </c>
      <c r="M1014" s="15">
        <f t="shared" si="92"/>
        <v>7427.7499999999973</v>
      </c>
      <c r="N1014" t="str">
        <f t="shared" si="89"/>
        <v>RJ</v>
      </c>
      <c r="O1014" t="str">
        <f t="shared" si="90"/>
        <v>Rio De Janeiro</v>
      </c>
    </row>
    <row r="1015" spans="1:15" x14ac:dyDescent="0.3">
      <c r="A1015" s="10">
        <v>45809</v>
      </c>
      <c r="B1015" s="9" t="s">
        <v>3</v>
      </c>
      <c r="C1015" t="s">
        <v>248</v>
      </c>
      <c r="D1015" s="9">
        <v>19572</v>
      </c>
      <c r="E1015" s="5" t="s">
        <v>381</v>
      </c>
      <c r="F1015" t="s">
        <v>249</v>
      </c>
      <c r="G1015">
        <v>3862</v>
      </c>
      <c r="H1015">
        <v>1422</v>
      </c>
      <c r="I1015" s="8">
        <f t="shared" si="91"/>
        <v>0.36820300362506475</v>
      </c>
      <c r="J1015" s="17">
        <v>0.7</v>
      </c>
      <c r="K1015" s="12">
        <v>13.75</v>
      </c>
      <c r="L1015" s="2">
        <f t="shared" si="93"/>
        <v>1281.3999999999996</v>
      </c>
      <c r="M1015" s="15">
        <f t="shared" si="92"/>
        <v>17619.249999999996</v>
      </c>
      <c r="N1015" t="str">
        <f t="shared" si="89"/>
        <v>SP</v>
      </c>
      <c r="O1015" t="str">
        <f t="shared" si="90"/>
        <v>São Paulo</v>
      </c>
    </row>
    <row r="1016" spans="1:15" x14ac:dyDescent="0.3">
      <c r="A1016" s="10">
        <v>45809</v>
      </c>
      <c r="B1016" s="9" t="s">
        <v>3</v>
      </c>
      <c r="C1016" t="s">
        <v>167</v>
      </c>
      <c r="D1016" s="9">
        <v>19578</v>
      </c>
      <c r="E1016" s="5" t="s">
        <v>382</v>
      </c>
      <c r="F1016" t="s">
        <v>168</v>
      </c>
      <c r="G1016">
        <v>1966</v>
      </c>
      <c r="H1016">
        <v>744</v>
      </c>
      <c r="I1016" s="8">
        <f t="shared" si="91"/>
        <v>0.37843336724313326</v>
      </c>
      <c r="J1016" s="17">
        <v>0.7</v>
      </c>
      <c r="K1016" s="12">
        <v>13.75</v>
      </c>
      <c r="L1016" s="2">
        <f t="shared" si="93"/>
        <v>632.19999999999982</v>
      </c>
      <c r="M1016" s="15">
        <f t="shared" si="92"/>
        <v>8692.7499999999982</v>
      </c>
      <c r="N1016" t="str">
        <f t="shared" si="89"/>
        <v>SP</v>
      </c>
      <c r="O1016" t="str">
        <f t="shared" si="90"/>
        <v>Perdizes</v>
      </c>
    </row>
    <row r="1017" spans="1:15" x14ac:dyDescent="0.3">
      <c r="A1017" s="10">
        <v>45809</v>
      </c>
      <c r="B1017" s="9" t="s">
        <v>3</v>
      </c>
      <c r="C1017" t="s">
        <v>248</v>
      </c>
      <c r="D1017" s="9">
        <v>19774</v>
      </c>
      <c r="E1017" s="5" t="s">
        <v>383</v>
      </c>
      <c r="F1017" t="s">
        <v>250</v>
      </c>
      <c r="G1017">
        <v>4277</v>
      </c>
      <c r="H1017">
        <v>1415</v>
      </c>
      <c r="I1017" s="8">
        <f t="shared" si="91"/>
        <v>0.33083937339256486</v>
      </c>
      <c r="J1017" s="17">
        <v>0.7</v>
      </c>
      <c r="K1017" s="12">
        <v>13.75</v>
      </c>
      <c r="L1017" s="2">
        <f t="shared" si="93"/>
        <v>1578.8999999999996</v>
      </c>
      <c r="M1017" s="15">
        <f t="shared" si="92"/>
        <v>21709.874999999996</v>
      </c>
      <c r="N1017" t="str">
        <f t="shared" si="89"/>
        <v>SP</v>
      </c>
      <c r="O1017" t="str">
        <f t="shared" si="90"/>
        <v>São Paulo</v>
      </c>
    </row>
    <row r="1018" spans="1:15" x14ac:dyDescent="0.3">
      <c r="A1018" s="10">
        <v>45809</v>
      </c>
      <c r="B1018" s="9" t="s">
        <v>46</v>
      </c>
      <c r="C1018" t="s">
        <v>47</v>
      </c>
      <c r="D1018" s="9">
        <v>19551</v>
      </c>
      <c r="E1018" s="5" t="s">
        <v>384</v>
      </c>
      <c r="F1018" t="s">
        <v>48</v>
      </c>
      <c r="G1018">
        <v>2629</v>
      </c>
      <c r="H1018">
        <v>1082</v>
      </c>
      <c r="I1018" s="8">
        <f t="shared" si="91"/>
        <v>0.41156333206542411</v>
      </c>
      <c r="J1018" s="17">
        <v>0.7</v>
      </c>
      <c r="K1018" s="12">
        <v>13.75</v>
      </c>
      <c r="L1018" s="2">
        <f t="shared" si="93"/>
        <v>758.3</v>
      </c>
      <c r="M1018" s="15">
        <f t="shared" si="92"/>
        <v>10426.625</v>
      </c>
      <c r="N1018" t="str">
        <f t="shared" si="89"/>
        <v>DF</v>
      </c>
      <c r="O1018" t="str">
        <f t="shared" si="90"/>
        <v>Brasília</v>
      </c>
    </row>
    <row r="1019" spans="1:15" x14ac:dyDescent="0.3">
      <c r="A1019" s="10">
        <v>45809</v>
      </c>
      <c r="B1019" s="9" t="s">
        <v>15</v>
      </c>
      <c r="C1019" t="s">
        <v>151</v>
      </c>
      <c r="D1019" s="9">
        <v>19596</v>
      </c>
      <c r="E1019" s="5" t="s">
        <v>385</v>
      </c>
      <c r="F1019" t="s">
        <v>153</v>
      </c>
      <c r="G1019">
        <v>2515</v>
      </c>
      <c r="H1019">
        <v>1015</v>
      </c>
      <c r="I1019" s="8">
        <f t="shared" si="91"/>
        <v>0.40357852882703776</v>
      </c>
      <c r="J1019" s="17">
        <v>0.7</v>
      </c>
      <c r="K1019" s="12">
        <v>13.75</v>
      </c>
      <c r="L1019" s="2">
        <f t="shared" si="93"/>
        <v>745.5</v>
      </c>
      <c r="M1019" s="15">
        <f t="shared" si="92"/>
        <v>10250.625</v>
      </c>
      <c r="N1019" t="str">
        <f t="shared" si="89"/>
        <v>RJ</v>
      </c>
      <c r="O1019" t="str">
        <f t="shared" si="90"/>
        <v>Nova Iguaçu</v>
      </c>
    </row>
    <row r="1020" spans="1:15" x14ac:dyDescent="0.3">
      <c r="A1020" s="10">
        <v>45809</v>
      </c>
      <c r="B1020" s="9" t="s">
        <v>15</v>
      </c>
      <c r="C1020" t="s">
        <v>358</v>
      </c>
      <c r="D1020" s="9">
        <v>19618</v>
      </c>
      <c r="E1020" s="5" t="s">
        <v>386</v>
      </c>
      <c r="F1020" t="s">
        <v>202</v>
      </c>
      <c r="G1020">
        <v>2880</v>
      </c>
      <c r="H1020">
        <v>1106</v>
      </c>
      <c r="I1020" s="8">
        <f t="shared" si="91"/>
        <v>0.3840277777777778</v>
      </c>
      <c r="J1020" s="17">
        <v>0.7</v>
      </c>
      <c r="K1020" s="12">
        <v>13.75</v>
      </c>
      <c r="L1020" s="2">
        <f t="shared" si="93"/>
        <v>909.99999999999977</v>
      </c>
      <c r="M1020" s="15">
        <f t="shared" si="92"/>
        <v>12512.499999999996</v>
      </c>
      <c r="N1020" t="str">
        <f t="shared" si="89"/>
        <v>RJ</v>
      </c>
      <c r="O1020" t="str">
        <f t="shared" si="90"/>
        <v>Rio De Janeiro</v>
      </c>
    </row>
    <row r="1021" spans="1:15" x14ac:dyDescent="0.3">
      <c r="A1021" s="10">
        <v>45809</v>
      </c>
      <c r="B1021" s="9" t="s">
        <v>21</v>
      </c>
      <c r="C1021" t="s">
        <v>22</v>
      </c>
      <c r="D1021" s="9">
        <v>19741</v>
      </c>
      <c r="E1021" s="5" t="s">
        <v>387</v>
      </c>
      <c r="F1021" t="s">
        <v>23</v>
      </c>
      <c r="G1021">
        <v>1680</v>
      </c>
      <c r="H1021">
        <v>883</v>
      </c>
      <c r="I1021" s="8">
        <f t="shared" si="91"/>
        <v>0.52559523809523812</v>
      </c>
      <c r="J1021" s="17">
        <v>0.7</v>
      </c>
      <c r="K1021" s="12">
        <v>13.75</v>
      </c>
      <c r="L1021" s="2">
        <f t="shared" si="93"/>
        <v>292.99999999999977</v>
      </c>
      <c r="M1021" s="15">
        <f t="shared" si="92"/>
        <v>4028.7499999999968</v>
      </c>
      <c r="N1021" t="str">
        <f t="shared" si="89"/>
        <v>BA</v>
      </c>
      <c r="O1021" t="str">
        <f t="shared" si="90"/>
        <v>Barreiras</v>
      </c>
    </row>
    <row r="1022" spans="1:15" x14ac:dyDescent="0.3">
      <c r="A1022" s="10">
        <v>45809</v>
      </c>
      <c r="B1022" s="9" t="s">
        <v>74</v>
      </c>
      <c r="C1022" t="s">
        <v>169</v>
      </c>
      <c r="D1022" s="9">
        <v>19897</v>
      </c>
      <c r="E1022" s="5" t="s">
        <v>388</v>
      </c>
      <c r="F1022" t="s">
        <v>170</v>
      </c>
      <c r="G1022">
        <v>2094</v>
      </c>
      <c r="H1022">
        <v>861</v>
      </c>
      <c r="I1022" s="8">
        <f t="shared" si="91"/>
        <v>0.41117478510028654</v>
      </c>
      <c r="J1022" s="17">
        <v>0.7</v>
      </c>
      <c r="K1022" s="12">
        <v>13.75</v>
      </c>
      <c r="L1022" s="2">
        <f t="shared" si="93"/>
        <v>604.79999999999973</v>
      </c>
      <c r="M1022" s="15">
        <f t="shared" si="92"/>
        <v>8315.9999999999964</v>
      </c>
      <c r="N1022" t="str">
        <f t="shared" si="89"/>
        <v>PE</v>
      </c>
      <c r="O1022" t="str">
        <f t="shared" si="90"/>
        <v>Petrolina</v>
      </c>
    </row>
    <row r="1023" spans="1:15" x14ac:dyDescent="0.3">
      <c r="A1023" s="10">
        <v>45809</v>
      </c>
      <c r="B1023" s="9" t="s">
        <v>61</v>
      </c>
      <c r="C1023" t="s">
        <v>62</v>
      </c>
      <c r="D1023" s="9">
        <v>19633</v>
      </c>
      <c r="E1023" s="5" t="s">
        <v>389</v>
      </c>
      <c r="F1023" t="s">
        <v>63</v>
      </c>
      <c r="G1023">
        <v>2232</v>
      </c>
      <c r="H1023">
        <v>1252</v>
      </c>
      <c r="I1023" s="8">
        <f t="shared" si="91"/>
        <v>0.56093189964157708</v>
      </c>
      <c r="J1023" s="17">
        <v>0.7</v>
      </c>
      <c r="K1023" s="12">
        <v>13.75</v>
      </c>
      <c r="L1023" s="2">
        <f t="shared" si="93"/>
        <v>310.39999999999986</v>
      </c>
      <c r="M1023" s="15">
        <f t="shared" si="92"/>
        <v>4267.9999999999982</v>
      </c>
      <c r="N1023" t="str">
        <f t="shared" si="89"/>
        <v>PB</v>
      </c>
      <c r="O1023" t="str">
        <f t="shared" si="90"/>
        <v>Campina Grande</v>
      </c>
    </row>
    <row r="1024" spans="1:15" x14ac:dyDescent="0.3">
      <c r="A1024" s="10">
        <v>45809</v>
      </c>
      <c r="B1024" s="9" t="s">
        <v>6</v>
      </c>
      <c r="C1024" t="s">
        <v>26</v>
      </c>
      <c r="D1024" s="9">
        <v>19622</v>
      </c>
      <c r="E1024" s="5" t="s">
        <v>390</v>
      </c>
      <c r="F1024" t="s">
        <v>28</v>
      </c>
      <c r="G1024">
        <v>1877</v>
      </c>
      <c r="H1024">
        <v>1053</v>
      </c>
      <c r="I1024" s="8">
        <f t="shared" si="91"/>
        <v>0.56100159829515184</v>
      </c>
      <c r="J1024" s="17">
        <v>0.7</v>
      </c>
      <c r="K1024" s="12">
        <v>13.75</v>
      </c>
      <c r="L1024" s="2">
        <f t="shared" si="93"/>
        <v>260.89999999999986</v>
      </c>
      <c r="M1024" s="15">
        <f t="shared" si="92"/>
        <v>3587.3749999999982</v>
      </c>
      <c r="N1024" t="str">
        <f t="shared" si="89"/>
        <v>PA</v>
      </c>
      <c r="O1024" t="str">
        <f t="shared" si="90"/>
        <v>Belém</v>
      </c>
    </row>
    <row r="1025" spans="1:15" x14ac:dyDescent="0.3">
      <c r="A1025" s="10">
        <v>45809</v>
      </c>
      <c r="B1025" s="9" t="s">
        <v>46</v>
      </c>
      <c r="C1025" t="s">
        <v>47</v>
      </c>
      <c r="D1025" s="9">
        <v>19666</v>
      </c>
      <c r="E1025" s="5" t="s">
        <v>391</v>
      </c>
      <c r="F1025" t="s">
        <v>624</v>
      </c>
      <c r="G1025">
        <v>2429</v>
      </c>
      <c r="H1025">
        <v>744</v>
      </c>
      <c r="I1025" s="8">
        <f t="shared" si="91"/>
        <v>0.30629888843145325</v>
      </c>
      <c r="J1025" s="17">
        <v>0.7</v>
      </c>
      <c r="K1025" s="12">
        <v>13.75</v>
      </c>
      <c r="L1025" s="2">
        <f t="shared" si="93"/>
        <v>956.3</v>
      </c>
      <c r="M1025" s="15">
        <f t="shared" si="92"/>
        <v>13149.125</v>
      </c>
      <c r="N1025" t="str">
        <f t="shared" si="89"/>
        <v>DF</v>
      </c>
      <c r="O1025" t="str">
        <f t="shared" si="90"/>
        <v>Brasília</v>
      </c>
    </row>
    <row r="1026" spans="1:15" x14ac:dyDescent="0.3">
      <c r="A1026" s="10">
        <v>45809</v>
      </c>
      <c r="B1026" s="9" t="s">
        <v>15</v>
      </c>
      <c r="C1026" t="s">
        <v>358</v>
      </c>
      <c r="D1026" s="9">
        <v>19632</v>
      </c>
      <c r="E1026" s="5" t="s">
        <v>392</v>
      </c>
      <c r="F1026" t="s">
        <v>203</v>
      </c>
      <c r="G1026">
        <v>2267</v>
      </c>
      <c r="H1026">
        <v>1075</v>
      </c>
      <c r="I1026" s="8">
        <f t="shared" si="91"/>
        <v>0.47419497132774591</v>
      </c>
      <c r="J1026" s="17">
        <v>0.7</v>
      </c>
      <c r="K1026" s="12">
        <v>13.75</v>
      </c>
      <c r="L1026" s="2">
        <f t="shared" ref="L1026:L1057" si="94">H1026*J1026/I1026-H1026</f>
        <v>511.90000000000009</v>
      </c>
      <c r="M1026" s="15">
        <f t="shared" si="92"/>
        <v>7038.6250000000009</v>
      </c>
      <c r="N1026" t="str">
        <f t="shared" ref="N1026:N1089" si="95">B1026</f>
        <v>RJ</v>
      </c>
      <c r="O1026" t="str">
        <f t="shared" ref="O1026:O1089" si="96">C1026</f>
        <v>Rio De Janeiro</v>
      </c>
    </row>
    <row r="1027" spans="1:15" x14ac:dyDescent="0.3">
      <c r="A1027" s="10">
        <v>45809</v>
      </c>
      <c r="B1027" s="9" t="s">
        <v>46</v>
      </c>
      <c r="C1027" t="s">
        <v>47</v>
      </c>
      <c r="D1027" s="9">
        <v>19552</v>
      </c>
      <c r="E1027" s="5" t="s">
        <v>393</v>
      </c>
      <c r="F1027" t="s">
        <v>50</v>
      </c>
      <c r="G1027">
        <v>3796</v>
      </c>
      <c r="H1027">
        <v>1687</v>
      </c>
      <c r="I1027" s="8">
        <f t="shared" ref="I1027:I1090" si="97">H1027/G1027</f>
        <v>0.44441517386722867</v>
      </c>
      <c r="J1027" s="17">
        <v>0.7</v>
      </c>
      <c r="K1027" s="12">
        <v>13.75</v>
      </c>
      <c r="L1027" s="2">
        <f t="shared" si="94"/>
        <v>970.19999999999982</v>
      </c>
      <c r="M1027" s="15">
        <f t="shared" ref="M1027:M1090" si="98">L1027*K1027</f>
        <v>13340.249999999998</v>
      </c>
      <c r="N1027" t="str">
        <f t="shared" si="95"/>
        <v>DF</v>
      </c>
      <c r="O1027" t="str">
        <f t="shared" si="96"/>
        <v>Brasília</v>
      </c>
    </row>
    <row r="1028" spans="1:15" x14ac:dyDescent="0.3">
      <c r="A1028" s="10">
        <v>45809</v>
      </c>
      <c r="B1028" s="9" t="s">
        <v>15</v>
      </c>
      <c r="C1028" t="s">
        <v>191</v>
      </c>
      <c r="D1028" s="9">
        <v>19636</v>
      </c>
      <c r="E1028" s="5" t="s">
        <v>394</v>
      </c>
      <c r="F1028" t="s">
        <v>192</v>
      </c>
      <c r="G1028">
        <v>2500</v>
      </c>
      <c r="H1028">
        <v>1021</v>
      </c>
      <c r="I1028" s="8">
        <f t="shared" si="97"/>
        <v>0.40839999999999999</v>
      </c>
      <c r="J1028" s="17">
        <v>0.7</v>
      </c>
      <c r="K1028" s="12">
        <v>13.75</v>
      </c>
      <c r="L1028" s="2">
        <f t="shared" si="94"/>
        <v>729</v>
      </c>
      <c r="M1028" s="15">
        <f t="shared" si="98"/>
        <v>10023.75</v>
      </c>
      <c r="N1028" t="str">
        <f t="shared" si="95"/>
        <v>RJ</v>
      </c>
      <c r="O1028" t="str">
        <f t="shared" si="96"/>
        <v>Resende</v>
      </c>
    </row>
    <row r="1029" spans="1:15" x14ac:dyDescent="0.3">
      <c r="A1029" s="10">
        <v>45809</v>
      </c>
      <c r="B1029" s="9" t="s">
        <v>74</v>
      </c>
      <c r="C1029" t="s">
        <v>186</v>
      </c>
      <c r="D1029" s="9">
        <v>19649</v>
      </c>
      <c r="E1029" s="5" t="s">
        <v>395</v>
      </c>
      <c r="F1029" t="s">
        <v>187</v>
      </c>
      <c r="G1029">
        <v>3055</v>
      </c>
      <c r="H1029">
        <v>1272</v>
      </c>
      <c r="I1029" s="8">
        <f t="shared" si="97"/>
        <v>0.41636661211129294</v>
      </c>
      <c r="J1029" s="17">
        <v>0.7</v>
      </c>
      <c r="K1029" s="12">
        <v>13.75</v>
      </c>
      <c r="L1029" s="2">
        <f t="shared" si="94"/>
        <v>866.5</v>
      </c>
      <c r="M1029" s="15">
        <f t="shared" si="98"/>
        <v>11914.375</v>
      </c>
      <c r="N1029" t="str">
        <f t="shared" si="95"/>
        <v>PE</v>
      </c>
      <c r="O1029" t="str">
        <f t="shared" si="96"/>
        <v>Recife</v>
      </c>
    </row>
    <row r="1030" spans="1:15" x14ac:dyDescent="0.3">
      <c r="A1030" s="10">
        <v>45809</v>
      </c>
      <c r="B1030" s="9" t="s">
        <v>74</v>
      </c>
      <c r="C1030" t="s">
        <v>186</v>
      </c>
      <c r="D1030" s="9">
        <v>19601</v>
      </c>
      <c r="E1030" s="5" t="s">
        <v>396</v>
      </c>
      <c r="F1030" t="s">
        <v>188</v>
      </c>
      <c r="G1030">
        <v>2832</v>
      </c>
      <c r="H1030">
        <v>1152</v>
      </c>
      <c r="I1030" s="8">
        <f t="shared" si="97"/>
        <v>0.40677966101694918</v>
      </c>
      <c r="J1030" s="17">
        <v>0.7</v>
      </c>
      <c r="K1030" s="12">
        <v>13.75</v>
      </c>
      <c r="L1030" s="2">
        <f t="shared" si="94"/>
        <v>830.39999999999986</v>
      </c>
      <c r="M1030" s="15">
        <f t="shared" si="98"/>
        <v>11417.999999999998</v>
      </c>
      <c r="N1030" t="str">
        <f t="shared" si="95"/>
        <v>PE</v>
      </c>
      <c r="O1030" t="str">
        <f t="shared" si="96"/>
        <v>Recife</v>
      </c>
    </row>
    <row r="1031" spans="1:15" x14ac:dyDescent="0.3">
      <c r="A1031" s="10">
        <v>45809</v>
      </c>
      <c r="B1031" s="9" t="s">
        <v>74</v>
      </c>
      <c r="C1031" t="s">
        <v>186</v>
      </c>
      <c r="D1031" s="9">
        <v>19565</v>
      </c>
      <c r="E1031" s="5" t="s">
        <v>397</v>
      </c>
      <c r="F1031" t="s">
        <v>189</v>
      </c>
      <c r="G1031">
        <v>2650</v>
      </c>
      <c r="H1031">
        <v>913</v>
      </c>
      <c r="I1031" s="8">
        <f t="shared" si="97"/>
        <v>0.34452830188679245</v>
      </c>
      <c r="J1031" s="17">
        <v>0.7</v>
      </c>
      <c r="K1031" s="12">
        <v>13.75</v>
      </c>
      <c r="L1031" s="2">
        <f t="shared" si="94"/>
        <v>941.99999999999977</v>
      </c>
      <c r="M1031" s="15">
        <f t="shared" si="98"/>
        <v>12952.499999999996</v>
      </c>
      <c r="N1031" t="str">
        <f t="shared" si="95"/>
        <v>PE</v>
      </c>
      <c r="O1031" t="str">
        <f t="shared" si="96"/>
        <v>Recife</v>
      </c>
    </row>
    <row r="1032" spans="1:15" x14ac:dyDescent="0.3">
      <c r="A1032" s="10">
        <v>45809</v>
      </c>
      <c r="B1032" s="9" t="s">
        <v>74</v>
      </c>
      <c r="C1032" t="s">
        <v>186</v>
      </c>
      <c r="D1032" s="9">
        <v>19654</v>
      </c>
      <c r="E1032" s="5" t="s">
        <v>398</v>
      </c>
      <c r="F1032" t="s">
        <v>190</v>
      </c>
      <c r="G1032">
        <v>2301</v>
      </c>
      <c r="H1032">
        <v>829</v>
      </c>
      <c r="I1032" s="8">
        <f t="shared" si="97"/>
        <v>0.36027813993915686</v>
      </c>
      <c r="J1032" s="17">
        <v>0.7</v>
      </c>
      <c r="K1032" s="12">
        <v>13.75</v>
      </c>
      <c r="L1032" s="2">
        <f t="shared" si="94"/>
        <v>781.7</v>
      </c>
      <c r="M1032" s="15">
        <f t="shared" si="98"/>
        <v>10748.375</v>
      </c>
      <c r="N1032" t="str">
        <f t="shared" si="95"/>
        <v>PE</v>
      </c>
      <c r="O1032" t="str">
        <f t="shared" si="96"/>
        <v>Recife</v>
      </c>
    </row>
    <row r="1033" spans="1:15" x14ac:dyDescent="0.3">
      <c r="A1033" s="10">
        <v>45809</v>
      </c>
      <c r="B1033" s="9" t="s">
        <v>74</v>
      </c>
      <c r="C1033" t="s">
        <v>350</v>
      </c>
      <c r="D1033" s="9">
        <v>19624</v>
      </c>
      <c r="E1033" s="5" t="s">
        <v>399</v>
      </c>
      <c r="F1033" t="s">
        <v>116</v>
      </c>
      <c r="G1033">
        <v>1629</v>
      </c>
      <c r="H1033">
        <v>647</v>
      </c>
      <c r="I1033" s="8">
        <f t="shared" si="97"/>
        <v>0.39717618170656843</v>
      </c>
      <c r="J1033" s="17">
        <v>0.7</v>
      </c>
      <c r="K1033" s="12">
        <v>13.75</v>
      </c>
      <c r="L1033" s="2">
        <f t="shared" si="94"/>
        <v>493.29999999999995</v>
      </c>
      <c r="M1033" s="15">
        <f t="shared" si="98"/>
        <v>6782.8749999999991</v>
      </c>
      <c r="N1033" t="str">
        <f t="shared" si="95"/>
        <v>PE</v>
      </c>
      <c r="O1033" t="str">
        <f t="shared" si="96"/>
        <v>Jaboatão Dos Guararapes</v>
      </c>
    </row>
    <row r="1034" spans="1:15" x14ac:dyDescent="0.3">
      <c r="A1034" s="10">
        <v>45809</v>
      </c>
      <c r="B1034" s="9" t="s">
        <v>15</v>
      </c>
      <c r="C1034" t="s">
        <v>143</v>
      </c>
      <c r="D1034" s="9">
        <v>19648</v>
      </c>
      <c r="E1034" s="5" t="s">
        <v>400</v>
      </c>
      <c r="F1034" t="s">
        <v>144</v>
      </c>
      <c r="G1034">
        <v>1987</v>
      </c>
      <c r="H1034">
        <v>547</v>
      </c>
      <c r="I1034" s="8">
        <f t="shared" si="97"/>
        <v>0.27528938097634625</v>
      </c>
      <c r="J1034" s="17">
        <v>0.7</v>
      </c>
      <c r="K1034" s="12">
        <v>13.75</v>
      </c>
      <c r="L1034" s="2">
        <f t="shared" si="94"/>
        <v>843.89999999999986</v>
      </c>
      <c r="M1034" s="15">
        <f t="shared" si="98"/>
        <v>11603.624999999998</v>
      </c>
      <c r="N1034" t="str">
        <f t="shared" si="95"/>
        <v>RJ</v>
      </c>
      <c r="O1034" t="str">
        <f t="shared" si="96"/>
        <v>Nilópolis</v>
      </c>
    </row>
    <row r="1035" spans="1:15" x14ac:dyDescent="0.3">
      <c r="A1035" s="10">
        <v>45809</v>
      </c>
      <c r="B1035" s="9" t="s">
        <v>15</v>
      </c>
      <c r="C1035" t="s">
        <v>57</v>
      </c>
      <c r="D1035" s="9">
        <v>19657</v>
      </c>
      <c r="E1035" s="5" t="s">
        <v>401</v>
      </c>
      <c r="F1035" t="s">
        <v>58</v>
      </c>
      <c r="G1035">
        <v>1568</v>
      </c>
      <c r="H1035">
        <v>743</v>
      </c>
      <c r="I1035" s="8">
        <f t="shared" si="97"/>
        <v>0.47385204081632654</v>
      </c>
      <c r="J1035" s="17">
        <v>0.7</v>
      </c>
      <c r="K1035" s="12">
        <v>13.75</v>
      </c>
      <c r="L1035" s="2">
        <f t="shared" si="94"/>
        <v>354.60000000000014</v>
      </c>
      <c r="M1035" s="15">
        <f t="shared" si="98"/>
        <v>4875.7500000000018</v>
      </c>
      <c r="N1035" t="str">
        <f t="shared" si="95"/>
        <v>RJ</v>
      </c>
      <c r="O1035" t="str">
        <f t="shared" si="96"/>
        <v>Cabo Frio</v>
      </c>
    </row>
    <row r="1036" spans="1:15" x14ac:dyDescent="0.3">
      <c r="A1036" s="10">
        <v>45809</v>
      </c>
      <c r="B1036" s="9" t="s">
        <v>74</v>
      </c>
      <c r="C1036" t="s">
        <v>186</v>
      </c>
      <c r="D1036" s="9">
        <v>19658</v>
      </c>
      <c r="E1036" s="5" t="s">
        <v>402</v>
      </c>
      <c r="F1036" t="s">
        <v>357</v>
      </c>
      <c r="G1036">
        <v>119</v>
      </c>
      <c r="H1036">
        <v>58</v>
      </c>
      <c r="I1036" s="8">
        <f t="shared" si="97"/>
        <v>0.48739495798319327</v>
      </c>
      <c r="J1036" s="17">
        <v>0.7</v>
      </c>
      <c r="K1036" s="12">
        <v>13.75</v>
      </c>
      <c r="L1036" s="2">
        <f t="shared" si="94"/>
        <v>25.299999999999997</v>
      </c>
      <c r="M1036" s="15">
        <f t="shared" si="98"/>
        <v>347.87499999999994</v>
      </c>
      <c r="N1036" t="str">
        <f t="shared" si="95"/>
        <v>PE</v>
      </c>
      <c r="O1036" t="str">
        <f t="shared" si="96"/>
        <v>Recife</v>
      </c>
    </row>
    <row r="1037" spans="1:15" x14ac:dyDescent="0.3">
      <c r="A1037" s="10">
        <v>45809</v>
      </c>
      <c r="B1037" s="9" t="s">
        <v>82</v>
      </c>
      <c r="C1037" t="s">
        <v>119</v>
      </c>
      <c r="D1037" s="9">
        <v>19661</v>
      </c>
      <c r="E1037" s="5" t="s">
        <v>403</v>
      </c>
      <c r="F1037" t="s">
        <v>120</v>
      </c>
      <c r="G1037">
        <v>3458</v>
      </c>
      <c r="H1037">
        <v>1186</v>
      </c>
      <c r="I1037" s="8">
        <f t="shared" si="97"/>
        <v>0.34297281665702717</v>
      </c>
      <c r="J1037" s="17">
        <v>0.7</v>
      </c>
      <c r="K1037" s="12">
        <v>13.75</v>
      </c>
      <c r="L1037" s="2">
        <f t="shared" si="94"/>
        <v>1234.5999999999999</v>
      </c>
      <c r="M1037" s="15">
        <f t="shared" si="98"/>
        <v>16975.75</v>
      </c>
      <c r="N1037" t="str">
        <f t="shared" si="95"/>
        <v>PR</v>
      </c>
      <c r="O1037" t="str">
        <f t="shared" si="96"/>
        <v>Londrina</v>
      </c>
    </row>
    <row r="1038" spans="1:15" x14ac:dyDescent="0.3">
      <c r="A1038" s="10">
        <v>45809</v>
      </c>
      <c r="B1038" s="9" t="s">
        <v>183</v>
      </c>
      <c r="C1038" t="s">
        <v>184</v>
      </c>
      <c r="D1038" s="9">
        <v>19752</v>
      </c>
      <c r="E1038" s="5" t="s">
        <v>404</v>
      </c>
      <c r="F1038" t="s">
        <v>185</v>
      </c>
      <c r="G1038">
        <v>1202</v>
      </c>
      <c r="H1038">
        <v>693</v>
      </c>
      <c r="I1038" s="8">
        <f t="shared" si="97"/>
        <v>0.5765391014975042</v>
      </c>
      <c r="J1038" s="17">
        <v>0.7</v>
      </c>
      <c r="K1038" s="12">
        <v>13.75</v>
      </c>
      <c r="L1038" s="2">
        <f t="shared" si="94"/>
        <v>148.39999999999986</v>
      </c>
      <c r="M1038" s="15">
        <f t="shared" si="98"/>
        <v>2040.4999999999982</v>
      </c>
      <c r="N1038" t="str">
        <f t="shared" si="95"/>
        <v>RO</v>
      </c>
      <c r="O1038" t="str">
        <f t="shared" si="96"/>
        <v>Porto Velho</v>
      </c>
    </row>
    <row r="1039" spans="1:15" x14ac:dyDescent="0.3">
      <c r="A1039" s="10">
        <v>45809</v>
      </c>
      <c r="B1039" s="9" t="s">
        <v>15</v>
      </c>
      <c r="C1039" t="s">
        <v>281</v>
      </c>
      <c r="D1039" s="9">
        <v>19671</v>
      </c>
      <c r="E1039" s="5" t="s">
        <v>405</v>
      </c>
      <c r="F1039" t="s">
        <v>282</v>
      </c>
      <c r="G1039">
        <v>2331</v>
      </c>
      <c r="H1039">
        <v>1011</v>
      </c>
      <c r="I1039" s="8">
        <f t="shared" si="97"/>
        <v>0.43371943371943372</v>
      </c>
      <c r="J1039" s="17">
        <v>0.7</v>
      </c>
      <c r="K1039" s="12">
        <v>13.75</v>
      </c>
      <c r="L1039" s="2">
        <f t="shared" si="94"/>
        <v>620.69999999999982</v>
      </c>
      <c r="M1039" s="15">
        <f t="shared" si="98"/>
        <v>8534.6249999999982</v>
      </c>
      <c r="N1039" t="str">
        <f t="shared" si="95"/>
        <v>RJ</v>
      </c>
      <c r="O1039" t="str">
        <f t="shared" si="96"/>
        <v>Teresópolis</v>
      </c>
    </row>
    <row r="1040" spans="1:15" x14ac:dyDescent="0.3">
      <c r="A1040" s="10">
        <v>45809</v>
      </c>
      <c r="B1040" s="9" t="s">
        <v>3</v>
      </c>
      <c r="C1040" t="s">
        <v>248</v>
      </c>
      <c r="D1040" s="9">
        <v>19674</v>
      </c>
      <c r="E1040" s="5" t="s">
        <v>406</v>
      </c>
      <c r="F1040" t="s">
        <v>251</v>
      </c>
      <c r="G1040">
        <v>2437</v>
      </c>
      <c r="H1040">
        <v>985</v>
      </c>
      <c r="I1040" s="8">
        <f t="shared" si="97"/>
        <v>0.40418547394337301</v>
      </c>
      <c r="J1040" s="17">
        <v>0.7</v>
      </c>
      <c r="K1040" s="12">
        <v>13.75</v>
      </c>
      <c r="L1040" s="2">
        <f t="shared" si="94"/>
        <v>720.89999999999986</v>
      </c>
      <c r="M1040" s="15">
        <f t="shared" si="98"/>
        <v>9912.3749999999982</v>
      </c>
      <c r="N1040" t="str">
        <f t="shared" si="95"/>
        <v>SP</v>
      </c>
      <c r="O1040" t="str">
        <f t="shared" si="96"/>
        <v>São Paulo</v>
      </c>
    </row>
    <row r="1041" spans="1:15" x14ac:dyDescent="0.3">
      <c r="A1041" s="10">
        <v>45809</v>
      </c>
      <c r="B1041" s="9" t="s">
        <v>3</v>
      </c>
      <c r="C1041" t="s">
        <v>248</v>
      </c>
      <c r="D1041" s="9">
        <v>19756</v>
      </c>
      <c r="E1041" s="5" t="s">
        <v>407</v>
      </c>
      <c r="F1041" t="s">
        <v>252</v>
      </c>
      <c r="G1041">
        <v>1984</v>
      </c>
      <c r="H1041">
        <v>794</v>
      </c>
      <c r="I1041" s="8">
        <f t="shared" si="97"/>
        <v>0.40020161290322581</v>
      </c>
      <c r="J1041" s="17">
        <v>0.7</v>
      </c>
      <c r="K1041" s="12">
        <v>13.75</v>
      </c>
      <c r="L1041" s="2">
        <f t="shared" si="94"/>
        <v>594.79999999999995</v>
      </c>
      <c r="M1041" s="15">
        <f t="shared" si="98"/>
        <v>8178.4999999999991</v>
      </c>
      <c r="N1041" t="str">
        <f t="shared" si="95"/>
        <v>SP</v>
      </c>
      <c r="O1041" t="str">
        <f t="shared" si="96"/>
        <v>São Paulo</v>
      </c>
    </row>
    <row r="1042" spans="1:15" x14ac:dyDescent="0.3">
      <c r="A1042" s="10">
        <v>45809</v>
      </c>
      <c r="B1042" s="9" t="s">
        <v>3</v>
      </c>
      <c r="C1042" t="s">
        <v>248</v>
      </c>
      <c r="D1042" s="9">
        <v>19579</v>
      </c>
      <c r="E1042" s="5" t="s">
        <v>409</v>
      </c>
      <c r="F1042" t="s">
        <v>254</v>
      </c>
      <c r="G1042">
        <v>2147</v>
      </c>
      <c r="H1042">
        <v>712</v>
      </c>
      <c r="I1042" s="8">
        <f t="shared" si="97"/>
        <v>0.33162552398695855</v>
      </c>
      <c r="J1042" s="17">
        <v>0.7</v>
      </c>
      <c r="K1042" s="12">
        <v>13.75</v>
      </c>
      <c r="L1042" s="2">
        <f t="shared" si="94"/>
        <v>790.89999999999986</v>
      </c>
      <c r="M1042" s="15">
        <f t="shared" si="98"/>
        <v>10874.874999999998</v>
      </c>
      <c r="N1042" t="str">
        <f t="shared" si="95"/>
        <v>SP</v>
      </c>
      <c r="O1042" t="str">
        <f t="shared" si="96"/>
        <v>São Paulo</v>
      </c>
    </row>
    <row r="1043" spans="1:15" x14ac:dyDescent="0.3">
      <c r="A1043" s="10">
        <v>45809</v>
      </c>
      <c r="B1043" s="9" t="s">
        <v>126</v>
      </c>
      <c r="C1043" t="s">
        <v>127</v>
      </c>
      <c r="D1043" s="9">
        <v>19623</v>
      </c>
      <c r="E1043" s="5" t="s">
        <v>410</v>
      </c>
      <c r="F1043" t="s">
        <v>128</v>
      </c>
      <c r="G1043">
        <v>1610</v>
      </c>
      <c r="H1043">
        <v>778</v>
      </c>
      <c r="I1043" s="8">
        <f t="shared" si="97"/>
        <v>0.48322981366459627</v>
      </c>
      <c r="J1043" s="17">
        <v>0.7</v>
      </c>
      <c r="K1043" s="12">
        <v>13.75</v>
      </c>
      <c r="L1043" s="2">
        <f t="shared" si="94"/>
        <v>348.99999999999977</v>
      </c>
      <c r="M1043" s="15">
        <f t="shared" si="98"/>
        <v>4798.7499999999973</v>
      </c>
      <c r="N1043" t="str">
        <f t="shared" si="95"/>
        <v>AL</v>
      </c>
      <c r="O1043" t="str">
        <f t="shared" si="96"/>
        <v>Maceió</v>
      </c>
    </row>
    <row r="1044" spans="1:15" x14ac:dyDescent="0.3">
      <c r="A1044" s="10">
        <v>45809</v>
      </c>
      <c r="B1044" s="9" t="s">
        <v>46</v>
      </c>
      <c r="C1044" t="s">
        <v>47</v>
      </c>
      <c r="D1044" s="9">
        <v>19693</v>
      </c>
      <c r="E1044" s="5" t="s">
        <v>411</v>
      </c>
      <c r="F1044" t="s">
        <v>51</v>
      </c>
      <c r="G1044">
        <v>2829</v>
      </c>
      <c r="H1044">
        <v>724</v>
      </c>
      <c r="I1044" s="8">
        <f t="shared" si="97"/>
        <v>0.25592082007776601</v>
      </c>
      <c r="J1044" s="17">
        <v>0.7</v>
      </c>
      <c r="K1044" s="12">
        <v>13.75</v>
      </c>
      <c r="L1044" s="2">
        <f t="shared" si="94"/>
        <v>1256.2999999999997</v>
      </c>
      <c r="M1044" s="15">
        <f t="shared" si="98"/>
        <v>17274.124999999996</v>
      </c>
      <c r="N1044" t="str">
        <f t="shared" si="95"/>
        <v>DF</v>
      </c>
      <c r="O1044" t="str">
        <f t="shared" si="96"/>
        <v>Brasília</v>
      </c>
    </row>
    <row r="1045" spans="1:15" x14ac:dyDescent="0.3">
      <c r="A1045" s="10">
        <v>45809</v>
      </c>
      <c r="B1045" s="9" t="s">
        <v>78</v>
      </c>
      <c r="C1045" t="s">
        <v>79</v>
      </c>
      <c r="D1045" s="9">
        <v>19730</v>
      </c>
      <c r="E1045" s="5" t="s">
        <v>413</v>
      </c>
      <c r="F1045" t="s">
        <v>80</v>
      </c>
      <c r="G1045">
        <v>3046</v>
      </c>
      <c r="H1045">
        <v>994</v>
      </c>
      <c r="I1045" s="8">
        <f t="shared" si="97"/>
        <v>0.32632961260669729</v>
      </c>
      <c r="J1045" s="17">
        <v>0.7</v>
      </c>
      <c r="K1045" s="12">
        <v>13.75</v>
      </c>
      <c r="L1045" s="2">
        <f t="shared" si="94"/>
        <v>1138.1999999999998</v>
      </c>
      <c r="M1045" s="15">
        <f t="shared" si="98"/>
        <v>15650.249999999998</v>
      </c>
      <c r="N1045" t="str">
        <f t="shared" si="95"/>
        <v>MT</v>
      </c>
      <c r="O1045" t="str">
        <f t="shared" si="96"/>
        <v>Cuiabá</v>
      </c>
    </row>
    <row r="1046" spans="1:15" x14ac:dyDescent="0.3">
      <c r="A1046" s="10">
        <v>45809</v>
      </c>
      <c r="B1046" s="9" t="s">
        <v>78</v>
      </c>
      <c r="C1046" t="s">
        <v>79</v>
      </c>
      <c r="D1046" s="9">
        <v>19794</v>
      </c>
      <c r="E1046" s="5" t="s">
        <v>414</v>
      </c>
      <c r="F1046" t="s">
        <v>81</v>
      </c>
      <c r="G1046">
        <v>2855</v>
      </c>
      <c r="H1046">
        <v>1215</v>
      </c>
      <c r="I1046" s="8">
        <f t="shared" si="97"/>
        <v>0.42556917688266199</v>
      </c>
      <c r="J1046" s="17">
        <v>0.7</v>
      </c>
      <c r="K1046" s="12">
        <v>13.75</v>
      </c>
      <c r="L1046" s="2">
        <f t="shared" si="94"/>
        <v>783.5</v>
      </c>
      <c r="M1046" s="15">
        <f t="shared" si="98"/>
        <v>10773.125</v>
      </c>
      <c r="N1046" t="str">
        <f t="shared" si="95"/>
        <v>MT</v>
      </c>
      <c r="O1046" t="str">
        <f t="shared" si="96"/>
        <v>Cuiabá</v>
      </c>
    </row>
    <row r="1047" spans="1:15" x14ac:dyDescent="0.3">
      <c r="A1047" s="10">
        <v>45809</v>
      </c>
      <c r="B1047" s="9" t="s">
        <v>7</v>
      </c>
      <c r="C1047" t="s">
        <v>99</v>
      </c>
      <c r="D1047" s="9">
        <v>19691</v>
      </c>
      <c r="E1047" s="5" t="s">
        <v>415</v>
      </c>
      <c r="F1047" t="s">
        <v>100</v>
      </c>
      <c r="G1047">
        <v>2794</v>
      </c>
      <c r="H1047">
        <v>1291</v>
      </c>
      <c r="I1047" s="8">
        <f t="shared" si="97"/>
        <v>0.46206156048675734</v>
      </c>
      <c r="J1047" s="17">
        <v>0.7</v>
      </c>
      <c r="K1047" s="12">
        <v>13.75</v>
      </c>
      <c r="L1047" s="2">
        <f t="shared" si="94"/>
        <v>664.8</v>
      </c>
      <c r="M1047" s="15">
        <f t="shared" si="98"/>
        <v>9141</v>
      </c>
      <c r="N1047" t="str">
        <f t="shared" si="95"/>
        <v>GO</v>
      </c>
      <c r="O1047" t="str">
        <f t="shared" si="96"/>
        <v>Goiânia</v>
      </c>
    </row>
    <row r="1048" spans="1:15" x14ac:dyDescent="0.3">
      <c r="A1048" s="10">
        <v>45809</v>
      </c>
      <c r="B1048" s="9" t="s">
        <v>15</v>
      </c>
      <c r="C1048" t="s">
        <v>358</v>
      </c>
      <c r="D1048" s="9">
        <v>19505</v>
      </c>
      <c r="E1048" s="5" t="s">
        <v>416</v>
      </c>
      <c r="F1048" t="s">
        <v>204</v>
      </c>
      <c r="G1048">
        <v>2413</v>
      </c>
      <c r="H1048">
        <v>893</v>
      </c>
      <c r="I1048" s="8">
        <f t="shared" si="97"/>
        <v>0.37007874015748032</v>
      </c>
      <c r="J1048" s="17">
        <v>0.7</v>
      </c>
      <c r="K1048" s="12">
        <v>13.75</v>
      </c>
      <c r="L1048" s="2">
        <f t="shared" si="94"/>
        <v>796.09999999999968</v>
      </c>
      <c r="M1048" s="15">
        <f t="shared" si="98"/>
        <v>10946.374999999996</v>
      </c>
      <c r="N1048" t="str">
        <f t="shared" si="95"/>
        <v>RJ</v>
      </c>
      <c r="O1048" t="str">
        <f t="shared" si="96"/>
        <v>Rio De Janeiro</v>
      </c>
    </row>
    <row r="1049" spans="1:15" x14ac:dyDescent="0.3">
      <c r="A1049" s="10">
        <v>45809</v>
      </c>
      <c r="B1049" s="9" t="s">
        <v>15</v>
      </c>
      <c r="C1049" t="s">
        <v>358</v>
      </c>
      <c r="D1049" s="9">
        <v>19515</v>
      </c>
      <c r="E1049" s="5" t="s">
        <v>417</v>
      </c>
      <c r="F1049" t="s">
        <v>205</v>
      </c>
      <c r="G1049">
        <v>3535</v>
      </c>
      <c r="H1049">
        <v>1441</v>
      </c>
      <c r="I1049" s="8">
        <f t="shared" si="97"/>
        <v>0.40763790664780764</v>
      </c>
      <c r="J1049" s="17">
        <v>0.7</v>
      </c>
      <c r="K1049" s="12">
        <v>13.75</v>
      </c>
      <c r="L1049" s="2">
        <f t="shared" si="94"/>
        <v>1033.5</v>
      </c>
      <c r="M1049" s="15">
        <f t="shared" si="98"/>
        <v>14210.625</v>
      </c>
      <c r="N1049" t="str">
        <f t="shared" si="95"/>
        <v>RJ</v>
      </c>
      <c r="O1049" t="str">
        <f t="shared" si="96"/>
        <v>Rio De Janeiro</v>
      </c>
    </row>
    <row r="1050" spans="1:15" x14ac:dyDescent="0.3">
      <c r="A1050" s="10">
        <v>45809</v>
      </c>
      <c r="B1050" s="9" t="s">
        <v>15</v>
      </c>
      <c r="C1050" t="s">
        <v>358</v>
      </c>
      <c r="D1050" s="9">
        <v>19519</v>
      </c>
      <c r="E1050" s="5" t="s">
        <v>418</v>
      </c>
      <c r="F1050" t="s">
        <v>206</v>
      </c>
      <c r="G1050">
        <v>5246</v>
      </c>
      <c r="H1050">
        <v>1887</v>
      </c>
      <c r="I1050" s="8">
        <f t="shared" si="97"/>
        <v>0.3597026305756767</v>
      </c>
      <c r="J1050" s="17">
        <v>0.7</v>
      </c>
      <c r="K1050" s="12">
        <v>13.75</v>
      </c>
      <c r="L1050" s="2">
        <f t="shared" si="94"/>
        <v>1785.1999999999998</v>
      </c>
      <c r="M1050" s="15">
        <f t="shared" si="98"/>
        <v>24546.499999999996</v>
      </c>
      <c r="N1050" t="str">
        <f t="shared" si="95"/>
        <v>RJ</v>
      </c>
      <c r="O1050" t="str">
        <f t="shared" si="96"/>
        <v>Rio De Janeiro</v>
      </c>
    </row>
    <row r="1051" spans="1:15" x14ac:dyDescent="0.3">
      <c r="A1051" s="10">
        <v>45809</v>
      </c>
      <c r="B1051" s="9" t="s">
        <v>15</v>
      </c>
      <c r="C1051" t="s">
        <v>358</v>
      </c>
      <c r="D1051" s="9">
        <v>19518</v>
      </c>
      <c r="E1051" s="5" t="s">
        <v>419</v>
      </c>
      <c r="F1051" t="s">
        <v>207</v>
      </c>
      <c r="G1051">
        <v>3871</v>
      </c>
      <c r="H1051">
        <v>1701</v>
      </c>
      <c r="I1051" s="8">
        <f t="shared" si="97"/>
        <v>0.43942133815551537</v>
      </c>
      <c r="J1051" s="17">
        <v>0.7</v>
      </c>
      <c r="K1051" s="12">
        <v>13.75</v>
      </c>
      <c r="L1051" s="2">
        <f t="shared" si="94"/>
        <v>1008.6999999999994</v>
      </c>
      <c r="M1051" s="15">
        <f t="shared" si="98"/>
        <v>13869.624999999991</v>
      </c>
      <c r="N1051" t="str">
        <f t="shared" si="95"/>
        <v>RJ</v>
      </c>
      <c r="O1051" t="str">
        <f t="shared" si="96"/>
        <v>Rio De Janeiro</v>
      </c>
    </row>
    <row r="1052" spans="1:15" x14ac:dyDescent="0.3">
      <c r="A1052" s="10">
        <v>45809</v>
      </c>
      <c r="B1052" s="9" t="s">
        <v>15</v>
      </c>
      <c r="C1052" t="s">
        <v>358</v>
      </c>
      <c r="D1052" s="9">
        <v>19507</v>
      </c>
      <c r="E1052" s="5" t="s">
        <v>420</v>
      </c>
      <c r="F1052" t="s">
        <v>208</v>
      </c>
      <c r="G1052">
        <v>3349</v>
      </c>
      <c r="H1052">
        <v>1205</v>
      </c>
      <c r="I1052" s="8">
        <f t="shared" si="97"/>
        <v>0.35980889817856077</v>
      </c>
      <c r="J1052" s="17">
        <v>0.7</v>
      </c>
      <c r="K1052" s="12">
        <v>13.75</v>
      </c>
      <c r="L1052" s="2">
        <f t="shared" si="94"/>
        <v>1139.3000000000002</v>
      </c>
      <c r="M1052" s="15">
        <f t="shared" si="98"/>
        <v>15665.375000000002</v>
      </c>
      <c r="N1052" t="str">
        <f t="shared" si="95"/>
        <v>RJ</v>
      </c>
      <c r="O1052" t="str">
        <f t="shared" si="96"/>
        <v>Rio De Janeiro</v>
      </c>
    </row>
    <row r="1053" spans="1:15" x14ac:dyDescent="0.3">
      <c r="A1053" s="10">
        <v>45809</v>
      </c>
      <c r="B1053" s="9" t="s">
        <v>15</v>
      </c>
      <c r="C1053" t="s">
        <v>358</v>
      </c>
      <c r="D1053" s="9">
        <v>19714</v>
      </c>
      <c r="E1053" s="5" t="s">
        <v>421</v>
      </c>
      <c r="F1053" t="s">
        <v>209</v>
      </c>
      <c r="G1053">
        <v>2693</v>
      </c>
      <c r="H1053">
        <v>1025</v>
      </c>
      <c r="I1053" s="8">
        <f t="shared" si="97"/>
        <v>0.3806164129223914</v>
      </c>
      <c r="J1053" s="17">
        <v>0.7</v>
      </c>
      <c r="K1053" s="12">
        <v>13.75</v>
      </c>
      <c r="L1053" s="2">
        <f t="shared" si="94"/>
        <v>860.09999999999991</v>
      </c>
      <c r="M1053" s="15">
        <f t="shared" si="98"/>
        <v>11826.374999999998</v>
      </c>
      <c r="N1053" t="str">
        <f t="shared" si="95"/>
        <v>RJ</v>
      </c>
      <c r="O1053" t="str">
        <f t="shared" si="96"/>
        <v>Rio De Janeiro</v>
      </c>
    </row>
    <row r="1054" spans="1:15" x14ac:dyDescent="0.3">
      <c r="A1054" s="10">
        <v>45809</v>
      </c>
      <c r="B1054" s="9" t="s">
        <v>3</v>
      </c>
      <c r="C1054" t="s">
        <v>248</v>
      </c>
      <c r="D1054" s="9">
        <v>19804</v>
      </c>
      <c r="E1054" s="5" t="s">
        <v>422</v>
      </c>
      <c r="F1054" t="s">
        <v>255</v>
      </c>
      <c r="G1054">
        <v>1509</v>
      </c>
      <c r="H1054">
        <v>601</v>
      </c>
      <c r="I1054" s="8">
        <f t="shared" si="97"/>
        <v>0.39827700463883364</v>
      </c>
      <c r="J1054" s="17">
        <v>0.7</v>
      </c>
      <c r="K1054" s="12">
        <v>13.75</v>
      </c>
      <c r="L1054" s="2">
        <f t="shared" si="94"/>
        <v>455.29999999999995</v>
      </c>
      <c r="M1054" s="15">
        <f t="shared" si="98"/>
        <v>6260.3749999999991</v>
      </c>
      <c r="N1054" t="str">
        <f t="shared" si="95"/>
        <v>SP</v>
      </c>
      <c r="O1054" t="str">
        <f t="shared" si="96"/>
        <v>São Paulo</v>
      </c>
    </row>
    <row r="1055" spans="1:15" x14ac:dyDescent="0.3">
      <c r="A1055" s="10">
        <v>45809</v>
      </c>
      <c r="B1055" s="9" t="s">
        <v>3</v>
      </c>
      <c r="C1055" t="s">
        <v>363</v>
      </c>
      <c r="D1055" s="9">
        <v>19808</v>
      </c>
      <c r="E1055" s="5" t="s">
        <v>423</v>
      </c>
      <c r="F1055" t="s">
        <v>243</v>
      </c>
      <c r="G1055">
        <v>1531</v>
      </c>
      <c r="H1055">
        <v>432</v>
      </c>
      <c r="I1055" s="8">
        <f t="shared" si="97"/>
        <v>0.28216851730894837</v>
      </c>
      <c r="J1055" s="17">
        <v>0.7</v>
      </c>
      <c r="K1055" s="12">
        <v>13.75</v>
      </c>
      <c r="L1055" s="2">
        <f t="shared" si="94"/>
        <v>639.70000000000005</v>
      </c>
      <c r="M1055" s="15">
        <f t="shared" si="98"/>
        <v>8795.875</v>
      </c>
      <c r="N1055" t="str">
        <f t="shared" si="95"/>
        <v>SP</v>
      </c>
      <c r="O1055" t="str">
        <f t="shared" si="96"/>
        <v>São Caetano Do Sul</v>
      </c>
    </row>
    <row r="1056" spans="1:15" x14ac:dyDescent="0.3">
      <c r="A1056" s="10">
        <v>45809</v>
      </c>
      <c r="B1056" s="9" t="s">
        <v>3</v>
      </c>
      <c r="C1056" t="s">
        <v>24</v>
      </c>
      <c r="D1056" s="9">
        <v>19805</v>
      </c>
      <c r="E1056" s="5" t="s">
        <v>424</v>
      </c>
      <c r="F1056" t="s">
        <v>25</v>
      </c>
      <c r="G1056">
        <v>1629</v>
      </c>
      <c r="H1056">
        <v>755</v>
      </c>
      <c r="I1056" s="8">
        <f t="shared" si="97"/>
        <v>0.46347452424800489</v>
      </c>
      <c r="J1056" s="17">
        <v>0.7</v>
      </c>
      <c r="K1056" s="12">
        <v>13.75</v>
      </c>
      <c r="L1056" s="2">
        <f t="shared" si="94"/>
        <v>385.29999999999995</v>
      </c>
      <c r="M1056" s="15">
        <f t="shared" si="98"/>
        <v>5297.8749999999991</v>
      </c>
      <c r="N1056" t="str">
        <f t="shared" si="95"/>
        <v>SP</v>
      </c>
      <c r="O1056" t="str">
        <f t="shared" si="96"/>
        <v>Barueri</v>
      </c>
    </row>
    <row r="1057" spans="1:15" x14ac:dyDescent="0.3">
      <c r="A1057" s="10">
        <v>45809</v>
      </c>
      <c r="B1057" s="9" t="s">
        <v>3</v>
      </c>
      <c r="C1057" t="s">
        <v>248</v>
      </c>
      <c r="D1057" s="9">
        <v>19821</v>
      </c>
      <c r="E1057" s="5" t="s">
        <v>425</v>
      </c>
      <c r="F1057" t="s">
        <v>256</v>
      </c>
      <c r="G1057">
        <v>1399</v>
      </c>
      <c r="H1057">
        <v>476</v>
      </c>
      <c r="I1057" s="8">
        <f t="shared" si="97"/>
        <v>0.34024303073624018</v>
      </c>
      <c r="J1057" s="17">
        <v>0.7</v>
      </c>
      <c r="K1057" s="12">
        <v>13.75</v>
      </c>
      <c r="L1057" s="2">
        <f t="shared" si="94"/>
        <v>503.29999999999995</v>
      </c>
      <c r="M1057" s="15">
        <f t="shared" si="98"/>
        <v>6920.3749999999991</v>
      </c>
      <c r="N1057" t="str">
        <f t="shared" si="95"/>
        <v>SP</v>
      </c>
      <c r="O1057" t="str">
        <f t="shared" si="96"/>
        <v>São Paulo</v>
      </c>
    </row>
    <row r="1058" spans="1:15" x14ac:dyDescent="0.3">
      <c r="A1058" s="10">
        <v>45809</v>
      </c>
      <c r="B1058" s="9" t="s">
        <v>3</v>
      </c>
      <c r="C1058" t="s">
        <v>362</v>
      </c>
      <c r="D1058" s="9">
        <v>19825</v>
      </c>
      <c r="E1058" s="5" t="s">
        <v>426</v>
      </c>
      <c r="F1058" t="s">
        <v>241</v>
      </c>
      <c r="G1058">
        <v>1198</v>
      </c>
      <c r="H1058">
        <v>429</v>
      </c>
      <c r="I1058" s="8">
        <f t="shared" si="97"/>
        <v>0.35809682804674459</v>
      </c>
      <c r="J1058" s="17">
        <v>0.7</v>
      </c>
      <c r="K1058" s="12">
        <v>13.75</v>
      </c>
      <c r="L1058" s="2">
        <f t="shared" ref="L1058:L1089" si="99">H1058*J1058/I1058-H1058</f>
        <v>409.5999999999998</v>
      </c>
      <c r="M1058" s="15">
        <f t="shared" si="98"/>
        <v>5631.9999999999973</v>
      </c>
      <c r="N1058" t="str">
        <f t="shared" si="95"/>
        <v>SP</v>
      </c>
      <c r="O1058" t="str">
        <f t="shared" si="96"/>
        <v>São Bernardo Do Campo</v>
      </c>
    </row>
    <row r="1059" spans="1:15" x14ac:dyDescent="0.3">
      <c r="A1059" s="10">
        <v>45809</v>
      </c>
      <c r="B1059" s="9" t="s">
        <v>3</v>
      </c>
      <c r="C1059" t="s">
        <v>193</v>
      </c>
      <c r="D1059" s="9">
        <v>19832</v>
      </c>
      <c r="E1059" s="5" t="s">
        <v>427</v>
      </c>
      <c r="F1059" t="s">
        <v>194</v>
      </c>
      <c r="G1059">
        <v>1733</v>
      </c>
      <c r="H1059">
        <v>599</v>
      </c>
      <c r="I1059" s="8">
        <f t="shared" si="97"/>
        <v>0.34564339296018465</v>
      </c>
      <c r="J1059" s="17">
        <v>0.7</v>
      </c>
      <c r="K1059" s="12">
        <v>13.75</v>
      </c>
      <c r="L1059" s="2">
        <f t="shared" si="99"/>
        <v>614.09999999999991</v>
      </c>
      <c r="M1059" s="15">
        <f t="shared" si="98"/>
        <v>8443.8749999999982</v>
      </c>
      <c r="N1059" t="str">
        <f t="shared" si="95"/>
        <v>SP</v>
      </c>
      <c r="O1059" t="str">
        <f t="shared" si="96"/>
        <v>Ribeirão Preto</v>
      </c>
    </row>
    <row r="1060" spans="1:15" x14ac:dyDescent="0.3">
      <c r="A1060" s="10">
        <v>45809</v>
      </c>
      <c r="B1060" s="9" t="s">
        <v>15</v>
      </c>
      <c r="C1060" t="s">
        <v>358</v>
      </c>
      <c r="D1060" s="9">
        <v>19844</v>
      </c>
      <c r="E1060" s="5" t="s">
        <v>428</v>
      </c>
      <c r="F1060" t="s">
        <v>210</v>
      </c>
      <c r="G1060">
        <v>2191</v>
      </c>
      <c r="H1060">
        <v>846</v>
      </c>
      <c r="I1060" s="8">
        <f t="shared" si="97"/>
        <v>0.38612505705157463</v>
      </c>
      <c r="J1060" s="17">
        <v>0.7</v>
      </c>
      <c r="K1060" s="12">
        <v>13.75</v>
      </c>
      <c r="L1060" s="2">
        <f t="shared" si="99"/>
        <v>687.69999999999982</v>
      </c>
      <c r="M1060" s="15">
        <f t="shared" si="98"/>
        <v>9455.8749999999982</v>
      </c>
      <c r="N1060" t="str">
        <f t="shared" si="95"/>
        <v>RJ</v>
      </c>
      <c r="O1060" t="str">
        <f t="shared" si="96"/>
        <v>Rio De Janeiro</v>
      </c>
    </row>
    <row r="1061" spans="1:15" x14ac:dyDescent="0.3">
      <c r="A1061" s="10">
        <v>45809</v>
      </c>
      <c r="B1061" s="9" t="s">
        <v>14</v>
      </c>
      <c r="C1061" t="s">
        <v>29</v>
      </c>
      <c r="D1061" s="9">
        <v>19704</v>
      </c>
      <c r="E1061" s="5" t="s">
        <v>429</v>
      </c>
      <c r="F1061" t="s">
        <v>30</v>
      </c>
      <c r="G1061">
        <v>2815</v>
      </c>
      <c r="H1061">
        <v>1396</v>
      </c>
      <c r="I1061" s="8">
        <f t="shared" si="97"/>
        <v>0.49591474245115452</v>
      </c>
      <c r="J1061" s="17">
        <v>0.7</v>
      </c>
      <c r="K1061" s="12">
        <v>13.75</v>
      </c>
      <c r="L1061" s="2">
        <f t="shared" si="99"/>
        <v>574.5</v>
      </c>
      <c r="M1061" s="15">
        <f t="shared" si="98"/>
        <v>7899.375</v>
      </c>
      <c r="N1061" t="str">
        <f t="shared" si="95"/>
        <v>MG</v>
      </c>
      <c r="O1061" t="str">
        <f t="shared" si="96"/>
        <v>Belo Horizonte</v>
      </c>
    </row>
    <row r="1062" spans="1:15" x14ac:dyDescent="0.3">
      <c r="A1062" s="10">
        <v>45809</v>
      </c>
      <c r="B1062" s="9" t="s">
        <v>15</v>
      </c>
      <c r="C1062" t="s">
        <v>358</v>
      </c>
      <c r="D1062" s="9">
        <v>19512</v>
      </c>
      <c r="E1062" s="5" t="s">
        <v>430</v>
      </c>
      <c r="F1062" t="s">
        <v>211</v>
      </c>
      <c r="G1062">
        <v>1880</v>
      </c>
      <c r="H1062">
        <v>688</v>
      </c>
      <c r="I1062" s="8">
        <f t="shared" si="97"/>
        <v>0.36595744680851061</v>
      </c>
      <c r="J1062" s="17">
        <v>0.7</v>
      </c>
      <c r="K1062" s="12">
        <v>13.75</v>
      </c>
      <c r="L1062" s="2">
        <f t="shared" si="99"/>
        <v>628</v>
      </c>
      <c r="M1062" s="15">
        <f t="shared" si="98"/>
        <v>8635</v>
      </c>
      <c r="N1062" t="str">
        <f t="shared" si="95"/>
        <v>RJ</v>
      </c>
      <c r="O1062" t="str">
        <f t="shared" si="96"/>
        <v>Rio De Janeiro</v>
      </c>
    </row>
    <row r="1063" spans="1:15" x14ac:dyDescent="0.3">
      <c r="A1063" s="10">
        <v>45809</v>
      </c>
      <c r="B1063" s="9" t="s">
        <v>14</v>
      </c>
      <c r="C1063" t="s">
        <v>29</v>
      </c>
      <c r="D1063" s="9">
        <v>19562</v>
      </c>
      <c r="E1063" s="5" t="s">
        <v>431</v>
      </c>
      <c r="F1063" t="s">
        <v>31</v>
      </c>
      <c r="G1063">
        <v>1415</v>
      </c>
      <c r="H1063">
        <v>615</v>
      </c>
      <c r="I1063" s="8">
        <f t="shared" si="97"/>
        <v>0.43462897526501765</v>
      </c>
      <c r="J1063" s="17">
        <v>0.7</v>
      </c>
      <c r="K1063" s="12">
        <v>13.75</v>
      </c>
      <c r="L1063" s="2">
        <f t="shared" si="99"/>
        <v>375.5</v>
      </c>
      <c r="M1063" s="15">
        <f t="shared" si="98"/>
        <v>5163.125</v>
      </c>
      <c r="N1063" t="str">
        <f t="shared" si="95"/>
        <v>MG</v>
      </c>
      <c r="O1063" t="str">
        <f t="shared" si="96"/>
        <v>Belo Horizonte</v>
      </c>
    </row>
    <row r="1064" spans="1:15" x14ac:dyDescent="0.3">
      <c r="A1064" s="10">
        <v>45809</v>
      </c>
      <c r="B1064" s="9" t="s">
        <v>14</v>
      </c>
      <c r="C1064" t="s">
        <v>29</v>
      </c>
      <c r="D1064" s="9">
        <v>19748</v>
      </c>
      <c r="E1064" s="5" t="s">
        <v>432</v>
      </c>
      <c r="F1064" t="s">
        <v>32</v>
      </c>
      <c r="G1064">
        <v>1910</v>
      </c>
      <c r="H1064">
        <v>853</v>
      </c>
      <c r="I1064" s="8">
        <f t="shared" si="97"/>
        <v>0.44659685863874343</v>
      </c>
      <c r="J1064" s="17">
        <v>0.7</v>
      </c>
      <c r="K1064" s="12">
        <v>13.75</v>
      </c>
      <c r="L1064" s="2">
        <f t="shared" si="99"/>
        <v>483.99999999999977</v>
      </c>
      <c r="M1064" s="15">
        <f t="shared" si="98"/>
        <v>6654.9999999999973</v>
      </c>
      <c r="N1064" t="str">
        <f t="shared" si="95"/>
        <v>MG</v>
      </c>
      <c r="O1064" t="str">
        <f t="shared" si="96"/>
        <v>Belo Horizonte</v>
      </c>
    </row>
    <row r="1065" spans="1:15" x14ac:dyDescent="0.3">
      <c r="A1065" s="10">
        <v>45809</v>
      </c>
      <c r="B1065" s="9" t="s">
        <v>14</v>
      </c>
      <c r="C1065" t="s">
        <v>29</v>
      </c>
      <c r="D1065" s="9">
        <v>19561</v>
      </c>
      <c r="E1065" s="5" t="s">
        <v>433</v>
      </c>
      <c r="F1065" t="s">
        <v>33</v>
      </c>
      <c r="G1065">
        <v>1212</v>
      </c>
      <c r="H1065">
        <v>388</v>
      </c>
      <c r="I1065" s="8">
        <f t="shared" si="97"/>
        <v>0.32013201320132012</v>
      </c>
      <c r="J1065" s="17">
        <v>0.7</v>
      </c>
      <c r="K1065" s="12">
        <v>13.75</v>
      </c>
      <c r="L1065" s="2">
        <f t="shared" si="99"/>
        <v>460.4</v>
      </c>
      <c r="M1065" s="15">
        <f t="shared" si="98"/>
        <v>6330.5</v>
      </c>
      <c r="N1065" t="str">
        <f t="shared" si="95"/>
        <v>MG</v>
      </c>
      <c r="O1065" t="str">
        <f t="shared" si="96"/>
        <v>Belo Horizonte</v>
      </c>
    </row>
    <row r="1066" spans="1:15" x14ac:dyDescent="0.3">
      <c r="A1066" s="10">
        <v>45809</v>
      </c>
      <c r="B1066" s="9" t="s">
        <v>3</v>
      </c>
      <c r="C1066" t="s">
        <v>248</v>
      </c>
      <c r="D1066" s="9">
        <v>19855</v>
      </c>
      <c r="E1066" s="5" t="s">
        <v>434</v>
      </c>
      <c r="F1066" t="s">
        <v>257</v>
      </c>
      <c r="G1066">
        <v>1304</v>
      </c>
      <c r="H1066">
        <v>430</v>
      </c>
      <c r="I1066" s="8">
        <f t="shared" si="97"/>
        <v>0.32975460122699385</v>
      </c>
      <c r="J1066" s="17">
        <v>0.7</v>
      </c>
      <c r="K1066" s="12">
        <v>13.75</v>
      </c>
      <c r="L1066" s="2">
        <f t="shared" si="99"/>
        <v>482.80000000000007</v>
      </c>
      <c r="M1066" s="15">
        <f t="shared" si="98"/>
        <v>6638.5000000000009</v>
      </c>
      <c r="N1066" t="str">
        <f t="shared" si="95"/>
        <v>SP</v>
      </c>
      <c r="O1066" t="str">
        <f t="shared" si="96"/>
        <v>São Paulo</v>
      </c>
    </row>
    <row r="1067" spans="1:15" x14ac:dyDescent="0.3">
      <c r="A1067" s="10">
        <v>45809</v>
      </c>
      <c r="B1067" s="9" t="s">
        <v>14</v>
      </c>
      <c r="C1067" t="s">
        <v>29</v>
      </c>
      <c r="D1067" s="9">
        <v>19560</v>
      </c>
      <c r="E1067" s="5" t="s">
        <v>435</v>
      </c>
      <c r="F1067" t="s">
        <v>34</v>
      </c>
      <c r="G1067">
        <v>3537</v>
      </c>
      <c r="H1067">
        <v>1492</v>
      </c>
      <c r="I1067" s="8">
        <f t="shared" si="97"/>
        <v>0.42182640655923098</v>
      </c>
      <c r="J1067" s="17">
        <v>0.7</v>
      </c>
      <c r="K1067" s="12">
        <v>13.75</v>
      </c>
      <c r="L1067" s="2">
        <f t="shared" si="99"/>
        <v>983.89999999999964</v>
      </c>
      <c r="M1067" s="15">
        <f t="shared" si="98"/>
        <v>13528.624999999995</v>
      </c>
      <c r="N1067" t="str">
        <f t="shared" si="95"/>
        <v>MG</v>
      </c>
      <c r="O1067" t="str">
        <f t="shared" si="96"/>
        <v>Belo Horizonte</v>
      </c>
    </row>
    <row r="1068" spans="1:15" x14ac:dyDescent="0.3">
      <c r="A1068" s="10">
        <v>45809</v>
      </c>
      <c r="B1068" s="9" t="s">
        <v>3</v>
      </c>
      <c r="C1068" t="s">
        <v>248</v>
      </c>
      <c r="D1068" s="9">
        <v>19859</v>
      </c>
      <c r="E1068" s="5" t="s">
        <v>436</v>
      </c>
      <c r="F1068" t="s">
        <v>258</v>
      </c>
      <c r="G1068">
        <v>1398</v>
      </c>
      <c r="H1068">
        <v>464</v>
      </c>
      <c r="I1068" s="8">
        <f t="shared" si="97"/>
        <v>0.33190271816881262</v>
      </c>
      <c r="J1068" s="17">
        <v>0.7</v>
      </c>
      <c r="K1068" s="12">
        <v>13.75</v>
      </c>
      <c r="L1068" s="2">
        <f t="shared" si="99"/>
        <v>514.5999999999998</v>
      </c>
      <c r="M1068" s="15">
        <f t="shared" si="98"/>
        <v>7075.7499999999973</v>
      </c>
      <c r="N1068" t="str">
        <f t="shared" si="95"/>
        <v>SP</v>
      </c>
      <c r="O1068" t="str">
        <f t="shared" si="96"/>
        <v>São Paulo</v>
      </c>
    </row>
    <row r="1069" spans="1:15" x14ac:dyDescent="0.3">
      <c r="A1069" s="10">
        <v>45809</v>
      </c>
      <c r="B1069" s="9" t="s">
        <v>14</v>
      </c>
      <c r="C1069" t="s">
        <v>29</v>
      </c>
      <c r="D1069" s="9">
        <v>19780</v>
      </c>
      <c r="E1069" s="5" t="s">
        <v>437</v>
      </c>
      <c r="F1069" t="s">
        <v>35</v>
      </c>
      <c r="G1069">
        <v>1308</v>
      </c>
      <c r="H1069">
        <v>616</v>
      </c>
      <c r="I1069" s="8">
        <f t="shared" si="97"/>
        <v>0.47094801223241589</v>
      </c>
      <c r="J1069" s="17">
        <v>0.7</v>
      </c>
      <c r="K1069" s="12">
        <v>13.75</v>
      </c>
      <c r="L1069" s="2">
        <f t="shared" si="99"/>
        <v>299.60000000000002</v>
      </c>
      <c r="M1069" s="15">
        <f t="shared" si="98"/>
        <v>4119.5</v>
      </c>
      <c r="N1069" t="str">
        <f t="shared" si="95"/>
        <v>MG</v>
      </c>
      <c r="O1069" t="str">
        <f t="shared" si="96"/>
        <v>Belo Horizonte</v>
      </c>
    </row>
    <row r="1070" spans="1:15" x14ac:dyDescent="0.3">
      <c r="A1070" s="10">
        <v>45809</v>
      </c>
      <c r="B1070" s="9" t="s">
        <v>3</v>
      </c>
      <c r="C1070" t="s">
        <v>361</v>
      </c>
      <c r="D1070" s="9">
        <v>19847</v>
      </c>
      <c r="E1070" s="5" t="s">
        <v>438</v>
      </c>
      <c r="F1070" t="s">
        <v>238</v>
      </c>
      <c r="G1070">
        <v>1545</v>
      </c>
      <c r="H1070">
        <v>448</v>
      </c>
      <c r="I1070" s="8">
        <f t="shared" si="97"/>
        <v>0.28996763754045307</v>
      </c>
      <c r="J1070" s="17">
        <v>0.7</v>
      </c>
      <c r="K1070" s="12">
        <v>13.75</v>
      </c>
      <c r="L1070" s="2">
        <f t="shared" si="99"/>
        <v>633.5</v>
      </c>
      <c r="M1070" s="15">
        <f t="shared" si="98"/>
        <v>8710.625</v>
      </c>
      <c r="N1070" t="str">
        <f t="shared" si="95"/>
        <v>SP</v>
      </c>
      <c r="O1070" t="str">
        <f t="shared" si="96"/>
        <v>Santo André</v>
      </c>
    </row>
    <row r="1071" spans="1:15" x14ac:dyDescent="0.3">
      <c r="A1071" s="10">
        <v>45809</v>
      </c>
      <c r="B1071" s="9" t="s">
        <v>3</v>
      </c>
      <c r="C1071" t="s">
        <v>110</v>
      </c>
      <c r="D1071" s="9">
        <v>19884</v>
      </c>
      <c r="E1071" s="5" t="s">
        <v>439</v>
      </c>
      <c r="F1071" t="s">
        <v>111</v>
      </c>
      <c r="G1071">
        <v>1823</v>
      </c>
      <c r="H1071">
        <v>566</v>
      </c>
      <c r="I1071" s="8">
        <f t="shared" si="97"/>
        <v>0.3104772353263851</v>
      </c>
      <c r="J1071" s="17">
        <v>0.7</v>
      </c>
      <c r="K1071" s="12">
        <v>13.75</v>
      </c>
      <c r="L1071" s="2">
        <f t="shared" si="99"/>
        <v>710.09999999999991</v>
      </c>
      <c r="M1071" s="15">
        <f t="shared" si="98"/>
        <v>9763.8749999999982</v>
      </c>
      <c r="N1071" t="str">
        <f t="shared" si="95"/>
        <v>SP</v>
      </c>
      <c r="O1071" t="str">
        <f t="shared" si="96"/>
        <v>Guarulhos</v>
      </c>
    </row>
    <row r="1072" spans="1:15" x14ac:dyDescent="0.3">
      <c r="A1072" s="10">
        <v>45809</v>
      </c>
      <c r="B1072" s="9" t="s">
        <v>3</v>
      </c>
      <c r="C1072" t="s">
        <v>108</v>
      </c>
      <c r="D1072" s="9">
        <v>19877</v>
      </c>
      <c r="E1072" s="5" t="s">
        <v>440</v>
      </c>
      <c r="F1072" t="s">
        <v>109</v>
      </c>
      <c r="G1072">
        <v>1800</v>
      </c>
      <c r="H1072">
        <v>642</v>
      </c>
      <c r="I1072" s="8">
        <f t="shared" si="97"/>
        <v>0.35666666666666669</v>
      </c>
      <c r="J1072" s="17">
        <v>0.7</v>
      </c>
      <c r="K1072" s="12">
        <v>13.75</v>
      </c>
      <c r="L1072" s="2">
        <f t="shared" si="99"/>
        <v>617.99999999999977</v>
      </c>
      <c r="M1072" s="15">
        <f t="shared" si="98"/>
        <v>8497.4999999999964</v>
      </c>
      <c r="N1072" t="str">
        <f t="shared" si="95"/>
        <v>SP</v>
      </c>
      <c r="O1072" t="str">
        <f t="shared" si="96"/>
        <v>Guarujá</v>
      </c>
    </row>
    <row r="1073" spans="1:15" x14ac:dyDescent="0.3">
      <c r="A1073" s="10">
        <v>45809</v>
      </c>
      <c r="B1073" s="9" t="s">
        <v>3</v>
      </c>
      <c r="C1073" t="s">
        <v>248</v>
      </c>
      <c r="D1073" s="9">
        <v>19890</v>
      </c>
      <c r="E1073" s="5" t="s">
        <v>441</v>
      </c>
      <c r="F1073" t="s">
        <v>259</v>
      </c>
      <c r="G1073">
        <v>951</v>
      </c>
      <c r="H1073">
        <v>329</v>
      </c>
      <c r="I1073" s="8">
        <f t="shared" si="97"/>
        <v>0.3459516298633018</v>
      </c>
      <c r="J1073" s="17">
        <v>0.7</v>
      </c>
      <c r="K1073" s="12">
        <v>13.75</v>
      </c>
      <c r="L1073" s="2">
        <f t="shared" si="99"/>
        <v>336.69999999999993</v>
      </c>
      <c r="M1073" s="15">
        <f t="shared" si="98"/>
        <v>4629.6249999999991</v>
      </c>
      <c r="N1073" t="str">
        <f t="shared" si="95"/>
        <v>SP</v>
      </c>
      <c r="O1073" t="str">
        <f t="shared" si="96"/>
        <v>São Paulo</v>
      </c>
    </row>
    <row r="1074" spans="1:15" x14ac:dyDescent="0.3">
      <c r="A1074" s="10">
        <v>45809</v>
      </c>
      <c r="B1074" s="9" t="s">
        <v>3</v>
      </c>
      <c r="C1074" t="s">
        <v>239</v>
      </c>
      <c r="D1074" s="9">
        <v>19708</v>
      </c>
      <c r="E1074" s="5" t="s">
        <v>443</v>
      </c>
      <c r="F1074" t="s">
        <v>240</v>
      </c>
      <c r="G1074">
        <v>2549</v>
      </c>
      <c r="H1074">
        <v>994</v>
      </c>
      <c r="I1074" s="8">
        <f t="shared" si="97"/>
        <v>0.38995684582189094</v>
      </c>
      <c r="J1074" s="17">
        <v>0.7</v>
      </c>
      <c r="K1074" s="12">
        <v>13.75</v>
      </c>
      <c r="L1074" s="2">
        <f t="shared" si="99"/>
        <v>790.3</v>
      </c>
      <c r="M1074" s="15">
        <f t="shared" si="98"/>
        <v>10866.625</v>
      </c>
      <c r="N1074" t="str">
        <f t="shared" si="95"/>
        <v>SP</v>
      </c>
      <c r="O1074" t="str">
        <f t="shared" si="96"/>
        <v>Santos</v>
      </c>
    </row>
    <row r="1075" spans="1:15" x14ac:dyDescent="0.3">
      <c r="A1075" s="10">
        <v>45809</v>
      </c>
      <c r="B1075" s="9" t="s">
        <v>15</v>
      </c>
      <c r="C1075" t="s">
        <v>358</v>
      </c>
      <c r="D1075" s="9">
        <v>19508</v>
      </c>
      <c r="E1075" s="5" t="s">
        <v>444</v>
      </c>
      <c r="F1075" t="s">
        <v>212</v>
      </c>
      <c r="G1075">
        <v>3078</v>
      </c>
      <c r="H1075">
        <v>1410</v>
      </c>
      <c r="I1075" s="8">
        <f t="shared" si="97"/>
        <v>0.45808966861598438</v>
      </c>
      <c r="J1075" s="17">
        <v>0.7</v>
      </c>
      <c r="K1075" s="12">
        <v>13.75</v>
      </c>
      <c r="L1075" s="2">
        <f t="shared" si="99"/>
        <v>744.59999999999991</v>
      </c>
      <c r="M1075" s="15">
        <f t="shared" si="98"/>
        <v>10238.249999999998</v>
      </c>
      <c r="N1075" t="str">
        <f t="shared" si="95"/>
        <v>RJ</v>
      </c>
      <c r="O1075" t="str">
        <f t="shared" si="96"/>
        <v>Rio De Janeiro</v>
      </c>
    </row>
    <row r="1076" spans="1:15" x14ac:dyDescent="0.3">
      <c r="A1076" s="10">
        <v>45809</v>
      </c>
      <c r="B1076" s="9" t="s">
        <v>3</v>
      </c>
      <c r="C1076" t="s">
        <v>362</v>
      </c>
      <c r="D1076" s="9">
        <v>19820</v>
      </c>
      <c r="E1076" s="5" t="s">
        <v>445</v>
      </c>
      <c r="F1076" t="s">
        <v>242</v>
      </c>
      <c r="G1076">
        <v>1429</v>
      </c>
      <c r="H1076">
        <v>437</v>
      </c>
      <c r="I1076" s="8">
        <f t="shared" si="97"/>
        <v>0.30580825752274315</v>
      </c>
      <c r="J1076" s="17">
        <v>0.7</v>
      </c>
      <c r="K1076" s="12">
        <v>13.75</v>
      </c>
      <c r="L1076" s="2">
        <f t="shared" si="99"/>
        <v>563.29999999999995</v>
      </c>
      <c r="M1076" s="15">
        <f t="shared" si="98"/>
        <v>7745.3749999999991</v>
      </c>
      <c r="N1076" t="str">
        <f t="shared" si="95"/>
        <v>SP</v>
      </c>
      <c r="O1076" t="str">
        <f t="shared" si="96"/>
        <v>São Bernardo Do Campo</v>
      </c>
    </row>
    <row r="1077" spans="1:15" x14ac:dyDescent="0.3">
      <c r="A1077" s="10">
        <v>45809</v>
      </c>
      <c r="B1077" s="9" t="s">
        <v>15</v>
      </c>
      <c r="C1077" t="s">
        <v>358</v>
      </c>
      <c r="D1077" s="9">
        <v>19894</v>
      </c>
      <c r="E1077" s="5" t="s">
        <v>446</v>
      </c>
      <c r="F1077" t="s">
        <v>213</v>
      </c>
      <c r="G1077">
        <v>2411</v>
      </c>
      <c r="H1077">
        <v>852</v>
      </c>
      <c r="I1077" s="8">
        <f t="shared" si="97"/>
        <v>0.35338034010783909</v>
      </c>
      <c r="J1077" s="17">
        <v>0.7</v>
      </c>
      <c r="K1077" s="12">
        <v>13.75</v>
      </c>
      <c r="L1077" s="2">
        <f t="shared" si="99"/>
        <v>835.69999999999982</v>
      </c>
      <c r="M1077" s="15">
        <f t="shared" si="98"/>
        <v>11490.874999999998</v>
      </c>
      <c r="N1077" t="str">
        <f t="shared" si="95"/>
        <v>RJ</v>
      </c>
      <c r="O1077" t="str">
        <f t="shared" si="96"/>
        <v>Rio De Janeiro</v>
      </c>
    </row>
    <row r="1078" spans="1:15" x14ac:dyDescent="0.3">
      <c r="A1078" s="10">
        <v>45809</v>
      </c>
      <c r="B1078" s="9" t="s">
        <v>15</v>
      </c>
      <c r="C1078" t="s">
        <v>358</v>
      </c>
      <c r="D1078" s="9">
        <v>19526</v>
      </c>
      <c r="E1078" s="5" t="s">
        <v>447</v>
      </c>
      <c r="F1078" t="s">
        <v>214</v>
      </c>
      <c r="G1078">
        <v>1347</v>
      </c>
      <c r="H1078">
        <v>516</v>
      </c>
      <c r="I1078" s="8">
        <f t="shared" si="97"/>
        <v>0.38307349665924278</v>
      </c>
      <c r="J1078" s="17">
        <v>0.7</v>
      </c>
      <c r="K1078" s="12">
        <v>13.75</v>
      </c>
      <c r="L1078" s="2">
        <f t="shared" si="99"/>
        <v>426.89999999999986</v>
      </c>
      <c r="M1078" s="15">
        <f t="shared" si="98"/>
        <v>5869.8749999999982</v>
      </c>
      <c r="N1078" t="str">
        <f t="shared" si="95"/>
        <v>RJ</v>
      </c>
      <c r="O1078" t="str">
        <f t="shared" si="96"/>
        <v>Rio De Janeiro</v>
      </c>
    </row>
    <row r="1079" spans="1:15" x14ac:dyDescent="0.3">
      <c r="A1079" s="10">
        <v>45809</v>
      </c>
      <c r="B1079" s="9" t="s">
        <v>15</v>
      </c>
      <c r="C1079" t="s">
        <v>358</v>
      </c>
      <c r="D1079" s="9">
        <v>19509</v>
      </c>
      <c r="E1079" s="5" t="s">
        <v>448</v>
      </c>
      <c r="F1079" t="s">
        <v>215</v>
      </c>
      <c r="G1079">
        <v>2481</v>
      </c>
      <c r="H1079">
        <v>870</v>
      </c>
      <c r="I1079" s="8">
        <f t="shared" si="97"/>
        <v>0.35066505441354295</v>
      </c>
      <c r="J1079" s="17">
        <v>0.7</v>
      </c>
      <c r="K1079" s="12">
        <v>13.75</v>
      </c>
      <c r="L1079" s="2">
        <f t="shared" si="99"/>
        <v>866.69999999999982</v>
      </c>
      <c r="M1079" s="15">
        <f t="shared" si="98"/>
        <v>11917.124999999998</v>
      </c>
      <c r="N1079" t="str">
        <f t="shared" si="95"/>
        <v>RJ</v>
      </c>
      <c r="O1079" t="str">
        <f t="shared" si="96"/>
        <v>Rio De Janeiro</v>
      </c>
    </row>
    <row r="1080" spans="1:15" x14ac:dyDescent="0.3">
      <c r="A1080" s="10">
        <v>45809</v>
      </c>
      <c r="B1080" s="9" t="s">
        <v>3</v>
      </c>
      <c r="C1080" t="s">
        <v>356</v>
      </c>
      <c r="D1080" s="9">
        <v>19745</v>
      </c>
      <c r="E1080" s="5" t="s">
        <v>449</v>
      </c>
      <c r="F1080" t="s">
        <v>154</v>
      </c>
      <c r="G1080">
        <v>1990</v>
      </c>
      <c r="H1080">
        <v>889</v>
      </c>
      <c r="I1080" s="8">
        <f t="shared" si="97"/>
        <v>0.44673366834170852</v>
      </c>
      <c r="J1080" s="17">
        <v>0.7</v>
      </c>
      <c r="K1080" s="12">
        <v>13.75</v>
      </c>
      <c r="L1080" s="2">
        <f t="shared" si="99"/>
        <v>504</v>
      </c>
      <c r="M1080" s="15">
        <f t="shared" si="98"/>
        <v>6930</v>
      </c>
      <c r="N1080" t="str">
        <f t="shared" si="95"/>
        <v>SP</v>
      </c>
      <c r="O1080" t="str">
        <f t="shared" si="96"/>
        <v>Osasco</v>
      </c>
    </row>
    <row r="1081" spans="1:15" x14ac:dyDescent="0.3">
      <c r="A1081" s="10">
        <v>45809</v>
      </c>
      <c r="B1081" s="9" t="s">
        <v>3</v>
      </c>
      <c r="C1081" t="s">
        <v>248</v>
      </c>
      <c r="D1081" s="9">
        <v>19710</v>
      </c>
      <c r="E1081" s="5" t="s">
        <v>450</v>
      </c>
      <c r="F1081" t="s">
        <v>261</v>
      </c>
      <c r="G1081">
        <v>1787</v>
      </c>
      <c r="H1081">
        <v>876</v>
      </c>
      <c r="I1081" s="8">
        <f t="shared" si="97"/>
        <v>0.49020705092333522</v>
      </c>
      <c r="J1081" s="17">
        <v>0.7</v>
      </c>
      <c r="K1081" s="12">
        <v>13.75</v>
      </c>
      <c r="L1081" s="2">
        <f t="shared" si="99"/>
        <v>374.89999999999986</v>
      </c>
      <c r="M1081" s="15">
        <f t="shared" si="98"/>
        <v>5154.8749999999982</v>
      </c>
      <c r="N1081" t="str">
        <f t="shared" si="95"/>
        <v>SP</v>
      </c>
      <c r="O1081" t="str">
        <f t="shared" si="96"/>
        <v>São Paulo</v>
      </c>
    </row>
    <row r="1082" spans="1:15" x14ac:dyDescent="0.3">
      <c r="A1082" s="10">
        <v>45809</v>
      </c>
      <c r="B1082" s="9" t="s">
        <v>14</v>
      </c>
      <c r="C1082" t="s">
        <v>29</v>
      </c>
      <c r="D1082" s="9">
        <v>19720</v>
      </c>
      <c r="E1082" s="5" t="s">
        <v>451</v>
      </c>
      <c r="F1082" t="s">
        <v>36</v>
      </c>
      <c r="G1082">
        <v>1615</v>
      </c>
      <c r="H1082">
        <v>634</v>
      </c>
      <c r="I1082" s="8">
        <f t="shared" si="97"/>
        <v>0.39256965944272448</v>
      </c>
      <c r="J1082" s="17">
        <v>0.7</v>
      </c>
      <c r="K1082" s="12">
        <v>13.75</v>
      </c>
      <c r="L1082" s="2">
        <f t="shared" si="99"/>
        <v>496.49999999999977</v>
      </c>
      <c r="M1082" s="15">
        <f t="shared" si="98"/>
        <v>6826.8749999999973</v>
      </c>
      <c r="N1082" t="str">
        <f t="shared" si="95"/>
        <v>MG</v>
      </c>
      <c r="O1082" t="str">
        <f t="shared" si="96"/>
        <v>Belo Horizonte</v>
      </c>
    </row>
    <row r="1083" spans="1:15" x14ac:dyDescent="0.3">
      <c r="A1083" s="10">
        <v>45809</v>
      </c>
      <c r="B1083" s="9" t="s">
        <v>15</v>
      </c>
      <c r="C1083" t="s">
        <v>358</v>
      </c>
      <c r="D1083" s="9">
        <v>19635</v>
      </c>
      <c r="E1083" s="5" t="s">
        <v>452</v>
      </c>
      <c r="F1083" t="s">
        <v>216</v>
      </c>
      <c r="G1083">
        <v>1915</v>
      </c>
      <c r="H1083">
        <v>892</v>
      </c>
      <c r="I1083" s="8">
        <f t="shared" si="97"/>
        <v>0.46579634464751957</v>
      </c>
      <c r="J1083" s="17">
        <v>0.7</v>
      </c>
      <c r="K1083" s="12">
        <v>13.75</v>
      </c>
      <c r="L1083" s="2">
        <f t="shared" si="99"/>
        <v>448.5</v>
      </c>
      <c r="M1083" s="15">
        <f t="shared" si="98"/>
        <v>6166.875</v>
      </c>
      <c r="N1083" t="str">
        <f t="shared" si="95"/>
        <v>RJ</v>
      </c>
      <c r="O1083" t="str">
        <f t="shared" si="96"/>
        <v>Rio De Janeiro</v>
      </c>
    </row>
    <row r="1084" spans="1:15" x14ac:dyDescent="0.3">
      <c r="A1084" s="10">
        <v>45809</v>
      </c>
      <c r="B1084" s="9" t="s">
        <v>15</v>
      </c>
      <c r="C1084" t="s">
        <v>358</v>
      </c>
      <c r="D1084" s="9">
        <v>19665</v>
      </c>
      <c r="E1084" s="5" t="s">
        <v>453</v>
      </c>
      <c r="F1084" t="s">
        <v>217</v>
      </c>
      <c r="G1084">
        <v>1873</v>
      </c>
      <c r="H1084">
        <v>800</v>
      </c>
      <c r="I1084" s="8">
        <f t="shared" si="97"/>
        <v>0.42712226374799789</v>
      </c>
      <c r="J1084" s="17">
        <v>0.7</v>
      </c>
      <c r="K1084" s="12">
        <v>13.75</v>
      </c>
      <c r="L1084" s="2">
        <f t="shared" si="99"/>
        <v>511.09999999999991</v>
      </c>
      <c r="M1084" s="15">
        <f t="shared" si="98"/>
        <v>7027.6249999999991</v>
      </c>
      <c r="N1084" t="str">
        <f t="shared" si="95"/>
        <v>RJ</v>
      </c>
      <c r="O1084" t="str">
        <f t="shared" si="96"/>
        <v>Rio De Janeiro</v>
      </c>
    </row>
    <row r="1085" spans="1:15" x14ac:dyDescent="0.3">
      <c r="A1085" s="10">
        <v>45809</v>
      </c>
      <c r="B1085" s="9" t="s">
        <v>15</v>
      </c>
      <c r="C1085" t="s">
        <v>358</v>
      </c>
      <c r="D1085" s="9">
        <v>19504</v>
      </c>
      <c r="E1085" s="5" t="s">
        <v>454</v>
      </c>
      <c r="F1085" t="s">
        <v>218</v>
      </c>
      <c r="G1085">
        <v>3265</v>
      </c>
      <c r="H1085">
        <v>1350</v>
      </c>
      <c r="I1085" s="8">
        <f t="shared" si="97"/>
        <v>0.41347626339969373</v>
      </c>
      <c r="J1085" s="17">
        <v>0.7</v>
      </c>
      <c r="K1085" s="12">
        <v>13.75</v>
      </c>
      <c r="L1085" s="2">
        <f t="shared" si="99"/>
        <v>935.49999999999955</v>
      </c>
      <c r="M1085" s="15">
        <f t="shared" si="98"/>
        <v>12863.124999999995</v>
      </c>
      <c r="N1085" t="str">
        <f t="shared" si="95"/>
        <v>RJ</v>
      </c>
      <c r="O1085" t="str">
        <f t="shared" si="96"/>
        <v>Rio De Janeiro</v>
      </c>
    </row>
    <row r="1086" spans="1:15" x14ac:dyDescent="0.3">
      <c r="A1086" s="10">
        <v>45809</v>
      </c>
      <c r="B1086" s="9" t="s">
        <v>15</v>
      </c>
      <c r="C1086" t="s">
        <v>358</v>
      </c>
      <c r="D1086" s="9">
        <v>19511</v>
      </c>
      <c r="E1086" s="5" t="s">
        <v>455</v>
      </c>
      <c r="F1086" t="s">
        <v>219</v>
      </c>
      <c r="G1086">
        <v>2809</v>
      </c>
      <c r="H1086">
        <v>1088</v>
      </c>
      <c r="I1086" s="8">
        <f t="shared" si="97"/>
        <v>0.38732645069419724</v>
      </c>
      <c r="J1086" s="17">
        <v>0.7</v>
      </c>
      <c r="K1086" s="12">
        <v>13.75</v>
      </c>
      <c r="L1086" s="2">
        <f t="shared" si="99"/>
        <v>878.29999999999973</v>
      </c>
      <c r="M1086" s="15">
        <f t="shared" si="98"/>
        <v>12076.624999999996</v>
      </c>
      <c r="N1086" t="str">
        <f t="shared" si="95"/>
        <v>RJ</v>
      </c>
      <c r="O1086" t="str">
        <f t="shared" si="96"/>
        <v>Rio De Janeiro</v>
      </c>
    </row>
    <row r="1087" spans="1:15" x14ac:dyDescent="0.3">
      <c r="A1087" s="10">
        <v>45809</v>
      </c>
      <c r="B1087" s="9" t="s">
        <v>14</v>
      </c>
      <c r="C1087" t="s">
        <v>285</v>
      </c>
      <c r="D1087" s="9">
        <v>19698</v>
      </c>
      <c r="E1087" s="5" t="s">
        <v>456</v>
      </c>
      <c r="F1087" t="s">
        <v>331</v>
      </c>
      <c r="G1087">
        <v>2466</v>
      </c>
      <c r="H1087">
        <v>839</v>
      </c>
      <c r="I1087" s="8">
        <f t="shared" si="97"/>
        <v>0.34022708840227089</v>
      </c>
      <c r="J1087" s="17">
        <v>0.7</v>
      </c>
      <c r="K1087" s="12">
        <v>13.75</v>
      </c>
      <c r="L1087" s="2">
        <f t="shared" si="99"/>
        <v>887.19999999999982</v>
      </c>
      <c r="M1087" s="15">
        <f t="shared" si="98"/>
        <v>12198.999999999998</v>
      </c>
      <c r="N1087" t="str">
        <f t="shared" si="95"/>
        <v>MG</v>
      </c>
      <c r="O1087" t="str">
        <f t="shared" si="96"/>
        <v>Uberlândia</v>
      </c>
    </row>
    <row r="1088" spans="1:15" x14ac:dyDescent="0.3">
      <c r="A1088" s="10">
        <v>45809</v>
      </c>
      <c r="B1088" s="9" t="s">
        <v>15</v>
      </c>
      <c r="C1088" t="s">
        <v>358</v>
      </c>
      <c r="D1088" s="9">
        <v>19506</v>
      </c>
      <c r="E1088" s="5" t="s">
        <v>457</v>
      </c>
      <c r="F1088" t="s">
        <v>220</v>
      </c>
      <c r="G1088">
        <v>2964</v>
      </c>
      <c r="H1088">
        <v>1137</v>
      </c>
      <c r="I1088" s="8">
        <f t="shared" si="97"/>
        <v>0.38360323886639675</v>
      </c>
      <c r="J1088" s="17">
        <v>0.7</v>
      </c>
      <c r="K1088" s="12">
        <v>13.75</v>
      </c>
      <c r="L1088" s="2">
        <f t="shared" si="99"/>
        <v>937.80000000000018</v>
      </c>
      <c r="M1088" s="15">
        <f t="shared" si="98"/>
        <v>12894.750000000002</v>
      </c>
      <c r="N1088" t="str">
        <f t="shared" si="95"/>
        <v>RJ</v>
      </c>
      <c r="O1088" t="str">
        <f t="shared" si="96"/>
        <v>Rio De Janeiro</v>
      </c>
    </row>
    <row r="1089" spans="1:15" x14ac:dyDescent="0.3">
      <c r="A1089" s="10">
        <v>45809</v>
      </c>
      <c r="B1089" s="9" t="s">
        <v>7</v>
      </c>
      <c r="C1089" t="s">
        <v>8</v>
      </c>
      <c r="D1089" s="9">
        <v>19700</v>
      </c>
      <c r="E1089" s="5" t="s">
        <v>458</v>
      </c>
      <c r="F1089" t="s">
        <v>9</v>
      </c>
      <c r="G1089">
        <v>1823</v>
      </c>
      <c r="H1089">
        <v>689</v>
      </c>
      <c r="I1089" s="8">
        <f t="shared" si="97"/>
        <v>0.37794843664289635</v>
      </c>
      <c r="J1089" s="17">
        <v>0.7</v>
      </c>
      <c r="K1089" s="12">
        <v>13.75</v>
      </c>
      <c r="L1089" s="2">
        <f t="shared" si="99"/>
        <v>587.09999999999991</v>
      </c>
      <c r="M1089" s="15">
        <f t="shared" si="98"/>
        <v>8072.6249999999991</v>
      </c>
      <c r="N1089" t="str">
        <f t="shared" si="95"/>
        <v>GO</v>
      </c>
      <c r="O1089" t="str">
        <f t="shared" si="96"/>
        <v>Anápolis</v>
      </c>
    </row>
    <row r="1090" spans="1:15" x14ac:dyDescent="0.3">
      <c r="A1090" s="10">
        <v>45809</v>
      </c>
      <c r="B1090" s="9" t="s">
        <v>14</v>
      </c>
      <c r="C1090" t="s">
        <v>29</v>
      </c>
      <c r="D1090" s="9">
        <v>19697</v>
      </c>
      <c r="E1090" s="5" t="s">
        <v>459</v>
      </c>
      <c r="F1090" t="s">
        <v>37</v>
      </c>
      <c r="G1090">
        <v>2335</v>
      </c>
      <c r="H1090">
        <v>891</v>
      </c>
      <c r="I1090" s="8">
        <f t="shared" si="97"/>
        <v>0.38158458244111348</v>
      </c>
      <c r="J1090" s="17">
        <v>0.7</v>
      </c>
      <c r="K1090" s="12">
        <v>13.75</v>
      </c>
      <c r="L1090" s="2">
        <f t="shared" ref="L1090:L1117" si="100">H1090*J1090/I1090-H1090</f>
        <v>743.49999999999977</v>
      </c>
      <c r="M1090" s="15">
        <f t="shared" si="98"/>
        <v>10223.124999999996</v>
      </c>
      <c r="N1090" t="str">
        <f t="shared" ref="N1090:N1153" si="101">B1090</f>
        <v>MG</v>
      </c>
      <c r="O1090" t="str">
        <f t="shared" ref="O1090:O1153" si="102">C1090</f>
        <v>Belo Horizonte</v>
      </c>
    </row>
    <row r="1091" spans="1:15" x14ac:dyDescent="0.3">
      <c r="A1091" s="10">
        <v>45809</v>
      </c>
      <c r="B1091" s="9" t="s">
        <v>46</v>
      </c>
      <c r="C1091" t="s">
        <v>47</v>
      </c>
      <c r="D1091" s="9">
        <v>19722</v>
      </c>
      <c r="E1091" s="5" t="s">
        <v>460</v>
      </c>
      <c r="F1091" t="s">
        <v>52</v>
      </c>
      <c r="G1091">
        <v>1238</v>
      </c>
      <c r="H1091">
        <v>383</v>
      </c>
      <c r="I1091" s="8">
        <f t="shared" ref="I1091:I1154" si="103">H1091/G1091</f>
        <v>0.30936995153473346</v>
      </c>
      <c r="J1091" s="17">
        <v>0.7</v>
      </c>
      <c r="K1091" s="12">
        <v>13.75</v>
      </c>
      <c r="L1091" s="2">
        <f t="shared" si="100"/>
        <v>483.5999999999998</v>
      </c>
      <c r="M1091" s="15">
        <f t="shared" ref="M1091:M1154" si="104">L1091*K1091</f>
        <v>6649.4999999999973</v>
      </c>
      <c r="N1091" t="str">
        <f t="shared" si="101"/>
        <v>DF</v>
      </c>
      <c r="O1091" t="str">
        <f t="shared" si="102"/>
        <v>Brasília</v>
      </c>
    </row>
    <row r="1092" spans="1:15" x14ac:dyDescent="0.3">
      <c r="A1092" s="10">
        <v>45809</v>
      </c>
      <c r="B1092" s="9" t="s">
        <v>3</v>
      </c>
      <c r="C1092" t="s">
        <v>248</v>
      </c>
      <c r="D1092" s="9">
        <v>19716</v>
      </c>
      <c r="E1092" s="5" t="s">
        <v>461</v>
      </c>
      <c r="F1092" t="s">
        <v>262</v>
      </c>
      <c r="G1092">
        <v>1810</v>
      </c>
      <c r="H1092">
        <v>732</v>
      </c>
      <c r="I1092" s="8">
        <f t="shared" si="103"/>
        <v>0.40441988950276242</v>
      </c>
      <c r="J1092" s="17">
        <v>0.7</v>
      </c>
      <c r="K1092" s="12">
        <v>13.75</v>
      </c>
      <c r="L1092" s="2">
        <f t="shared" si="100"/>
        <v>535</v>
      </c>
      <c r="M1092" s="15">
        <f t="shared" si="104"/>
        <v>7356.25</v>
      </c>
      <c r="N1092" t="str">
        <f t="shared" si="101"/>
        <v>SP</v>
      </c>
      <c r="O1092" t="str">
        <f t="shared" si="102"/>
        <v>São Paulo</v>
      </c>
    </row>
    <row r="1093" spans="1:15" x14ac:dyDescent="0.3">
      <c r="A1093" s="10">
        <v>45809</v>
      </c>
      <c r="B1093" s="9" t="s">
        <v>3</v>
      </c>
      <c r="C1093" t="s">
        <v>17</v>
      </c>
      <c r="D1093" s="9">
        <v>19715</v>
      </c>
      <c r="E1093" s="5" t="s">
        <v>462</v>
      </c>
      <c r="F1093" t="s">
        <v>18</v>
      </c>
      <c r="G1093">
        <v>1579</v>
      </c>
      <c r="H1093">
        <v>836</v>
      </c>
      <c r="I1093" s="8">
        <f t="shared" si="103"/>
        <v>0.52944901836605451</v>
      </c>
      <c r="J1093" s="17">
        <v>0.7</v>
      </c>
      <c r="K1093" s="12">
        <v>13.75</v>
      </c>
      <c r="L1093" s="2">
        <f t="shared" si="100"/>
        <v>269.29999999999973</v>
      </c>
      <c r="M1093" s="15">
        <f t="shared" si="104"/>
        <v>3702.8749999999964</v>
      </c>
      <c r="N1093" t="str">
        <f t="shared" si="101"/>
        <v>SP</v>
      </c>
      <c r="O1093" t="str">
        <f t="shared" si="102"/>
        <v>Atibaia</v>
      </c>
    </row>
    <row r="1094" spans="1:15" x14ac:dyDescent="0.3">
      <c r="A1094" s="10">
        <v>45809</v>
      </c>
      <c r="B1094" s="9" t="s">
        <v>21</v>
      </c>
      <c r="C1094" t="s">
        <v>368</v>
      </c>
      <c r="D1094" s="9">
        <v>19736</v>
      </c>
      <c r="E1094" s="5" t="s">
        <v>464</v>
      </c>
      <c r="F1094" t="s">
        <v>295</v>
      </c>
      <c r="G1094">
        <v>4017</v>
      </c>
      <c r="H1094">
        <v>1604</v>
      </c>
      <c r="I1094" s="8">
        <f t="shared" si="103"/>
        <v>0.39930296240975854</v>
      </c>
      <c r="J1094" s="17">
        <v>0.7</v>
      </c>
      <c r="K1094" s="12">
        <v>13.75</v>
      </c>
      <c r="L1094" s="2">
        <f t="shared" si="100"/>
        <v>1207.8999999999996</v>
      </c>
      <c r="M1094" s="15">
        <f t="shared" si="104"/>
        <v>16608.624999999996</v>
      </c>
      <c r="N1094" t="str">
        <f t="shared" si="101"/>
        <v>BA</v>
      </c>
      <c r="O1094" t="str">
        <f t="shared" si="102"/>
        <v>Vitória Da Conquista</v>
      </c>
    </row>
    <row r="1095" spans="1:15" x14ac:dyDescent="0.3">
      <c r="A1095" s="10">
        <v>45809</v>
      </c>
      <c r="B1095" s="9" t="s">
        <v>21</v>
      </c>
      <c r="C1095" t="s">
        <v>228</v>
      </c>
      <c r="D1095" s="9">
        <v>19740</v>
      </c>
      <c r="E1095" s="5" t="s">
        <v>465</v>
      </c>
      <c r="F1095" t="s">
        <v>229</v>
      </c>
      <c r="G1095">
        <v>2083</v>
      </c>
      <c r="H1095">
        <v>775</v>
      </c>
      <c r="I1095" s="8">
        <f t="shared" si="103"/>
        <v>0.37205952952472393</v>
      </c>
      <c r="J1095" s="17">
        <v>0.7</v>
      </c>
      <c r="K1095" s="12">
        <v>13.75</v>
      </c>
      <c r="L1095" s="2">
        <f t="shared" si="100"/>
        <v>683.10000000000014</v>
      </c>
      <c r="M1095" s="15">
        <f t="shared" si="104"/>
        <v>9392.6250000000018</v>
      </c>
      <c r="N1095" t="str">
        <f t="shared" si="101"/>
        <v>BA</v>
      </c>
      <c r="O1095" t="str">
        <f t="shared" si="102"/>
        <v>Salvador</v>
      </c>
    </row>
    <row r="1096" spans="1:15" x14ac:dyDescent="0.3">
      <c r="A1096" s="10">
        <v>45809</v>
      </c>
      <c r="B1096" s="9" t="s">
        <v>21</v>
      </c>
      <c r="C1096" t="s">
        <v>352</v>
      </c>
      <c r="D1096" s="9">
        <v>19738</v>
      </c>
      <c r="E1096" s="5" t="s">
        <v>466</v>
      </c>
      <c r="F1096" t="s">
        <v>118</v>
      </c>
      <c r="G1096">
        <v>4498</v>
      </c>
      <c r="H1096">
        <v>2332</v>
      </c>
      <c r="I1096" s="8">
        <f t="shared" si="103"/>
        <v>0.51845264562027571</v>
      </c>
      <c r="J1096" s="17">
        <v>0.7</v>
      </c>
      <c r="K1096" s="12">
        <v>13.75</v>
      </c>
      <c r="L1096" s="2">
        <f t="shared" si="100"/>
        <v>816.59999999999945</v>
      </c>
      <c r="M1096" s="15">
        <f t="shared" si="104"/>
        <v>11228.249999999993</v>
      </c>
      <c r="N1096" t="str">
        <f t="shared" si="101"/>
        <v>BA</v>
      </c>
      <c r="O1096" t="str">
        <f t="shared" si="102"/>
        <v>Lauro De Freitas</v>
      </c>
    </row>
    <row r="1097" spans="1:15" x14ac:dyDescent="0.3">
      <c r="A1097" s="10">
        <v>45809</v>
      </c>
      <c r="B1097" s="9" t="s">
        <v>129</v>
      </c>
      <c r="C1097" t="s">
        <v>130</v>
      </c>
      <c r="D1097" s="9">
        <v>19742</v>
      </c>
      <c r="E1097" s="5" t="s">
        <v>467</v>
      </c>
      <c r="F1097" t="s">
        <v>131</v>
      </c>
      <c r="G1097">
        <v>1475</v>
      </c>
      <c r="H1097">
        <v>735</v>
      </c>
      <c r="I1097" s="8">
        <f t="shared" si="103"/>
        <v>0.49830508474576274</v>
      </c>
      <c r="J1097" s="17">
        <v>0.7</v>
      </c>
      <c r="K1097" s="12">
        <v>13.75</v>
      </c>
      <c r="L1097" s="2">
        <f t="shared" si="100"/>
        <v>297.5</v>
      </c>
      <c r="M1097" s="15">
        <f t="shared" si="104"/>
        <v>4090.625</v>
      </c>
      <c r="N1097" t="str">
        <f t="shared" si="101"/>
        <v>AM</v>
      </c>
      <c r="O1097" t="str">
        <f t="shared" si="102"/>
        <v>Manaus</v>
      </c>
    </row>
    <row r="1098" spans="1:15" x14ac:dyDescent="0.3">
      <c r="A1098" s="10">
        <v>45809</v>
      </c>
      <c r="B1098" s="9" t="s">
        <v>129</v>
      </c>
      <c r="C1098" t="s">
        <v>130</v>
      </c>
      <c r="D1098" s="9">
        <v>19785</v>
      </c>
      <c r="E1098" s="5" t="s">
        <v>468</v>
      </c>
      <c r="F1098" t="s">
        <v>132</v>
      </c>
      <c r="G1098">
        <v>1784</v>
      </c>
      <c r="H1098">
        <v>866</v>
      </c>
      <c r="I1098" s="8">
        <f t="shared" si="103"/>
        <v>0.48542600896860988</v>
      </c>
      <c r="J1098" s="17">
        <v>0.7</v>
      </c>
      <c r="K1098" s="12">
        <v>13.75</v>
      </c>
      <c r="L1098" s="2">
        <f t="shared" si="100"/>
        <v>382.79999999999973</v>
      </c>
      <c r="M1098" s="15">
        <f t="shared" si="104"/>
        <v>5263.4999999999964</v>
      </c>
      <c r="N1098" t="str">
        <f t="shared" si="101"/>
        <v>AM</v>
      </c>
      <c r="O1098" t="str">
        <f t="shared" si="102"/>
        <v>Manaus</v>
      </c>
    </row>
    <row r="1099" spans="1:15" x14ac:dyDescent="0.3">
      <c r="A1099" s="10">
        <v>45809</v>
      </c>
      <c r="B1099" s="9" t="s">
        <v>129</v>
      </c>
      <c r="C1099" t="s">
        <v>130</v>
      </c>
      <c r="D1099" s="9">
        <v>19843</v>
      </c>
      <c r="E1099" s="5" t="s">
        <v>469</v>
      </c>
      <c r="F1099" t="s">
        <v>133</v>
      </c>
      <c r="G1099">
        <v>1294</v>
      </c>
      <c r="H1099">
        <v>619</v>
      </c>
      <c r="I1099" s="8">
        <f t="shared" si="103"/>
        <v>0.47836166924265844</v>
      </c>
      <c r="J1099" s="17">
        <v>0.7</v>
      </c>
      <c r="K1099" s="12">
        <v>13.75</v>
      </c>
      <c r="L1099" s="2">
        <f t="shared" si="100"/>
        <v>286.79999999999984</v>
      </c>
      <c r="M1099" s="15">
        <f t="shared" si="104"/>
        <v>3943.4999999999977</v>
      </c>
      <c r="N1099" t="str">
        <f t="shared" si="101"/>
        <v>AM</v>
      </c>
      <c r="O1099" t="str">
        <f t="shared" si="102"/>
        <v>Manaus</v>
      </c>
    </row>
    <row r="1100" spans="1:15" x14ac:dyDescent="0.3">
      <c r="A1100" s="10">
        <v>45809</v>
      </c>
      <c r="B1100" s="9" t="s">
        <v>129</v>
      </c>
      <c r="C1100" t="s">
        <v>130</v>
      </c>
      <c r="D1100" s="9">
        <v>19879</v>
      </c>
      <c r="E1100" s="5" t="s">
        <v>470</v>
      </c>
      <c r="F1100" t="s">
        <v>134</v>
      </c>
      <c r="G1100">
        <v>1499</v>
      </c>
      <c r="H1100">
        <v>803</v>
      </c>
      <c r="I1100" s="8">
        <f t="shared" si="103"/>
        <v>0.53569046030687129</v>
      </c>
      <c r="J1100" s="17">
        <v>0.7</v>
      </c>
      <c r="K1100" s="12">
        <v>13.75</v>
      </c>
      <c r="L1100" s="2">
        <f t="shared" si="100"/>
        <v>246.29999999999973</v>
      </c>
      <c r="M1100" s="15">
        <f t="shared" si="104"/>
        <v>3386.6249999999964</v>
      </c>
      <c r="N1100" t="str">
        <f t="shared" si="101"/>
        <v>AM</v>
      </c>
      <c r="O1100" t="str">
        <f t="shared" si="102"/>
        <v>Manaus</v>
      </c>
    </row>
    <row r="1101" spans="1:15" x14ac:dyDescent="0.3">
      <c r="A1101" s="10">
        <v>45809</v>
      </c>
      <c r="B1101" s="9" t="s">
        <v>89</v>
      </c>
      <c r="C1101" t="s">
        <v>346</v>
      </c>
      <c r="D1101" s="9">
        <v>19735</v>
      </c>
      <c r="E1101" s="5" t="s">
        <v>471</v>
      </c>
      <c r="F1101" t="s">
        <v>90</v>
      </c>
      <c r="G1101">
        <v>1367</v>
      </c>
      <c r="H1101">
        <v>666</v>
      </c>
      <c r="I1101" s="8">
        <f t="shared" si="103"/>
        <v>0.48719824433065106</v>
      </c>
      <c r="J1101" s="17">
        <v>0.7</v>
      </c>
      <c r="K1101" s="12">
        <v>13.75</v>
      </c>
      <c r="L1101" s="2">
        <f t="shared" si="100"/>
        <v>290.89999999999998</v>
      </c>
      <c r="M1101" s="15">
        <f t="shared" si="104"/>
        <v>3999.8749999999995</v>
      </c>
      <c r="N1101" t="str">
        <f t="shared" si="101"/>
        <v>CE</v>
      </c>
      <c r="O1101" t="str">
        <f t="shared" si="102"/>
        <v>Fortaleza</v>
      </c>
    </row>
    <row r="1102" spans="1:15" x14ac:dyDescent="0.3">
      <c r="A1102" s="10">
        <v>45809</v>
      </c>
      <c r="B1102" s="9" t="s">
        <v>89</v>
      </c>
      <c r="C1102" t="s">
        <v>346</v>
      </c>
      <c r="D1102" s="9">
        <v>19607</v>
      </c>
      <c r="E1102" s="5" t="s">
        <v>472</v>
      </c>
      <c r="F1102" t="s">
        <v>91</v>
      </c>
      <c r="G1102">
        <v>1755</v>
      </c>
      <c r="H1102">
        <v>680</v>
      </c>
      <c r="I1102" s="8">
        <f t="shared" si="103"/>
        <v>0.38746438746438744</v>
      </c>
      <c r="J1102" s="17">
        <v>0.7</v>
      </c>
      <c r="K1102" s="12">
        <v>13.75</v>
      </c>
      <c r="L1102" s="2">
        <f t="shared" si="100"/>
        <v>548.5</v>
      </c>
      <c r="M1102" s="15">
        <f t="shared" si="104"/>
        <v>7541.875</v>
      </c>
      <c r="N1102" t="str">
        <f t="shared" si="101"/>
        <v>CE</v>
      </c>
      <c r="O1102" t="str">
        <f t="shared" si="102"/>
        <v>Fortaleza</v>
      </c>
    </row>
    <row r="1103" spans="1:15" x14ac:dyDescent="0.3">
      <c r="A1103" s="10">
        <v>45809</v>
      </c>
      <c r="B1103" s="9" t="s">
        <v>89</v>
      </c>
      <c r="C1103" t="s">
        <v>346</v>
      </c>
      <c r="D1103" s="9">
        <v>19642</v>
      </c>
      <c r="E1103" s="5" t="s">
        <v>473</v>
      </c>
      <c r="F1103" t="s">
        <v>92</v>
      </c>
      <c r="G1103">
        <v>1608</v>
      </c>
      <c r="H1103">
        <v>704</v>
      </c>
      <c r="I1103" s="8">
        <f t="shared" si="103"/>
        <v>0.43781094527363185</v>
      </c>
      <c r="J1103" s="17">
        <v>0.7</v>
      </c>
      <c r="K1103" s="12">
        <v>13.75</v>
      </c>
      <c r="L1103" s="2">
        <f t="shared" si="100"/>
        <v>421.59999999999991</v>
      </c>
      <c r="M1103" s="15">
        <f t="shared" si="104"/>
        <v>5796.9999999999991</v>
      </c>
      <c r="N1103" t="str">
        <f t="shared" si="101"/>
        <v>CE</v>
      </c>
      <c r="O1103" t="str">
        <f t="shared" si="102"/>
        <v>Fortaleza</v>
      </c>
    </row>
    <row r="1104" spans="1:15" x14ac:dyDescent="0.3">
      <c r="A1104" s="10">
        <v>45809</v>
      </c>
      <c r="B1104" s="9" t="s">
        <v>89</v>
      </c>
      <c r="C1104" t="s">
        <v>346</v>
      </c>
      <c r="D1104" s="9">
        <v>19725</v>
      </c>
      <c r="E1104" s="5" t="s">
        <v>474</v>
      </c>
      <c r="F1104" t="s">
        <v>93</v>
      </c>
      <c r="G1104">
        <v>1159</v>
      </c>
      <c r="H1104">
        <v>488</v>
      </c>
      <c r="I1104" s="8">
        <f t="shared" si="103"/>
        <v>0.42105263157894735</v>
      </c>
      <c r="J1104" s="17">
        <v>0.7</v>
      </c>
      <c r="K1104" s="12">
        <v>13.75</v>
      </c>
      <c r="L1104" s="2">
        <f t="shared" si="100"/>
        <v>323.29999999999995</v>
      </c>
      <c r="M1104" s="15">
        <f t="shared" si="104"/>
        <v>4445.3749999999991</v>
      </c>
      <c r="N1104" t="str">
        <f t="shared" si="101"/>
        <v>CE</v>
      </c>
      <c r="O1104" t="str">
        <f t="shared" si="102"/>
        <v>Fortaleza</v>
      </c>
    </row>
    <row r="1105" spans="1:15" x14ac:dyDescent="0.3">
      <c r="A1105" s="10">
        <v>45809</v>
      </c>
      <c r="B1105" s="9" t="s">
        <v>89</v>
      </c>
      <c r="C1105" t="s">
        <v>346</v>
      </c>
      <c r="D1105" s="9">
        <v>19902</v>
      </c>
      <c r="E1105" s="5" t="s">
        <v>475</v>
      </c>
      <c r="F1105" t="s">
        <v>94</v>
      </c>
      <c r="G1105">
        <v>1602</v>
      </c>
      <c r="H1105">
        <v>757</v>
      </c>
      <c r="I1105" s="8">
        <f t="shared" si="103"/>
        <v>0.47253433208489387</v>
      </c>
      <c r="J1105" s="17">
        <v>0.7</v>
      </c>
      <c r="K1105" s="12">
        <v>13.75</v>
      </c>
      <c r="L1105" s="2">
        <f t="shared" si="100"/>
        <v>364.40000000000009</v>
      </c>
      <c r="M1105" s="15">
        <f t="shared" si="104"/>
        <v>5010.5000000000009</v>
      </c>
      <c r="N1105" t="str">
        <f t="shared" si="101"/>
        <v>CE</v>
      </c>
      <c r="O1105" t="str">
        <f t="shared" si="102"/>
        <v>Fortaleza</v>
      </c>
    </row>
    <row r="1106" spans="1:15" x14ac:dyDescent="0.3">
      <c r="A1106" s="10">
        <v>45809</v>
      </c>
      <c r="B1106" s="9" t="s">
        <v>89</v>
      </c>
      <c r="C1106" t="s">
        <v>346</v>
      </c>
      <c r="D1106" s="9">
        <v>19903</v>
      </c>
      <c r="E1106" s="5" t="s">
        <v>476</v>
      </c>
      <c r="F1106" t="s">
        <v>95</v>
      </c>
      <c r="G1106">
        <v>1335</v>
      </c>
      <c r="H1106">
        <v>729</v>
      </c>
      <c r="I1106" s="8">
        <f t="shared" si="103"/>
        <v>0.54606741573033712</v>
      </c>
      <c r="J1106" s="17">
        <v>0.7</v>
      </c>
      <c r="K1106" s="12">
        <v>13.75</v>
      </c>
      <c r="L1106" s="2">
        <f t="shared" si="100"/>
        <v>205.49999999999989</v>
      </c>
      <c r="M1106" s="15">
        <f t="shared" si="104"/>
        <v>2825.6249999999986</v>
      </c>
      <c r="N1106" t="str">
        <f t="shared" si="101"/>
        <v>CE</v>
      </c>
      <c r="O1106" t="str">
        <f t="shared" si="102"/>
        <v>Fortaleza</v>
      </c>
    </row>
    <row r="1107" spans="1:15" x14ac:dyDescent="0.3">
      <c r="A1107" s="10">
        <v>45809</v>
      </c>
      <c r="B1107" s="9" t="s">
        <v>82</v>
      </c>
      <c r="C1107" t="s">
        <v>135</v>
      </c>
      <c r="D1107" s="9">
        <v>19749</v>
      </c>
      <c r="E1107" s="5" t="s">
        <v>477</v>
      </c>
      <c r="F1107" t="s">
        <v>136</v>
      </c>
      <c r="G1107">
        <v>1588</v>
      </c>
      <c r="H1107">
        <v>512</v>
      </c>
      <c r="I1107" s="8">
        <f t="shared" si="103"/>
        <v>0.32241813602015112</v>
      </c>
      <c r="J1107" s="17">
        <v>0.7</v>
      </c>
      <c r="K1107" s="12">
        <v>13.75</v>
      </c>
      <c r="L1107" s="2">
        <f t="shared" si="100"/>
        <v>599.59999999999991</v>
      </c>
      <c r="M1107" s="15">
        <f t="shared" si="104"/>
        <v>8244.4999999999982</v>
      </c>
      <c r="N1107" t="str">
        <f t="shared" si="101"/>
        <v>PR</v>
      </c>
      <c r="O1107" t="str">
        <f t="shared" si="102"/>
        <v>Maringá</v>
      </c>
    </row>
    <row r="1108" spans="1:15" x14ac:dyDescent="0.3">
      <c r="A1108" s="10">
        <v>45809</v>
      </c>
      <c r="B1108" s="9" t="s">
        <v>82</v>
      </c>
      <c r="C1108" t="s">
        <v>83</v>
      </c>
      <c r="D1108" s="9">
        <v>19545</v>
      </c>
      <c r="E1108" s="5" t="s">
        <v>478</v>
      </c>
      <c r="F1108" t="s">
        <v>84</v>
      </c>
      <c r="G1108">
        <v>3334</v>
      </c>
      <c r="H1108">
        <v>1277</v>
      </c>
      <c r="I1108" s="8">
        <f t="shared" si="103"/>
        <v>0.38302339532093582</v>
      </c>
      <c r="J1108" s="17">
        <v>0.7</v>
      </c>
      <c r="K1108" s="12">
        <v>13.75</v>
      </c>
      <c r="L1108" s="2">
        <f t="shared" si="100"/>
        <v>1056.7999999999997</v>
      </c>
      <c r="M1108" s="15">
        <f t="shared" si="104"/>
        <v>14530.999999999996</v>
      </c>
      <c r="N1108" t="str">
        <f t="shared" si="101"/>
        <v>PR</v>
      </c>
      <c r="O1108" t="str">
        <f t="shared" si="102"/>
        <v>Curitiba</v>
      </c>
    </row>
    <row r="1109" spans="1:15" x14ac:dyDescent="0.3">
      <c r="A1109" s="10">
        <v>45809</v>
      </c>
      <c r="B1109" s="9" t="s">
        <v>82</v>
      </c>
      <c r="C1109" t="s">
        <v>83</v>
      </c>
      <c r="D1109" s="9">
        <v>19546</v>
      </c>
      <c r="E1109" s="5" t="s">
        <v>479</v>
      </c>
      <c r="F1109" t="s">
        <v>85</v>
      </c>
      <c r="G1109">
        <v>2250</v>
      </c>
      <c r="H1109">
        <v>770</v>
      </c>
      <c r="I1109" s="8">
        <f t="shared" si="103"/>
        <v>0.34222222222222221</v>
      </c>
      <c r="J1109" s="17">
        <v>0.7</v>
      </c>
      <c r="K1109" s="12">
        <v>13.75</v>
      </c>
      <c r="L1109" s="2">
        <f t="shared" si="100"/>
        <v>805</v>
      </c>
      <c r="M1109" s="15">
        <f t="shared" si="104"/>
        <v>11068.75</v>
      </c>
      <c r="N1109" t="str">
        <f t="shared" si="101"/>
        <v>PR</v>
      </c>
      <c r="O1109" t="str">
        <f t="shared" si="102"/>
        <v>Curitiba</v>
      </c>
    </row>
    <row r="1110" spans="1:15" x14ac:dyDescent="0.3">
      <c r="A1110" s="10">
        <v>45809</v>
      </c>
      <c r="B1110" s="9" t="s">
        <v>3</v>
      </c>
      <c r="C1110" t="s">
        <v>248</v>
      </c>
      <c r="D1110" s="9">
        <v>19763</v>
      </c>
      <c r="E1110" s="5" t="s">
        <v>480</v>
      </c>
      <c r="F1110" t="s">
        <v>263</v>
      </c>
      <c r="G1110">
        <v>1306</v>
      </c>
      <c r="H1110">
        <v>467</v>
      </c>
      <c r="I1110" s="8">
        <f t="shared" si="103"/>
        <v>0.35758039816232773</v>
      </c>
      <c r="J1110" s="17">
        <v>0.7</v>
      </c>
      <c r="K1110" s="12">
        <v>13.75</v>
      </c>
      <c r="L1110" s="2">
        <f t="shared" si="100"/>
        <v>447.19999999999993</v>
      </c>
      <c r="M1110" s="15">
        <f t="shared" si="104"/>
        <v>6148.9999999999991</v>
      </c>
      <c r="N1110" t="str">
        <f t="shared" si="101"/>
        <v>SP</v>
      </c>
      <c r="O1110" t="str">
        <f t="shared" si="102"/>
        <v>São Paulo</v>
      </c>
    </row>
    <row r="1111" spans="1:15" x14ac:dyDescent="0.3">
      <c r="A1111" s="10">
        <v>45809</v>
      </c>
      <c r="B1111" s="9" t="s">
        <v>3</v>
      </c>
      <c r="C1111" t="s">
        <v>248</v>
      </c>
      <c r="D1111" s="9">
        <v>19711</v>
      </c>
      <c r="E1111" s="5" t="s">
        <v>481</v>
      </c>
      <c r="F1111" t="s">
        <v>264</v>
      </c>
      <c r="G1111">
        <v>1680</v>
      </c>
      <c r="H1111">
        <v>603</v>
      </c>
      <c r="I1111" s="8">
        <f t="shared" si="103"/>
        <v>0.35892857142857143</v>
      </c>
      <c r="J1111" s="17">
        <v>0.7</v>
      </c>
      <c r="K1111" s="12">
        <v>13.75</v>
      </c>
      <c r="L1111" s="2">
        <f t="shared" si="100"/>
        <v>573</v>
      </c>
      <c r="M1111" s="15">
        <f t="shared" si="104"/>
        <v>7878.75</v>
      </c>
      <c r="N1111" t="str">
        <f t="shared" si="101"/>
        <v>SP</v>
      </c>
      <c r="O1111" t="str">
        <f t="shared" si="102"/>
        <v>São Paulo</v>
      </c>
    </row>
    <row r="1112" spans="1:15" x14ac:dyDescent="0.3">
      <c r="A1112" s="10">
        <v>45809</v>
      </c>
      <c r="B1112" s="9" t="s">
        <v>46</v>
      </c>
      <c r="C1112" t="s">
        <v>47</v>
      </c>
      <c r="D1112" s="9">
        <v>19755</v>
      </c>
      <c r="E1112" s="5" t="s">
        <v>482</v>
      </c>
      <c r="F1112" t="s">
        <v>53</v>
      </c>
      <c r="G1112">
        <v>1171</v>
      </c>
      <c r="H1112">
        <v>526</v>
      </c>
      <c r="I1112" s="8">
        <f t="shared" si="103"/>
        <v>0.44918872758326217</v>
      </c>
      <c r="J1112" s="17">
        <v>0.7</v>
      </c>
      <c r="K1112" s="12">
        <v>13.75</v>
      </c>
      <c r="L1112" s="2">
        <f t="shared" si="100"/>
        <v>293.69999999999993</v>
      </c>
      <c r="M1112" s="15">
        <f t="shared" si="104"/>
        <v>4038.3749999999991</v>
      </c>
      <c r="N1112" t="str">
        <f t="shared" si="101"/>
        <v>DF</v>
      </c>
      <c r="O1112" t="str">
        <f t="shared" si="102"/>
        <v>Brasília</v>
      </c>
    </row>
    <row r="1113" spans="1:15" x14ac:dyDescent="0.3">
      <c r="A1113" s="10">
        <v>45809</v>
      </c>
      <c r="B1113" s="9" t="s">
        <v>3</v>
      </c>
      <c r="C1113" t="s">
        <v>248</v>
      </c>
      <c r="D1113" s="9">
        <v>19753</v>
      </c>
      <c r="E1113" s="5" t="s">
        <v>483</v>
      </c>
      <c r="F1113" t="s">
        <v>265</v>
      </c>
      <c r="G1113">
        <v>2542</v>
      </c>
      <c r="H1113">
        <v>1000</v>
      </c>
      <c r="I1113" s="8">
        <f t="shared" si="103"/>
        <v>0.39339103068450038</v>
      </c>
      <c r="J1113" s="17">
        <v>0.7</v>
      </c>
      <c r="K1113" s="12">
        <v>13.75</v>
      </c>
      <c r="L1113" s="2">
        <f t="shared" si="100"/>
        <v>779.40000000000009</v>
      </c>
      <c r="M1113" s="15">
        <f t="shared" si="104"/>
        <v>10716.750000000002</v>
      </c>
      <c r="N1113" t="str">
        <f t="shared" si="101"/>
        <v>SP</v>
      </c>
      <c r="O1113" t="str">
        <f t="shared" si="102"/>
        <v>São Paulo</v>
      </c>
    </row>
    <row r="1114" spans="1:15" x14ac:dyDescent="0.3">
      <c r="A1114" s="10">
        <v>45809</v>
      </c>
      <c r="B1114" s="9" t="s">
        <v>7</v>
      </c>
      <c r="C1114" t="s">
        <v>99</v>
      </c>
      <c r="D1114" s="9">
        <v>19754</v>
      </c>
      <c r="E1114" s="5" t="s">
        <v>484</v>
      </c>
      <c r="F1114" t="s">
        <v>101</v>
      </c>
      <c r="G1114">
        <v>3247</v>
      </c>
      <c r="H1114">
        <v>1531</v>
      </c>
      <c r="I1114" s="8">
        <f t="shared" si="103"/>
        <v>0.47151216507545429</v>
      </c>
      <c r="J1114" s="17">
        <v>0.7</v>
      </c>
      <c r="K1114" s="12">
        <v>13.75</v>
      </c>
      <c r="L1114" s="2">
        <f t="shared" si="100"/>
        <v>741.90000000000009</v>
      </c>
      <c r="M1114" s="15">
        <f t="shared" si="104"/>
        <v>10201.125000000002</v>
      </c>
      <c r="N1114" t="str">
        <f t="shared" si="101"/>
        <v>GO</v>
      </c>
      <c r="O1114" t="str">
        <f t="shared" si="102"/>
        <v>Goiânia</v>
      </c>
    </row>
    <row r="1115" spans="1:15" x14ac:dyDescent="0.3">
      <c r="A1115" s="10">
        <v>45809</v>
      </c>
      <c r="B1115" s="9" t="s">
        <v>14</v>
      </c>
      <c r="C1115" t="s">
        <v>29</v>
      </c>
      <c r="D1115" s="9">
        <v>19759</v>
      </c>
      <c r="E1115" s="5" t="s">
        <v>485</v>
      </c>
      <c r="F1115" t="s">
        <v>38</v>
      </c>
      <c r="G1115">
        <v>1626</v>
      </c>
      <c r="H1115">
        <v>746</v>
      </c>
      <c r="I1115" s="8">
        <f t="shared" si="103"/>
        <v>0.45879458794587946</v>
      </c>
      <c r="J1115" s="17">
        <v>0.7</v>
      </c>
      <c r="K1115" s="12">
        <v>13.75</v>
      </c>
      <c r="L1115" s="2">
        <f t="shared" si="100"/>
        <v>392.19999999999982</v>
      </c>
      <c r="M1115" s="15">
        <f t="shared" si="104"/>
        <v>5392.7499999999973</v>
      </c>
      <c r="N1115" t="str">
        <f t="shared" si="101"/>
        <v>MG</v>
      </c>
      <c r="O1115" t="str">
        <f t="shared" si="102"/>
        <v>Belo Horizonte</v>
      </c>
    </row>
    <row r="1116" spans="1:15" x14ac:dyDescent="0.3">
      <c r="A1116" s="10">
        <v>45809</v>
      </c>
      <c r="B1116" s="9" t="s">
        <v>195</v>
      </c>
      <c r="C1116" t="s">
        <v>196</v>
      </c>
      <c r="D1116" s="9">
        <v>19762</v>
      </c>
      <c r="E1116" s="5" t="s">
        <v>486</v>
      </c>
      <c r="F1116" t="s">
        <v>197</v>
      </c>
      <c r="G1116">
        <v>1561</v>
      </c>
      <c r="H1116">
        <v>848</v>
      </c>
      <c r="I1116" s="8">
        <f t="shared" si="103"/>
        <v>0.54324151185137737</v>
      </c>
      <c r="J1116" s="17">
        <v>0.7</v>
      </c>
      <c r="K1116" s="12">
        <v>13.75</v>
      </c>
      <c r="L1116" s="2">
        <f t="shared" si="100"/>
        <v>244.69999999999982</v>
      </c>
      <c r="M1116" s="15">
        <f t="shared" si="104"/>
        <v>3364.6249999999973</v>
      </c>
      <c r="N1116" t="str">
        <f t="shared" si="101"/>
        <v>AC</v>
      </c>
      <c r="O1116" t="str">
        <f t="shared" si="102"/>
        <v>Rio Branco</v>
      </c>
    </row>
    <row r="1117" spans="1:15" x14ac:dyDescent="0.3">
      <c r="A1117" s="10">
        <v>45809</v>
      </c>
      <c r="B1117" s="9" t="s">
        <v>82</v>
      </c>
      <c r="C1117" t="s">
        <v>349</v>
      </c>
      <c r="D1117" s="9">
        <v>19772</v>
      </c>
      <c r="E1117" s="5" t="s">
        <v>487</v>
      </c>
      <c r="F1117" t="s">
        <v>96</v>
      </c>
      <c r="G1117">
        <v>1406</v>
      </c>
      <c r="H1117">
        <v>830</v>
      </c>
      <c r="I1117" s="8">
        <f t="shared" si="103"/>
        <v>0.59032716927453766</v>
      </c>
      <c r="J1117" s="17">
        <v>0.7</v>
      </c>
      <c r="K1117" s="12">
        <v>13.75</v>
      </c>
      <c r="L1117" s="2">
        <f t="shared" si="100"/>
        <v>154.20000000000005</v>
      </c>
      <c r="M1117" s="15">
        <f t="shared" si="104"/>
        <v>2120.2500000000005</v>
      </c>
      <c r="N1117" t="str">
        <f t="shared" si="101"/>
        <v>PR</v>
      </c>
      <c r="O1117" t="str">
        <f t="shared" si="102"/>
        <v>Foz Do Iguaçu</v>
      </c>
    </row>
    <row r="1118" spans="1:15" x14ac:dyDescent="0.3">
      <c r="A1118" s="10">
        <v>45809</v>
      </c>
      <c r="B1118" s="9" t="s">
        <v>15</v>
      </c>
      <c r="C1118" t="s">
        <v>345</v>
      </c>
      <c r="D1118" s="9">
        <v>19687</v>
      </c>
      <c r="E1118" s="5" t="s">
        <v>488</v>
      </c>
      <c r="F1118" t="s">
        <v>88</v>
      </c>
      <c r="G1118">
        <v>1918</v>
      </c>
      <c r="H1118">
        <v>1582</v>
      </c>
      <c r="I1118" s="8">
        <f t="shared" si="103"/>
        <v>0.82481751824817517</v>
      </c>
      <c r="J1118" s="17">
        <v>0.7</v>
      </c>
      <c r="K1118" s="12">
        <v>13.75</v>
      </c>
      <c r="L1118" s="2">
        <f>G1118-H1118</f>
        <v>336</v>
      </c>
      <c r="M1118" s="15">
        <f t="shared" si="104"/>
        <v>4620</v>
      </c>
      <c r="N1118" t="str">
        <f t="shared" si="101"/>
        <v>RJ</v>
      </c>
      <c r="O1118" t="str">
        <f t="shared" si="102"/>
        <v>Duque De Caxias</v>
      </c>
    </row>
    <row r="1119" spans="1:15" x14ac:dyDescent="0.3">
      <c r="A1119" s="10">
        <v>45809</v>
      </c>
      <c r="B1119" s="9" t="s">
        <v>21</v>
      </c>
      <c r="C1119" t="s">
        <v>228</v>
      </c>
      <c r="D1119" s="9">
        <v>19689</v>
      </c>
      <c r="E1119" s="5" t="s">
        <v>490</v>
      </c>
      <c r="F1119" t="s">
        <v>230</v>
      </c>
      <c r="G1119">
        <v>2240</v>
      </c>
      <c r="H1119">
        <v>1020</v>
      </c>
      <c r="I1119" s="8">
        <f t="shared" si="103"/>
        <v>0.45535714285714285</v>
      </c>
      <c r="J1119" s="17">
        <v>0.7</v>
      </c>
      <c r="K1119" s="12">
        <v>13.75</v>
      </c>
      <c r="L1119" s="2">
        <f>H1119*J1119/I1119-H1119</f>
        <v>548</v>
      </c>
      <c r="M1119" s="15">
        <f t="shared" si="104"/>
        <v>7535</v>
      </c>
      <c r="N1119" t="str">
        <f t="shared" si="101"/>
        <v>BA</v>
      </c>
      <c r="O1119" t="str">
        <f t="shared" si="102"/>
        <v>Salvador</v>
      </c>
    </row>
    <row r="1120" spans="1:15" x14ac:dyDescent="0.3">
      <c r="A1120" s="10">
        <v>45809</v>
      </c>
      <c r="B1120" s="9" t="s">
        <v>21</v>
      </c>
      <c r="C1120" t="s">
        <v>228</v>
      </c>
      <c r="D1120" s="9">
        <v>19625</v>
      </c>
      <c r="E1120" s="5" t="s">
        <v>491</v>
      </c>
      <c r="F1120" t="s">
        <v>231</v>
      </c>
      <c r="G1120">
        <v>3058</v>
      </c>
      <c r="H1120">
        <v>1392</v>
      </c>
      <c r="I1120" s="8">
        <f t="shared" si="103"/>
        <v>0.45519947678221062</v>
      </c>
      <c r="J1120" s="17">
        <v>0.7</v>
      </c>
      <c r="K1120" s="12">
        <v>13.75</v>
      </c>
      <c r="L1120" s="2">
        <f>H1120*J1120/I1120-H1120</f>
        <v>748.59999999999991</v>
      </c>
      <c r="M1120" s="15">
        <f t="shared" si="104"/>
        <v>10293.249999999998</v>
      </c>
      <c r="N1120" t="str">
        <f t="shared" si="101"/>
        <v>BA</v>
      </c>
      <c r="O1120" t="str">
        <f t="shared" si="102"/>
        <v>Salvador</v>
      </c>
    </row>
    <row r="1121" spans="1:15" x14ac:dyDescent="0.3">
      <c r="A1121" s="10">
        <v>45809</v>
      </c>
      <c r="B1121" s="9" t="s">
        <v>40</v>
      </c>
      <c r="C1121" t="s">
        <v>41</v>
      </c>
      <c r="D1121" s="9">
        <v>19787</v>
      </c>
      <c r="E1121" s="5" t="s">
        <v>492</v>
      </c>
      <c r="F1121" t="s">
        <v>42</v>
      </c>
      <c r="G1121">
        <v>581</v>
      </c>
      <c r="H1121">
        <v>286</v>
      </c>
      <c r="I1121" s="8">
        <f t="shared" si="103"/>
        <v>0.49225473321858865</v>
      </c>
      <c r="J1121" s="17">
        <v>0.7</v>
      </c>
      <c r="K1121" s="12">
        <v>13.75</v>
      </c>
      <c r="L1121" s="2">
        <f>H1121*J1121/I1121-H1121</f>
        <v>120.69999999999999</v>
      </c>
      <c r="M1121" s="15">
        <f t="shared" si="104"/>
        <v>1659.6249999999998</v>
      </c>
      <c r="N1121" t="str">
        <f t="shared" si="101"/>
        <v>RR</v>
      </c>
      <c r="O1121" t="str">
        <f t="shared" si="102"/>
        <v>Boa Vista</v>
      </c>
    </row>
    <row r="1122" spans="1:15" x14ac:dyDescent="0.3">
      <c r="A1122" s="10">
        <v>45809</v>
      </c>
      <c r="B1122" s="9" t="s">
        <v>40</v>
      </c>
      <c r="C1122" t="s">
        <v>41</v>
      </c>
      <c r="D1122" s="9">
        <v>19868</v>
      </c>
      <c r="E1122" s="5" t="s">
        <v>493</v>
      </c>
      <c r="F1122" t="s">
        <v>43</v>
      </c>
      <c r="G1122">
        <v>1871</v>
      </c>
      <c r="H1122">
        <v>1477</v>
      </c>
      <c r="I1122" s="8">
        <f t="shared" si="103"/>
        <v>0.78941742383752</v>
      </c>
      <c r="J1122" s="17">
        <v>0.7</v>
      </c>
      <c r="K1122" s="12">
        <v>13.75</v>
      </c>
      <c r="L1122" s="2">
        <f>G1122-H1122</f>
        <v>394</v>
      </c>
      <c r="M1122" s="15">
        <f t="shared" si="104"/>
        <v>5417.5</v>
      </c>
      <c r="N1122" t="str">
        <f t="shared" si="101"/>
        <v>RR</v>
      </c>
      <c r="O1122" t="str">
        <f t="shared" si="102"/>
        <v>Boa Vista</v>
      </c>
    </row>
    <row r="1123" spans="1:15" x14ac:dyDescent="0.3">
      <c r="A1123" s="10">
        <v>45809</v>
      </c>
      <c r="B1123" s="9" t="s">
        <v>71</v>
      </c>
      <c r="C1123" t="s">
        <v>175</v>
      </c>
      <c r="D1123" s="9">
        <v>19788</v>
      </c>
      <c r="E1123" s="5" t="s">
        <v>495</v>
      </c>
      <c r="F1123" t="s">
        <v>177</v>
      </c>
      <c r="G1123">
        <v>4779</v>
      </c>
      <c r="H1123">
        <v>1420</v>
      </c>
      <c r="I1123" s="8">
        <f t="shared" si="103"/>
        <v>0.29713329148357398</v>
      </c>
      <c r="J1123" s="17">
        <v>0.7</v>
      </c>
      <c r="K1123" s="12">
        <v>13.75</v>
      </c>
      <c r="L1123" s="2">
        <f t="shared" ref="L1123:L1154" si="105">H1123*J1123/I1123-H1123</f>
        <v>1925.2999999999993</v>
      </c>
      <c r="M1123" s="15">
        <f t="shared" si="104"/>
        <v>26472.874999999989</v>
      </c>
      <c r="N1123" t="str">
        <f t="shared" si="101"/>
        <v>RS</v>
      </c>
      <c r="O1123" t="str">
        <f t="shared" si="102"/>
        <v>Porto Alegre</v>
      </c>
    </row>
    <row r="1124" spans="1:15" x14ac:dyDescent="0.3">
      <c r="A1124" s="10">
        <v>45809</v>
      </c>
      <c r="B1124" s="9" t="s">
        <v>21</v>
      </c>
      <c r="C1124" t="s">
        <v>228</v>
      </c>
      <c r="D1124" s="9">
        <v>19790</v>
      </c>
      <c r="E1124" s="5" t="s">
        <v>497</v>
      </c>
      <c r="F1124" t="s">
        <v>232</v>
      </c>
      <c r="G1124">
        <v>3095</v>
      </c>
      <c r="H1124">
        <v>1328</v>
      </c>
      <c r="I1124" s="8">
        <f t="shared" si="103"/>
        <v>0.42907915993537965</v>
      </c>
      <c r="J1124" s="17">
        <v>0.7</v>
      </c>
      <c r="K1124" s="12">
        <v>13.75</v>
      </c>
      <c r="L1124" s="2">
        <f t="shared" si="105"/>
        <v>838.49999999999955</v>
      </c>
      <c r="M1124" s="15">
        <f t="shared" si="104"/>
        <v>11529.374999999995</v>
      </c>
      <c r="N1124" t="str">
        <f t="shared" si="101"/>
        <v>BA</v>
      </c>
      <c r="O1124" t="str">
        <f t="shared" si="102"/>
        <v>Salvador</v>
      </c>
    </row>
    <row r="1125" spans="1:15" x14ac:dyDescent="0.3">
      <c r="A1125" s="10">
        <v>45809</v>
      </c>
      <c r="B1125" s="9" t="s">
        <v>71</v>
      </c>
      <c r="C1125" t="s">
        <v>175</v>
      </c>
      <c r="D1125" s="9">
        <v>19842</v>
      </c>
      <c r="E1125" s="5" t="s">
        <v>498</v>
      </c>
      <c r="F1125" t="s">
        <v>178</v>
      </c>
      <c r="G1125">
        <v>3112</v>
      </c>
      <c r="H1125">
        <v>982</v>
      </c>
      <c r="I1125" s="8">
        <f t="shared" si="103"/>
        <v>0.31555269922879176</v>
      </c>
      <c r="J1125" s="17">
        <v>0.7</v>
      </c>
      <c r="K1125" s="12">
        <v>13.75</v>
      </c>
      <c r="L1125" s="2">
        <f t="shared" si="105"/>
        <v>1196.4000000000001</v>
      </c>
      <c r="M1125" s="15">
        <f t="shared" si="104"/>
        <v>16450.5</v>
      </c>
      <c r="N1125" t="str">
        <f t="shared" si="101"/>
        <v>RS</v>
      </c>
      <c r="O1125" t="str">
        <f t="shared" si="102"/>
        <v>Porto Alegre</v>
      </c>
    </row>
    <row r="1126" spans="1:15" x14ac:dyDescent="0.3">
      <c r="A1126" s="10">
        <v>45809</v>
      </c>
      <c r="B1126" s="9" t="s">
        <v>59</v>
      </c>
      <c r="C1126" t="s">
        <v>292</v>
      </c>
      <c r="D1126" s="9">
        <v>19580</v>
      </c>
      <c r="E1126" s="5" t="s">
        <v>499</v>
      </c>
      <c r="F1126" t="s">
        <v>293</v>
      </c>
      <c r="G1126">
        <v>2288</v>
      </c>
      <c r="H1126">
        <v>794</v>
      </c>
      <c r="I1126" s="8">
        <f t="shared" si="103"/>
        <v>0.34702797202797203</v>
      </c>
      <c r="J1126" s="17">
        <v>0.7</v>
      </c>
      <c r="K1126" s="12">
        <v>13.75</v>
      </c>
      <c r="L1126" s="2">
        <f t="shared" si="105"/>
        <v>807.59999999999991</v>
      </c>
      <c r="M1126" s="15">
        <f t="shared" si="104"/>
        <v>11104.499999999998</v>
      </c>
      <c r="N1126" t="str">
        <f t="shared" si="101"/>
        <v>ES</v>
      </c>
      <c r="O1126" t="str">
        <f t="shared" si="102"/>
        <v>Vitória</v>
      </c>
    </row>
    <row r="1127" spans="1:15" x14ac:dyDescent="0.3">
      <c r="A1127" s="10">
        <v>45809</v>
      </c>
      <c r="B1127" s="9" t="s">
        <v>59</v>
      </c>
      <c r="C1127" t="s">
        <v>292</v>
      </c>
      <c r="D1127" s="9">
        <v>19719</v>
      </c>
      <c r="E1127" s="5" t="s">
        <v>500</v>
      </c>
      <c r="F1127" t="s">
        <v>294</v>
      </c>
      <c r="G1127">
        <v>1912</v>
      </c>
      <c r="H1127">
        <v>691</v>
      </c>
      <c r="I1127" s="8">
        <f t="shared" si="103"/>
        <v>0.36140167364016734</v>
      </c>
      <c r="J1127" s="17">
        <v>0.7</v>
      </c>
      <c r="K1127" s="12">
        <v>13.75</v>
      </c>
      <c r="L1127" s="2">
        <f t="shared" si="105"/>
        <v>647.40000000000009</v>
      </c>
      <c r="M1127" s="15">
        <f t="shared" si="104"/>
        <v>8901.7500000000018</v>
      </c>
      <c r="N1127" t="str">
        <f t="shared" si="101"/>
        <v>ES</v>
      </c>
      <c r="O1127" t="str">
        <f t="shared" si="102"/>
        <v>Vitória</v>
      </c>
    </row>
    <row r="1128" spans="1:15" x14ac:dyDescent="0.3">
      <c r="A1128" s="10">
        <v>45809</v>
      </c>
      <c r="B1128" s="9" t="s">
        <v>59</v>
      </c>
      <c r="C1128" t="s">
        <v>289</v>
      </c>
      <c r="D1128" s="9">
        <v>19581</v>
      </c>
      <c r="E1128" s="5" t="s">
        <v>501</v>
      </c>
      <c r="F1128" t="s">
        <v>290</v>
      </c>
      <c r="G1128">
        <v>2594</v>
      </c>
      <c r="H1128">
        <v>847</v>
      </c>
      <c r="I1128" s="8">
        <f t="shared" si="103"/>
        <v>0.32652274479568233</v>
      </c>
      <c r="J1128" s="17">
        <v>0.7</v>
      </c>
      <c r="K1128" s="12">
        <v>13.75</v>
      </c>
      <c r="L1128" s="2">
        <f t="shared" si="105"/>
        <v>968.8</v>
      </c>
      <c r="M1128" s="15">
        <f t="shared" si="104"/>
        <v>13321</v>
      </c>
      <c r="N1128" t="str">
        <f t="shared" si="101"/>
        <v>ES</v>
      </c>
      <c r="O1128" t="str">
        <f t="shared" si="102"/>
        <v>Vila Velha</v>
      </c>
    </row>
    <row r="1129" spans="1:15" x14ac:dyDescent="0.3">
      <c r="A1129" s="10">
        <v>45809</v>
      </c>
      <c r="B1129" s="9" t="s">
        <v>59</v>
      </c>
      <c r="C1129" t="s">
        <v>289</v>
      </c>
      <c r="D1129" s="9">
        <v>19876</v>
      </c>
      <c r="E1129" s="5" t="s">
        <v>502</v>
      </c>
      <c r="F1129" t="s">
        <v>291</v>
      </c>
      <c r="G1129">
        <v>2580</v>
      </c>
      <c r="H1129">
        <v>889</v>
      </c>
      <c r="I1129" s="8">
        <f t="shared" si="103"/>
        <v>0.34457364341085273</v>
      </c>
      <c r="J1129" s="17">
        <v>0.7</v>
      </c>
      <c r="K1129" s="12">
        <v>13.75</v>
      </c>
      <c r="L1129" s="2">
        <f t="shared" si="105"/>
        <v>916.99999999999977</v>
      </c>
      <c r="M1129" s="15">
        <f t="shared" si="104"/>
        <v>12608.749999999996</v>
      </c>
      <c r="N1129" t="str">
        <f t="shared" si="101"/>
        <v>ES</v>
      </c>
      <c r="O1129" t="str">
        <f t="shared" si="102"/>
        <v>Vila Velha</v>
      </c>
    </row>
    <row r="1130" spans="1:15" x14ac:dyDescent="0.3">
      <c r="A1130" s="10">
        <v>45809</v>
      </c>
      <c r="B1130" s="9" t="s">
        <v>59</v>
      </c>
      <c r="C1130" t="s">
        <v>271</v>
      </c>
      <c r="D1130" s="9">
        <v>19775</v>
      </c>
      <c r="E1130" s="5" t="s">
        <v>503</v>
      </c>
      <c r="F1130" t="s">
        <v>272</v>
      </c>
      <c r="G1130">
        <v>1714</v>
      </c>
      <c r="H1130">
        <v>733</v>
      </c>
      <c r="I1130" s="8">
        <f t="shared" si="103"/>
        <v>0.42765460910151692</v>
      </c>
      <c r="J1130" s="17">
        <v>0.7</v>
      </c>
      <c r="K1130" s="12">
        <v>13.75</v>
      </c>
      <c r="L1130" s="2">
        <f t="shared" si="105"/>
        <v>466.79999999999995</v>
      </c>
      <c r="M1130" s="15">
        <f t="shared" si="104"/>
        <v>6418.4999999999991</v>
      </c>
      <c r="N1130" t="str">
        <f t="shared" si="101"/>
        <v>ES</v>
      </c>
      <c r="O1130" t="str">
        <f t="shared" si="102"/>
        <v>Serra</v>
      </c>
    </row>
    <row r="1131" spans="1:15" x14ac:dyDescent="0.3">
      <c r="A1131" s="10">
        <v>45809</v>
      </c>
      <c r="B1131" s="9" t="s">
        <v>71</v>
      </c>
      <c r="C1131" t="s">
        <v>175</v>
      </c>
      <c r="D1131" s="9">
        <v>19874</v>
      </c>
      <c r="E1131" s="5" t="s">
        <v>504</v>
      </c>
      <c r="F1131" t="s">
        <v>179</v>
      </c>
      <c r="G1131">
        <v>3753</v>
      </c>
      <c r="H1131">
        <v>1256</v>
      </c>
      <c r="I1131" s="8">
        <f t="shared" si="103"/>
        <v>0.33466560085265123</v>
      </c>
      <c r="J1131" s="17">
        <v>0.7</v>
      </c>
      <c r="K1131" s="12">
        <v>13.75</v>
      </c>
      <c r="L1131" s="2">
        <f t="shared" si="105"/>
        <v>1371.0999999999995</v>
      </c>
      <c r="M1131" s="15">
        <f t="shared" si="104"/>
        <v>18852.624999999993</v>
      </c>
      <c r="N1131" t="str">
        <f t="shared" si="101"/>
        <v>RS</v>
      </c>
      <c r="O1131" t="str">
        <f t="shared" si="102"/>
        <v>Porto Alegre</v>
      </c>
    </row>
    <row r="1132" spans="1:15" x14ac:dyDescent="0.3">
      <c r="A1132" s="10">
        <v>45809</v>
      </c>
      <c r="B1132" s="9" t="s">
        <v>3</v>
      </c>
      <c r="C1132" t="s">
        <v>165</v>
      </c>
      <c r="D1132" s="9">
        <v>19761</v>
      </c>
      <c r="E1132" s="5" t="s">
        <v>505</v>
      </c>
      <c r="F1132" t="s">
        <v>166</v>
      </c>
      <c r="G1132">
        <v>1508</v>
      </c>
      <c r="H1132">
        <v>575</v>
      </c>
      <c r="I1132" s="8">
        <f t="shared" si="103"/>
        <v>0.3812997347480106</v>
      </c>
      <c r="J1132" s="17">
        <v>0.7</v>
      </c>
      <c r="K1132" s="12">
        <v>13.75</v>
      </c>
      <c r="L1132" s="2">
        <f t="shared" si="105"/>
        <v>480.60000000000014</v>
      </c>
      <c r="M1132" s="15">
        <f t="shared" si="104"/>
        <v>6608.2500000000018</v>
      </c>
      <c r="N1132" t="str">
        <f t="shared" si="101"/>
        <v>SP</v>
      </c>
      <c r="O1132" t="str">
        <f t="shared" si="102"/>
        <v>Paulínia</v>
      </c>
    </row>
    <row r="1133" spans="1:15" x14ac:dyDescent="0.3">
      <c r="A1133" s="10">
        <v>45809</v>
      </c>
      <c r="B1133" s="9" t="s">
        <v>46</v>
      </c>
      <c r="C1133" t="s">
        <v>47</v>
      </c>
      <c r="D1133" s="9">
        <v>19881</v>
      </c>
      <c r="E1133" s="5" t="s">
        <v>507</v>
      </c>
      <c r="F1133" t="s">
        <v>54</v>
      </c>
      <c r="G1133">
        <v>3213</v>
      </c>
      <c r="H1133">
        <v>1397</v>
      </c>
      <c r="I1133" s="8">
        <f t="shared" si="103"/>
        <v>0.43479614067849359</v>
      </c>
      <c r="J1133" s="17">
        <v>0.7</v>
      </c>
      <c r="K1133" s="12">
        <v>13.75</v>
      </c>
      <c r="L1133" s="2">
        <f t="shared" si="105"/>
        <v>852.09999999999991</v>
      </c>
      <c r="M1133" s="15">
        <f t="shared" si="104"/>
        <v>11716.374999999998</v>
      </c>
      <c r="N1133" t="str">
        <f t="shared" si="101"/>
        <v>DF</v>
      </c>
      <c r="O1133" t="str">
        <f t="shared" si="102"/>
        <v>Brasília</v>
      </c>
    </row>
    <row r="1134" spans="1:15" x14ac:dyDescent="0.3">
      <c r="A1134" s="10">
        <v>45809</v>
      </c>
      <c r="B1134" s="9" t="s">
        <v>3</v>
      </c>
      <c r="C1134" t="s">
        <v>64</v>
      </c>
      <c r="D1134" s="9">
        <v>19696</v>
      </c>
      <c r="E1134" s="5" t="s">
        <v>508</v>
      </c>
      <c r="F1134" t="s">
        <v>65</v>
      </c>
      <c r="G1134">
        <v>1470</v>
      </c>
      <c r="H1134">
        <v>429</v>
      </c>
      <c r="I1134" s="8">
        <f t="shared" si="103"/>
        <v>0.29183673469387755</v>
      </c>
      <c r="J1134" s="17">
        <v>0.7</v>
      </c>
      <c r="K1134" s="12">
        <v>13.75</v>
      </c>
      <c r="L1134" s="2">
        <f t="shared" si="105"/>
        <v>599.99999999999977</v>
      </c>
      <c r="M1134" s="15">
        <f t="shared" si="104"/>
        <v>8249.9999999999964</v>
      </c>
      <c r="N1134" t="str">
        <f t="shared" si="101"/>
        <v>SP</v>
      </c>
      <c r="O1134" t="str">
        <f t="shared" si="102"/>
        <v>Campinas</v>
      </c>
    </row>
    <row r="1135" spans="1:15" x14ac:dyDescent="0.3">
      <c r="A1135" s="10">
        <v>45809</v>
      </c>
      <c r="B1135" s="9" t="s">
        <v>71</v>
      </c>
      <c r="C1135" t="s">
        <v>72</v>
      </c>
      <c r="D1135" s="9">
        <v>19883</v>
      </c>
      <c r="E1135" s="5" t="s">
        <v>509</v>
      </c>
      <c r="F1135" t="s">
        <v>73</v>
      </c>
      <c r="G1135">
        <v>1677</v>
      </c>
      <c r="H1135">
        <v>609</v>
      </c>
      <c r="I1135" s="8">
        <f t="shared" si="103"/>
        <v>0.36314847942754919</v>
      </c>
      <c r="J1135" s="17">
        <v>0.7</v>
      </c>
      <c r="K1135" s="12">
        <v>13.75</v>
      </c>
      <c r="L1135" s="2">
        <f t="shared" si="105"/>
        <v>564.89999999999986</v>
      </c>
      <c r="M1135" s="15">
        <f t="shared" si="104"/>
        <v>7767.3749999999982</v>
      </c>
      <c r="N1135" t="str">
        <f t="shared" si="101"/>
        <v>RS</v>
      </c>
      <c r="O1135" t="str">
        <f t="shared" si="102"/>
        <v>Canoas</v>
      </c>
    </row>
    <row r="1136" spans="1:15" x14ac:dyDescent="0.3">
      <c r="A1136" s="10">
        <v>45809</v>
      </c>
      <c r="B1136" s="9" t="s">
        <v>15</v>
      </c>
      <c r="C1136" t="s">
        <v>358</v>
      </c>
      <c r="D1136" s="9">
        <v>19514</v>
      </c>
      <c r="E1136" s="5" t="s">
        <v>510</v>
      </c>
      <c r="F1136" t="s">
        <v>221</v>
      </c>
      <c r="G1136">
        <v>3169</v>
      </c>
      <c r="H1136">
        <v>1150</v>
      </c>
      <c r="I1136" s="8">
        <f t="shared" si="103"/>
        <v>0.36289050173556325</v>
      </c>
      <c r="J1136" s="17">
        <v>0.7</v>
      </c>
      <c r="K1136" s="12">
        <v>13.75</v>
      </c>
      <c r="L1136" s="2">
        <f t="shared" si="105"/>
        <v>1068.3000000000002</v>
      </c>
      <c r="M1136" s="15">
        <f t="shared" si="104"/>
        <v>14689.125000000002</v>
      </c>
      <c r="N1136" t="str">
        <f t="shared" si="101"/>
        <v>RJ</v>
      </c>
      <c r="O1136" t="str">
        <f t="shared" si="102"/>
        <v>Rio De Janeiro</v>
      </c>
    </row>
    <row r="1137" spans="1:15" x14ac:dyDescent="0.3">
      <c r="A1137" s="10">
        <v>45809</v>
      </c>
      <c r="B1137" s="9" t="s">
        <v>15</v>
      </c>
      <c r="C1137" t="s">
        <v>358</v>
      </c>
      <c r="D1137" s="9">
        <v>19600</v>
      </c>
      <c r="E1137" s="5" t="s">
        <v>511</v>
      </c>
      <c r="F1137" t="s">
        <v>222</v>
      </c>
      <c r="G1137">
        <v>2592</v>
      </c>
      <c r="H1137">
        <v>1039</v>
      </c>
      <c r="I1137" s="8">
        <f t="shared" si="103"/>
        <v>0.40084876543209874</v>
      </c>
      <c r="J1137" s="17">
        <v>0.7</v>
      </c>
      <c r="K1137" s="12">
        <v>13.75</v>
      </c>
      <c r="L1137" s="2">
        <f t="shared" si="105"/>
        <v>775.40000000000009</v>
      </c>
      <c r="M1137" s="15">
        <f t="shared" si="104"/>
        <v>10661.750000000002</v>
      </c>
      <c r="N1137" t="str">
        <f t="shared" si="101"/>
        <v>RJ</v>
      </c>
      <c r="O1137" t="str">
        <f t="shared" si="102"/>
        <v>Rio De Janeiro</v>
      </c>
    </row>
    <row r="1138" spans="1:15" x14ac:dyDescent="0.3">
      <c r="A1138" s="10">
        <v>45809</v>
      </c>
      <c r="B1138" s="9" t="s">
        <v>78</v>
      </c>
      <c r="C1138" t="s">
        <v>277</v>
      </c>
      <c r="D1138" s="9">
        <v>19896</v>
      </c>
      <c r="E1138" s="5" t="s">
        <v>512</v>
      </c>
      <c r="F1138" t="s">
        <v>278</v>
      </c>
      <c r="G1138">
        <v>1604</v>
      </c>
      <c r="H1138">
        <v>752</v>
      </c>
      <c r="I1138" s="8">
        <f t="shared" si="103"/>
        <v>0.46882793017456359</v>
      </c>
      <c r="J1138" s="17">
        <v>0.7</v>
      </c>
      <c r="K1138" s="12">
        <v>13.75</v>
      </c>
      <c r="L1138" s="2">
        <f t="shared" si="105"/>
        <v>370.79999999999995</v>
      </c>
      <c r="M1138" s="15">
        <f t="shared" si="104"/>
        <v>5098.4999999999991</v>
      </c>
      <c r="N1138" t="str">
        <f t="shared" si="101"/>
        <v>MT</v>
      </c>
      <c r="O1138" t="str">
        <f t="shared" si="102"/>
        <v>Sorriso</v>
      </c>
    </row>
    <row r="1139" spans="1:15" x14ac:dyDescent="0.3">
      <c r="A1139" s="10">
        <v>45809</v>
      </c>
      <c r="B1139" s="9" t="s">
        <v>14</v>
      </c>
      <c r="C1139" t="s">
        <v>287</v>
      </c>
      <c r="D1139" s="9">
        <v>19905</v>
      </c>
      <c r="E1139" s="5" t="s">
        <v>513</v>
      </c>
      <c r="F1139" t="s">
        <v>288</v>
      </c>
      <c r="G1139">
        <v>1239</v>
      </c>
      <c r="H1139">
        <v>544</v>
      </c>
      <c r="I1139" s="8">
        <f t="shared" si="103"/>
        <v>0.43906376109765938</v>
      </c>
      <c r="J1139" s="17">
        <v>0.7</v>
      </c>
      <c r="K1139" s="12">
        <v>13.75</v>
      </c>
      <c r="L1139" s="2">
        <f t="shared" si="105"/>
        <v>323.29999999999995</v>
      </c>
      <c r="M1139" s="15">
        <f t="shared" si="104"/>
        <v>4445.3749999999991</v>
      </c>
      <c r="N1139" t="str">
        <f t="shared" si="101"/>
        <v>MG</v>
      </c>
      <c r="O1139" t="str">
        <f t="shared" si="102"/>
        <v>Varginha</v>
      </c>
    </row>
    <row r="1140" spans="1:15" x14ac:dyDescent="0.3">
      <c r="A1140" s="10">
        <v>45809</v>
      </c>
      <c r="B1140" s="9" t="s">
        <v>3</v>
      </c>
      <c r="C1140" t="s">
        <v>12</v>
      </c>
      <c r="D1140" s="9">
        <v>19901</v>
      </c>
      <c r="E1140" s="5" t="s">
        <v>514</v>
      </c>
      <c r="F1140" t="s">
        <v>13</v>
      </c>
      <c r="G1140">
        <v>1041</v>
      </c>
      <c r="H1140">
        <v>338</v>
      </c>
      <c r="I1140" s="8">
        <f t="shared" si="103"/>
        <v>0.32468780019212296</v>
      </c>
      <c r="J1140" s="17">
        <v>0.7</v>
      </c>
      <c r="K1140" s="12">
        <v>13.75</v>
      </c>
      <c r="L1140" s="2">
        <f t="shared" si="105"/>
        <v>390.70000000000005</v>
      </c>
      <c r="M1140" s="15">
        <f t="shared" si="104"/>
        <v>5372.1250000000009</v>
      </c>
      <c r="N1140" t="str">
        <f t="shared" si="101"/>
        <v>SP</v>
      </c>
      <c r="O1140" t="str">
        <f t="shared" si="102"/>
        <v>Araras</v>
      </c>
    </row>
    <row r="1141" spans="1:15" x14ac:dyDescent="0.3">
      <c r="A1141" s="10">
        <v>45809</v>
      </c>
      <c r="B1141" s="9" t="s">
        <v>14</v>
      </c>
      <c r="C1141" t="s">
        <v>137</v>
      </c>
      <c r="D1141" s="9">
        <v>19899</v>
      </c>
      <c r="E1141" s="5" t="s">
        <v>515</v>
      </c>
      <c r="F1141" t="s">
        <v>138</v>
      </c>
      <c r="G1141">
        <v>1337</v>
      </c>
      <c r="H1141">
        <v>620</v>
      </c>
      <c r="I1141" s="8">
        <f t="shared" si="103"/>
        <v>0.4637247569184742</v>
      </c>
      <c r="J1141" s="17">
        <v>0.7</v>
      </c>
      <c r="K1141" s="12">
        <v>13.75</v>
      </c>
      <c r="L1141" s="2">
        <f t="shared" si="105"/>
        <v>315.89999999999998</v>
      </c>
      <c r="M1141" s="15">
        <f t="shared" si="104"/>
        <v>4343.625</v>
      </c>
      <c r="N1141" t="str">
        <f t="shared" si="101"/>
        <v>MG</v>
      </c>
      <c r="O1141" t="str">
        <f t="shared" si="102"/>
        <v>Montes Claros</v>
      </c>
    </row>
    <row r="1142" spans="1:15" x14ac:dyDescent="0.3">
      <c r="A1142" s="10">
        <v>45809</v>
      </c>
      <c r="B1142" s="9" t="s">
        <v>14</v>
      </c>
      <c r="C1142" t="s">
        <v>137</v>
      </c>
      <c r="D1142" s="9">
        <v>19796</v>
      </c>
      <c r="E1142" s="5" t="s">
        <v>516</v>
      </c>
      <c r="F1142" t="s">
        <v>139</v>
      </c>
      <c r="G1142">
        <v>2657</v>
      </c>
      <c r="H1142">
        <v>1316</v>
      </c>
      <c r="I1142" s="8">
        <f t="shared" si="103"/>
        <v>0.49529544599171998</v>
      </c>
      <c r="J1142" s="17">
        <v>0.7</v>
      </c>
      <c r="K1142" s="12">
        <v>13.75</v>
      </c>
      <c r="L1142" s="2">
        <f t="shared" si="105"/>
        <v>543.89999999999986</v>
      </c>
      <c r="M1142" s="15">
        <f t="shared" si="104"/>
        <v>7478.6249999999982</v>
      </c>
      <c r="N1142" t="str">
        <f t="shared" si="101"/>
        <v>MG</v>
      </c>
      <c r="O1142" t="str">
        <f t="shared" si="102"/>
        <v>Montes Claros</v>
      </c>
    </row>
    <row r="1143" spans="1:15" x14ac:dyDescent="0.3">
      <c r="A1143" s="10">
        <v>45809</v>
      </c>
      <c r="B1143" s="9" t="s">
        <v>15</v>
      </c>
      <c r="C1143" t="s">
        <v>358</v>
      </c>
      <c r="D1143" s="9">
        <v>19528</v>
      </c>
      <c r="E1143" s="5" t="s">
        <v>517</v>
      </c>
      <c r="F1143" t="s">
        <v>223</v>
      </c>
      <c r="G1143">
        <v>2886</v>
      </c>
      <c r="H1143">
        <v>906</v>
      </c>
      <c r="I1143" s="8">
        <f t="shared" si="103"/>
        <v>0.31392931392931395</v>
      </c>
      <c r="J1143" s="17">
        <v>0.7</v>
      </c>
      <c r="K1143" s="12">
        <v>13.75</v>
      </c>
      <c r="L1143" s="2">
        <f t="shared" si="105"/>
        <v>1114.1999999999996</v>
      </c>
      <c r="M1143" s="15">
        <f t="shared" si="104"/>
        <v>15320.249999999995</v>
      </c>
      <c r="N1143" t="str">
        <f t="shared" si="101"/>
        <v>RJ</v>
      </c>
      <c r="O1143" t="str">
        <f t="shared" si="102"/>
        <v>Rio De Janeiro</v>
      </c>
    </row>
    <row r="1144" spans="1:15" x14ac:dyDescent="0.3">
      <c r="A1144" s="10">
        <v>45809</v>
      </c>
      <c r="B1144" s="9" t="s">
        <v>6</v>
      </c>
      <c r="C1144" t="s">
        <v>158</v>
      </c>
      <c r="D1144" s="9">
        <v>19914</v>
      </c>
      <c r="E1144" s="5" t="s">
        <v>519</v>
      </c>
      <c r="F1144" t="s">
        <v>159</v>
      </c>
      <c r="G1144">
        <v>2551</v>
      </c>
      <c r="H1144">
        <v>1533</v>
      </c>
      <c r="I1144" s="8">
        <f t="shared" si="103"/>
        <v>0.60094080752646017</v>
      </c>
      <c r="J1144" s="17">
        <v>0.7</v>
      </c>
      <c r="K1144" s="12">
        <v>13.75</v>
      </c>
      <c r="L1144" s="2">
        <f t="shared" si="105"/>
        <v>252.70000000000005</v>
      </c>
      <c r="M1144" s="15">
        <f t="shared" si="104"/>
        <v>3474.6250000000005</v>
      </c>
      <c r="N1144" t="str">
        <f t="shared" si="101"/>
        <v>PA</v>
      </c>
      <c r="O1144" t="str">
        <f t="shared" si="102"/>
        <v>Parauapebas</v>
      </c>
    </row>
    <row r="1145" spans="1:15" x14ac:dyDescent="0.3">
      <c r="A1145" s="10">
        <v>45809</v>
      </c>
      <c r="B1145" s="9" t="s">
        <v>155</v>
      </c>
      <c r="C1145" t="s">
        <v>156</v>
      </c>
      <c r="D1145" s="9">
        <v>19916</v>
      </c>
      <c r="E1145" s="5" t="s">
        <v>520</v>
      </c>
      <c r="F1145" t="s">
        <v>157</v>
      </c>
      <c r="G1145">
        <v>2154</v>
      </c>
      <c r="H1145">
        <v>954</v>
      </c>
      <c r="I1145" s="8">
        <f t="shared" si="103"/>
        <v>0.44289693593314761</v>
      </c>
      <c r="J1145" s="17">
        <v>0.7</v>
      </c>
      <c r="K1145" s="12">
        <v>13.75</v>
      </c>
      <c r="L1145" s="2">
        <f t="shared" si="105"/>
        <v>553.79999999999995</v>
      </c>
      <c r="M1145" s="15">
        <f t="shared" si="104"/>
        <v>7614.7499999999991</v>
      </c>
      <c r="N1145" t="str">
        <f t="shared" si="101"/>
        <v>TO</v>
      </c>
      <c r="O1145" t="str">
        <f t="shared" si="102"/>
        <v>Palmas</v>
      </c>
    </row>
    <row r="1146" spans="1:15" x14ac:dyDescent="0.3">
      <c r="A1146" s="10">
        <v>45809</v>
      </c>
      <c r="B1146" s="9" t="s">
        <v>74</v>
      </c>
      <c r="C1146" t="s">
        <v>97</v>
      </c>
      <c r="D1146" s="9">
        <v>19911</v>
      </c>
      <c r="E1146" s="5" t="s">
        <v>522</v>
      </c>
      <c r="F1146" t="s">
        <v>98</v>
      </c>
      <c r="G1146">
        <v>2148</v>
      </c>
      <c r="H1146">
        <v>1097</v>
      </c>
      <c r="I1146" s="8">
        <f t="shared" si="103"/>
        <v>0.51070763500931093</v>
      </c>
      <c r="J1146" s="17">
        <v>0.7</v>
      </c>
      <c r="K1146" s="12">
        <v>13.75</v>
      </c>
      <c r="L1146" s="2">
        <f t="shared" si="105"/>
        <v>406.60000000000014</v>
      </c>
      <c r="M1146" s="15">
        <f t="shared" si="104"/>
        <v>5590.7500000000018</v>
      </c>
      <c r="N1146" t="str">
        <f t="shared" si="101"/>
        <v>PE</v>
      </c>
      <c r="O1146" t="str">
        <f t="shared" si="102"/>
        <v>Garanhuns</v>
      </c>
    </row>
    <row r="1147" spans="1:15" x14ac:dyDescent="0.3">
      <c r="A1147" s="10">
        <v>45809</v>
      </c>
      <c r="B1147" s="9" t="s">
        <v>15</v>
      </c>
      <c r="C1147" t="s">
        <v>341</v>
      </c>
      <c r="D1147" s="9">
        <v>19908</v>
      </c>
      <c r="E1147" s="5" t="s">
        <v>523</v>
      </c>
      <c r="F1147" t="s">
        <v>16</v>
      </c>
      <c r="G1147">
        <v>1171</v>
      </c>
      <c r="H1147">
        <v>631</v>
      </c>
      <c r="I1147" s="8">
        <f t="shared" si="103"/>
        <v>0.53885567890691721</v>
      </c>
      <c r="J1147" s="17">
        <v>0.7</v>
      </c>
      <c r="K1147" s="12">
        <v>13.75</v>
      </c>
      <c r="L1147" s="2">
        <f t="shared" si="105"/>
        <v>188.69999999999993</v>
      </c>
      <c r="M1147" s="15">
        <f t="shared" si="104"/>
        <v>2594.6249999999991</v>
      </c>
      <c r="N1147" t="str">
        <f t="shared" si="101"/>
        <v>RJ</v>
      </c>
      <c r="O1147" t="str">
        <f t="shared" si="102"/>
        <v>Armação Dos Búzios</v>
      </c>
    </row>
    <row r="1148" spans="1:15" x14ac:dyDescent="0.3">
      <c r="A1148" s="10">
        <v>45809</v>
      </c>
      <c r="B1148" s="9" t="s">
        <v>21</v>
      </c>
      <c r="C1148" t="s">
        <v>121</v>
      </c>
      <c r="D1148" s="9">
        <v>19910</v>
      </c>
      <c r="E1148" s="5" t="s">
        <v>524</v>
      </c>
      <c r="F1148" t="s">
        <v>122</v>
      </c>
      <c r="G1148">
        <v>1248</v>
      </c>
      <c r="H1148">
        <v>646</v>
      </c>
      <c r="I1148" s="8">
        <f t="shared" si="103"/>
        <v>0.51762820512820518</v>
      </c>
      <c r="J1148" s="17">
        <v>0.7</v>
      </c>
      <c r="K1148" s="12">
        <v>13.75</v>
      </c>
      <c r="L1148" s="2">
        <f t="shared" si="105"/>
        <v>227.59999999999991</v>
      </c>
      <c r="M1148" s="15">
        <f t="shared" si="104"/>
        <v>3129.4999999999986</v>
      </c>
      <c r="N1148" t="str">
        <f t="shared" si="101"/>
        <v>BA</v>
      </c>
      <c r="O1148" t="str">
        <f t="shared" si="102"/>
        <v>Luís Eduardo Magalhães</v>
      </c>
    </row>
    <row r="1149" spans="1:15" x14ac:dyDescent="0.3">
      <c r="A1149" s="10">
        <v>45809</v>
      </c>
      <c r="B1149" s="9" t="s">
        <v>82</v>
      </c>
      <c r="C1149" t="s">
        <v>173</v>
      </c>
      <c r="D1149" s="9">
        <v>19926</v>
      </c>
      <c r="E1149" s="5" t="s">
        <v>525</v>
      </c>
      <c r="F1149" t="s">
        <v>174</v>
      </c>
      <c r="G1149">
        <v>1052</v>
      </c>
      <c r="H1149">
        <v>367</v>
      </c>
      <c r="I1149" s="8">
        <f t="shared" si="103"/>
        <v>0.34885931558935362</v>
      </c>
      <c r="J1149" s="17">
        <v>0.7</v>
      </c>
      <c r="K1149" s="12">
        <v>13.75</v>
      </c>
      <c r="L1149" s="2">
        <f t="shared" si="105"/>
        <v>369.39999999999986</v>
      </c>
      <c r="M1149" s="15">
        <f t="shared" si="104"/>
        <v>5079.2499999999982</v>
      </c>
      <c r="N1149" t="str">
        <f t="shared" si="101"/>
        <v>PR</v>
      </c>
      <c r="O1149" t="str">
        <f t="shared" si="102"/>
        <v>Ponta Grossa</v>
      </c>
    </row>
    <row r="1150" spans="1:15" x14ac:dyDescent="0.3">
      <c r="A1150" s="10">
        <v>45809</v>
      </c>
      <c r="B1150" s="9" t="s">
        <v>15</v>
      </c>
      <c r="C1150" t="s">
        <v>358</v>
      </c>
      <c r="D1150" s="9">
        <v>19523</v>
      </c>
      <c r="E1150" s="5" t="s">
        <v>526</v>
      </c>
      <c r="F1150" t="s">
        <v>224</v>
      </c>
      <c r="G1150">
        <v>2509</v>
      </c>
      <c r="H1150">
        <v>733</v>
      </c>
      <c r="I1150" s="8">
        <f t="shared" si="103"/>
        <v>0.29214826624153051</v>
      </c>
      <c r="J1150" s="17">
        <v>0.7</v>
      </c>
      <c r="K1150" s="12">
        <v>13.75</v>
      </c>
      <c r="L1150" s="2">
        <f t="shared" si="105"/>
        <v>1023.3</v>
      </c>
      <c r="M1150" s="15">
        <f t="shared" si="104"/>
        <v>14070.375</v>
      </c>
      <c r="N1150" t="str">
        <f t="shared" si="101"/>
        <v>RJ</v>
      </c>
      <c r="O1150" t="str">
        <f t="shared" si="102"/>
        <v>Rio De Janeiro</v>
      </c>
    </row>
    <row r="1151" spans="1:15" x14ac:dyDescent="0.3">
      <c r="A1151" s="10">
        <v>45809</v>
      </c>
      <c r="B1151" s="9" t="s">
        <v>15</v>
      </c>
      <c r="C1151" t="s">
        <v>358</v>
      </c>
      <c r="D1151" s="9">
        <v>19652</v>
      </c>
      <c r="E1151" s="5" t="s">
        <v>527</v>
      </c>
      <c r="F1151" t="s">
        <v>225</v>
      </c>
      <c r="G1151">
        <v>4661</v>
      </c>
      <c r="H1151">
        <v>1490</v>
      </c>
      <c r="I1151" s="8">
        <f t="shared" si="103"/>
        <v>0.31967388972323535</v>
      </c>
      <c r="J1151" s="17">
        <v>0.7</v>
      </c>
      <c r="K1151" s="12">
        <v>13.75</v>
      </c>
      <c r="L1151" s="2">
        <f t="shared" si="105"/>
        <v>1772.7000000000003</v>
      </c>
      <c r="M1151" s="15">
        <f t="shared" si="104"/>
        <v>24374.625000000004</v>
      </c>
      <c r="N1151" t="str">
        <f t="shared" si="101"/>
        <v>RJ</v>
      </c>
      <c r="O1151" t="str">
        <f t="shared" si="102"/>
        <v>Rio De Janeiro</v>
      </c>
    </row>
    <row r="1152" spans="1:15" x14ac:dyDescent="0.3">
      <c r="A1152" s="10">
        <v>45809</v>
      </c>
      <c r="B1152" s="9" t="s">
        <v>15</v>
      </c>
      <c r="C1152" t="s">
        <v>358</v>
      </c>
      <c r="D1152" s="9">
        <v>19529</v>
      </c>
      <c r="E1152" s="5" t="s">
        <v>528</v>
      </c>
      <c r="F1152" t="s">
        <v>226</v>
      </c>
      <c r="G1152">
        <v>4876</v>
      </c>
      <c r="H1152">
        <v>1507</v>
      </c>
      <c r="I1152" s="8">
        <f t="shared" si="103"/>
        <v>0.30906480721903201</v>
      </c>
      <c r="J1152" s="17">
        <v>0.7</v>
      </c>
      <c r="K1152" s="12">
        <v>13.75</v>
      </c>
      <c r="L1152" s="2">
        <f t="shared" si="105"/>
        <v>1906.1999999999994</v>
      </c>
      <c r="M1152" s="15">
        <f t="shared" si="104"/>
        <v>26210.249999999993</v>
      </c>
      <c r="N1152" t="str">
        <f t="shared" si="101"/>
        <v>RJ</v>
      </c>
      <c r="O1152" t="str">
        <f t="shared" si="102"/>
        <v>Rio De Janeiro</v>
      </c>
    </row>
    <row r="1153" spans="1:15" x14ac:dyDescent="0.3">
      <c r="A1153" s="10">
        <v>45809</v>
      </c>
      <c r="B1153" s="9" t="s">
        <v>3</v>
      </c>
      <c r="C1153" t="s">
        <v>248</v>
      </c>
      <c r="D1153" s="9">
        <v>19889</v>
      </c>
      <c r="E1153" s="5" t="s">
        <v>529</v>
      </c>
      <c r="F1153" t="s">
        <v>266</v>
      </c>
      <c r="G1153">
        <v>1534</v>
      </c>
      <c r="H1153">
        <v>608</v>
      </c>
      <c r="I1153" s="8">
        <f t="shared" si="103"/>
        <v>0.39634941329856582</v>
      </c>
      <c r="J1153" s="17">
        <v>0.7</v>
      </c>
      <c r="K1153" s="12">
        <v>13.75</v>
      </c>
      <c r="L1153" s="2">
        <f t="shared" si="105"/>
        <v>465.79999999999995</v>
      </c>
      <c r="M1153" s="15">
        <f t="shared" si="104"/>
        <v>6404.7499999999991</v>
      </c>
      <c r="N1153" t="str">
        <f t="shared" si="101"/>
        <v>SP</v>
      </c>
      <c r="O1153" t="str">
        <f t="shared" si="102"/>
        <v>São Paulo</v>
      </c>
    </row>
    <row r="1154" spans="1:15" x14ac:dyDescent="0.3">
      <c r="A1154" s="10">
        <v>45809</v>
      </c>
      <c r="B1154" s="9" t="s">
        <v>3</v>
      </c>
      <c r="C1154" t="s">
        <v>248</v>
      </c>
      <c r="D1154" s="9">
        <v>19888</v>
      </c>
      <c r="E1154" s="5" t="s">
        <v>530</v>
      </c>
      <c r="F1154" t="s">
        <v>267</v>
      </c>
      <c r="G1154">
        <v>1349</v>
      </c>
      <c r="H1154">
        <v>464</v>
      </c>
      <c r="I1154" s="8">
        <f t="shared" si="103"/>
        <v>0.34395848776871757</v>
      </c>
      <c r="J1154" s="17">
        <v>0.7</v>
      </c>
      <c r="K1154" s="12">
        <v>13.75</v>
      </c>
      <c r="L1154" s="2">
        <f t="shared" si="105"/>
        <v>480.29999999999984</v>
      </c>
      <c r="M1154" s="15">
        <f t="shared" si="104"/>
        <v>6604.1249999999982</v>
      </c>
      <c r="N1154" t="str">
        <f t="shared" ref="N1154:N1217" si="106">B1154</f>
        <v>SP</v>
      </c>
      <c r="O1154" t="str">
        <f t="shared" ref="O1154:O1217" si="107">C1154</f>
        <v>São Paulo</v>
      </c>
    </row>
    <row r="1155" spans="1:15" x14ac:dyDescent="0.3">
      <c r="A1155" s="10">
        <v>45809</v>
      </c>
      <c r="B1155" s="9" t="s">
        <v>82</v>
      </c>
      <c r="C1155" t="s">
        <v>106</v>
      </c>
      <c r="D1155" s="9">
        <v>19927</v>
      </c>
      <c r="E1155" s="5" t="s">
        <v>531</v>
      </c>
      <c r="F1155" t="s">
        <v>107</v>
      </c>
      <c r="G1155">
        <v>911</v>
      </c>
      <c r="H1155">
        <v>281</v>
      </c>
      <c r="I1155" s="8">
        <f t="shared" ref="I1155:I1218" si="108">H1155/G1155</f>
        <v>0.30845225027442369</v>
      </c>
      <c r="J1155" s="17">
        <v>0.7</v>
      </c>
      <c r="K1155" s="12">
        <v>13.75</v>
      </c>
      <c r="L1155" s="2">
        <f t="shared" ref="L1155:L1186" si="109">H1155*J1155/I1155-H1155</f>
        <v>356.70000000000005</v>
      </c>
      <c r="M1155" s="15">
        <f t="shared" ref="M1155:M1218" si="110">L1155*K1155</f>
        <v>4904.6250000000009</v>
      </c>
      <c r="N1155" t="str">
        <f t="shared" si="106"/>
        <v>PR</v>
      </c>
      <c r="O1155" t="str">
        <f t="shared" si="107"/>
        <v>Guarapuava</v>
      </c>
    </row>
    <row r="1156" spans="1:15" x14ac:dyDescent="0.3">
      <c r="A1156" s="10">
        <v>45809</v>
      </c>
      <c r="B1156" s="9" t="s">
        <v>3</v>
      </c>
      <c r="C1156" t="s">
        <v>44</v>
      </c>
      <c r="D1156" s="9">
        <v>19930</v>
      </c>
      <c r="E1156" s="5" t="s">
        <v>533</v>
      </c>
      <c r="F1156" t="s">
        <v>45</v>
      </c>
      <c r="G1156">
        <v>2018</v>
      </c>
      <c r="H1156">
        <v>998</v>
      </c>
      <c r="I1156" s="8">
        <f t="shared" si="108"/>
        <v>0.49454905847373637</v>
      </c>
      <c r="J1156" s="17">
        <v>0.7</v>
      </c>
      <c r="K1156" s="12">
        <v>13.75</v>
      </c>
      <c r="L1156" s="2">
        <f t="shared" si="109"/>
        <v>414.59999999999991</v>
      </c>
      <c r="M1156" s="15">
        <f t="shared" si="110"/>
        <v>5700.7499999999991</v>
      </c>
      <c r="N1156" t="str">
        <f t="shared" si="106"/>
        <v>SP</v>
      </c>
      <c r="O1156" t="str">
        <f t="shared" si="107"/>
        <v>Botucatu</v>
      </c>
    </row>
    <row r="1157" spans="1:15" x14ac:dyDescent="0.3">
      <c r="A1157" s="10">
        <v>45809</v>
      </c>
      <c r="B1157" s="9" t="s">
        <v>3</v>
      </c>
      <c r="C1157" t="s">
        <v>353</v>
      </c>
      <c r="D1157" s="9">
        <v>19675</v>
      </c>
      <c r="E1157" s="5" t="s">
        <v>534</v>
      </c>
      <c r="F1157" t="s">
        <v>354</v>
      </c>
      <c r="G1157">
        <v>933</v>
      </c>
      <c r="H1157">
        <v>315</v>
      </c>
      <c r="I1157" s="8">
        <f t="shared" si="108"/>
        <v>0.33762057877813506</v>
      </c>
      <c r="J1157" s="17">
        <v>0.7</v>
      </c>
      <c r="K1157" s="12">
        <v>13.75</v>
      </c>
      <c r="L1157" s="2">
        <f t="shared" si="109"/>
        <v>338.1</v>
      </c>
      <c r="M1157" s="15">
        <f t="shared" si="110"/>
        <v>4648.875</v>
      </c>
      <c r="N1157" t="str">
        <f t="shared" si="106"/>
        <v>SP</v>
      </c>
      <c r="O1157" t="str">
        <f t="shared" si="107"/>
        <v>Limeira</v>
      </c>
    </row>
    <row r="1158" spans="1:15" x14ac:dyDescent="0.3">
      <c r="A1158" s="10">
        <v>45809</v>
      </c>
      <c r="B1158" s="9" t="s">
        <v>15</v>
      </c>
      <c r="C1158" t="s">
        <v>358</v>
      </c>
      <c r="D1158" s="9">
        <v>19609</v>
      </c>
      <c r="E1158" s="5" t="s">
        <v>535</v>
      </c>
      <c r="F1158" t="s">
        <v>227</v>
      </c>
      <c r="G1158">
        <v>2116</v>
      </c>
      <c r="H1158">
        <v>898</v>
      </c>
      <c r="I1158" s="8">
        <f t="shared" si="108"/>
        <v>0.42438563327032136</v>
      </c>
      <c r="J1158" s="17">
        <v>0.7</v>
      </c>
      <c r="K1158" s="12">
        <v>13.75</v>
      </c>
      <c r="L1158" s="2">
        <f t="shared" si="109"/>
        <v>583.19999999999982</v>
      </c>
      <c r="M1158" s="15">
        <f t="shared" si="110"/>
        <v>8018.9999999999973</v>
      </c>
      <c r="N1158" t="str">
        <f t="shared" si="106"/>
        <v>RJ</v>
      </c>
      <c r="O1158" t="str">
        <f t="shared" si="107"/>
        <v>Rio De Janeiro</v>
      </c>
    </row>
    <row r="1159" spans="1:15" x14ac:dyDescent="0.3">
      <c r="A1159" s="10">
        <v>45809</v>
      </c>
      <c r="B1159" s="9" t="s">
        <v>3</v>
      </c>
      <c r="C1159" t="s">
        <v>4</v>
      </c>
      <c r="D1159" s="9">
        <v>19928</v>
      </c>
      <c r="E1159" s="5" t="s">
        <v>536</v>
      </c>
      <c r="F1159" t="s">
        <v>5</v>
      </c>
      <c r="G1159">
        <v>1624</v>
      </c>
      <c r="H1159">
        <v>881</v>
      </c>
      <c r="I1159" s="8">
        <f t="shared" si="108"/>
        <v>0.54248768472906406</v>
      </c>
      <c r="J1159" s="17">
        <v>0.7</v>
      </c>
      <c r="K1159" s="12">
        <v>13.75</v>
      </c>
      <c r="L1159" s="2">
        <f t="shared" si="109"/>
        <v>255.79999999999973</v>
      </c>
      <c r="M1159" s="15">
        <f t="shared" si="110"/>
        <v>3517.2499999999964</v>
      </c>
      <c r="N1159" t="str">
        <f t="shared" si="106"/>
        <v>SP</v>
      </c>
      <c r="O1159" t="str">
        <f t="shared" si="107"/>
        <v>Americana</v>
      </c>
    </row>
    <row r="1160" spans="1:15" x14ac:dyDescent="0.3">
      <c r="A1160" s="10">
        <v>45809</v>
      </c>
      <c r="B1160" s="9" t="s">
        <v>71</v>
      </c>
      <c r="C1160" t="s">
        <v>163</v>
      </c>
      <c r="D1160" s="9">
        <v>19933</v>
      </c>
      <c r="E1160" s="5" t="s">
        <v>538</v>
      </c>
      <c r="F1160" t="s">
        <v>164</v>
      </c>
      <c r="G1160">
        <v>784</v>
      </c>
      <c r="H1160">
        <v>228</v>
      </c>
      <c r="I1160" s="8">
        <f t="shared" si="108"/>
        <v>0.29081632653061223</v>
      </c>
      <c r="J1160" s="17">
        <v>0.7</v>
      </c>
      <c r="K1160" s="12">
        <v>13.75</v>
      </c>
      <c r="L1160" s="2">
        <f t="shared" si="109"/>
        <v>320.79999999999995</v>
      </c>
      <c r="M1160" s="15">
        <f t="shared" si="110"/>
        <v>4410.9999999999991</v>
      </c>
      <c r="N1160" t="str">
        <f t="shared" si="106"/>
        <v>RS</v>
      </c>
      <c r="O1160" t="str">
        <f t="shared" si="107"/>
        <v>Passo</v>
      </c>
    </row>
    <row r="1161" spans="1:15" x14ac:dyDescent="0.3">
      <c r="A1161" s="10">
        <v>45809</v>
      </c>
      <c r="B1161" s="9" t="s">
        <v>59</v>
      </c>
      <c r="C1161" t="s">
        <v>343</v>
      </c>
      <c r="D1161" s="9">
        <v>19944</v>
      </c>
      <c r="E1161" s="5" t="s">
        <v>539</v>
      </c>
      <c r="F1161" t="s">
        <v>60</v>
      </c>
      <c r="G1161">
        <v>2283</v>
      </c>
      <c r="H1161">
        <v>940</v>
      </c>
      <c r="I1161" s="8">
        <f t="shared" si="108"/>
        <v>0.41173893999123962</v>
      </c>
      <c r="J1161" s="17">
        <v>0.7</v>
      </c>
      <c r="K1161" s="12">
        <v>13.75</v>
      </c>
      <c r="L1161" s="2">
        <f t="shared" si="109"/>
        <v>658.09999999999991</v>
      </c>
      <c r="M1161" s="15">
        <f t="shared" si="110"/>
        <v>9048.8749999999982</v>
      </c>
      <c r="N1161" t="str">
        <f t="shared" si="106"/>
        <v>ES</v>
      </c>
      <c r="O1161" t="str">
        <f t="shared" si="107"/>
        <v>Cachoeira De Itapemirim</v>
      </c>
    </row>
    <row r="1162" spans="1:15" x14ac:dyDescent="0.3">
      <c r="A1162" s="10">
        <v>45809</v>
      </c>
      <c r="B1162" s="9" t="s">
        <v>82</v>
      </c>
      <c r="C1162" t="s">
        <v>83</v>
      </c>
      <c r="D1162" s="9">
        <v>19936</v>
      </c>
      <c r="E1162" s="5" t="s">
        <v>540</v>
      </c>
      <c r="F1162" t="s">
        <v>86</v>
      </c>
      <c r="G1162">
        <v>1887</v>
      </c>
      <c r="H1162">
        <v>546</v>
      </c>
      <c r="I1162" s="8">
        <f t="shared" si="108"/>
        <v>0.28934817170111288</v>
      </c>
      <c r="J1162" s="17">
        <v>0.7</v>
      </c>
      <c r="K1162" s="12">
        <v>13.75</v>
      </c>
      <c r="L1162" s="2">
        <f t="shared" si="109"/>
        <v>774.89999999999986</v>
      </c>
      <c r="M1162" s="15">
        <f t="shared" si="110"/>
        <v>10654.874999999998</v>
      </c>
      <c r="N1162" t="str">
        <f t="shared" si="106"/>
        <v>PR</v>
      </c>
      <c r="O1162" t="str">
        <f t="shared" si="107"/>
        <v>Curitiba</v>
      </c>
    </row>
    <row r="1163" spans="1:15" x14ac:dyDescent="0.3">
      <c r="A1163" s="10">
        <v>45809</v>
      </c>
      <c r="B1163" s="9" t="s">
        <v>21</v>
      </c>
      <c r="C1163" t="s">
        <v>228</v>
      </c>
      <c r="D1163" s="9">
        <v>19931</v>
      </c>
      <c r="E1163" s="5" t="s">
        <v>541</v>
      </c>
      <c r="F1163" t="s">
        <v>233</v>
      </c>
      <c r="G1163">
        <v>1823</v>
      </c>
      <c r="H1163">
        <v>820</v>
      </c>
      <c r="I1163" s="8">
        <f t="shared" si="108"/>
        <v>0.44980800877674165</v>
      </c>
      <c r="J1163" s="17">
        <v>0.7</v>
      </c>
      <c r="K1163" s="12">
        <v>13.75</v>
      </c>
      <c r="L1163" s="2">
        <f t="shared" si="109"/>
        <v>456.09999999999991</v>
      </c>
      <c r="M1163" s="15">
        <f t="shared" si="110"/>
        <v>6271.3749999999991</v>
      </c>
      <c r="N1163" t="str">
        <f t="shared" si="106"/>
        <v>BA</v>
      </c>
      <c r="O1163" t="str">
        <f t="shared" si="107"/>
        <v>Salvador</v>
      </c>
    </row>
    <row r="1164" spans="1:15" x14ac:dyDescent="0.3">
      <c r="A1164" s="10">
        <v>45809</v>
      </c>
      <c r="B1164" s="9" t="s">
        <v>14</v>
      </c>
      <c r="C1164" t="s">
        <v>273</v>
      </c>
      <c r="D1164" s="9">
        <v>19937</v>
      </c>
      <c r="E1164" s="5" t="s">
        <v>542</v>
      </c>
      <c r="F1164" t="s">
        <v>274</v>
      </c>
      <c r="G1164">
        <v>1217</v>
      </c>
      <c r="H1164">
        <v>618</v>
      </c>
      <c r="I1164" s="8">
        <f t="shared" si="108"/>
        <v>0.50780608052588327</v>
      </c>
      <c r="J1164" s="17">
        <v>0.7</v>
      </c>
      <c r="K1164" s="12">
        <v>13.75</v>
      </c>
      <c r="L1164" s="2">
        <f t="shared" si="109"/>
        <v>233.89999999999998</v>
      </c>
      <c r="M1164" s="15">
        <f t="shared" si="110"/>
        <v>3216.1249999999995</v>
      </c>
      <c r="N1164" t="str">
        <f t="shared" si="106"/>
        <v>MG</v>
      </c>
      <c r="O1164" t="str">
        <f t="shared" si="107"/>
        <v>Sete Lagoas</v>
      </c>
    </row>
    <row r="1165" spans="1:15" x14ac:dyDescent="0.3">
      <c r="A1165" s="10">
        <v>45809</v>
      </c>
      <c r="B1165" s="9" t="s">
        <v>46</v>
      </c>
      <c r="C1165" t="s">
        <v>102</v>
      </c>
      <c r="D1165" s="9">
        <v>19553</v>
      </c>
      <c r="E1165" s="5" t="s">
        <v>543</v>
      </c>
      <c r="F1165" t="s">
        <v>103</v>
      </c>
      <c r="G1165">
        <v>2433</v>
      </c>
      <c r="H1165">
        <v>976</v>
      </c>
      <c r="I1165" s="8">
        <f t="shared" si="108"/>
        <v>0.4011508425811755</v>
      </c>
      <c r="J1165" s="17">
        <v>0.7</v>
      </c>
      <c r="K1165" s="12">
        <v>13.75</v>
      </c>
      <c r="L1165" s="2">
        <f t="shared" si="109"/>
        <v>727.09999999999991</v>
      </c>
      <c r="M1165" s="15">
        <f t="shared" si="110"/>
        <v>9997.6249999999982</v>
      </c>
      <c r="N1165" t="str">
        <f t="shared" si="106"/>
        <v>DF</v>
      </c>
      <c r="O1165" t="str">
        <f t="shared" si="107"/>
        <v>Guará</v>
      </c>
    </row>
    <row r="1166" spans="1:15" x14ac:dyDescent="0.3">
      <c r="A1166" s="10">
        <v>45809</v>
      </c>
      <c r="B1166" s="9" t="s">
        <v>140</v>
      </c>
      <c r="C1166" t="s">
        <v>141</v>
      </c>
      <c r="D1166" s="9">
        <v>19940</v>
      </c>
      <c r="E1166" s="5" t="s">
        <v>545</v>
      </c>
      <c r="F1166" t="s">
        <v>142</v>
      </c>
      <c r="G1166">
        <v>2099</v>
      </c>
      <c r="H1166">
        <v>1156</v>
      </c>
      <c r="I1166" s="8">
        <f t="shared" si="108"/>
        <v>0.55073844687946638</v>
      </c>
      <c r="J1166" s="17">
        <v>0.7</v>
      </c>
      <c r="K1166" s="12">
        <v>13.75</v>
      </c>
      <c r="L1166" s="2">
        <f t="shared" si="109"/>
        <v>313.29999999999995</v>
      </c>
      <c r="M1166" s="15">
        <f t="shared" si="110"/>
        <v>4307.8749999999991</v>
      </c>
      <c r="N1166" t="str">
        <f t="shared" si="106"/>
        <v>RN</v>
      </c>
      <c r="O1166" t="str">
        <f t="shared" si="107"/>
        <v>Natal</v>
      </c>
    </row>
    <row r="1167" spans="1:15" x14ac:dyDescent="0.3">
      <c r="A1167" s="10">
        <v>45809</v>
      </c>
      <c r="B1167" s="9" t="s">
        <v>123</v>
      </c>
      <c r="C1167" t="s">
        <v>124</v>
      </c>
      <c r="D1167" s="9">
        <v>19945</v>
      </c>
      <c r="E1167" s="5" t="s">
        <v>546</v>
      </c>
      <c r="F1167" t="s">
        <v>125</v>
      </c>
      <c r="G1167">
        <v>1330</v>
      </c>
      <c r="H1167">
        <v>793</v>
      </c>
      <c r="I1167" s="8">
        <f t="shared" si="108"/>
        <v>0.59624060150375935</v>
      </c>
      <c r="J1167" s="17">
        <v>0.7</v>
      </c>
      <c r="K1167" s="12">
        <v>13.75</v>
      </c>
      <c r="L1167" s="2">
        <f t="shared" si="109"/>
        <v>137.99999999999989</v>
      </c>
      <c r="M1167" s="15">
        <f t="shared" si="110"/>
        <v>1897.4999999999984</v>
      </c>
      <c r="N1167" t="str">
        <f t="shared" si="106"/>
        <v>AP</v>
      </c>
      <c r="O1167" t="str">
        <f t="shared" si="107"/>
        <v>Macapa</v>
      </c>
    </row>
    <row r="1168" spans="1:15" x14ac:dyDescent="0.3">
      <c r="A1168" s="10">
        <v>45809</v>
      </c>
      <c r="B1168" s="9" t="s">
        <v>21</v>
      </c>
      <c r="C1168" t="s">
        <v>228</v>
      </c>
      <c r="D1168" s="9">
        <v>19907</v>
      </c>
      <c r="E1168" s="5" t="s">
        <v>547</v>
      </c>
      <c r="F1168" t="s">
        <v>234</v>
      </c>
      <c r="G1168">
        <v>1289</v>
      </c>
      <c r="H1168">
        <v>576</v>
      </c>
      <c r="I1168" s="8">
        <f t="shared" si="108"/>
        <v>0.44685802948021724</v>
      </c>
      <c r="J1168" s="17">
        <v>0.7</v>
      </c>
      <c r="K1168" s="12">
        <v>13.75</v>
      </c>
      <c r="L1168" s="2">
        <f t="shared" si="109"/>
        <v>326.29999999999995</v>
      </c>
      <c r="M1168" s="15">
        <f t="shared" si="110"/>
        <v>4486.6249999999991</v>
      </c>
      <c r="N1168" t="str">
        <f t="shared" si="106"/>
        <v>BA</v>
      </c>
      <c r="O1168" t="str">
        <f t="shared" si="107"/>
        <v>Salvador</v>
      </c>
    </row>
    <row r="1169" spans="1:15" x14ac:dyDescent="0.3">
      <c r="A1169" s="10">
        <v>45809</v>
      </c>
      <c r="B1169" s="9" t="s">
        <v>15</v>
      </c>
      <c r="C1169" t="s">
        <v>145</v>
      </c>
      <c r="D1169" s="9">
        <v>19538</v>
      </c>
      <c r="E1169" s="5" t="s">
        <v>548</v>
      </c>
      <c r="F1169" t="s">
        <v>146</v>
      </c>
      <c r="G1169">
        <v>2532</v>
      </c>
      <c r="H1169">
        <v>1113</v>
      </c>
      <c r="I1169" s="8">
        <f t="shared" si="108"/>
        <v>0.43957345971563982</v>
      </c>
      <c r="J1169" s="17">
        <v>0.7</v>
      </c>
      <c r="K1169" s="12">
        <v>13.75</v>
      </c>
      <c r="L1169" s="2">
        <f t="shared" si="109"/>
        <v>659.39999999999964</v>
      </c>
      <c r="M1169" s="15">
        <f t="shared" si="110"/>
        <v>9066.7499999999945</v>
      </c>
      <c r="N1169" t="str">
        <f t="shared" si="106"/>
        <v>RJ</v>
      </c>
      <c r="O1169" t="str">
        <f t="shared" si="107"/>
        <v>Niterói</v>
      </c>
    </row>
    <row r="1170" spans="1:15" x14ac:dyDescent="0.3">
      <c r="A1170" s="10">
        <v>45809</v>
      </c>
      <c r="B1170" s="9" t="s">
        <v>71</v>
      </c>
      <c r="C1170" t="s">
        <v>175</v>
      </c>
      <c r="D1170" s="9">
        <v>19947</v>
      </c>
      <c r="E1170" s="5" t="s">
        <v>550</v>
      </c>
      <c r="F1170" t="s">
        <v>180</v>
      </c>
      <c r="G1170">
        <v>2940</v>
      </c>
      <c r="H1170">
        <v>931</v>
      </c>
      <c r="I1170" s="8">
        <f t="shared" si="108"/>
        <v>0.31666666666666665</v>
      </c>
      <c r="J1170" s="17">
        <v>0.7</v>
      </c>
      <c r="K1170" s="12">
        <v>13.75</v>
      </c>
      <c r="L1170" s="2">
        <f t="shared" si="109"/>
        <v>1127</v>
      </c>
      <c r="M1170" s="15">
        <f t="shared" si="110"/>
        <v>15496.25</v>
      </c>
      <c r="N1170" t="str">
        <f t="shared" si="106"/>
        <v>RS</v>
      </c>
      <c r="O1170" t="str">
        <f t="shared" si="107"/>
        <v>Porto Alegre</v>
      </c>
    </row>
    <row r="1171" spans="1:15" x14ac:dyDescent="0.3">
      <c r="A1171" s="10">
        <v>45809</v>
      </c>
      <c r="B1171" s="9" t="s">
        <v>14</v>
      </c>
      <c r="C1171" t="s">
        <v>114</v>
      </c>
      <c r="D1171" s="9">
        <v>19943</v>
      </c>
      <c r="E1171" s="5" t="s">
        <v>551</v>
      </c>
      <c r="F1171" t="s">
        <v>115</v>
      </c>
      <c r="G1171">
        <v>1034</v>
      </c>
      <c r="H1171">
        <v>421</v>
      </c>
      <c r="I1171" s="8">
        <f t="shared" si="108"/>
        <v>0.4071566731141199</v>
      </c>
      <c r="J1171" s="17">
        <v>0.7</v>
      </c>
      <c r="K1171" s="12">
        <v>13.75</v>
      </c>
      <c r="L1171" s="2">
        <f t="shared" si="109"/>
        <v>302.79999999999995</v>
      </c>
      <c r="M1171" s="15">
        <f t="shared" si="110"/>
        <v>4163.4999999999991</v>
      </c>
      <c r="N1171" t="str">
        <f t="shared" si="106"/>
        <v>MG</v>
      </c>
      <c r="O1171" t="str">
        <f t="shared" si="107"/>
        <v>Ituiutaba</v>
      </c>
    </row>
    <row r="1172" spans="1:15" x14ac:dyDescent="0.3">
      <c r="A1172" s="10">
        <v>45809</v>
      </c>
      <c r="B1172" s="9" t="s">
        <v>244</v>
      </c>
      <c r="C1172" t="s">
        <v>245</v>
      </c>
      <c r="D1172" s="9">
        <v>19617</v>
      </c>
      <c r="E1172" s="5" t="s">
        <v>552</v>
      </c>
      <c r="F1172" t="s">
        <v>246</v>
      </c>
      <c r="G1172">
        <v>3466</v>
      </c>
      <c r="H1172">
        <v>1654</v>
      </c>
      <c r="I1172" s="8">
        <f t="shared" si="108"/>
        <v>0.47720715522215812</v>
      </c>
      <c r="J1172" s="17">
        <v>0.7</v>
      </c>
      <c r="K1172" s="12">
        <v>13.75</v>
      </c>
      <c r="L1172" s="2">
        <f t="shared" si="109"/>
        <v>772.19999999999982</v>
      </c>
      <c r="M1172" s="15">
        <f t="shared" si="110"/>
        <v>10617.749999999998</v>
      </c>
      <c r="N1172" t="str">
        <f t="shared" si="106"/>
        <v>MA</v>
      </c>
      <c r="O1172" t="str">
        <f t="shared" si="107"/>
        <v>São Luís</v>
      </c>
    </row>
    <row r="1173" spans="1:15" x14ac:dyDescent="0.3">
      <c r="A1173" s="10">
        <v>45809</v>
      </c>
      <c r="B1173" s="9" t="s">
        <v>244</v>
      </c>
      <c r="C1173" t="s">
        <v>245</v>
      </c>
      <c r="D1173" s="9">
        <v>19595</v>
      </c>
      <c r="E1173" s="5" t="s">
        <v>553</v>
      </c>
      <c r="F1173" t="s">
        <v>247</v>
      </c>
      <c r="G1173">
        <v>3148</v>
      </c>
      <c r="H1173">
        <v>1455</v>
      </c>
      <c r="I1173" s="8">
        <f t="shared" si="108"/>
        <v>0.46219822109275732</v>
      </c>
      <c r="J1173" s="17">
        <v>0.7</v>
      </c>
      <c r="K1173" s="12">
        <v>13.75</v>
      </c>
      <c r="L1173" s="2">
        <f t="shared" si="109"/>
        <v>748.59999999999945</v>
      </c>
      <c r="M1173" s="15">
        <f t="shared" si="110"/>
        <v>10293.249999999993</v>
      </c>
      <c r="N1173" t="str">
        <f t="shared" si="106"/>
        <v>MA</v>
      </c>
      <c r="O1173" t="str">
        <f t="shared" si="107"/>
        <v>São Luís</v>
      </c>
    </row>
    <row r="1174" spans="1:15" x14ac:dyDescent="0.3">
      <c r="A1174" s="10">
        <v>45809</v>
      </c>
      <c r="B1174" s="9" t="s">
        <v>3</v>
      </c>
      <c r="C1174" t="s">
        <v>10</v>
      </c>
      <c r="D1174" s="9">
        <v>19948</v>
      </c>
      <c r="E1174" s="5" t="s">
        <v>555</v>
      </c>
      <c r="F1174" t="s">
        <v>11</v>
      </c>
      <c r="G1174">
        <v>1312</v>
      </c>
      <c r="H1174">
        <v>394</v>
      </c>
      <c r="I1174" s="8">
        <f t="shared" si="108"/>
        <v>0.30030487804878048</v>
      </c>
      <c r="J1174" s="17">
        <v>0.7</v>
      </c>
      <c r="K1174" s="12">
        <v>13.75</v>
      </c>
      <c r="L1174" s="2">
        <f t="shared" si="109"/>
        <v>524.39999999999986</v>
      </c>
      <c r="M1174" s="15">
        <f t="shared" si="110"/>
        <v>7210.4999999999982</v>
      </c>
      <c r="N1174" t="str">
        <f t="shared" si="106"/>
        <v>SP</v>
      </c>
      <c r="O1174" t="str">
        <f t="shared" si="107"/>
        <v>Araraquara</v>
      </c>
    </row>
    <row r="1175" spans="1:15" x14ac:dyDescent="0.3">
      <c r="A1175" s="10">
        <v>45809</v>
      </c>
      <c r="B1175" s="9" t="s">
        <v>74</v>
      </c>
      <c r="C1175" t="s">
        <v>75</v>
      </c>
      <c r="D1175" s="9">
        <v>19798</v>
      </c>
      <c r="E1175" s="5" t="s">
        <v>556</v>
      </c>
      <c r="F1175" t="s">
        <v>76</v>
      </c>
      <c r="G1175">
        <v>3607</v>
      </c>
      <c r="H1175">
        <v>1644</v>
      </c>
      <c r="I1175" s="8">
        <f t="shared" si="108"/>
        <v>0.4557804269476019</v>
      </c>
      <c r="J1175" s="17">
        <v>0.7</v>
      </c>
      <c r="K1175" s="12">
        <v>13.75</v>
      </c>
      <c r="L1175" s="2">
        <f t="shared" si="109"/>
        <v>880.89999999999964</v>
      </c>
      <c r="M1175" s="15">
        <f t="shared" si="110"/>
        <v>12112.374999999995</v>
      </c>
      <c r="N1175" t="str">
        <f t="shared" si="106"/>
        <v>PE</v>
      </c>
      <c r="O1175" t="str">
        <f t="shared" si="107"/>
        <v>Caruaru</v>
      </c>
    </row>
    <row r="1176" spans="1:15" x14ac:dyDescent="0.3">
      <c r="A1176" s="10">
        <v>45809</v>
      </c>
      <c r="B1176" s="9" t="s">
        <v>15</v>
      </c>
      <c r="C1176" t="s">
        <v>19</v>
      </c>
      <c r="D1176" s="9">
        <v>19694</v>
      </c>
      <c r="E1176" s="5" t="s">
        <v>557</v>
      </c>
      <c r="F1176" t="s">
        <v>20</v>
      </c>
      <c r="G1176">
        <v>1932</v>
      </c>
      <c r="H1176">
        <v>1019</v>
      </c>
      <c r="I1176" s="8">
        <f t="shared" si="108"/>
        <v>0.52743271221532095</v>
      </c>
      <c r="J1176" s="17">
        <v>0.7</v>
      </c>
      <c r="K1176" s="12">
        <v>13.75</v>
      </c>
      <c r="L1176" s="2">
        <f t="shared" si="109"/>
        <v>333.39999999999986</v>
      </c>
      <c r="M1176" s="15">
        <f t="shared" si="110"/>
        <v>4584.2499999999982</v>
      </c>
      <c r="N1176" t="str">
        <f t="shared" si="106"/>
        <v>RJ</v>
      </c>
      <c r="O1176" t="str">
        <f t="shared" si="107"/>
        <v>Barra Mansa</v>
      </c>
    </row>
    <row r="1177" spans="1:15" x14ac:dyDescent="0.3">
      <c r="A1177" s="10">
        <v>45809</v>
      </c>
      <c r="B1177" s="9" t="s">
        <v>14</v>
      </c>
      <c r="C1177" t="s">
        <v>112</v>
      </c>
      <c r="D1177" s="9">
        <v>19951</v>
      </c>
      <c r="E1177" s="5" t="s">
        <v>558</v>
      </c>
      <c r="F1177" t="s">
        <v>113</v>
      </c>
      <c r="G1177">
        <v>2106</v>
      </c>
      <c r="H1177">
        <v>807</v>
      </c>
      <c r="I1177" s="8">
        <f t="shared" si="108"/>
        <v>0.38319088319088318</v>
      </c>
      <c r="J1177" s="17">
        <v>0.7</v>
      </c>
      <c r="K1177" s="12">
        <v>13.75</v>
      </c>
      <c r="L1177" s="2">
        <f t="shared" si="109"/>
        <v>667.2</v>
      </c>
      <c r="M1177" s="15">
        <f t="shared" si="110"/>
        <v>9174</v>
      </c>
      <c r="N1177" t="str">
        <f t="shared" si="106"/>
        <v>MG</v>
      </c>
      <c r="O1177" t="str">
        <f t="shared" si="107"/>
        <v>Ipatinga</v>
      </c>
    </row>
    <row r="1178" spans="1:15" x14ac:dyDescent="0.3">
      <c r="A1178" s="10">
        <v>45809</v>
      </c>
      <c r="B1178" s="9" t="s">
        <v>160</v>
      </c>
      <c r="C1178" t="s">
        <v>161</v>
      </c>
      <c r="D1178" s="9">
        <v>19954</v>
      </c>
      <c r="E1178" s="5" t="s">
        <v>559</v>
      </c>
      <c r="F1178" t="s">
        <v>162</v>
      </c>
      <c r="G1178">
        <v>760</v>
      </c>
      <c r="H1178">
        <v>398</v>
      </c>
      <c r="I1178" s="8">
        <f t="shared" si="108"/>
        <v>0.52368421052631575</v>
      </c>
      <c r="J1178" s="17">
        <v>0.7</v>
      </c>
      <c r="K1178" s="12">
        <v>13.75</v>
      </c>
      <c r="L1178" s="2">
        <f t="shared" si="109"/>
        <v>134</v>
      </c>
      <c r="M1178" s="15">
        <f t="shared" si="110"/>
        <v>1842.5</v>
      </c>
      <c r="N1178" t="str">
        <f t="shared" si="106"/>
        <v>PI</v>
      </c>
      <c r="O1178" t="str">
        <f t="shared" si="107"/>
        <v>Parnaíba</v>
      </c>
    </row>
    <row r="1179" spans="1:15" x14ac:dyDescent="0.3">
      <c r="A1179" s="10">
        <v>45809</v>
      </c>
      <c r="B1179" s="9" t="s">
        <v>14</v>
      </c>
      <c r="C1179" t="s">
        <v>351</v>
      </c>
      <c r="D1179" s="9">
        <v>19615</v>
      </c>
      <c r="E1179" s="5" t="s">
        <v>560</v>
      </c>
      <c r="F1179" t="s">
        <v>117</v>
      </c>
      <c r="G1179">
        <v>2484</v>
      </c>
      <c r="H1179">
        <v>829</v>
      </c>
      <c r="I1179" s="8">
        <f t="shared" si="108"/>
        <v>0.33373590982286633</v>
      </c>
      <c r="J1179" s="17">
        <v>0.7</v>
      </c>
      <c r="K1179" s="12">
        <v>13.75</v>
      </c>
      <c r="L1179" s="2">
        <f t="shared" si="109"/>
        <v>909.8</v>
      </c>
      <c r="M1179" s="15">
        <f t="shared" si="110"/>
        <v>12509.75</v>
      </c>
      <c r="N1179" t="str">
        <f t="shared" si="106"/>
        <v>MG</v>
      </c>
      <c r="O1179" t="str">
        <f t="shared" si="107"/>
        <v>Juiz De Fora</v>
      </c>
    </row>
    <row r="1180" spans="1:15" x14ac:dyDescent="0.3">
      <c r="A1180" s="10">
        <v>45809</v>
      </c>
      <c r="B1180" s="9" t="s">
        <v>46</v>
      </c>
      <c r="C1180" t="s">
        <v>47</v>
      </c>
      <c r="D1180" s="9">
        <v>19647</v>
      </c>
      <c r="E1180" s="5" t="s">
        <v>561</v>
      </c>
      <c r="F1180" t="s">
        <v>55</v>
      </c>
      <c r="G1180">
        <v>1670</v>
      </c>
      <c r="H1180">
        <v>564</v>
      </c>
      <c r="I1180" s="8">
        <f t="shared" si="108"/>
        <v>0.33772455089820358</v>
      </c>
      <c r="J1180" s="17">
        <v>0.7</v>
      </c>
      <c r="K1180" s="12">
        <v>13.75</v>
      </c>
      <c r="L1180" s="2">
        <f t="shared" si="109"/>
        <v>605</v>
      </c>
      <c r="M1180" s="15">
        <f t="shared" si="110"/>
        <v>8318.75</v>
      </c>
      <c r="N1180" t="str">
        <f t="shared" si="106"/>
        <v>DF</v>
      </c>
      <c r="O1180" t="str">
        <f t="shared" si="107"/>
        <v>Brasília</v>
      </c>
    </row>
    <row r="1181" spans="1:15" x14ac:dyDescent="0.3">
      <c r="A1181" s="10">
        <v>45809</v>
      </c>
      <c r="B1181" s="9" t="s">
        <v>46</v>
      </c>
      <c r="C1181" t="s">
        <v>47</v>
      </c>
      <c r="D1181" s="9">
        <v>19898</v>
      </c>
      <c r="E1181" s="5" t="s">
        <v>562</v>
      </c>
      <c r="F1181" t="s">
        <v>56</v>
      </c>
      <c r="G1181">
        <v>1372</v>
      </c>
      <c r="H1181">
        <v>523</v>
      </c>
      <c r="I1181" s="8">
        <f t="shared" si="108"/>
        <v>0.38119533527696792</v>
      </c>
      <c r="J1181" s="17">
        <v>0.7</v>
      </c>
      <c r="K1181" s="12">
        <v>13.75</v>
      </c>
      <c r="L1181" s="2">
        <f t="shared" si="109"/>
        <v>437.4</v>
      </c>
      <c r="M1181" s="15">
        <f t="shared" si="110"/>
        <v>6014.25</v>
      </c>
      <c r="N1181" t="str">
        <f t="shared" si="106"/>
        <v>DF</v>
      </c>
      <c r="O1181" t="str">
        <f t="shared" si="107"/>
        <v>Brasília</v>
      </c>
    </row>
    <row r="1182" spans="1:15" x14ac:dyDescent="0.3">
      <c r="A1182" s="10">
        <v>45809</v>
      </c>
      <c r="B1182" s="9" t="s">
        <v>3</v>
      </c>
      <c r="C1182" t="s">
        <v>64</v>
      </c>
      <c r="D1182" s="9">
        <v>19616</v>
      </c>
      <c r="E1182" s="5" t="s">
        <v>563</v>
      </c>
      <c r="F1182" t="s">
        <v>66</v>
      </c>
      <c r="G1182">
        <v>3793</v>
      </c>
      <c r="H1182">
        <v>1487</v>
      </c>
      <c r="I1182" s="8">
        <f t="shared" si="108"/>
        <v>0.39203796467176377</v>
      </c>
      <c r="J1182" s="17">
        <v>0.7</v>
      </c>
      <c r="K1182" s="12">
        <v>13.75</v>
      </c>
      <c r="L1182" s="2">
        <f t="shared" si="109"/>
        <v>1168.0999999999995</v>
      </c>
      <c r="M1182" s="15">
        <f t="shared" si="110"/>
        <v>16061.374999999993</v>
      </c>
      <c r="N1182" t="str">
        <f t="shared" si="106"/>
        <v>SP</v>
      </c>
      <c r="O1182" t="str">
        <f t="shared" si="107"/>
        <v>Campinas</v>
      </c>
    </row>
    <row r="1183" spans="1:15" x14ac:dyDescent="0.3">
      <c r="A1183" s="10">
        <v>45809</v>
      </c>
      <c r="B1183" s="9" t="s">
        <v>3</v>
      </c>
      <c r="C1183" t="s">
        <v>64</v>
      </c>
      <c r="D1183" s="9">
        <v>19688</v>
      </c>
      <c r="E1183" s="5" t="s">
        <v>564</v>
      </c>
      <c r="F1183" t="s">
        <v>67</v>
      </c>
      <c r="G1183">
        <v>2036</v>
      </c>
      <c r="H1183">
        <v>703</v>
      </c>
      <c r="I1183" s="8">
        <f t="shared" si="108"/>
        <v>0.34528487229862476</v>
      </c>
      <c r="J1183" s="17">
        <v>0.7</v>
      </c>
      <c r="K1183" s="12">
        <v>13.75</v>
      </c>
      <c r="L1183" s="2">
        <f t="shared" si="109"/>
        <v>722.19999999999982</v>
      </c>
      <c r="M1183" s="15">
        <f t="shared" si="110"/>
        <v>9930.2499999999982</v>
      </c>
      <c r="N1183" t="str">
        <f t="shared" si="106"/>
        <v>SP</v>
      </c>
      <c r="O1183" t="str">
        <f t="shared" si="107"/>
        <v>Campinas</v>
      </c>
    </row>
    <row r="1184" spans="1:15" x14ac:dyDescent="0.3">
      <c r="A1184" s="10">
        <v>45809</v>
      </c>
      <c r="B1184" s="9" t="s">
        <v>3</v>
      </c>
      <c r="C1184" t="s">
        <v>248</v>
      </c>
      <c r="D1184" s="9">
        <v>19863</v>
      </c>
      <c r="E1184" s="5" t="s">
        <v>566</v>
      </c>
      <c r="F1184" t="s">
        <v>268</v>
      </c>
      <c r="G1184">
        <v>2623</v>
      </c>
      <c r="H1184">
        <v>862</v>
      </c>
      <c r="I1184" s="8">
        <f t="shared" si="108"/>
        <v>0.32863133816240947</v>
      </c>
      <c r="J1184" s="17">
        <v>0.7</v>
      </c>
      <c r="K1184" s="12">
        <v>13.75</v>
      </c>
      <c r="L1184" s="2">
        <f t="shared" si="109"/>
        <v>974.09999999999991</v>
      </c>
      <c r="M1184" s="15">
        <f t="shared" si="110"/>
        <v>13393.874999999998</v>
      </c>
      <c r="N1184" t="str">
        <f t="shared" si="106"/>
        <v>SP</v>
      </c>
      <c r="O1184" t="str">
        <f t="shared" si="107"/>
        <v>São Paulo</v>
      </c>
    </row>
    <row r="1185" spans="1:15" x14ac:dyDescent="0.3">
      <c r="A1185" s="10">
        <v>45809</v>
      </c>
      <c r="B1185" s="9" t="s">
        <v>3</v>
      </c>
      <c r="C1185" t="s">
        <v>248</v>
      </c>
      <c r="D1185" s="9">
        <v>19817</v>
      </c>
      <c r="E1185" s="5" t="s">
        <v>567</v>
      </c>
      <c r="F1185" t="s">
        <v>269</v>
      </c>
      <c r="G1185">
        <v>1419</v>
      </c>
      <c r="H1185">
        <v>579</v>
      </c>
      <c r="I1185" s="8">
        <f t="shared" si="108"/>
        <v>0.40803382663847781</v>
      </c>
      <c r="J1185" s="17">
        <v>0.7</v>
      </c>
      <c r="K1185" s="12">
        <v>13.75</v>
      </c>
      <c r="L1185" s="2">
        <f t="shared" si="109"/>
        <v>414.29999999999984</v>
      </c>
      <c r="M1185" s="15">
        <f t="shared" si="110"/>
        <v>5696.6249999999982</v>
      </c>
      <c r="N1185" t="str">
        <f t="shared" si="106"/>
        <v>SP</v>
      </c>
      <c r="O1185" t="str">
        <f t="shared" si="107"/>
        <v>São Paulo</v>
      </c>
    </row>
    <row r="1186" spans="1:15" x14ac:dyDescent="0.3">
      <c r="A1186" s="10">
        <v>45809</v>
      </c>
      <c r="B1186" s="9" t="s">
        <v>3</v>
      </c>
      <c r="C1186" t="s">
        <v>248</v>
      </c>
      <c r="D1186" s="9">
        <v>19866</v>
      </c>
      <c r="E1186" s="5" t="s">
        <v>568</v>
      </c>
      <c r="F1186" t="s">
        <v>270</v>
      </c>
      <c r="G1186">
        <v>1616</v>
      </c>
      <c r="H1186">
        <v>568</v>
      </c>
      <c r="I1186" s="8">
        <f t="shared" si="108"/>
        <v>0.35148514851485146</v>
      </c>
      <c r="J1186" s="17">
        <v>0.7</v>
      </c>
      <c r="K1186" s="12">
        <v>13.75</v>
      </c>
      <c r="L1186" s="2">
        <f t="shared" si="109"/>
        <v>563.20000000000005</v>
      </c>
      <c r="M1186" s="15">
        <f t="shared" si="110"/>
        <v>7744.0000000000009</v>
      </c>
      <c r="N1186" t="str">
        <f t="shared" si="106"/>
        <v>SP</v>
      </c>
      <c r="O1186" t="str">
        <f t="shared" si="107"/>
        <v>São Paulo</v>
      </c>
    </row>
    <row r="1187" spans="1:15" x14ac:dyDescent="0.3">
      <c r="A1187" s="10">
        <v>45809</v>
      </c>
      <c r="B1187" s="9" t="s">
        <v>15</v>
      </c>
      <c r="C1187" t="s">
        <v>171</v>
      </c>
      <c r="D1187" s="9">
        <v>19520</v>
      </c>
      <c r="E1187" s="5" t="s">
        <v>569</v>
      </c>
      <c r="F1187" t="s">
        <v>172</v>
      </c>
      <c r="G1187">
        <v>1428</v>
      </c>
      <c r="H1187">
        <v>612</v>
      </c>
      <c r="I1187" s="8">
        <f t="shared" si="108"/>
        <v>0.42857142857142855</v>
      </c>
      <c r="J1187" s="17">
        <v>0.7</v>
      </c>
      <c r="K1187" s="12">
        <v>13.75</v>
      </c>
      <c r="L1187" s="2">
        <f t="shared" ref="L1187:L1218" si="111">H1187*J1187/I1187-H1187</f>
        <v>387.6</v>
      </c>
      <c r="M1187" s="15">
        <f t="shared" si="110"/>
        <v>5329.5</v>
      </c>
      <c r="N1187" t="str">
        <f t="shared" si="106"/>
        <v>RJ</v>
      </c>
      <c r="O1187" t="str">
        <f t="shared" si="107"/>
        <v>Petrópolis</v>
      </c>
    </row>
    <row r="1188" spans="1:15" x14ac:dyDescent="0.3">
      <c r="A1188" s="10">
        <v>45809</v>
      </c>
      <c r="B1188" s="9" t="s">
        <v>68</v>
      </c>
      <c r="C1188" t="s">
        <v>69</v>
      </c>
      <c r="D1188" s="9">
        <v>19602</v>
      </c>
      <c r="E1188" s="5" t="s">
        <v>570</v>
      </c>
      <c r="F1188" t="s">
        <v>70</v>
      </c>
      <c r="G1188">
        <v>456</v>
      </c>
      <c r="H1188">
        <v>76</v>
      </c>
      <c r="I1188" s="8">
        <f t="shared" si="108"/>
        <v>0.16666666666666666</v>
      </c>
      <c r="J1188" s="17">
        <v>0.7</v>
      </c>
      <c r="K1188" s="12">
        <v>13.75</v>
      </c>
      <c r="L1188" s="2">
        <f t="shared" si="111"/>
        <v>243.2</v>
      </c>
      <c r="M1188" s="15">
        <f t="shared" si="110"/>
        <v>3344</v>
      </c>
      <c r="N1188" t="str">
        <f t="shared" si="106"/>
        <v>MS</v>
      </c>
      <c r="O1188" t="str">
        <f t="shared" si="107"/>
        <v>Campo Grande</v>
      </c>
    </row>
    <row r="1189" spans="1:15" x14ac:dyDescent="0.3">
      <c r="A1189" s="10">
        <v>45809</v>
      </c>
      <c r="B1189" s="9" t="s">
        <v>15</v>
      </c>
      <c r="C1189" t="s">
        <v>332</v>
      </c>
      <c r="D1189" s="9">
        <v>19679</v>
      </c>
      <c r="E1189" s="5" t="s">
        <v>571</v>
      </c>
      <c r="F1189" t="s">
        <v>333</v>
      </c>
      <c r="G1189">
        <v>2067</v>
      </c>
      <c r="H1189">
        <v>964</v>
      </c>
      <c r="I1189" s="8">
        <f t="shared" si="108"/>
        <v>0.46637639090469279</v>
      </c>
      <c r="J1189" s="17">
        <v>0.7</v>
      </c>
      <c r="K1189" s="12">
        <v>13.75</v>
      </c>
      <c r="L1189" s="2">
        <f t="shared" si="111"/>
        <v>482.89999999999986</v>
      </c>
      <c r="M1189" s="15">
        <f t="shared" si="110"/>
        <v>6639.8749999999982</v>
      </c>
      <c r="N1189" t="str">
        <f t="shared" si="106"/>
        <v>RJ</v>
      </c>
      <c r="O1189" t="str">
        <f t="shared" si="107"/>
        <v>Macaé</v>
      </c>
    </row>
    <row r="1190" spans="1:15" x14ac:dyDescent="0.3">
      <c r="A1190" s="10">
        <v>45809</v>
      </c>
      <c r="B1190" s="9" t="s">
        <v>59</v>
      </c>
      <c r="C1190" t="s">
        <v>104</v>
      </c>
      <c r="D1190" s="9">
        <v>19872</v>
      </c>
      <c r="E1190" s="5" t="s">
        <v>572</v>
      </c>
      <c r="F1190" t="s">
        <v>105</v>
      </c>
      <c r="G1190">
        <v>1775</v>
      </c>
      <c r="H1190">
        <v>831</v>
      </c>
      <c r="I1190" s="8">
        <f t="shared" si="108"/>
        <v>0.46816901408450706</v>
      </c>
      <c r="J1190" s="17">
        <v>0.7</v>
      </c>
      <c r="K1190" s="12">
        <v>13.75</v>
      </c>
      <c r="L1190" s="2">
        <f t="shared" si="111"/>
        <v>411.49999999999977</v>
      </c>
      <c r="M1190" s="15">
        <f t="shared" si="110"/>
        <v>5658.1249999999973</v>
      </c>
      <c r="N1190" t="str">
        <f t="shared" si="106"/>
        <v>ES</v>
      </c>
      <c r="O1190" t="str">
        <f t="shared" si="107"/>
        <v>Guarapari</v>
      </c>
    </row>
    <row r="1191" spans="1:15" x14ac:dyDescent="0.3">
      <c r="A1191" s="10">
        <v>45809</v>
      </c>
      <c r="B1191" s="9" t="s">
        <v>82</v>
      </c>
      <c r="C1191" t="s">
        <v>83</v>
      </c>
      <c r="D1191" s="9">
        <v>19547</v>
      </c>
      <c r="E1191" s="5" t="s">
        <v>573</v>
      </c>
      <c r="F1191" t="s">
        <v>87</v>
      </c>
      <c r="G1191">
        <v>2447</v>
      </c>
      <c r="H1191">
        <v>711</v>
      </c>
      <c r="I1191" s="8">
        <f t="shared" si="108"/>
        <v>0.29055986922762567</v>
      </c>
      <c r="J1191" s="17">
        <v>0.7</v>
      </c>
      <c r="K1191" s="12">
        <v>13.75</v>
      </c>
      <c r="L1191" s="2">
        <f t="shared" si="111"/>
        <v>1001.8999999999999</v>
      </c>
      <c r="M1191" s="15">
        <f t="shared" si="110"/>
        <v>13776.124999999998</v>
      </c>
      <c r="N1191" t="str">
        <f t="shared" si="106"/>
        <v>PR</v>
      </c>
      <c r="O1191" t="str">
        <f t="shared" si="107"/>
        <v>Curitiba</v>
      </c>
    </row>
    <row r="1192" spans="1:15" x14ac:dyDescent="0.3">
      <c r="A1192" s="10">
        <v>45809</v>
      </c>
      <c r="B1192" s="9" t="s">
        <v>15</v>
      </c>
      <c r="C1192" t="s">
        <v>145</v>
      </c>
      <c r="D1192" s="9">
        <v>19513</v>
      </c>
      <c r="E1192" s="5" t="s">
        <v>574</v>
      </c>
      <c r="F1192" t="s">
        <v>147</v>
      </c>
      <c r="G1192">
        <v>2671</v>
      </c>
      <c r="H1192">
        <v>938</v>
      </c>
      <c r="I1192" s="8">
        <f t="shared" si="108"/>
        <v>0.35117933358292774</v>
      </c>
      <c r="J1192" s="17">
        <v>0.7</v>
      </c>
      <c r="K1192" s="12">
        <v>13.75</v>
      </c>
      <c r="L1192" s="2">
        <f t="shared" si="111"/>
        <v>931.69999999999982</v>
      </c>
      <c r="M1192" s="15">
        <f t="shared" si="110"/>
        <v>12810.874999999998</v>
      </c>
      <c r="N1192" t="str">
        <f t="shared" si="106"/>
        <v>RJ</v>
      </c>
      <c r="O1192" t="str">
        <f t="shared" si="107"/>
        <v>Niterói</v>
      </c>
    </row>
    <row r="1193" spans="1:15" x14ac:dyDescent="0.3">
      <c r="A1193" s="10">
        <v>45809</v>
      </c>
      <c r="B1193" s="9" t="s">
        <v>15</v>
      </c>
      <c r="C1193" t="s">
        <v>145</v>
      </c>
      <c r="D1193" s="9">
        <v>19525</v>
      </c>
      <c r="E1193" s="5" t="s">
        <v>575</v>
      </c>
      <c r="F1193" t="s">
        <v>148</v>
      </c>
      <c r="G1193">
        <v>3327</v>
      </c>
      <c r="H1193">
        <v>1295</v>
      </c>
      <c r="I1193" s="8">
        <f t="shared" si="108"/>
        <v>0.38923955515479408</v>
      </c>
      <c r="J1193" s="17">
        <v>0.7</v>
      </c>
      <c r="K1193" s="12">
        <v>13.75</v>
      </c>
      <c r="L1193" s="2">
        <f t="shared" si="111"/>
        <v>1033.9000000000001</v>
      </c>
      <c r="M1193" s="15">
        <f t="shared" si="110"/>
        <v>14216.125000000002</v>
      </c>
      <c r="N1193" t="str">
        <f t="shared" si="106"/>
        <v>RJ</v>
      </c>
      <c r="O1193" t="str">
        <f t="shared" si="107"/>
        <v>Niterói</v>
      </c>
    </row>
    <row r="1194" spans="1:15" x14ac:dyDescent="0.3">
      <c r="A1194" s="10">
        <v>45809</v>
      </c>
      <c r="B1194" s="9" t="s">
        <v>21</v>
      </c>
      <c r="C1194" t="s">
        <v>228</v>
      </c>
      <c r="D1194" s="9">
        <v>19771</v>
      </c>
      <c r="E1194" s="5" t="s">
        <v>576</v>
      </c>
      <c r="F1194" t="s">
        <v>235</v>
      </c>
      <c r="G1194">
        <v>1903</v>
      </c>
      <c r="H1194">
        <v>774</v>
      </c>
      <c r="I1194" s="8">
        <f t="shared" si="108"/>
        <v>0.40672622175512346</v>
      </c>
      <c r="J1194" s="17">
        <v>0.7</v>
      </c>
      <c r="K1194" s="12">
        <v>13.75</v>
      </c>
      <c r="L1194" s="2">
        <f t="shared" si="111"/>
        <v>558.09999999999991</v>
      </c>
      <c r="M1194" s="15">
        <f t="shared" si="110"/>
        <v>7673.8749999999991</v>
      </c>
      <c r="N1194" t="str">
        <f t="shared" si="106"/>
        <v>BA</v>
      </c>
      <c r="O1194" t="str">
        <f t="shared" si="107"/>
        <v>Salvador</v>
      </c>
    </row>
    <row r="1195" spans="1:15" x14ac:dyDescent="0.3">
      <c r="A1195" s="10">
        <v>45809</v>
      </c>
      <c r="B1195" s="9" t="s">
        <v>15</v>
      </c>
      <c r="C1195" t="s">
        <v>358</v>
      </c>
      <c r="D1195" s="9">
        <v>19685</v>
      </c>
      <c r="E1195" s="5" t="s">
        <v>359</v>
      </c>
      <c r="F1195" t="s">
        <v>198</v>
      </c>
      <c r="G1195">
        <v>1741</v>
      </c>
      <c r="H1195">
        <v>694</v>
      </c>
      <c r="I1195" s="8">
        <f t="shared" si="108"/>
        <v>0.39862148190695001</v>
      </c>
      <c r="J1195" s="17">
        <v>0.7</v>
      </c>
      <c r="K1195" s="12">
        <v>13.75</v>
      </c>
      <c r="L1195" s="2">
        <f t="shared" si="111"/>
        <v>524.69999999999982</v>
      </c>
      <c r="M1195" s="15">
        <f t="shared" si="110"/>
        <v>7214.6249999999973</v>
      </c>
      <c r="N1195" t="str">
        <f t="shared" si="106"/>
        <v>RJ</v>
      </c>
      <c r="O1195" t="str">
        <f t="shared" si="107"/>
        <v>Rio De Janeiro</v>
      </c>
    </row>
    <row r="1196" spans="1:15" x14ac:dyDescent="0.3">
      <c r="A1196" s="10">
        <v>45839</v>
      </c>
      <c r="B1196" s="9" t="s">
        <v>71</v>
      </c>
      <c r="C1196" t="s">
        <v>175</v>
      </c>
      <c r="D1196" s="9">
        <v>19540</v>
      </c>
      <c r="E1196" s="5" t="s">
        <v>370</v>
      </c>
      <c r="F1196" t="s">
        <v>176</v>
      </c>
      <c r="G1196">
        <v>5337</v>
      </c>
      <c r="H1196">
        <v>1867</v>
      </c>
      <c r="I1196" s="8">
        <f t="shared" si="108"/>
        <v>0.34982199737680347</v>
      </c>
      <c r="J1196" s="17">
        <v>0.7</v>
      </c>
      <c r="K1196" s="12">
        <v>13.75</v>
      </c>
      <c r="L1196" s="2">
        <f t="shared" si="111"/>
        <v>1868.8999999999992</v>
      </c>
      <c r="M1196" s="15">
        <f t="shared" si="110"/>
        <v>25697.374999999989</v>
      </c>
      <c r="N1196" t="str">
        <f t="shared" si="106"/>
        <v>RS</v>
      </c>
      <c r="O1196" t="str">
        <f t="shared" si="107"/>
        <v>Porto Alegre</v>
      </c>
    </row>
    <row r="1197" spans="1:15" x14ac:dyDescent="0.3">
      <c r="A1197" s="10">
        <v>45839</v>
      </c>
      <c r="B1197" s="9" t="s">
        <v>15</v>
      </c>
      <c r="C1197" t="s">
        <v>358</v>
      </c>
      <c r="D1197" s="9">
        <v>19521</v>
      </c>
      <c r="E1197" s="5" t="s">
        <v>371</v>
      </c>
      <c r="F1197" t="s">
        <v>199</v>
      </c>
      <c r="G1197">
        <v>3483</v>
      </c>
      <c r="H1197">
        <v>1551</v>
      </c>
      <c r="I1197" s="8">
        <f t="shared" si="108"/>
        <v>0.44530577088716622</v>
      </c>
      <c r="J1197" s="17">
        <v>0.7</v>
      </c>
      <c r="K1197" s="12">
        <v>13.75</v>
      </c>
      <c r="L1197" s="2">
        <f t="shared" si="111"/>
        <v>887.09999999999991</v>
      </c>
      <c r="M1197" s="15">
        <f t="shared" si="110"/>
        <v>12197.624999999998</v>
      </c>
      <c r="N1197" t="str">
        <f t="shared" si="106"/>
        <v>RJ</v>
      </c>
      <c r="O1197" t="str">
        <f t="shared" si="107"/>
        <v>Rio De Janeiro</v>
      </c>
    </row>
    <row r="1198" spans="1:15" x14ac:dyDescent="0.3">
      <c r="A1198" s="10">
        <v>45839</v>
      </c>
      <c r="B1198" s="9" t="s">
        <v>6</v>
      </c>
      <c r="C1198" t="s">
        <v>236</v>
      </c>
      <c r="D1198" s="9">
        <v>19606</v>
      </c>
      <c r="E1198" s="5" t="s">
        <v>372</v>
      </c>
      <c r="F1198" t="s">
        <v>237</v>
      </c>
      <c r="G1198">
        <v>2522</v>
      </c>
      <c r="H1198">
        <v>1268</v>
      </c>
      <c r="I1198" s="8">
        <f t="shared" si="108"/>
        <v>0.50277557494052338</v>
      </c>
      <c r="J1198" s="17">
        <v>0.7</v>
      </c>
      <c r="K1198" s="12">
        <v>13.75</v>
      </c>
      <c r="L1198" s="2">
        <f t="shared" si="111"/>
        <v>497.39999999999986</v>
      </c>
      <c r="M1198" s="15">
        <f t="shared" si="110"/>
        <v>6839.2499999999982</v>
      </c>
      <c r="N1198" t="str">
        <f t="shared" si="106"/>
        <v>PA</v>
      </c>
      <c r="O1198" t="str">
        <f t="shared" si="107"/>
        <v>Santarém</v>
      </c>
    </row>
    <row r="1199" spans="1:15" x14ac:dyDescent="0.3">
      <c r="A1199" s="10">
        <v>45839</v>
      </c>
      <c r="B1199" s="9" t="s">
        <v>61</v>
      </c>
      <c r="C1199" t="s">
        <v>344</v>
      </c>
      <c r="D1199" s="9">
        <v>19706</v>
      </c>
      <c r="E1199" s="5" t="s">
        <v>373</v>
      </c>
      <c r="F1199" t="s">
        <v>77</v>
      </c>
      <c r="G1199">
        <v>2637</v>
      </c>
      <c r="H1199">
        <v>1130</v>
      </c>
      <c r="I1199" s="8">
        <f t="shared" si="108"/>
        <v>0.42851725445582101</v>
      </c>
      <c r="J1199" s="17">
        <v>0.7</v>
      </c>
      <c r="K1199" s="12">
        <v>13.75</v>
      </c>
      <c r="L1199" s="2">
        <f t="shared" si="111"/>
        <v>715.90000000000009</v>
      </c>
      <c r="M1199" s="15">
        <f t="shared" si="110"/>
        <v>9843.6250000000018</v>
      </c>
      <c r="N1199" t="str">
        <f t="shared" si="106"/>
        <v>PB</v>
      </c>
      <c r="O1199" t="str">
        <f t="shared" si="107"/>
        <v>Coronel João Pessoa</v>
      </c>
    </row>
    <row r="1200" spans="1:15" x14ac:dyDescent="0.3">
      <c r="A1200" s="10">
        <v>45839</v>
      </c>
      <c r="B1200" s="9" t="s">
        <v>14</v>
      </c>
      <c r="C1200" t="s">
        <v>285</v>
      </c>
      <c r="D1200" s="9">
        <v>19563</v>
      </c>
      <c r="E1200" s="5" t="s">
        <v>374</v>
      </c>
      <c r="F1200" t="s">
        <v>286</v>
      </c>
      <c r="G1200">
        <v>3182</v>
      </c>
      <c r="H1200">
        <v>1077</v>
      </c>
      <c r="I1200" s="8">
        <f t="shared" si="108"/>
        <v>0.33846637335009427</v>
      </c>
      <c r="J1200" s="17">
        <v>0.7</v>
      </c>
      <c r="K1200" s="12">
        <v>13.75</v>
      </c>
      <c r="L1200" s="2">
        <f t="shared" si="111"/>
        <v>1150.4000000000001</v>
      </c>
      <c r="M1200" s="15">
        <f t="shared" si="110"/>
        <v>15818.000000000002</v>
      </c>
      <c r="N1200" t="str">
        <f t="shared" si="106"/>
        <v>MG</v>
      </c>
      <c r="O1200" t="str">
        <f t="shared" si="107"/>
        <v>Uberlândia</v>
      </c>
    </row>
    <row r="1201" spans="1:15" x14ac:dyDescent="0.3">
      <c r="A1201" s="10">
        <v>45839</v>
      </c>
      <c r="B1201" s="9" t="s">
        <v>6</v>
      </c>
      <c r="C1201" t="s">
        <v>26</v>
      </c>
      <c r="D1201" s="9">
        <v>19597</v>
      </c>
      <c r="E1201" s="5" t="s">
        <v>375</v>
      </c>
      <c r="F1201" t="s">
        <v>27</v>
      </c>
      <c r="G1201">
        <v>3137</v>
      </c>
      <c r="H1201">
        <v>1624</v>
      </c>
      <c r="I1201" s="8">
        <f t="shared" si="108"/>
        <v>0.51769206248007649</v>
      </c>
      <c r="J1201" s="17">
        <v>0.7</v>
      </c>
      <c r="K1201" s="12">
        <v>13.75</v>
      </c>
      <c r="L1201" s="2">
        <f t="shared" si="111"/>
        <v>571.90000000000009</v>
      </c>
      <c r="M1201" s="15">
        <f t="shared" si="110"/>
        <v>7863.6250000000009</v>
      </c>
      <c r="N1201" t="str">
        <f t="shared" si="106"/>
        <v>PA</v>
      </c>
      <c r="O1201" t="str">
        <f t="shared" si="107"/>
        <v>Belém</v>
      </c>
    </row>
    <row r="1202" spans="1:15" x14ac:dyDescent="0.3">
      <c r="A1202" s="10">
        <v>45839</v>
      </c>
      <c r="B1202" s="9" t="s">
        <v>15</v>
      </c>
      <c r="C1202" t="s">
        <v>296</v>
      </c>
      <c r="D1202" s="9">
        <v>19524</v>
      </c>
      <c r="E1202" s="5" t="s">
        <v>376</v>
      </c>
      <c r="F1202" t="s">
        <v>297</v>
      </c>
      <c r="G1202">
        <v>2295</v>
      </c>
      <c r="H1202">
        <v>864</v>
      </c>
      <c r="I1202" s="8">
        <f t="shared" si="108"/>
        <v>0.37647058823529411</v>
      </c>
      <c r="J1202" s="17">
        <v>0.7</v>
      </c>
      <c r="K1202" s="12">
        <v>13.75</v>
      </c>
      <c r="L1202" s="2">
        <f t="shared" si="111"/>
        <v>742.5</v>
      </c>
      <c r="M1202" s="15">
        <f t="shared" si="110"/>
        <v>10209.375</v>
      </c>
      <c r="N1202" t="str">
        <f t="shared" si="106"/>
        <v>RJ</v>
      </c>
      <c r="O1202" t="str">
        <f t="shared" si="107"/>
        <v>Volta Redonda</v>
      </c>
    </row>
    <row r="1203" spans="1:15" x14ac:dyDescent="0.3">
      <c r="A1203" s="10">
        <v>45839</v>
      </c>
      <c r="B1203" s="9" t="s">
        <v>15</v>
      </c>
      <c r="C1203" t="s">
        <v>151</v>
      </c>
      <c r="D1203" s="9">
        <v>19599</v>
      </c>
      <c r="E1203" s="5" t="s">
        <v>377</v>
      </c>
      <c r="F1203" t="s">
        <v>152</v>
      </c>
      <c r="G1203">
        <v>2733</v>
      </c>
      <c r="H1203">
        <v>1171</v>
      </c>
      <c r="I1203" s="8">
        <f t="shared" si="108"/>
        <v>0.42846688620563483</v>
      </c>
      <c r="J1203" s="17">
        <v>0.7</v>
      </c>
      <c r="K1203" s="12">
        <v>13.75</v>
      </c>
      <c r="L1203" s="2">
        <f t="shared" si="111"/>
        <v>742.09999999999991</v>
      </c>
      <c r="M1203" s="15">
        <f t="shared" si="110"/>
        <v>10203.874999999998</v>
      </c>
      <c r="N1203" t="str">
        <f t="shared" si="106"/>
        <v>RJ</v>
      </c>
      <c r="O1203" t="str">
        <f t="shared" si="107"/>
        <v>Nova Iguaçu</v>
      </c>
    </row>
    <row r="1204" spans="1:15" x14ac:dyDescent="0.3">
      <c r="A1204" s="10">
        <v>45839</v>
      </c>
      <c r="B1204" s="9" t="s">
        <v>160</v>
      </c>
      <c r="C1204" t="s">
        <v>279</v>
      </c>
      <c r="D1204" s="9">
        <v>19564</v>
      </c>
      <c r="E1204" s="5" t="s">
        <v>378</v>
      </c>
      <c r="F1204" t="s">
        <v>280</v>
      </c>
      <c r="G1204">
        <v>1688</v>
      </c>
      <c r="H1204">
        <v>777</v>
      </c>
      <c r="I1204" s="8">
        <f t="shared" si="108"/>
        <v>0.46030805687203791</v>
      </c>
      <c r="J1204" s="17">
        <v>0.7</v>
      </c>
      <c r="K1204" s="12">
        <v>13.75</v>
      </c>
      <c r="L1204" s="2">
        <f t="shared" si="111"/>
        <v>404.59999999999991</v>
      </c>
      <c r="M1204" s="15">
        <f t="shared" si="110"/>
        <v>5563.2499999999991</v>
      </c>
      <c r="N1204" t="str">
        <f t="shared" si="106"/>
        <v>PI</v>
      </c>
      <c r="O1204" t="str">
        <f t="shared" si="107"/>
        <v>Teresina</v>
      </c>
    </row>
    <row r="1205" spans="1:15" x14ac:dyDescent="0.3">
      <c r="A1205" s="10">
        <v>45839</v>
      </c>
      <c r="B1205" s="9" t="s">
        <v>15</v>
      </c>
      <c r="C1205" t="s">
        <v>358</v>
      </c>
      <c r="D1205" s="9">
        <v>19536</v>
      </c>
      <c r="E1205" s="5" t="s">
        <v>379</v>
      </c>
      <c r="F1205" t="s">
        <v>200</v>
      </c>
      <c r="G1205">
        <v>2907</v>
      </c>
      <c r="H1205">
        <v>1084</v>
      </c>
      <c r="I1205" s="8">
        <f t="shared" si="108"/>
        <v>0.37289301685586518</v>
      </c>
      <c r="J1205" s="17">
        <v>0.7</v>
      </c>
      <c r="K1205" s="12">
        <v>13.75</v>
      </c>
      <c r="L1205" s="2">
        <f t="shared" si="111"/>
        <v>950.89999999999964</v>
      </c>
      <c r="M1205" s="15">
        <f t="shared" si="110"/>
        <v>13074.874999999995</v>
      </c>
      <c r="N1205" t="str">
        <f t="shared" si="106"/>
        <v>RJ</v>
      </c>
      <c r="O1205" t="str">
        <f t="shared" si="107"/>
        <v>Rio De Janeiro</v>
      </c>
    </row>
    <row r="1206" spans="1:15" x14ac:dyDescent="0.3">
      <c r="A1206" s="10">
        <v>45839</v>
      </c>
      <c r="B1206" s="9" t="s">
        <v>15</v>
      </c>
      <c r="C1206" t="s">
        <v>358</v>
      </c>
      <c r="D1206" s="9">
        <v>19727</v>
      </c>
      <c r="E1206" s="5" t="s">
        <v>380</v>
      </c>
      <c r="F1206" t="s">
        <v>201</v>
      </c>
      <c r="G1206">
        <v>1797</v>
      </c>
      <c r="H1206">
        <v>634</v>
      </c>
      <c r="I1206" s="8">
        <f t="shared" si="108"/>
        <v>0.35281023928770172</v>
      </c>
      <c r="J1206" s="17">
        <v>0.7</v>
      </c>
      <c r="K1206" s="12">
        <v>13.75</v>
      </c>
      <c r="L1206" s="2">
        <f t="shared" si="111"/>
        <v>623.89999999999986</v>
      </c>
      <c r="M1206" s="15">
        <f t="shared" si="110"/>
        <v>8578.6249999999982</v>
      </c>
      <c r="N1206" t="str">
        <f t="shared" si="106"/>
        <v>RJ</v>
      </c>
      <c r="O1206" t="str">
        <f t="shared" si="107"/>
        <v>Rio De Janeiro</v>
      </c>
    </row>
    <row r="1207" spans="1:15" x14ac:dyDescent="0.3">
      <c r="A1207" s="10">
        <v>45839</v>
      </c>
      <c r="B1207" s="9" t="s">
        <v>3</v>
      </c>
      <c r="C1207" t="s">
        <v>248</v>
      </c>
      <c r="D1207" s="9">
        <v>19572</v>
      </c>
      <c r="E1207" s="5" t="s">
        <v>381</v>
      </c>
      <c r="F1207" t="s">
        <v>249</v>
      </c>
      <c r="G1207">
        <v>3945</v>
      </c>
      <c r="H1207">
        <v>1595</v>
      </c>
      <c r="I1207" s="8">
        <f t="shared" si="108"/>
        <v>0.40430925221799746</v>
      </c>
      <c r="J1207" s="17">
        <v>0.7</v>
      </c>
      <c r="K1207" s="12">
        <v>13.75</v>
      </c>
      <c r="L1207" s="2">
        <f t="shared" si="111"/>
        <v>1166.5</v>
      </c>
      <c r="M1207" s="15">
        <f t="shared" si="110"/>
        <v>16039.375</v>
      </c>
      <c r="N1207" t="str">
        <f t="shared" si="106"/>
        <v>SP</v>
      </c>
      <c r="O1207" t="str">
        <f t="shared" si="107"/>
        <v>São Paulo</v>
      </c>
    </row>
    <row r="1208" spans="1:15" x14ac:dyDescent="0.3">
      <c r="A1208" s="10">
        <v>45839</v>
      </c>
      <c r="B1208" s="9" t="s">
        <v>3</v>
      </c>
      <c r="C1208" t="s">
        <v>167</v>
      </c>
      <c r="D1208" s="9">
        <v>19578</v>
      </c>
      <c r="E1208" s="5" t="s">
        <v>382</v>
      </c>
      <c r="F1208" t="s">
        <v>168</v>
      </c>
      <c r="G1208">
        <v>2305</v>
      </c>
      <c r="H1208">
        <v>707</v>
      </c>
      <c r="I1208" s="8">
        <f t="shared" si="108"/>
        <v>0.3067245119305857</v>
      </c>
      <c r="J1208" s="17">
        <v>0.7</v>
      </c>
      <c r="K1208" s="12">
        <v>13.75</v>
      </c>
      <c r="L1208" s="2">
        <f t="shared" si="111"/>
        <v>906.49999999999977</v>
      </c>
      <c r="M1208" s="15">
        <f t="shared" si="110"/>
        <v>12464.374999999996</v>
      </c>
      <c r="N1208" t="str">
        <f t="shared" si="106"/>
        <v>SP</v>
      </c>
      <c r="O1208" t="str">
        <f t="shared" si="107"/>
        <v>Perdizes</v>
      </c>
    </row>
    <row r="1209" spans="1:15" x14ac:dyDescent="0.3">
      <c r="A1209" s="10">
        <v>45839</v>
      </c>
      <c r="B1209" s="9" t="s">
        <v>3</v>
      </c>
      <c r="C1209" t="s">
        <v>248</v>
      </c>
      <c r="D1209" s="9">
        <v>19774</v>
      </c>
      <c r="E1209" s="5" t="s">
        <v>383</v>
      </c>
      <c r="F1209" t="s">
        <v>250</v>
      </c>
      <c r="G1209">
        <v>3746</v>
      </c>
      <c r="H1209">
        <v>1165</v>
      </c>
      <c r="I1209" s="8">
        <f t="shared" si="108"/>
        <v>0.31099839829151094</v>
      </c>
      <c r="J1209" s="17">
        <v>0.7</v>
      </c>
      <c r="K1209" s="12">
        <v>13.75</v>
      </c>
      <c r="L1209" s="2">
        <f t="shared" si="111"/>
        <v>1457.2000000000003</v>
      </c>
      <c r="M1209" s="15">
        <f t="shared" si="110"/>
        <v>20036.500000000004</v>
      </c>
      <c r="N1209" t="str">
        <f t="shared" si="106"/>
        <v>SP</v>
      </c>
      <c r="O1209" t="str">
        <f t="shared" si="107"/>
        <v>São Paulo</v>
      </c>
    </row>
    <row r="1210" spans="1:15" x14ac:dyDescent="0.3">
      <c r="A1210" s="10">
        <v>45839</v>
      </c>
      <c r="B1210" s="9" t="s">
        <v>46</v>
      </c>
      <c r="C1210" t="s">
        <v>47</v>
      </c>
      <c r="D1210" s="9">
        <v>19551</v>
      </c>
      <c r="E1210" s="5" t="s">
        <v>384</v>
      </c>
      <c r="F1210" t="s">
        <v>48</v>
      </c>
      <c r="G1210">
        <v>3022</v>
      </c>
      <c r="H1210">
        <v>1230</v>
      </c>
      <c r="I1210" s="8">
        <f t="shared" si="108"/>
        <v>0.4070152217074785</v>
      </c>
      <c r="J1210" s="17">
        <v>0.7</v>
      </c>
      <c r="K1210" s="12">
        <v>13.75</v>
      </c>
      <c r="L1210" s="2">
        <f t="shared" si="111"/>
        <v>885.40000000000009</v>
      </c>
      <c r="M1210" s="15">
        <f t="shared" si="110"/>
        <v>12174.250000000002</v>
      </c>
      <c r="N1210" t="str">
        <f t="shared" si="106"/>
        <v>DF</v>
      </c>
      <c r="O1210" t="str">
        <f t="shared" si="107"/>
        <v>Brasília</v>
      </c>
    </row>
    <row r="1211" spans="1:15" x14ac:dyDescent="0.3">
      <c r="A1211" s="10">
        <v>45839</v>
      </c>
      <c r="B1211" s="9" t="s">
        <v>15</v>
      </c>
      <c r="C1211" t="s">
        <v>151</v>
      </c>
      <c r="D1211" s="9">
        <v>19596</v>
      </c>
      <c r="E1211" s="5" t="s">
        <v>385</v>
      </c>
      <c r="F1211" t="s">
        <v>153</v>
      </c>
      <c r="G1211">
        <v>2524</v>
      </c>
      <c r="H1211">
        <v>933</v>
      </c>
      <c r="I1211" s="8">
        <f t="shared" si="108"/>
        <v>0.36965134706814579</v>
      </c>
      <c r="J1211" s="17">
        <v>0.7</v>
      </c>
      <c r="K1211" s="12">
        <v>13.75</v>
      </c>
      <c r="L1211" s="2">
        <f t="shared" si="111"/>
        <v>833.79999999999973</v>
      </c>
      <c r="M1211" s="15">
        <f t="shared" si="110"/>
        <v>11464.749999999996</v>
      </c>
      <c r="N1211" t="str">
        <f t="shared" si="106"/>
        <v>RJ</v>
      </c>
      <c r="O1211" t="str">
        <f t="shared" si="107"/>
        <v>Nova Iguaçu</v>
      </c>
    </row>
    <row r="1212" spans="1:15" x14ac:dyDescent="0.3">
      <c r="A1212" s="10">
        <v>45839</v>
      </c>
      <c r="B1212" s="9" t="s">
        <v>15</v>
      </c>
      <c r="C1212" t="s">
        <v>358</v>
      </c>
      <c r="D1212" s="9">
        <v>19618</v>
      </c>
      <c r="E1212" s="5" t="s">
        <v>386</v>
      </c>
      <c r="F1212" t="s">
        <v>202</v>
      </c>
      <c r="G1212">
        <v>2878</v>
      </c>
      <c r="H1212">
        <v>1080</v>
      </c>
      <c r="I1212" s="8">
        <f t="shared" si="108"/>
        <v>0.37526059763724812</v>
      </c>
      <c r="J1212" s="17">
        <v>0.7</v>
      </c>
      <c r="K1212" s="12">
        <v>13.75</v>
      </c>
      <c r="L1212" s="2">
        <f t="shared" si="111"/>
        <v>934.59999999999991</v>
      </c>
      <c r="M1212" s="15">
        <f t="shared" si="110"/>
        <v>12850.749999999998</v>
      </c>
      <c r="N1212" t="str">
        <f t="shared" si="106"/>
        <v>RJ</v>
      </c>
      <c r="O1212" t="str">
        <f t="shared" si="107"/>
        <v>Rio De Janeiro</v>
      </c>
    </row>
    <row r="1213" spans="1:15" x14ac:dyDescent="0.3">
      <c r="A1213" s="10">
        <v>45839</v>
      </c>
      <c r="B1213" s="9" t="s">
        <v>21</v>
      </c>
      <c r="C1213" t="s">
        <v>22</v>
      </c>
      <c r="D1213" s="9">
        <v>19741</v>
      </c>
      <c r="E1213" s="5" t="s">
        <v>387</v>
      </c>
      <c r="F1213" t="s">
        <v>23</v>
      </c>
      <c r="G1213">
        <v>1780</v>
      </c>
      <c r="H1213">
        <v>793</v>
      </c>
      <c r="I1213" s="8">
        <f t="shared" si="108"/>
        <v>0.44550561797752808</v>
      </c>
      <c r="J1213" s="17">
        <v>0.7</v>
      </c>
      <c r="K1213" s="12">
        <v>13.75</v>
      </c>
      <c r="L1213" s="2">
        <f t="shared" si="111"/>
        <v>452.99999999999977</v>
      </c>
      <c r="M1213" s="15">
        <f t="shared" si="110"/>
        <v>6228.7499999999973</v>
      </c>
      <c r="N1213" t="str">
        <f t="shared" si="106"/>
        <v>BA</v>
      </c>
      <c r="O1213" t="str">
        <f t="shared" si="107"/>
        <v>Barreiras</v>
      </c>
    </row>
    <row r="1214" spans="1:15" x14ac:dyDescent="0.3">
      <c r="A1214" s="10">
        <v>45839</v>
      </c>
      <c r="B1214" s="9" t="s">
        <v>74</v>
      </c>
      <c r="C1214" t="s">
        <v>169</v>
      </c>
      <c r="D1214" s="9">
        <v>19897</v>
      </c>
      <c r="E1214" s="5" t="s">
        <v>388</v>
      </c>
      <c r="F1214" t="s">
        <v>170</v>
      </c>
      <c r="G1214">
        <v>1906</v>
      </c>
      <c r="H1214">
        <v>705</v>
      </c>
      <c r="I1214" s="8">
        <f t="shared" si="108"/>
        <v>0.36988457502623295</v>
      </c>
      <c r="J1214" s="17">
        <v>0.7</v>
      </c>
      <c r="K1214" s="12">
        <v>13.75</v>
      </c>
      <c r="L1214" s="2">
        <f t="shared" si="111"/>
        <v>629.19999999999982</v>
      </c>
      <c r="M1214" s="15">
        <f t="shared" si="110"/>
        <v>8651.4999999999982</v>
      </c>
      <c r="N1214" t="str">
        <f t="shared" si="106"/>
        <v>PE</v>
      </c>
      <c r="O1214" t="str">
        <f t="shared" si="107"/>
        <v>Petrolina</v>
      </c>
    </row>
    <row r="1215" spans="1:15" x14ac:dyDescent="0.3">
      <c r="A1215" s="10">
        <v>45839</v>
      </c>
      <c r="B1215" s="9" t="s">
        <v>61</v>
      </c>
      <c r="C1215" t="s">
        <v>62</v>
      </c>
      <c r="D1215" s="9">
        <v>19633</v>
      </c>
      <c r="E1215" s="5" t="s">
        <v>389</v>
      </c>
      <c r="F1215" t="s">
        <v>63</v>
      </c>
      <c r="G1215">
        <v>2176</v>
      </c>
      <c r="H1215">
        <v>1110</v>
      </c>
      <c r="I1215" s="8">
        <f t="shared" si="108"/>
        <v>0.51011029411764708</v>
      </c>
      <c r="J1215" s="17">
        <v>0.7</v>
      </c>
      <c r="K1215" s="12">
        <v>13.75</v>
      </c>
      <c r="L1215" s="2">
        <f t="shared" si="111"/>
        <v>413.20000000000005</v>
      </c>
      <c r="M1215" s="15">
        <f t="shared" si="110"/>
        <v>5681.5000000000009</v>
      </c>
      <c r="N1215" t="str">
        <f t="shared" si="106"/>
        <v>PB</v>
      </c>
      <c r="O1215" t="str">
        <f t="shared" si="107"/>
        <v>Campina Grande</v>
      </c>
    </row>
    <row r="1216" spans="1:15" x14ac:dyDescent="0.3">
      <c r="A1216" s="10">
        <v>45839</v>
      </c>
      <c r="B1216" s="9" t="s">
        <v>6</v>
      </c>
      <c r="C1216" t="s">
        <v>26</v>
      </c>
      <c r="D1216" s="9">
        <v>19622</v>
      </c>
      <c r="E1216" s="5" t="s">
        <v>390</v>
      </c>
      <c r="F1216" t="s">
        <v>28</v>
      </c>
      <c r="G1216">
        <v>2149</v>
      </c>
      <c r="H1216">
        <v>1210</v>
      </c>
      <c r="I1216" s="8">
        <f t="shared" si="108"/>
        <v>0.56305258259655655</v>
      </c>
      <c r="J1216" s="17">
        <v>0.7</v>
      </c>
      <c r="K1216" s="12">
        <v>13.75</v>
      </c>
      <c r="L1216" s="2">
        <f t="shared" si="111"/>
        <v>294.29999999999995</v>
      </c>
      <c r="M1216" s="15">
        <f t="shared" si="110"/>
        <v>4046.6249999999995</v>
      </c>
      <c r="N1216" t="str">
        <f t="shared" si="106"/>
        <v>PA</v>
      </c>
      <c r="O1216" t="str">
        <f t="shared" si="107"/>
        <v>Belém</v>
      </c>
    </row>
    <row r="1217" spans="1:15" x14ac:dyDescent="0.3">
      <c r="A1217" s="10">
        <v>45839</v>
      </c>
      <c r="B1217" s="9" t="s">
        <v>46</v>
      </c>
      <c r="C1217" t="s">
        <v>47</v>
      </c>
      <c r="D1217" s="9">
        <v>19666</v>
      </c>
      <c r="E1217" s="5" t="s">
        <v>391</v>
      </c>
      <c r="F1217" t="s">
        <v>624</v>
      </c>
      <c r="G1217">
        <v>2763</v>
      </c>
      <c r="H1217">
        <v>722</v>
      </c>
      <c r="I1217" s="8">
        <f t="shared" si="108"/>
        <v>0.26131017010495838</v>
      </c>
      <c r="J1217" s="17">
        <v>0.7</v>
      </c>
      <c r="K1217" s="12">
        <v>13.75</v>
      </c>
      <c r="L1217" s="2">
        <f t="shared" si="111"/>
        <v>1212.0999999999999</v>
      </c>
      <c r="M1217" s="15">
        <f t="shared" si="110"/>
        <v>16666.375</v>
      </c>
      <c r="N1217" t="str">
        <f t="shared" si="106"/>
        <v>DF</v>
      </c>
      <c r="O1217" t="str">
        <f t="shared" si="107"/>
        <v>Brasília</v>
      </c>
    </row>
    <row r="1218" spans="1:15" x14ac:dyDescent="0.3">
      <c r="A1218" s="10">
        <v>45839</v>
      </c>
      <c r="B1218" s="9" t="s">
        <v>15</v>
      </c>
      <c r="C1218" t="s">
        <v>358</v>
      </c>
      <c r="D1218" s="9">
        <v>19632</v>
      </c>
      <c r="E1218" s="5" t="s">
        <v>392</v>
      </c>
      <c r="F1218" t="s">
        <v>203</v>
      </c>
      <c r="G1218">
        <v>2539</v>
      </c>
      <c r="H1218">
        <v>1054</v>
      </c>
      <c r="I1218" s="8">
        <f t="shared" si="108"/>
        <v>0.41512406459235918</v>
      </c>
      <c r="J1218" s="17">
        <v>0.7</v>
      </c>
      <c r="K1218" s="12">
        <v>13.75</v>
      </c>
      <c r="L1218" s="2">
        <f t="shared" si="111"/>
        <v>723.3</v>
      </c>
      <c r="M1218" s="15">
        <f t="shared" si="110"/>
        <v>9945.375</v>
      </c>
      <c r="N1218" t="str">
        <f t="shared" ref="N1218:N1281" si="112">B1218</f>
        <v>RJ</v>
      </c>
      <c r="O1218" t="str">
        <f t="shared" ref="O1218:O1281" si="113">C1218</f>
        <v>Rio De Janeiro</v>
      </c>
    </row>
    <row r="1219" spans="1:15" x14ac:dyDescent="0.3">
      <c r="A1219" s="10">
        <v>45839</v>
      </c>
      <c r="B1219" s="9" t="s">
        <v>46</v>
      </c>
      <c r="C1219" t="s">
        <v>47</v>
      </c>
      <c r="D1219" s="9">
        <v>19552</v>
      </c>
      <c r="E1219" s="5" t="s">
        <v>393</v>
      </c>
      <c r="F1219" t="s">
        <v>50</v>
      </c>
      <c r="G1219">
        <v>4450</v>
      </c>
      <c r="H1219">
        <v>1854</v>
      </c>
      <c r="I1219" s="8">
        <f t="shared" ref="I1219:I1282" si="114">H1219/G1219</f>
        <v>0.41662921348314608</v>
      </c>
      <c r="J1219" s="17">
        <v>0.7</v>
      </c>
      <c r="K1219" s="12">
        <v>13.75</v>
      </c>
      <c r="L1219" s="2">
        <f t="shared" ref="L1219:L1250" si="115">H1219*J1219/I1219-H1219</f>
        <v>1261</v>
      </c>
      <c r="M1219" s="15">
        <f t="shared" ref="M1219:M1282" si="116">L1219*K1219</f>
        <v>17338.75</v>
      </c>
      <c r="N1219" t="str">
        <f t="shared" si="112"/>
        <v>DF</v>
      </c>
      <c r="O1219" t="str">
        <f t="shared" si="113"/>
        <v>Brasília</v>
      </c>
    </row>
    <row r="1220" spans="1:15" x14ac:dyDescent="0.3">
      <c r="A1220" s="10">
        <v>45839</v>
      </c>
      <c r="B1220" s="9" t="s">
        <v>15</v>
      </c>
      <c r="C1220" t="s">
        <v>191</v>
      </c>
      <c r="D1220" s="9">
        <v>19636</v>
      </c>
      <c r="E1220" s="5" t="s">
        <v>394</v>
      </c>
      <c r="F1220" t="s">
        <v>192</v>
      </c>
      <c r="G1220">
        <v>2574</v>
      </c>
      <c r="H1220">
        <v>1019</v>
      </c>
      <c r="I1220" s="8">
        <f t="shared" si="114"/>
        <v>0.39588189588189587</v>
      </c>
      <c r="J1220" s="17">
        <v>0.7</v>
      </c>
      <c r="K1220" s="12">
        <v>13.75</v>
      </c>
      <c r="L1220" s="2">
        <f t="shared" si="115"/>
        <v>782.8</v>
      </c>
      <c r="M1220" s="15">
        <f t="shared" si="116"/>
        <v>10763.5</v>
      </c>
      <c r="N1220" t="str">
        <f t="shared" si="112"/>
        <v>RJ</v>
      </c>
      <c r="O1220" t="str">
        <f t="shared" si="113"/>
        <v>Resende</v>
      </c>
    </row>
    <row r="1221" spans="1:15" x14ac:dyDescent="0.3">
      <c r="A1221" s="10">
        <v>45839</v>
      </c>
      <c r="B1221" s="9" t="s">
        <v>74</v>
      </c>
      <c r="C1221" t="s">
        <v>186</v>
      </c>
      <c r="D1221" s="9">
        <v>19649</v>
      </c>
      <c r="E1221" s="5" t="s">
        <v>395</v>
      </c>
      <c r="F1221" t="s">
        <v>187</v>
      </c>
      <c r="G1221">
        <v>3122</v>
      </c>
      <c r="H1221">
        <v>1257</v>
      </c>
      <c r="I1221" s="8">
        <f t="shared" si="114"/>
        <v>0.40262652146060218</v>
      </c>
      <c r="J1221" s="17">
        <v>0.7</v>
      </c>
      <c r="K1221" s="12">
        <v>13.75</v>
      </c>
      <c r="L1221" s="2">
        <f t="shared" si="115"/>
        <v>928.40000000000009</v>
      </c>
      <c r="M1221" s="15">
        <f t="shared" si="116"/>
        <v>12765.500000000002</v>
      </c>
      <c r="N1221" t="str">
        <f t="shared" si="112"/>
        <v>PE</v>
      </c>
      <c r="O1221" t="str">
        <f t="shared" si="113"/>
        <v>Recife</v>
      </c>
    </row>
    <row r="1222" spans="1:15" x14ac:dyDescent="0.3">
      <c r="A1222" s="10">
        <v>45839</v>
      </c>
      <c r="B1222" s="9" t="s">
        <v>74</v>
      </c>
      <c r="C1222" t="s">
        <v>186</v>
      </c>
      <c r="D1222" s="9">
        <v>19601</v>
      </c>
      <c r="E1222" s="5" t="s">
        <v>396</v>
      </c>
      <c r="F1222" t="s">
        <v>188</v>
      </c>
      <c r="G1222">
        <v>3147</v>
      </c>
      <c r="H1222">
        <v>1193</v>
      </c>
      <c r="I1222" s="8">
        <f t="shared" si="114"/>
        <v>0.37909119796631713</v>
      </c>
      <c r="J1222" s="17">
        <v>0.7</v>
      </c>
      <c r="K1222" s="12">
        <v>13.75</v>
      </c>
      <c r="L1222" s="2">
        <f t="shared" si="115"/>
        <v>1009.8999999999996</v>
      </c>
      <c r="M1222" s="15">
        <f t="shared" si="116"/>
        <v>13886.124999999995</v>
      </c>
      <c r="N1222" t="str">
        <f t="shared" si="112"/>
        <v>PE</v>
      </c>
      <c r="O1222" t="str">
        <f t="shared" si="113"/>
        <v>Recife</v>
      </c>
    </row>
    <row r="1223" spans="1:15" x14ac:dyDescent="0.3">
      <c r="A1223" s="10">
        <v>45839</v>
      </c>
      <c r="B1223" s="9" t="s">
        <v>74</v>
      </c>
      <c r="C1223" t="s">
        <v>186</v>
      </c>
      <c r="D1223" s="9">
        <v>19565</v>
      </c>
      <c r="E1223" s="5" t="s">
        <v>397</v>
      </c>
      <c r="F1223" t="s">
        <v>189</v>
      </c>
      <c r="G1223">
        <v>3069</v>
      </c>
      <c r="H1223">
        <v>928</v>
      </c>
      <c r="I1223" s="8">
        <f t="shared" si="114"/>
        <v>0.30237862495927015</v>
      </c>
      <c r="J1223" s="17">
        <v>0.7</v>
      </c>
      <c r="K1223" s="12">
        <v>13.75</v>
      </c>
      <c r="L1223" s="2">
        <f t="shared" si="115"/>
        <v>1220.2999999999997</v>
      </c>
      <c r="M1223" s="15">
        <f t="shared" si="116"/>
        <v>16779.124999999996</v>
      </c>
      <c r="N1223" t="str">
        <f t="shared" si="112"/>
        <v>PE</v>
      </c>
      <c r="O1223" t="str">
        <f t="shared" si="113"/>
        <v>Recife</v>
      </c>
    </row>
    <row r="1224" spans="1:15" x14ac:dyDescent="0.3">
      <c r="A1224" s="10">
        <v>45839</v>
      </c>
      <c r="B1224" s="9" t="s">
        <v>74</v>
      </c>
      <c r="C1224" t="s">
        <v>186</v>
      </c>
      <c r="D1224" s="9">
        <v>19654</v>
      </c>
      <c r="E1224" s="5" t="s">
        <v>398</v>
      </c>
      <c r="F1224" t="s">
        <v>190</v>
      </c>
      <c r="G1224">
        <v>2255</v>
      </c>
      <c r="H1224">
        <v>758</v>
      </c>
      <c r="I1224" s="8">
        <f t="shared" si="114"/>
        <v>0.33614190687361417</v>
      </c>
      <c r="J1224" s="17">
        <v>0.7</v>
      </c>
      <c r="K1224" s="12">
        <v>13.75</v>
      </c>
      <c r="L1224" s="2">
        <f t="shared" si="115"/>
        <v>820.50000000000023</v>
      </c>
      <c r="M1224" s="15">
        <f t="shared" si="116"/>
        <v>11281.875000000004</v>
      </c>
      <c r="N1224" t="str">
        <f t="shared" si="112"/>
        <v>PE</v>
      </c>
      <c r="O1224" t="str">
        <f t="shared" si="113"/>
        <v>Recife</v>
      </c>
    </row>
    <row r="1225" spans="1:15" x14ac:dyDescent="0.3">
      <c r="A1225" s="10">
        <v>45839</v>
      </c>
      <c r="B1225" s="9" t="s">
        <v>74</v>
      </c>
      <c r="C1225" t="s">
        <v>350</v>
      </c>
      <c r="D1225" s="9">
        <v>19624</v>
      </c>
      <c r="E1225" s="5" t="s">
        <v>399</v>
      </c>
      <c r="F1225" t="s">
        <v>116</v>
      </c>
      <c r="G1225">
        <v>1753</v>
      </c>
      <c r="H1225">
        <v>604</v>
      </c>
      <c r="I1225" s="8">
        <f t="shared" si="114"/>
        <v>0.34455219623502564</v>
      </c>
      <c r="J1225" s="17">
        <v>0.7</v>
      </c>
      <c r="K1225" s="12">
        <v>13.75</v>
      </c>
      <c r="L1225" s="2">
        <f t="shared" si="115"/>
        <v>623.09999999999991</v>
      </c>
      <c r="M1225" s="15">
        <f t="shared" si="116"/>
        <v>8567.6249999999982</v>
      </c>
      <c r="N1225" t="str">
        <f t="shared" si="112"/>
        <v>PE</v>
      </c>
      <c r="O1225" t="str">
        <f t="shared" si="113"/>
        <v>Jaboatão Dos Guararapes</v>
      </c>
    </row>
    <row r="1226" spans="1:15" x14ac:dyDescent="0.3">
      <c r="A1226" s="10">
        <v>45839</v>
      </c>
      <c r="B1226" s="9" t="s">
        <v>15</v>
      </c>
      <c r="C1226" t="s">
        <v>143</v>
      </c>
      <c r="D1226" s="9">
        <v>19648</v>
      </c>
      <c r="E1226" s="5" t="s">
        <v>400</v>
      </c>
      <c r="F1226" t="s">
        <v>144</v>
      </c>
      <c r="G1226">
        <v>1939</v>
      </c>
      <c r="H1226">
        <v>504</v>
      </c>
      <c r="I1226" s="8">
        <f t="shared" si="114"/>
        <v>0.25992779783393499</v>
      </c>
      <c r="J1226" s="17">
        <v>0.7</v>
      </c>
      <c r="K1226" s="12">
        <v>13.75</v>
      </c>
      <c r="L1226" s="2">
        <f t="shared" si="115"/>
        <v>853.3</v>
      </c>
      <c r="M1226" s="15">
        <f t="shared" si="116"/>
        <v>11732.875</v>
      </c>
      <c r="N1226" t="str">
        <f t="shared" si="112"/>
        <v>RJ</v>
      </c>
      <c r="O1226" t="str">
        <f t="shared" si="113"/>
        <v>Nilópolis</v>
      </c>
    </row>
    <row r="1227" spans="1:15" x14ac:dyDescent="0.3">
      <c r="A1227" s="10">
        <v>45839</v>
      </c>
      <c r="B1227" s="9" t="s">
        <v>15</v>
      </c>
      <c r="C1227" t="s">
        <v>57</v>
      </c>
      <c r="D1227" s="9">
        <v>19657</v>
      </c>
      <c r="E1227" s="5" t="s">
        <v>401</v>
      </c>
      <c r="F1227" t="s">
        <v>58</v>
      </c>
      <c r="G1227">
        <v>1885</v>
      </c>
      <c r="H1227">
        <v>755</v>
      </c>
      <c r="I1227" s="8">
        <f t="shared" si="114"/>
        <v>0.40053050397877982</v>
      </c>
      <c r="J1227" s="17">
        <v>0.7</v>
      </c>
      <c r="K1227" s="12">
        <v>13.75</v>
      </c>
      <c r="L1227" s="2">
        <f t="shared" si="115"/>
        <v>564.5</v>
      </c>
      <c r="M1227" s="15">
        <f t="shared" si="116"/>
        <v>7761.875</v>
      </c>
      <c r="N1227" t="str">
        <f t="shared" si="112"/>
        <v>RJ</v>
      </c>
      <c r="O1227" t="str">
        <f t="shared" si="113"/>
        <v>Cabo Frio</v>
      </c>
    </row>
    <row r="1228" spans="1:15" x14ac:dyDescent="0.3">
      <c r="A1228" s="10">
        <v>45839</v>
      </c>
      <c r="B1228" s="9" t="s">
        <v>82</v>
      </c>
      <c r="C1228" t="s">
        <v>119</v>
      </c>
      <c r="D1228" s="9">
        <v>19661</v>
      </c>
      <c r="E1228" s="5" t="s">
        <v>403</v>
      </c>
      <c r="F1228" t="s">
        <v>120</v>
      </c>
      <c r="G1228">
        <v>3589</v>
      </c>
      <c r="H1228">
        <v>1139</v>
      </c>
      <c r="I1228" s="8">
        <f t="shared" si="114"/>
        <v>0.31735859570911118</v>
      </c>
      <c r="J1228" s="17">
        <v>0.7</v>
      </c>
      <c r="K1228" s="12">
        <v>13.75</v>
      </c>
      <c r="L1228" s="2">
        <f t="shared" si="115"/>
        <v>1373.2999999999997</v>
      </c>
      <c r="M1228" s="15">
        <f t="shared" si="116"/>
        <v>18882.874999999996</v>
      </c>
      <c r="N1228" t="str">
        <f t="shared" si="112"/>
        <v>PR</v>
      </c>
      <c r="O1228" t="str">
        <f t="shared" si="113"/>
        <v>Londrina</v>
      </c>
    </row>
    <row r="1229" spans="1:15" x14ac:dyDescent="0.3">
      <c r="A1229" s="10">
        <v>45839</v>
      </c>
      <c r="B1229" s="9" t="s">
        <v>183</v>
      </c>
      <c r="C1229" t="s">
        <v>184</v>
      </c>
      <c r="D1229" s="9">
        <v>19752</v>
      </c>
      <c r="E1229" s="5" t="s">
        <v>404</v>
      </c>
      <c r="F1229" t="s">
        <v>185</v>
      </c>
      <c r="G1229">
        <v>1113</v>
      </c>
      <c r="H1229">
        <v>611</v>
      </c>
      <c r="I1229" s="8">
        <f t="shared" si="114"/>
        <v>0.54896675651392635</v>
      </c>
      <c r="J1229" s="17">
        <v>0.7</v>
      </c>
      <c r="K1229" s="12">
        <v>13.75</v>
      </c>
      <c r="L1229" s="2">
        <f t="shared" si="115"/>
        <v>168.09999999999991</v>
      </c>
      <c r="M1229" s="15">
        <f t="shared" si="116"/>
        <v>2311.3749999999986</v>
      </c>
      <c r="N1229" t="str">
        <f t="shared" si="112"/>
        <v>RO</v>
      </c>
      <c r="O1229" t="str">
        <f t="shared" si="113"/>
        <v>Porto Velho</v>
      </c>
    </row>
    <row r="1230" spans="1:15" x14ac:dyDescent="0.3">
      <c r="A1230" s="10">
        <v>45839</v>
      </c>
      <c r="B1230" s="9" t="s">
        <v>15</v>
      </c>
      <c r="C1230" t="s">
        <v>281</v>
      </c>
      <c r="D1230" s="9">
        <v>19671</v>
      </c>
      <c r="E1230" s="5" t="s">
        <v>405</v>
      </c>
      <c r="F1230" t="s">
        <v>282</v>
      </c>
      <c r="G1230">
        <v>2645</v>
      </c>
      <c r="H1230">
        <v>1074</v>
      </c>
      <c r="I1230" s="8">
        <f t="shared" si="114"/>
        <v>0.40604914933837427</v>
      </c>
      <c r="J1230" s="17">
        <v>0.7</v>
      </c>
      <c r="K1230" s="12">
        <v>13.75</v>
      </c>
      <c r="L1230" s="2">
        <f t="shared" si="115"/>
        <v>777.5</v>
      </c>
      <c r="M1230" s="15">
        <f t="shared" si="116"/>
        <v>10690.625</v>
      </c>
      <c r="N1230" t="str">
        <f t="shared" si="112"/>
        <v>RJ</v>
      </c>
      <c r="O1230" t="str">
        <f t="shared" si="113"/>
        <v>Teresópolis</v>
      </c>
    </row>
    <row r="1231" spans="1:15" x14ac:dyDescent="0.3">
      <c r="A1231" s="10">
        <v>45839</v>
      </c>
      <c r="B1231" s="9" t="s">
        <v>3</v>
      </c>
      <c r="C1231" t="s">
        <v>248</v>
      </c>
      <c r="D1231" s="9">
        <v>19674</v>
      </c>
      <c r="E1231" s="5" t="s">
        <v>406</v>
      </c>
      <c r="F1231" t="s">
        <v>251</v>
      </c>
      <c r="G1231">
        <v>2363</v>
      </c>
      <c r="H1231">
        <v>821</v>
      </c>
      <c r="I1231" s="8">
        <f t="shared" si="114"/>
        <v>0.34743969530258145</v>
      </c>
      <c r="J1231" s="17">
        <v>0.7</v>
      </c>
      <c r="K1231" s="12">
        <v>13.75</v>
      </c>
      <c r="L1231" s="2">
        <f t="shared" si="115"/>
        <v>833.09999999999991</v>
      </c>
      <c r="M1231" s="15">
        <f t="shared" si="116"/>
        <v>11455.124999999998</v>
      </c>
      <c r="N1231" t="str">
        <f t="shared" si="112"/>
        <v>SP</v>
      </c>
      <c r="O1231" t="str">
        <f t="shared" si="113"/>
        <v>São Paulo</v>
      </c>
    </row>
    <row r="1232" spans="1:15" x14ac:dyDescent="0.3">
      <c r="A1232" s="10">
        <v>45839</v>
      </c>
      <c r="B1232" s="9" t="s">
        <v>3</v>
      </c>
      <c r="C1232" t="s">
        <v>248</v>
      </c>
      <c r="D1232" s="9">
        <v>19756</v>
      </c>
      <c r="E1232" s="5" t="s">
        <v>407</v>
      </c>
      <c r="F1232" t="s">
        <v>252</v>
      </c>
      <c r="G1232">
        <v>1959</v>
      </c>
      <c r="H1232">
        <v>664</v>
      </c>
      <c r="I1232" s="8">
        <f t="shared" si="114"/>
        <v>0.33894844308320571</v>
      </c>
      <c r="J1232" s="17">
        <v>0.7</v>
      </c>
      <c r="K1232" s="12">
        <v>13.75</v>
      </c>
      <c r="L1232" s="2">
        <f t="shared" si="115"/>
        <v>707.3</v>
      </c>
      <c r="M1232" s="15">
        <f t="shared" si="116"/>
        <v>9725.375</v>
      </c>
      <c r="N1232" t="str">
        <f t="shared" si="112"/>
        <v>SP</v>
      </c>
      <c r="O1232" t="str">
        <f t="shared" si="113"/>
        <v>São Paulo</v>
      </c>
    </row>
    <row r="1233" spans="1:15" x14ac:dyDescent="0.3">
      <c r="A1233" s="10">
        <v>45839</v>
      </c>
      <c r="B1233" s="9" t="s">
        <v>3</v>
      </c>
      <c r="C1233" t="s">
        <v>248</v>
      </c>
      <c r="D1233" s="9">
        <v>19579</v>
      </c>
      <c r="E1233" s="5" t="s">
        <v>409</v>
      </c>
      <c r="F1233" t="s">
        <v>254</v>
      </c>
      <c r="G1233">
        <v>2071</v>
      </c>
      <c r="H1233">
        <v>633</v>
      </c>
      <c r="I1233" s="8">
        <f t="shared" si="114"/>
        <v>0.30564944471269917</v>
      </c>
      <c r="J1233" s="17">
        <v>0.7</v>
      </c>
      <c r="K1233" s="12">
        <v>13.75</v>
      </c>
      <c r="L1233" s="2">
        <f t="shared" si="115"/>
        <v>816.7</v>
      </c>
      <c r="M1233" s="15">
        <f t="shared" si="116"/>
        <v>11229.625</v>
      </c>
      <c r="N1233" t="str">
        <f t="shared" si="112"/>
        <v>SP</v>
      </c>
      <c r="O1233" t="str">
        <f t="shared" si="113"/>
        <v>São Paulo</v>
      </c>
    </row>
    <row r="1234" spans="1:15" x14ac:dyDescent="0.3">
      <c r="A1234" s="10">
        <v>45839</v>
      </c>
      <c r="B1234" s="9" t="s">
        <v>126</v>
      </c>
      <c r="C1234" t="s">
        <v>127</v>
      </c>
      <c r="D1234" s="9">
        <v>19623</v>
      </c>
      <c r="E1234" s="5" t="s">
        <v>410</v>
      </c>
      <c r="F1234" t="s">
        <v>128</v>
      </c>
      <c r="G1234">
        <v>1873</v>
      </c>
      <c r="H1234">
        <v>768</v>
      </c>
      <c r="I1234" s="8">
        <f t="shared" si="114"/>
        <v>0.41003737319807793</v>
      </c>
      <c r="J1234" s="17">
        <v>0.7</v>
      </c>
      <c r="K1234" s="12">
        <v>13.75</v>
      </c>
      <c r="L1234" s="2">
        <f t="shared" si="115"/>
        <v>543.09999999999991</v>
      </c>
      <c r="M1234" s="15">
        <f t="shared" si="116"/>
        <v>7467.6249999999991</v>
      </c>
      <c r="N1234" t="str">
        <f t="shared" si="112"/>
        <v>AL</v>
      </c>
      <c r="O1234" t="str">
        <f t="shared" si="113"/>
        <v>Maceió</v>
      </c>
    </row>
    <row r="1235" spans="1:15" x14ac:dyDescent="0.3">
      <c r="A1235" s="10">
        <v>45839</v>
      </c>
      <c r="B1235" s="9" t="s">
        <v>46</v>
      </c>
      <c r="C1235" t="s">
        <v>47</v>
      </c>
      <c r="D1235" s="9">
        <v>19693</v>
      </c>
      <c r="E1235" s="5" t="s">
        <v>411</v>
      </c>
      <c r="F1235" t="s">
        <v>51</v>
      </c>
      <c r="G1235">
        <v>3036</v>
      </c>
      <c r="H1235">
        <v>761</v>
      </c>
      <c r="I1235" s="8">
        <f t="shared" si="114"/>
        <v>0.25065876152832672</v>
      </c>
      <c r="J1235" s="17">
        <v>0.7</v>
      </c>
      <c r="K1235" s="12">
        <v>13.75</v>
      </c>
      <c r="L1235" s="2">
        <f t="shared" si="115"/>
        <v>1364.1999999999998</v>
      </c>
      <c r="M1235" s="15">
        <f t="shared" si="116"/>
        <v>18757.749999999996</v>
      </c>
      <c r="N1235" t="str">
        <f t="shared" si="112"/>
        <v>DF</v>
      </c>
      <c r="O1235" t="str">
        <f t="shared" si="113"/>
        <v>Brasília</v>
      </c>
    </row>
    <row r="1236" spans="1:15" x14ac:dyDescent="0.3">
      <c r="A1236" s="10">
        <v>45839</v>
      </c>
      <c r="B1236" s="9" t="s">
        <v>78</v>
      </c>
      <c r="C1236" t="s">
        <v>79</v>
      </c>
      <c r="D1236" s="9">
        <v>19730</v>
      </c>
      <c r="E1236" s="5" t="s">
        <v>413</v>
      </c>
      <c r="F1236" t="s">
        <v>80</v>
      </c>
      <c r="G1236">
        <v>3057</v>
      </c>
      <c r="H1236">
        <v>899</v>
      </c>
      <c r="I1236" s="8">
        <f t="shared" si="114"/>
        <v>0.29407916257769057</v>
      </c>
      <c r="J1236" s="17">
        <v>0.7</v>
      </c>
      <c r="K1236" s="12">
        <v>13.75</v>
      </c>
      <c r="L1236" s="2">
        <f t="shared" si="115"/>
        <v>1240.8999999999996</v>
      </c>
      <c r="M1236" s="15">
        <f t="shared" si="116"/>
        <v>17062.374999999996</v>
      </c>
      <c r="N1236" t="str">
        <f t="shared" si="112"/>
        <v>MT</v>
      </c>
      <c r="O1236" t="str">
        <f t="shared" si="113"/>
        <v>Cuiabá</v>
      </c>
    </row>
    <row r="1237" spans="1:15" x14ac:dyDescent="0.3">
      <c r="A1237" s="10">
        <v>45839</v>
      </c>
      <c r="B1237" s="9" t="s">
        <v>78</v>
      </c>
      <c r="C1237" t="s">
        <v>79</v>
      </c>
      <c r="D1237" s="9">
        <v>19794</v>
      </c>
      <c r="E1237" s="5" t="s">
        <v>414</v>
      </c>
      <c r="F1237" t="s">
        <v>81</v>
      </c>
      <c r="G1237">
        <v>2933</v>
      </c>
      <c r="H1237">
        <v>1070</v>
      </c>
      <c r="I1237" s="8">
        <f t="shared" si="114"/>
        <v>0.36481418342993521</v>
      </c>
      <c r="J1237" s="17">
        <v>0.7</v>
      </c>
      <c r="K1237" s="12">
        <v>13.75</v>
      </c>
      <c r="L1237" s="2">
        <f t="shared" si="115"/>
        <v>983.09999999999991</v>
      </c>
      <c r="M1237" s="15">
        <f t="shared" si="116"/>
        <v>13517.624999999998</v>
      </c>
      <c r="N1237" t="str">
        <f t="shared" si="112"/>
        <v>MT</v>
      </c>
      <c r="O1237" t="str">
        <f t="shared" si="113"/>
        <v>Cuiabá</v>
      </c>
    </row>
    <row r="1238" spans="1:15" x14ac:dyDescent="0.3">
      <c r="A1238" s="10">
        <v>45839</v>
      </c>
      <c r="B1238" s="9" t="s">
        <v>7</v>
      </c>
      <c r="C1238" t="s">
        <v>99</v>
      </c>
      <c r="D1238" s="9">
        <v>19691</v>
      </c>
      <c r="E1238" s="5" t="s">
        <v>415</v>
      </c>
      <c r="F1238" t="s">
        <v>100</v>
      </c>
      <c r="G1238">
        <v>2652</v>
      </c>
      <c r="H1238">
        <v>1155</v>
      </c>
      <c r="I1238" s="8">
        <f t="shared" si="114"/>
        <v>0.43552036199095023</v>
      </c>
      <c r="J1238" s="17">
        <v>0.7</v>
      </c>
      <c r="K1238" s="12">
        <v>13.75</v>
      </c>
      <c r="L1238" s="2">
        <f t="shared" si="115"/>
        <v>701.39999999999986</v>
      </c>
      <c r="M1238" s="15">
        <f t="shared" si="116"/>
        <v>9644.2499999999982</v>
      </c>
      <c r="N1238" t="str">
        <f t="shared" si="112"/>
        <v>GO</v>
      </c>
      <c r="O1238" t="str">
        <f t="shared" si="113"/>
        <v>Goiânia</v>
      </c>
    </row>
    <row r="1239" spans="1:15" x14ac:dyDescent="0.3">
      <c r="A1239" s="10">
        <v>45839</v>
      </c>
      <c r="B1239" s="9" t="s">
        <v>15</v>
      </c>
      <c r="C1239" t="s">
        <v>358</v>
      </c>
      <c r="D1239" s="9">
        <v>19505</v>
      </c>
      <c r="E1239" s="5" t="s">
        <v>416</v>
      </c>
      <c r="F1239" t="s">
        <v>204</v>
      </c>
      <c r="G1239">
        <v>2650</v>
      </c>
      <c r="H1239">
        <v>878</v>
      </c>
      <c r="I1239" s="8">
        <f t="shared" si="114"/>
        <v>0.33132075471698114</v>
      </c>
      <c r="J1239" s="17">
        <v>0.7</v>
      </c>
      <c r="K1239" s="12">
        <v>13.75</v>
      </c>
      <c r="L1239" s="2">
        <f t="shared" si="115"/>
        <v>976.99999999999977</v>
      </c>
      <c r="M1239" s="15">
        <f t="shared" si="116"/>
        <v>13433.749999999996</v>
      </c>
      <c r="N1239" t="str">
        <f t="shared" si="112"/>
        <v>RJ</v>
      </c>
      <c r="O1239" t="str">
        <f t="shared" si="113"/>
        <v>Rio De Janeiro</v>
      </c>
    </row>
    <row r="1240" spans="1:15" x14ac:dyDescent="0.3">
      <c r="A1240" s="10">
        <v>45839</v>
      </c>
      <c r="B1240" s="9" t="s">
        <v>15</v>
      </c>
      <c r="C1240" t="s">
        <v>358</v>
      </c>
      <c r="D1240" s="9">
        <v>19515</v>
      </c>
      <c r="E1240" s="5" t="s">
        <v>417</v>
      </c>
      <c r="F1240" t="s">
        <v>205</v>
      </c>
      <c r="G1240">
        <v>3748</v>
      </c>
      <c r="H1240">
        <v>1313</v>
      </c>
      <c r="I1240" s="8">
        <f t="shared" si="114"/>
        <v>0.35032017075773747</v>
      </c>
      <c r="J1240" s="17">
        <v>0.7</v>
      </c>
      <c r="K1240" s="12">
        <v>13.75</v>
      </c>
      <c r="L1240" s="2">
        <f t="shared" si="115"/>
        <v>1310.5999999999995</v>
      </c>
      <c r="M1240" s="15">
        <f t="shared" si="116"/>
        <v>18020.749999999993</v>
      </c>
      <c r="N1240" t="str">
        <f t="shared" si="112"/>
        <v>RJ</v>
      </c>
      <c r="O1240" t="str">
        <f t="shared" si="113"/>
        <v>Rio De Janeiro</v>
      </c>
    </row>
    <row r="1241" spans="1:15" x14ac:dyDescent="0.3">
      <c r="A1241" s="10">
        <v>45839</v>
      </c>
      <c r="B1241" s="9" t="s">
        <v>15</v>
      </c>
      <c r="C1241" t="s">
        <v>358</v>
      </c>
      <c r="D1241" s="9">
        <v>19519</v>
      </c>
      <c r="E1241" s="5" t="s">
        <v>418</v>
      </c>
      <c r="F1241" t="s">
        <v>206</v>
      </c>
      <c r="G1241">
        <v>5993</v>
      </c>
      <c r="H1241">
        <v>2023</v>
      </c>
      <c r="I1241" s="8">
        <f t="shared" si="114"/>
        <v>0.33756048723510762</v>
      </c>
      <c r="J1241" s="17">
        <v>0.7</v>
      </c>
      <c r="K1241" s="12">
        <v>13.75</v>
      </c>
      <c r="L1241" s="2">
        <f t="shared" si="115"/>
        <v>2172.0999999999995</v>
      </c>
      <c r="M1241" s="15">
        <f t="shared" si="116"/>
        <v>29866.374999999993</v>
      </c>
      <c r="N1241" t="str">
        <f t="shared" si="112"/>
        <v>RJ</v>
      </c>
      <c r="O1241" t="str">
        <f t="shared" si="113"/>
        <v>Rio De Janeiro</v>
      </c>
    </row>
    <row r="1242" spans="1:15" x14ac:dyDescent="0.3">
      <c r="A1242" s="10">
        <v>45839</v>
      </c>
      <c r="B1242" s="9" t="s">
        <v>15</v>
      </c>
      <c r="C1242" t="s">
        <v>358</v>
      </c>
      <c r="D1242" s="9">
        <v>19518</v>
      </c>
      <c r="E1242" s="5" t="s">
        <v>419</v>
      </c>
      <c r="F1242" t="s">
        <v>207</v>
      </c>
      <c r="G1242">
        <v>4659</v>
      </c>
      <c r="H1242">
        <v>1885</v>
      </c>
      <c r="I1242" s="8">
        <f t="shared" si="114"/>
        <v>0.40459326035629961</v>
      </c>
      <c r="J1242" s="17">
        <v>0.7</v>
      </c>
      <c r="K1242" s="12">
        <v>13.75</v>
      </c>
      <c r="L1242" s="2">
        <f t="shared" si="115"/>
        <v>1376.3000000000002</v>
      </c>
      <c r="M1242" s="15">
        <f t="shared" si="116"/>
        <v>18924.125000000004</v>
      </c>
      <c r="N1242" t="str">
        <f t="shared" si="112"/>
        <v>RJ</v>
      </c>
      <c r="O1242" t="str">
        <f t="shared" si="113"/>
        <v>Rio De Janeiro</v>
      </c>
    </row>
    <row r="1243" spans="1:15" x14ac:dyDescent="0.3">
      <c r="A1243" s="10">
        <v>45839</v>
      </c>
      <c r="B1243" s="9" t="s">
        <v>15</v>
      </c>
      <c r="C1243" t="s">
        <v>358</v>
      </c>
      <c r="D1243" s="9">
        <v>19507</v>
      </c>
      <c r="E1243" s="5" t="s">
        <v>420</v>
      </c>
      <c r="F1243" t="s">
        <v>208</v>
      </c>
      <c r="G1243">
        <v>3693</v>
      </c>
      <c r="H1243">
        <v>1184</v>
      </c>
      <c r="I1243" s="8">
        <f t="shared" si="114"/>
        <v>0.32060655293799079</v>
      </c>
      <c r="J1243" s="17">
        <v>0.7</v>
      </c>
      <c r="K1243" s="12">
        <v>13.75</v>
      </c>
      <c r="L1243" s="2">
        <f t="shared" si="115"/>
        <v>1401.1</v>
      </c>
      <c r="M1243" s="15">
        <f t="shared" si="116"/>
        <v>19265.125</v>
      </c>
      <c r="N1243" t="str">
        <f t="shared" si="112"/>
        <v>RJ</v>
      </c>
      <c r="O1243" t="str">
        <f t="shared" si="113"/>
        <v>Rio De Janeiro</v>
      </c>
    </row>
    <row r="1244" spans="1:15" x14ac:dyDescent="0.3">
      <c r="A1244" s="10">
        <v>45839</v>
      </c>
      <c r="B1244" s="9" t="s">
        <v>15</v>
      </c>
      <c r="C1244" t="s">
        <v>358</v>
      </c>
      <c r="D1244" s="9">
        <v>19714</v>
      </c>
      <c r="E1244" s="5" t="s">
        <v>421</v>
      </c>
      <c r="F1244" t="s">
        <v>209</v>
      </c>
      <c r="G1244">
        <v>2833</v>
      </c>
      <c r="H1244">
        <v>1001</v>
      </c>
      <c r="I1244" s="8">
        <f t="shared" si="114"/>
        <v>0.353335686551359</v>
      </c>
      <c r="J1244" s="17">
        <v>0.7</v>
      </c>
      <c r="K1244" s="12">
        <v>13.75</v>
      </c>
      <c r="L1244" s="2">
        <f t="shared" si="115"/>
        <v>982.09999999999968</v>
      </c>
      <c r="M1244" s="15">
        <f t="shared" si="116"/>
        <v>13503.874999999996</v>
      </c>
      <c r="N1244" t="str">
        <f t="shared" si="112"/>
        <v>RJ</v>
      </c>
      <c r="O1244" t="str">
        <f t="shared" si="113"/>
        <v>Rio De Janeiro</v>
      </c>
    </row>
    <row r="1245" spans="1:15" x14ac:dyDescent="0.3">
      <c r="A1245" s="10">
        <v>45839</v>
      </c>
      <c r="B1245" s="9" t="s">
        <v>3</v>
      </c>
      <c r="C1245" t="s">
        <v>248</v>
      </c>
      <c r="D1245" s="9">
        <v>19804</v>
      </c>
      <c r="E1245" s="5" t="s">
        <v>422</v>
      </c>
      <c r="F1245" t="s">
        <v>255</v>
      </c>
      <c r="G1245">
        <v>1182</v>
      </c>
      <c r="H1245">
        <v>405</v>
      </c>
      <c r="I1245" s="8">
        <f t="shared" si="114"/>
        <v>0.34263959390862941</v>
      </c>
      <c r="J1245" s="17">
        <v>0.7</v>
      </c>
      <c r="K1245" s="12">
        <v>13.75</v>
      </c>
      <c r="L1245" s="2">
        <f t="shared" si="115"/>
        <v>422.40000000000009</v>
      </c>
      <c r="M1245" s="15">
        <f t="shared" si="116"/>
        <v>5808.0000000000009</v>
      </c>
      <c r="N1245" t="str">
        <f t="shared" si="112"/>
        <v>SP</v>
      </c>
      <c r="O1245" t="str">
        <f t="shared" si="113"/>
        <v>São Paulo</v>
      </c>
    </row>
    <row r="1246" spans="1:15" x14ac:dyDescent="0.3">
      <c r="A1246" s="10">
        <v>45839</v>
      </c>
      <c r="B1246" s="9" t="s">
        <v>3</v>
      </c>
      <c r="C1246" t="s">
        <v>363</v>
      </c>
      <c r="D1246" s="9">
        <v>19808</v>
      </c>
      <c r="E1246" s="5" t="s">
        <v>423</v>
      </c>
      <c r="F1246" t="s">
        <v>243</v>
      </c>
      <c r="G1246">
        <v>1684</v>
      </c>
      <c r="H1246">
        <v>427</v>
      </c>
      <c r="I1246" s="8">
        <f t="shared" si="114"/>
        <v>0.25356294536817103</v>
      </c>
      <c r="J1246" s="17">
        <v>0.7</v>
      </c>
      <c r="K1246" s="12">
        <v>13.75</v>
      </c>
      <c r="L1246" s="2">
        <f t="shared" si="115"/>
        <v>751.8</v>
      </c>
      <c r="M1246" s="15">
        <f t="shared" si="116"/>
        <v>10337.25</v>
      </c>
      <c r="N1246" t="str">
        <f t="shared" si="112"/>
        <v>SP</v>
      </c>
      <c r="O1246" t="str">
        <f t="shared" si="113"/>
        <v>São Caetano Do Sul</v>
      </c>
    </row>
    <row r="1247" spans="1:15" x14ac:dyDescent="0.3">
      <c r="A1247" s="10">
        <v>45839</v>
      </c>
      <c r="B1247" s="9" t="s">
        <v>3</v>
      </c>
      <c r="C1247" t="s">
        <v>24</v>
      </c>
      <c r="D1247" s="9">
        <v>19805</v>
      </c>
      <c r="E1247" s="5" t="s">
        <v>424</v>
      </c>
      <c r="F1247" t="s">
        <v>25</v>
      </c>
      <c r="G1247">
        <v>1616</v>
      </c>
      <c r="H1247">
        <v>646</v>
      </c>
      <c r="I1247" s="8">
        <f t="shared" si="114"/>
        <v>0.39975247524752477</v>
      </c>
      <c r="J1247" s="17">
        <v>0.7</v>
      </c>
      <c r="K1247" s="12">
        <v>13.75</v>
      </c>
      <c r="L1247" s="2">
        <f t="shared" si="115"/>
        <v>485.19999999999982</v>
      </c>
      <c r="M1247" s="15">
        <f t="shared" si="116"/>
        <v>6671.4999999999973</v>
      </c>
      <c r="N1247" t="str">
        <f t="shared" si="112"/>
        <v>SP</v>
      </c>
      <c r="O1247" t="str">
        <f t="shared" si="113"/>
        <v>Barueri</v>
      </c>
    </row>
    <row r="1248" spans="1:15" x14ac:dyDescent="0.3">
      <c r="A1248" s="10">
        <v>45839</v>
      </c>
      <c r="B1248" s="9" t="s">
        <v>3</v>
      </c>
      <c r="C1248" t="s">
        <v>248</v>
      </c>
      <c r="D1248" s="9">
        <v>19821</v>
      </c>
      <c r="E1248" s="5" t="s">
        <v>425</v>
      </c>
      <c r="F1248" t="s">
        <v>256</v>
      </c>
      <c r="G1248">
        <v>1494</v>
      </c>
      <c r="H1248">
        <v>520</v>
      </c>
      <c r="I1248" s="8">
        <f t="shared" si="114"/>
        <v>0.34805890227576974</v>
      </c>
      <c r="J1248" s="17">
        <v>0.7</v>
      </c>
      <c r="K1248" s="12">
        <v>13.75</v>
      </c>
      <c r="L1248" s="2">
        <f t="shared" si="115"/>
        <v>525.79999999999995</v>
      </c>
      <c r="M1248" s="15">
        <f t="shared" si="116"/>
        <v>7229.7499999999991</v>
      </c>
      <c r="N1248" t="str">
        <f t="shared" si="112"/>
        <v>SP</v>
      </c>
      <c r="O1248" t="str">
        <f t="shared" si="113"/>
        <v>São Paulo</v>
      </c>
    </row>
    <row r="1249" spans="1:15" x14ac:dyDescent="0.3">
      <c r="A1249" s="10">
        <v>45839</v>
      </c>
      <c r="B1249" s="9" t="s">
        <v>3</v>
      </c>
      <c r="C1249" t="s">
        <v>362</v>
      </c>
      <c r="D1249" s="9">
        <v>19825</v>
      </c>
      <c r="E1249" s="5" t="s">
        <v>426</v>
      </c>
      <c r="F1249" t="s">
        <v>241</v>
      </c>
      <c r="G1249">
        <v>1401</v>
      </c>
      <c r="H1249">
        <v>426</v>
      </c>
      <c r="I1249" s="8">
        <f t="shared" si="114"/>
        <v>0.30406852248394006</v>
      </c>
      <c r="J1249" s="17">
        <v>0.7</v>
      </c>
      <c r="K1249" s="12">
        <v>13.75</v>
      </c>
      <c r="L1249" s="2">
        <f t="shared" si="115"/>
        <v>554.69999999999993</v>
      </c>
      <c r="M1249" s="15">
        <f t="shared" si="116"/>
        <v>7627.1249999999991</v>
      </c>
      <c r="N1249" t="str">
        <f t="shared" si="112"/>
        <v>SP</v>
      </c>
      <c r="O1249" t="str">
        <f t="shared" si="113"/>
        <v>São Bernardo Do Campo</v>
      </c>
    </row>
    <row r="1250" spans="1:15" x14ac:dyDescent="0.3">
      <c r="A1250" s="10">
        <v>45839</v>
      </c>
      <c r="B1250" s="9" t="s">
        <v>3</v>
      </c>
      <c r="C1250" t="s">
        <v>193</v>
      </c>
      <c r="D1250" s="9">
        <v>19832</v>
      </c>
      <c r="E1250" s="5" t="s">
        <v>427</v>
      </c>
      <c r="F1250" t="s">
        <v>194</v>
      </c>
      <c r="G1250">
        <v>1592</v>
      </c>
      <c r="H1250">
        <v>439</v>
      </c>
      <c r="I1250" s="8">
        <f t="shared" si="114"/>
        <v>0.27575376884422109</v>
      </c>
      <c r="J1250" s="17">
        <v>0.7</v>
      </c>
      <c r="K1250" s="12">
        <v>13.75</v>
      </c>
      <c r="L1250" s="2">
        <f t="shared" si="115"/>
        <v>675.39999999999986</v>
      </c>
      <c r="M1250" s="15">
        <f t="shared" si="116"/>
        <v>9286.7499999999982</v>
      </c>
      <c r="N1250" t="str">
        <f t="shared" si="112"/>
        <v>SP</v>
      </c>
      <c r="O1250" t="str">
        <f t="shared" si="113"/>
        <v>Ribeirão Preto</v>
      </c>
    </row>
    <row r="1251" spans="1:15" x14ac:dyDescent="0.3">
      <c r="A1251" s="10">
        <v>45839</v>
      </c>
      <c r="B1251" s="9" t="s">
        <v>15</v>
      </c>
      <c r="C1251" t="s">
        <v>358</v>
      </c>
      <c r="D1251" s="9">
        <v>19844</v>
      </c>
      <c r="E1251" s="5" t="s">
        <v>428</v>
      </c>
      <c r="F1251" t="s">
        <v>210</v>
      </c>
      <c r="G1251">
        <v>2374</v>
      </c>
      <c r="H1251">
        <v>823</v>
      </c>
      <c r="I1251" s="8">
        <f t="shared" si="114"/>
        <v>0.34667228306655434</v>
      </c>
      <c r="J1251" s="17">
        <v>0.7</v>
      </c>
      <c r="K1251" s="12">
        <v>13.75</v>
      </c>
      <c r="L1251" s="2">
        <f t="shared" ref="L1251:L1282" si="117">H1251*J1251/I1251-H1251</f>
        <v>838.79999999999973</v>
      </c>
      <c r="M1251" s="15">
        <f t="shared" si="116"/>
        <v>11533.499999999996</v>
      </c>
      <c r="N1251" t="str">
        <f t="shared" si="112"/>
        <v>RJ</v>
      </c>
      <c r="O1251" t="str">
        <f t="shared" si="113"/>
        <v>Rio De Janeiro</v>
      </c>
    </row>
    <row r="1252" spans="1:15" x14ac:dyDescent="0.3">
      <c r="A1252" s="10">
        <v>45839</v>
      </c>
      <c r="B1252" s="9" t="s">
        <v>14</v>
      </c>
      <c r="C1252" t="s">
        <v>29</v>
      </c>
      <c r="D1252" s="9">
        <v>19704</v>
      </c>
      <c r="E1252" s="5" t="s">
        <v>429</v>
      </c>
      <c r="F1252" t="s">
        <v>30</v>
      </c>
      <c r="G1252">
        <v>3095</v>
      </c>
      <c r="H1252">
        <v>1446</v>
      </c>
      <c r="I1252" s="8">
        <f t="shared" si="114"/>
        <v>0.46720516962843295</v>
      </c>
      <c r="J1252" s="17">
        <v>0.7</v>
      </c>
      <c r="K1252" s="12">
        <v>13.75</v>
      </c>
      <c r="L1252" s="2">
        <f t="shared" si="117"/>
        <v>720.5</v>
      </c>
      <c r="M1252" s="15">
        <f t="shared" si="116"/>
        <v>9906.875</v>
      </c>
      <c r="N1252" t="str">
        <f t="shared" si="112"/>
        <v>MG</v>
      </c>
      <c r="O1252" t="str">
        <f t="shared" si="113"/>
        <v>Belo Horizonte</v>
      </c>
    </row>
    <row r="1253" spans="1:15" x14ac:dyDescent="0.3">
      <c r="A1253" s="10">
        <v>45839</v>
      </c>
      <c r="B1253" s="9" t="s">
        <v>15</v>
      </c>
      <c r="C1253" t="s">
        <v>358</v>
      </c>
      <c r="D1253" s="9">
        <v>19512</v>
      </c>
      <c r="E1253" s="5" t="s">
        <v>430</v>
      </c>
      <c r="F1253" t="s">
        <v>211</v>
      </c>
      <c r="G1253">
        <v>2030</v>
      </c>
      <c r="H1253">
        <v>680</v>
      </c>
      <c r="I1253" s="8">
        <f t="shared" si="114"/>
        <v>0.33497536945812806</v>
      </c>
      <c r="J1253" s="17">
        <v>0.7</v>
      </c>
      <c r="K1253" s="12">
        <v>13.75</v>
      </c>
      <c r="L1253" s="2">
        <f t="shared" si="117"/>
        <v>741</v>
      </c>
      <c r="M1253" s="15">
        <f t="shared" si="116"/>
        <v>10188.75</v>
      </c>
      <c r="N1253" t="str">
        <f t="shared" si="112"/>
        <v>RJ</v>
      </c>
      <c r="O1253" t="str">
        <f t="shared" si="113"/>
        <v>Rio De Janeiro</v>
      </c>
    </row>
    <row r="1254" spans="1:15" x14ac:dyDescent="0.3">
      <c r="A1254" s="10">
        <v>45839</v>
      </c>
      <c r="B1254" s="9" t="s">
        <v>14</v>
      </c>
      <c r="C1254" t="s">
        <v>29</v>
      </c>
      <c r="D1254" s="9">
        <v>19562</v>
      </c>
      <c r="E1254" s="5" t="s">
        <v>431</v>
      </c>
      <c r="F1254" t="s">
        <v>31</v>
      </c>
      <c r="G1254">
        <v>1534</v>
      </c>
      <c r="H1254">
        <v>614</v>
      </c>
      <c r="I1254" s="8">
        <f t="shared" si="114"/>
        <v>0.40026075619295959</v>
      </c>
      <c r="J1254" s="17">
        <v>0.7</v>
      </c>
      <c r="K1254" s="12">
        <v>13.75</v>
      </c>
      <c r="L1254" s="2">
        <f t="shared" si="117"/>
        <v>459.79999999999995</v>
      </c>
      <c r="M1254" s="15">
        <f t="shared" si="116"/>
        <v>6322.2499999999991</v>
      </c>
      <c r="N1254" t="str">
        <f t="shared" si="112"/>
        <v>MG</v>
      </c>
      <c r="O1254" t="str">
        <f t="shared" si="113"/>
        <v>Belo Horizonte</v>
      </c>
    </row>
    <row r="1255" spans="1:15" x14ac:dyDescent="0.3">
      <c r="A1255" s="10">
        <v>45839</v>
      </c>
      <c r="B1255" s="9" t="s">
        <v>14</v>
      </c>
      <c r="C1255" t="s">
        <v>29</v>
      </c>
      <c r="D1255" s="9">
        <v>19748</v>
      </c>
      <c r="E1255" s="5" t="s">
        <v>432</v>
      </c>
      <c r="F1255" t="s">
        <v>32</v>
      </c>
      <c r="G1255">
        <v>2069</v>
      </c>
      <c r="H1255">
        <v>878</v>
      </c>
      <c r="I1255" s="8">
        <f t="shared" si="114"/>
        <v>0.42435959400676654</v>
      </c>
      <c r="J1255" s="17">
        <v>0.7</v>
      </c>
      <c r="K1255" s="12">
        <v>13.75</v>
      </c>
      <c r="L1255" s="2">
        <f t="shared" si="117"/>
        <v>570.29999999999973</v>
      </c>
      <c r="M1255" s="15">
        <f t="shared" si="116"/>
        <v>7841.6249999999964</v>
      </c>
      <c r="N1255" t="str">
        <f t="shared" si="112"/>
        <v>MG</v>
      </c>
      <c r="O1255" t="str">
        <f t="shared" si="113"/>
        <v>Belo Horizonte</v>
      </c>
    </row>
    <row r="1256" spans="1:15" x14ac:dyDescent="0.3">
      <c r="A1256" s="10">
        <v>45839</v>
      </c>
      <c r="B1256" s="9" t="s">
        <v>14</v>
      </c>
      <c r="C1256" t="s">
        <v>29</v>
      </c>
      <c r="D1256" s="9">
        <v>19561</v>
      </c>
      <c r="E1256" s="5" t="s">
        <v>433</v>
      </c>
      <c r="F1256" t="s">
        <v>33</v>
      </c>
      <c r="G1256">
        <v>1435</v>
      </c>
      <c r="H1256">
        <v>525</v>
      </c>
      <c r="I1256" s="8">
        <f t="shared" si="114"/>
        <v>0.36585365853658536</v>
      </c>
      <c r="J1256" s="17">
        <v>0.7</v>
      </c>
      <c r="K1256" s="12">
        <v>13.75</v>
      </c>
      <c r="L1256" s="2">
        <f t="shared" si="117"/>
        <v>479.5</v>
      </c>
      <c r="M1256" s="15">
        <f t="shared" si="116"/>
        <v>6593.125</v>
      </c>
      <c r="N1256" t="str">
        <f t="shared" si="112"/>
        <v>MG</v>
      </c>
      <c r="O1256" t="str">
        <f t="shared" si="113"/>
        <v>Belo Horizonte</v>
      </c>
    </row>
    <row r="1257" spans="1:15" x14ac:dyDescent="0.3">
      <c r="A1257" s="10">
        <v>45839</v>
      </c>
      <c r="B1257" s="9" t="s">
        <v>3</v>
      </c>
      <c r="C1257" t="s">
        <v>248</v>
      </c>
      <c r="D1257" s="9">
        <v>19855</v>
      </c>
      <c r="E1257" s="5" t="s">
        <v>434</v>
      </c>
      <c r="F1257" t="s">
        <v>257</v>
      </c>
      <c r="G1257">
        <v>1484</v>
      </c>
      <c r="H1257">
        <v>478</v>
      </c>
      <c r="I1257" s="8">
        <f t="shared" si="114"/>
        <v>0.32210242587601079</v>
      </c>
      <c r="J1257" s="17">
        <v>0.7</v>
      </c>
      <c r="K1257" s="12">
        <v>13.75</v>
      </c>
      <c r="L1257" s="2">
        <f t="shared" si="117"/>
        <v>560.79999999999995</v>
      </c>
      <c r="M1257" s="15">
        <f t="shared" si="116"/>
        <v>7710.9999999999991</v>
      </c>
      <c r="N1257" t="str">
        <f t="shared" si="112"/>
        <v>SP</v>
      </c>
      <c r="O1257" t="str">
        <f t="shared" si="113"/>
        <v>São Paulo</v>
      </c>
    </row>
    <row r="1258" spans="1:15" x14ac:dyDescent="0.3">
      <c r="A1258" s="10">
        <v>45839</v>
      </c>
      <c r="B1258" s="9" t="s">
        <v>14</v>
      </c>
      <c r="C1258" t="s">
        <v>29</v>
      </c>
      <c r="D1258" s="9">
        <v>19560</v>
      </c>
      <c r="E1258" s="5" t="s">
        <v>435</v>
      </c>
      <c r="F1258" t="s">
        <v>34</v>
      </c>
      <c r="G1258">
        <v>3670</v>
      </c>
      <c r="H1258">
        <v>1519</v>
      </c>
      <c r="I1258" s="8">
        <f t="shared" si="114"/>
        <v>0.41389645776566758</v>
      </c>
      <c r="J1258" s="17">
        <v>0.7</v>
      </c>
      <c r="K1258" s="12">
        <v>13.75</v>
      </c>
      <c r="L1258" s="2">
        <f t="shared" si="117"/>
        <v>1050</v>
      </c>
      <c r="M1258" s="15">
        <f t="shared" si="116"/>
        <v>14437.5</v>
      </c>
      <c r="N1258" t="str">
        <f t="shared" si="112"/>
        <v>MG</v>
      </c>
      <c r="O1258" t="str">
        <f t="shared" si="113"/>
        <v>Belo Horizonte</v>
      </c>
    </row>
    <row r="1259" spans="1:15" x14ac:dyDescent="0.3">
      <c r="A1259" s="10">
        <v>45839</v>
      </c>
      <c r="B1259" s="9" t="s">
        <v>3</v>
      </c>
      <c r="C1259" t="s">
        <v>248</v>
      </c>
      <c r="D1259" s="9">
        <v>19859</v>
      </c>
      <c r="E1259" s="5" t="s">
        <v>436</v>
      </c>
      <c r="F1259" t="s">
        <v>258</v>
      </c>
      <c r="G1259">
        <v>1948</v>
      </c>
      <c r="H1259">
        <v>533</v>
      </c>
      <c r="I1259" s="8">
        <f t="shared" si="114"/>
        <v>0.27361396303901436</v>
      </c>
      <c r="J1259" s="17">
        <v>0.7</v>
      </c>
      <c r="K1259" s="12">
        <v>13.75</v>
      </c>
      <c r="L1259" s="2">
        <f t="shared" si="117"/>
        <v>830.59999999999991</v>
      </c>
      <c r="M1259" s="15">
        <f t="shared" si="116"/>
        <v>11420.749999999998</v>
      </c>
      <c r="N1259" t="str">
        <f t="shared" si="112"/>
        <v>SP</v>
      </c>
      <c r="O1259" t="str">
        <f t="shared" si="113"/>
        <v>São Paulo</v>
      </c>
    </row>
    <row r="1260" spans="1:15" x14ac:dyDescent="0.3">
      <c r="A1260" s="10">
        <v>45839</v>
      </c>
      <c r="B1260" s="9" t="s">
        <v>14</v>
      </c>
      <c r="C1260" t="s">
        <v>29</v>
      </c>
      <c r="D1260" s="9">
        <v>19780</v>
      </c>
      <c r="E1260" s="5" t="s">
        <v>437</v>
      </c>
      <c r="F1260" t="s">
        <v>35</v>
      </c>
      <c r="G1260">
        <v>1418</v>
      </c>
      <c r="H1260">
        <v>691</v>
      </c>
      <c r="I1260" s="8">
        <f t="shared" si="114"/>
        <v>0.48730606488011285</v>
      </c>
      <c r="J1260" s="17">
        <v>0.7</v>
      </c>
      <c r="K1260" s="12">
        <v>13.75</v>
      </c>
      <c r="L1260" s="2">
        <f t="shared" si="117"/>
        <v>301.59999999999991</v>
      </c>
      <c r="M1260" s="15">
        <f t="shared" si="116"/>
        <v>4146.9999999999991</v>
      </c>
      <c r="N1260" t="str">
        <f t="shared" si="112"/>
        <v>MG</v>
      </c>
      <c r="O1260" t="str">
        <f t="shared" si="113"/>
        <v>Belo Horizonte</v>
      </c>
    </row>
    <row r="1261" spans="1:15" x14ac:dyDescent="0.3">
      <c r="A1261" s="10">
        <v>45839</v>
      </c>
      <c r="B1261" s="9" t="s">
        <v>3</v>
      </c>
      <c r="C1261" t="s">
        <v>361</v>
      </c>
      <c r="D1261" s="9">
        <v>19847</v>
      </c>
      <c r="E1261" s="5" t="s">
        <v>438</v>
      </c>
      <c r="F1261" t="s">
        <v>238</v>
      </c>
      <c r="G1261">
        <v>1874</v>
      </c>
      <c r="H1261">
        <v>498</v>
      </c>
      <c r="I1261" s="8">
        <f t="shared" si="114"/>
        <v>0.2657417289220918</v>
      </c>
      <c r="J1261" s="17">
        <v>0.7</v>
      </c>
      <c r="K1261" s="12">
        <v>13.75</v>
      </c>
      <c r="L1261" s="2">
        <f t="shared" si="117"/>
        <v>813.79999999999973</v>
      </c>
      <c r="M1261" s="15">
        <f t="shared" si="116"/>
        <v>11189.749999999996</v>
      </c>
      <c r="N1261" t="str">
        <f t="shared" si="112"/>
        <v>SP</v>
      </c>
      <c r="O1261" t="str">
        <f t="shared" si="113"/>
        <v>Santo André</v>
      </c>
    </row>
    <row r="1262" spans="1:15" x14ac:dyDescent="0.3">
      <c r="A1262" s="10">
        <v>45839</v>
      </c>
      <c r="B1262" s="9" t="s">
        <v>3</v>
      </c>
      <c r="C1262" t="s">
        <v>110</v>
      </c>
      <c r="D1262" s="9">
        <v>19884</v>
      </c>
      <c r="E1262" s="5" t="s">
        <v>439</v>
      </c>
      <c r="F1262" t="s">
        <v>111</v>
      </c>
      <c r="G1262">
        <v>1990</v>
      </c>
      <c r="H1262">
        <v>580</v>
      </c>
      <c r="I1262" s="8">
        <f t="shared" si="114"/>
        <v>0.29145728643216079</v>
      </c>
      <c r="J1262" s="17">
        <v>0.7</v>
      </c>
      <c r="K1262" s="12">
        <v>13.75</v>
      </c>
      <c r="L1262" s="2">
        <f t="shared" si="117"/>
        <v>813</v>
      </c>
      <c r="M1262" s="15">
        <f t="shared" si="116"/>
        <v>11178.75</v>
      </c>
      <c r="N1262" t="str">
        <f t="shared" si="112"/>
        <v>SP</v>
      </c>
      <c r="O1262" t="str">
        <f t="shared" si="113"/>
        <v>Guarulhos</v>
      </c>
    </row>
    <row r="1263" spans="1:15" x14ac:dyDescent="0.3">
      <c r="A1263" s="10">
        <v>45839</v>
      </c>
      <c r="B1263" s="9" t="s">
        <v>3</v>
      </c>
      <c r="C1263" t="s">
        <v>108</v>
      </c>
      <c r="D1263" s="9">
        <v>19877</v>
      </c>
      <c r="E1263" s="5" t="s">
        <v>440</v>
      </c>
      <c r="F1263" t="s">
        <v>109</v>
      </c>
      <c r="G1263">
        <v>2128</v>
      </c>
      <c r="H1263">
        <v>742</v>
      </c>
      <c r="I1263" s="8">
        <f t="shared" si="114"/>
        <v>0.34868421052631576</v>
      </c>
      <c r="J1263" s="17">
        <v>0.7</v>
      </c>
      <c r="K1263" s="12">
        <v>13.75</v>
      </c>
      <c r="L1263" s="2">
        <f t="shared" si="117"/>
        <v>747.60000000000014</v>
      </c>
      <c r="M1263" s="15">
        <f t="shared" si="116"/>
        <v>10279.500000000002</v>
      </c>
      <c r="N1263" t="str">
        <f t="shared" si="112"/>
        <v>SP</v>
      </c>
      <c r="O1263" t="str">
        <f t="shared" si="113"/>
        <v>Guarujá</v>
      </c>
    </row>
    <row r="1264" spans="1:15" x14ac:dyDescent="0.3">
      <c r="A1264" s="10">
        <v>45839</v>
      </c>
      <c r="B1264" s="9" t="s">
        <v>3</v>
      </c>
      <c r="C1264" t="s">
        <v>248</v>
      </c>
      <c r="D1264" s="9">
        <v>19890</v>
      </c>
      <c r="E1264" s="5" t="s">
        <v>441</v>
      </c>
      <c r="F1264" t="s">
        <v>259</v>
      </c>
      <c r="G1264">
        <v>824</v>
      </c>
      <c r="H1264">
        <v>260</v>
      </c>
      <c r="I1264" s="8">
        <f t="shared" si="114"/>
        <v>0.3155339805825243</v>
      </c>
      <c r="J1264" s="17">
        <v>0.7</v>
      </c>
      <c r="K1264" s="12">
        <v>13.75</v>
      </c>
      <c r="L1264" s="2">
        <f t="shared" si="117"/>
        <v>316.79999999999995</v>
      </c>
      <c r="M1264" s="15">
        <f t="shared" si="116"/>
        <v>4355.9999999999991</v>
      </c>
      <c r="N1264" t="str">
        <f t="shared" si="112"/>
        <v>SP</v>
      </c>
      <c r="O1264" t="str">
        <f t="shared" si="113"/>
        <v>São Paulo</v>
      </c>
    </row>
    <row r="1265" spans="1:15" x14ac:dyDescent="0.3">
      <c r="A1265" s="10">
        <v>45839</v>
      </c>
      <c r="B1265" s="9" t="s">
        <v>3</v>
      </c>
      <c r="C1265" t="s">
        <v>239</v>
      </c>
      <c r="D1265" s="9">
        <v>19708</v>
      </c>
      <c r="E1265" s="5" t="s">
        <v>443</v>
      </c>
      <c r="F1265" t="s">
        <v>240</v>
      </c>
      <c r="G1265">
        <v>2946</v>
      </c>
      <c r="H1265">
        <v>922</v>
      </c>
      <c r="I1265" s="8">
        <f t="shared" si="114"/>
        <v>0.31296673455532925</v>
      </c>
      <c r="J1265" s="17">
        <v>0.7</v>
      </c>
      <c r="K1265" s="12">
        <v>13.75</v>
      </c>
      <c r="L1265" s="2">
        <f t="shared" si="117"/>
        <v>1140.1999999999998</v>
      </c>
      <c r="M1265" s="15">
        <f t="shared" si="116"/>
        <v>15677.749999999998</v>
      </c>
      <c r="N1265" t="str">
        <f t="shared" si="112"/>
        <v>SP</v>
      </c>
      <c r="O1265" t="str">
        <f t="shared" si="113"/>
        <v>Santos</v>
      </c>
    </row>
    <row r="1266" spans="1:15" x14ac:dyDescent="0.3">
      <c r="A1266" s="10">
        <v>45839</v>
      </c>
      <c r="B1266" s="9" t="s">
        <v>15</v>
      </c>
      <c r="C1266" t="s">
        <v>358</v>
      </c>
      <c r="D1266" s="9">
        <v>19508</v>
      </c>
      <c r="E1266" s="5" t="s">
        <v>444</v>
      </c>
      <c r="F1266" t="s">
        <v>212</v>
      </c>
      <c r="G1266">
        <v>3317</v>
      </c>
      <c r="H1266">
        <v>1322</v>
      </c>
      <c r="I1266" s="8">
        <f t="shared" si="114"/>
        <v>0.3985529092553512</v>
      </c>
      <c r="J1266" s="17">
        <v>0.7</v>
      </c>
      <c r="K1266" s="12">
        <v>13.75</v>
      </c>
      <c r="L1266" s="2">
        <f t="shared" si="117"/>
        <v>999.90000000000009</v>
      </c>
      <c r="M1266" s="15">
        <f t="shared" si="116"/>
        <v>13748.625000000002</v>
      </c>
      <c r="N1266" t="str">
        <f t="shared" si="112"/>
        <v>RJ</v>
      </c>
      <c r="O1266" t="str">
        <f t="shared" si="113"/>
        <v>Rio De Janeiro</v>
      </c>
    </row>
    <row r="1267" spans="1:15" x14ac:dyDescent="0.3">
      <c r="A1267" s="10">
        <v>45839</v>
      </c>
      <c r="B1267" s="9" t="s">
        <v>3</v>
      </c>
      <c r="C1267" t="s">
        <v>362</v>
      </c>
      <c r="D1267" s="9">
        <v>19820</v>
      </c>
      <c r="E1267" s="5" t="s">
        <v>445</v>
      </c>
      <c r="F1267" t="s">
        <v>242</v>
      </c>
      <c r="G1267">
        <v>1519</v>
      </c>
      <c r="H1267">
        <v>344</v>
      </c>
      <c r="I1267" s="8">
        <f t="shared" si="114"/>
        <v>0.22646477946017116</v>
      </c>
      <c r="J1267" s="17">
        <v>0.7</v>
      </c>
      <c r="K1267" s="12">
        <v>13.75</v>
      </c>
      <c r="L1267" s="2">
        <f t="shared" si="117"/>
        <v>719.3</v>
      </c>
      <c r="M1267" s="15">
        <f t="shared" si="116"/>
        <v>9890.375</v>
      </c>
      <c r="N1267" t="str">
        <f t="shared" si="112"/>
        <v>SP</v>
      </c>
      <c r="O1267" t="str">
        <f t="shared" si="113"/>
        <v>São Bernardo Do Campo</v>
      </c>
    </row>
    <row r="1268" spans="1:15" x14ac:dyDescent="0.3">
      <c r="A1268" s="10">
        <v>45839</v>
      </c>
      <c r="B1268" s="9" t="s">
        <v>15</v>
      </c>
      <c r="C1268" t="s">
        <v>358</v>
      </c>
      <c r="D1268" s="9">
        <v>19894</v>
      </c>
      <c r="E1268" s="5" t="s">
        <v>446</v>
      </c>
      <c r="F1268" t="s">
        <v>213</v>
      </c>
      <c r="G1268">
        <v>2678</v>
      </c>
      <c r="H1268">
        <v>928</v>
      </c>
      <c r="I1268" s="8">
        <f t="shared" si="114"/>
        <v>0.34652725914861837</v>
      </c>
      <c r="J1268" s="17">
        <v>0.7</v>
      </c>
      <c r="K1268" s="12">
        <v>13.75</v>
      </c>
      <c r="L1268" s="2">
        <f t="shared" si="117"/>
        <v>946.59999999999968</v>
      </c>
      <c r="M1268" s="15">
        <f t="shared" si="116"/>
        <v>13015.749999999996</v>
      </c>
      <c r="N1268" t="str">
        <f t="shared" si="112"/>
        <v>RJ</v>
      </c>
      <c r="O1268" t="str">
        <f t="shared" si="113"/>
        <v>Rio De Janeiro</v>
      </c>
    </row>
    <row r="1269" spans="1:15" x14ac:dyDescent="0.3">
      <c r="A1269" s="10">
        <v>45839</v>
      </c>
      <c r="B1269" s="9" t="s">
        <v>15</v>
      </c>
      <c r="C1269" t="s">
        <v>358</v>
      </c>
      <c r="D1269" s="9">
        <v>19526</v>
      </c>
      <c r="E1269" s="5" t="s">
        <v>447</v>
      </c>
      <c r="F1269" t="s">
        <v>214</v>
      </c>
      <c r="G1269">
        <v>1595</v>
      </c>
      <c r="H1269">
        <v>544</v>
      </c>
      <c r="I1269" s="8">
        <f t="shared" si="114"/>
        <v>0.34106583072100316</v>
      </c>
      <c r="J1269" s="17">
        <v>0.7</v>
      </c>
      <c r="K1269" s="12">
        <v>13.75</v>
      </c>
      <c r="L1269" s="2">
        <f t="shared" si="117"/>
        <v>572.49999999999977</v>
      </c>
      <c r="M1269" s="15">
        <f t="shared" si="116"/>
        <v>7871.8749999999973</v>
      </c>
      <c r="N1269" t="str">
        <f t="shared" si="112"/>
        <v>RJ</v>
      </c>
      <c r="O1269" t="str">
        <f t="shared" si="113"/>
        <v>Rio De Janeiro</v>
      </c>
    </row>
    <row r="1270" spans="1:15" x14ac:dyDescent="0.3">
      <c r="A1270" s="10">
        <v>45839</v>
      </c>
      <c r="B1270" s="9" t="s">
        <v>15</v>
      </c>
      <c r="C1270" t="s">
        <v>358</v>
      </c>
      <c r="D1270" s="9">
        <v>19509</v>
      </c>
      <c r="E1270" s="5" t="s">
        <v>448</v>
      </c>
      <c r="F1270" t="s">
        <v>215</v>
      </c>
      <c r="G1270">
        <v>2802</v>
      </c>
      <c r="H1270">
        <v>918</v>
      </c>
      <c r="I1270" s="8">
        <f t="shared" si="114"/>
        <v>0.32762312633832974</v>
      </c>
      <c r="J1270" s="17">
        <v>0.7</v>
      </c>
      <c r="K1270" s="12">
        <v>13.75</v>
      </c>
      <c r="L1270" s="2">
        <f t="shared" si="117"/>
        <v>1043.3999999999999</v>
      </c>
      <c r="M1270" s="15">
        <f t="shared" si="116"/>
        <v>14346.749999999998</v>
      </c>
      <c r="N1270" t="str">
        <f t="shared" si="112"/>
        <v>RJ</v>
      </c>
      <c r="O1270" t="str">
        <f t="shared" si="113"/>
        <v>Rio De Janeiro</v>
      </c>
    </row>
    <row r="1271" spans="1:15" x14ac:dyDescent="0.3">
      <c r="A1271" s="10">
        <v>45839</v>
      </c>
      <c r="B1271" s="9" t="s">
        <v>3</v>
      </c>
      <c r="C1271" t="s">
        <v>356</v>
      </c>
      <c r="D1271" s="9">
        <v>19745</v>
      </c>
      <c r="E1271" s="5" t="s">
        <v>449</v>
      </c>
      <c r="F1271" t="s">
        <v>154</v>
      </c>
      <c r="G1271">
        <v>1986</v>
      </c>
      <c r="H1271">
        <v>777</v>
      </c>
      <c r="I1271" s="8">
        <f t="shared" si="114"/>
        <v>0.39123867069486407</v>
      </c>
      <c r="J1271" s="17">
        <v>0.7</v>
      </c>
      <c r="K1271" s="12">
        <v>13.75</v>
      </c>
      <c r="L1271" s="2">
        <f t="shared" si="117"/>
        <v>613.19999999999982</v>
      </c>
      <c r="M1271" s="15">
        <f t="shared" si="116"/>
        <v>8431.4999999999982</v>
      </c>
      <c r="N1271" t="str">
        <f t="shared" si="112"/>
        <v>SP</v>
      </c>
      <c r="O1271" t="str">
        <f t="shared" si="113"/>
        <v>Osasco</v>
      </c>
    </row>
    <row r="1272" spans="1:15" x14ac:dyDescent="0.3">
      <c r="A1272" s="10">
        <v>45839</v>
      </c>
      <c r="B1272" s="9" t="s">
        <v>3</v>
      </c>
      <c r="C1272" t="s">
        <v>248</v>
      </c>
      <c r="D1272" s="9">
        <v>19710</v>
      </c>
      <c r="E1272" s="5" t="s">
        <v>450</v>
      </c>
      <c r="F1272" t="s">
        <v>261</v>
      </c>
      <c r="G1272">
        <v>1892</v>
      </c>
      <c r="H1272">
        <v>896</v>
      </c>
      <c r="I1272" s="8">
        <f t="shared" si="114"/>
        <v>0.47357293868921774</v>
      </c>
      <c r="J1272" s="17">
        <v>0.7</v>
      </c>
      <c r="K1272" s="12">
        <v>13.75</v>
      </c>
      <c r="L1272" s="2">
        <f t="shared" si="117"/>
        <v>428.39999999999986</v>
      </c>
      <c r="M1272" s="15">
        <f t="shared" si="116"/>
        <v>5890.4999999999982</v>
      </c>
      <c r="N1272" t="str">
        <f t="shared" si="112"/>
        <v>SP</v>
      </c>
      <c r="O1272" t="str">
        <f t="shared" si="113"/>
        <v>São Paulo</v>
      </c>
    </row>
    <row r="1273" spans="1:15" x14ac:dyDescent="0.3">
      <c r="A1273" s="10">
        <v>45839</v>
      </c>
      <c r="B1273" s="9" t="s">
        <v>14</v>
      </c>
      <c r="C1273" t="s">
        <v>29</v>
      </c>
      <c r="D1273" s="9">
        <v>19720</v>
      </c>
      <c r="E1273" s="5" t="s">
        <v>451</v>
      </c>
      <c r="F1273" t="s">
        <v>36</v>
      </c>
      <c r="G1273">
        <v>1678</v>
      </c>
      <c r="H1273">
        <v>608</v>
      </c>
      <c r="I1273" s="8">
        <f t="shared" si="114"/>
        <v>0.36233611442193087</v>
      </c>
      <c r="J1273" s="17">
        <v>0.7</v>
      </c>
      <c r="K1273" s="12">
        <v>13.75</v>
      </c>
      <c r="L1273" s="2">
        <f t="shared" si="117"/>
        <v>566.59999999999991</v>
      </c>
      <c r="M1273" s="15">
        <f t="shared" si="116"/>
        <v>7790.7499999999991</v>
      </c>
      <c r="N1273" t="str">
        <f t="shared" si="112"/>
        <v>MG</v>
      </c>
      <c r="O1273" t="str">
        <f t="shared" si="113"/>
        <v>Belo Horizonte</v>
      </c>
    </row>
    <row r="1274" spans="1:15" x14ac:dyDescent="0.3">
      <c r="A1274" s="10">
        <v>45839</v>
      </c>
      <c r="B1274" s="9" t="s">
        <v>15</v>
      </c>
      <c r="C1274" t="s">
        <v>358</v>
      </c>
      <c r="D1274" s="9">
        <v>19635</v>
      </c>
      <c r="E1274" s="5" t="s">
        <v>452</v>
      </c>
      <c r="F1274" t="s">
        <v>216</v>
      </c>
      <c r="G1274">
        <v>1766</v>
      </c>
      <c r="H1274">
        <v>732</v>
      </c>
      <c r="I1274" s="8">
        <f t="shared" si="114"/>
        <v>0.41449603624009063</v>
      </c>
      <c r="J1274" s="17">
        <v>0.7</v>
      </c>
      <c r="K1274" s="12">
        <v>13.75</v>
      </c>
      <c r="L1274" s="2">
        <f t="shared" si="117"/>
        <v>504.19999999999982</v>
      </c>
      <c r="M1274" s="15">
        <f t="shared" si="116"/>
        <v>6932.7499999999973</v>
      </c>
      <c r="N1274" t="str">
        <f t="shared" si="112"/>
        <v>RJ</v>
      </c>
      <c r="O1274" t="str">
        <f t="shared" si="113"/>
        <v>Rio De Janeiro</v>
      </c>
    </row>
    <row r="1275" spans="1:15" x14ac:dyDescent="0.3">
      <c r="A1275" s="10">
        <v>45839</v>
      </c>
      <c r="B1275" s="9" t="s">
        <v>15</v>
      </c>
      <c r="C1275" t="s">
        <v>358</v>
      </c>
      <c r="D1275" s="9">
        <v>19665</v>
      </c>
      <c r="E1275" s="5" t="s">
        <v>453</v>
      </c>
      <c r="F1275" t="s">
        <v>217</v>
      </c>
      <c r="G1275">
        <v>2023</v>
      </c>
      <c r="H1275">
        <v>730</v>
      </c>
      <c r="I1275" s="8">
        <f t="shared" si="114"/>
        <v>0.36085022244191794</v>
      </c>
      <c r="J1275" s="17">
        <v>0.7</v>
      </c>
      <c r="K1275" s="12">
        <v>13.75</v>
      </c>
      <c r="L1275" s="2">
        <f t="shared" si="117"/>
        <v>686.09999999999991</v>
      </c>
      <c r="M1275" s="15">
        <f t="shared" si="116"/>
        <v>9433.8749999999982</v>
      </c>
      <c r="N1275" t="str">
        <f t="shared" si="112"/>
        <v>RJ</v>
      </c>
      <c r="O1275" t="str">
        <f t="shared" si="113"/>
        <v>Rio De Janeiro</v>
      </c>
    </row>
    <row r="1276" spans="1:15" x14ac:dyDescent="0.3">
      <c r="A1276" s="10">
        <v>45839</v>
      </c>
      <c r="B1276" s="9" t="s">
        <v>15</v>
      </c>
      <c r="C1276" t="s">
        <v>358</v>
      </c>
      <c r="D1276" s="9">
        <v>19504</v>
      </c>
      <c r="E1276" s="5" t="s">
        <v>454</v>
      </c>
      <c r="F1276" t="s">
        <v>218</v>
      </c>
      <c r="G1276">
        <v>3356</v>
      </c>
      <c r="H1276">
        <v>1277</v>
      </c>
      <c r="I1276" s="8">
        <f t="shared" si="114"/>
        <v>0.38051251489868892</v>
      </c>
      <c r="J1276" s="17">
        <v>0.7</v>
      </c>
      <c r="K1276" s="12">
        <v>13.75</v>
      </c>
      <c r="L1276" s="2">
        <f t="shared" si="117"/>
        <v>1072.1999999999998</v>
      </c>
      <c r="M1276" s="15">
        <f t="shared" si="116"/>
        <v>14742.749999999998</v>
      </c>
      <c r="N1276" t="str">
        <f t="shared" si="112"/>
        <v>RJ</v>
      </c>
      <c r="O1276" t="str">
        <f t="shared" si="113"/>
        <v>Rio De Janeiro</v>
      </c>
    </row>
    <row r="1277" spans="1:15" x14ac:dyDescent="0.3">
      <c r="A1277" s="10">
        <v>45839</v>
      </c>
      <c r="B1277" s="9" t="s">
        <v>15</v>
      </c>
      <c r="C1277" t="s">
        <v>358</v>
      </c>
      <c r="D1277" s="9">
        <v>19511</v>
      </c>
      <c r="E1277" s="5" t="s">
        <v>455</v>
      </c>
      <c r="F1277" t="s">
        <v>219</v>
      </c>
      <c r="G1277">
        <v>3012</v>
      </c>
      <c r="H1277">
        <v>1040</v>
      </c>
      <c r="I1277" s="8">
        <f t="shared" si="114"/>
        <v>0.34528552456839312</v>
      </c>
      <c r="J1277" s="17">
        <v>0.7</v>
      </c>
      <c r="K1277" s="12">
        <v>13.75</v>
      </c>
      <c r="L1277" s="2">
        <f t="shared" si="117"/>
        <v>1068.3999999999996</v>
      </c>
      <c r="M1277" s="15">
        <f t="shared" si="116"/>
        <v>14690.499999999995</v>
      </c>
      <c r="N1277" t="str">
        <f t="shared" si="112"/>
        <v>RJ</v>
      </c>
      <c r="O1277" t="str">
        <f t="shared" si="113"/>
        <v>Rio De Janeiro</v>
      </c>
    </row>
    <row r="1278" spans="1:15" x14ac:dyDescent="0.3">
      <c r="A1278" s="10">
        <v>45839</v>
      </c>
      <c r="B1278" s="9" t="s">
        <v>14</v>
      </c>
      <c r="C1278" t="s">
        <v>285</v>
      </c>
      <c r="D1278" s="9">
        <v>19698</v>
      </c>
      <c r="E1278" s="5" t="s">
        <v>456</v>
      </c>
      <c r="F1278" t="s">
        <v>331</v>
      </c>
      <c r="G1278">
        <v>2856</v>
      </c>
      <c r="H1278">
        <v>975</v>
      </c>
      <c r="I1278" s="8">
        <f t="shared" si="114"/>
        <v>0.34138655462184875</v>
      </c>
      <c r="J1278" s="17">
        <v>0.7</v>
      </c>
      <c r="K1278" s="12">
        <v>13.75</v>
      </c>
      <c r="L1278" s="2">
        <f t="shared" si="117"/>
        <v>1024.2</v>
      </c>
      <c r="M1278" s="15">
        <f t="shared" si="116"/>
        <v>14082.75</v>
      </c>
      <c r="N1278" t="str">
        <f t="shared" si="112"/>
        <v>MG</v>
      </c>
      <c r="O1278" t="str">
        <f t="shared" si="113"/>
        <v>Uberlândia</v>
      </c>
    </row>
    <row r="1279" spans="1:15" x14ac:dyDescent="0.3">
      <c r="A1279" s="10">
        <v>45839</v>
      </c>
      <c r="B1279" s="9" t="s">
        <v>15</v>
      </c>
      <c r="C1279" t="s">
        <v>358</v>
      </c>
      <c r="D1279" s="9">
        <v>19506</v>
      </c>
      <c r="E1279" s="5" t="s">
        <v>457</v>
      </c>
      <c r="F1279" t="s">
        <v>220</v>
      </c>
      <c r="G1279">
        <v>3098</v>
      </c>
      <c r="H1279">
        <v>1095</v>
      </c>
      <c r="I1279" s="8">
        <f t="shared" si="114"/>
        <v>0.35345384118786316</v>
      </c>
      <c r="J1279" s="17">
        <v>0.7</v>
      </c>
      <c r="K1279" s="12">
        <v>13.75</v>
      </c>
      <c r="L1279" s="2">
        <f t="shared" si="117"/>
        <v>1073.5999999999999</v>
      </c>
      <c r="M1279" s="15">
        <f t="shared" si="116"/>
        <v>14761.999999999998</v>
      </c>
      <c r="N1279" t="str">
        <f t="shared" si="112"/>
        <v>RJ</v>
      </c>
      <c r="O1279" t="str">
        <f t="shared" si="113"/>
        <v>Rio De Janeiro</v>
      </c>
    </row>
    <row r="1280" spans="1:15" x14ac:dyDescent="0.3">
      <c r="A1280" s="10">
        <v>45839</v>
      </c>
      <c r="B1280" s="9" t="s">
        <v>7</v>
      </c>
      <c r="C1280" t="s">
        <v>8</v>
      </c>
      <c r="D1280" s="9">
        <v>19700</v>
      </c>
      <c r="E1280" s="5" t="s">
        <v>458</v>
      </c>
      <c r="F1280" t="s">
        <v>9</v>
      </c>
      <c r="G1280">
        <v>2098</v>
      </c>
      <c r="H1280">
        <v>694</v>
      </c>
      <c r="I1280" s="8">
        <f t="shared" si="114"/>
        <v>0.33079122974261199</v>
      </c>
      <c r="J1280" s="17">
        <v>0.7</v>
      </c>
      <c r="K1280" s="12">
        <v>13.75</v>
      </c>
      <c r="L1280" s="2">
        <f t="shared" si="117"/>
        <v>774.59999999999991</v>
      </c>
      <c r="M1280" s="15">
        <f t="shared" si="116"/>
        <v>10650.749999999998</v>
      </c>
      <c r="N1280" t="str">
        <f t="shared" si="112"/>
        <v>GO</v>
      </c>
      <c r="O1280" t="str">
        <f t="shared" si="113"/>
        <v>Anápolis</v>
      </c>
    </row>
    <row r="1281" spans="1:15" x14ac:dyDescent="0.3">
      <c r="A1281" s="10">
        <v>45839</v>
      </c>
      <c r="B1281" s="9" t="s">
        <v>14</v>
      </c>
      <c r="C1281" t="s">
        <v>29</v>
      </c>
      <c r="D1281" s="9">
        <v>19697</v>
      </c>
      <c r="E1281" s="5" t="s">
        <v>459</v>
      </c>
      <c r="F1281" t="s">
        <v>37</v>
      </c>
      <c r="G1281">
        <v>2236</v>
      </c>
      <c r="H1281">
        <v>823</v>
      </c>
      <c r="I1281" s="8">
        <f t="shared" si="114"/>
        <v>0.36806797853309481</v>
      </c>
      <c r="J1281" s="17">
        <v>0.7</v>
      </c>
      <c r="K1281" s="12">
        <v>13.75</v>
      </c>
      <c r="L1281" s="2">
        <f t="shared" si="117"/>
        <v>742.19999999999982</v>
      </c>
      <c r="M1281" s="15">
        <f t="shared" si="116"/>
        <v>10205.249999999998</v>
      </c>
      <c r="N1281" t="str">
        <f t="shared" si="112"/>
        <v>MG</v>
      </c>
      <c r="O1281" t="str">
        <f t="shared" si="113"/>
        <v>Belo Horizonte</v>
      </c>
    </row>
    <row r="1282" spans="1:15" x14ac:dyDescent="0.3">
      <c r="A1282" s="10">
        <v>45839</v>
      </c>
      <c r="B1282" s="9" t="s">
        <v>46</v>
      </c>
      <c r="C1282" t="s">
        <v>47</v>
      </c>
      <c r="D1282" s="9">
        <v>19722</v>
      </c>
      <c r="E1282" s="5" t="s">
        <v>460</v>
      </c>
      <c r="F1282" t="s">
        <v>52</v>
      </c>
      <c r="G1282">
        <v>1621</v>
      </c>
      <c r="H1282">
        <v>453</v>
      </c>
      <c r="I1282" s="8">
        <f t="shared" si="114"/>
        <v>0.2794571252313387</v>
      </c>
      <c r="J1282" s="17">
        <v>0.7</v>
      </c>
      <c r="K1282" s="12">
        <v>13.75</v>
      </c>
      <c r="L1282" s="2">
        <f t="shared" si="117"/>
        <v>681.69999999999982</v>
      </c>
      <c r="M1282" s="15">
        <f t="shared" si="116"/>
        <v>9373.3749999999982</v>
      </c>
      <c r="N1282" t="str">
        <f t="shared" ref="N1282:N1345" si="118">B1282</f>
        <v>DF</v>
      </c>
      <c r="O1282" t="str">
        <f t="shared" ref="O1282:O1345" si="119">C1282</f>
        <v>Brasília</v>
      </c>
    </row>
    <row r="1283" spans="1:15" x14ac:dyDescent="0.3">
      <c r="A1283" s="10">
        <v>45839</v>
      </c>
      <c r="B1283" s="9" t="s">
        <v>3</v>
      </c>
      <c r="C1283" t="s">
        <v>248</v>
      </c>
      <c r="D1283" s="9">
        <v>19716</v>
      </c>
      <c r="E1283" s="5" t="s">
        <v>461</v>
      </c>
      <c r="F1283" t="s">
        <v>262</v>
      </c>
      <c r="G1283">
        <v>1892</v>
      </c>
      <c r="H1283">
        <v>806</v>
      </c>
      <c r="I1283" s="8">
        <f t="shared" ref="I1283:I1346" si="120">H1283/G1283</f>
        <v>0.42600422832980972</v>
      </c>
      <c r="J1283" s="17">
        <v>0.7</v>
      </c>
      <c r="K1283" s="12">
        <v>13.75</v>
      </c>
      <c r="L1283" s="2">
        <f t="shared" ref="L1283:L1308" si="121">H1283*J1283/I1283-H1283</f>
        <v>518.39999999999986</v>
      </c>
      <c r="M1283" s="15">
        <f t="shared" ref="M1283:M1346" si="122">L1283*K1283</f>
        <v>7127.9999999999982</v>
      </c>
      <c r="N1283" t="str">
        <f t="shared" si="118"/>
        <v>SP</v>
      </c>
      <c r="O1283" t="str">
        <f t="shared" si="119"/>
        <v>São Paulo</v>
      </c>
    </row>
    <row r="1284" spans="1:15" x14ac:dyDescent="0.3">
      <c r="A1284" s="10">
        <v>45839</v>
      </c>
      <c r="B1284" s="9" t="s">
        <v>3</v>
      </c>
      <c r="C1284" t="s">
        <v>17</v>
      </c>
      <c r="D1284" s="9">
        <v>19715</v>
      </c>
      <c r="E1284" s="5" t="s">
        <v>462</v>
      </c>
      <c r="F1284" t="s">
        <v>18</v>
      </c>
      <c r="G1284">
        <v>1641</v>
      </c>
      <c r="H1284">
        <v>801</v>
      </c>
      <c r="I1284" s="8">
        <f t="shared" si="120"/>
        <v>0.48811700182815354</v>
      </c>
      <c r="J1284" s="17">
        <v>0.7</v>
      </c>
      <c r="K1284" s="12">
        <v>13.75</v>
      </c>
      <c r="L1284" s="2">
        <f t="shared" si="121"/>
        <v>347.69999999999982</v>
      </c>
      <c r="M1284" s="15">
        <f t="shared" si="122"/>
        <v>4780.8749999999973</v>
      </c>
      <c r="N1284" t="str">
        <f t="shared" si="118"/>
        <v>SP</v>
      </c>
      <c r="O1284" t="str">
        <f t="shared" si="119"/>
        <v>Atibaia</v>
      </c>
    </row>
    <row r="1285" spans="1:15" x14ac:dyDescent="0.3">
      <c r="A1285" s="10">
        <v>45839</v>
      </c>
      <c r="B1285" s="9" t="s">
        <v>21</v>
      </c>
      <c r="C1285" t="s">
        <v>368</v>
      </c>
      <c r="D1285" s="9">
        <v>19736</v>
      </c>
      <c r="E1285" s="5" t="s">
        <v>464</v>
      </c>
      <c r="F1285" t="s">
        <v>295</v>
      </c>
      <c r="G1285">
        <v>3703</v>
      </c>
      <c r="H1285">
        <v>1311</v>
      </c>
      <c r="I1285" s="8">
        <f t="shared" si="120"/>
        <v>0.35403726708074534</v>
      </c>
      <c r="J1285" s="17">
        <v>0.7</v>
      </c>
      <c r="K1285" s="12">
        <v>13.75</v>
      </c>
      <c r="L1285" s="2">
        <f t="shared" si="121"/>
        <v>1281.0999999999999</v>
      </c>
      <c r="M1285" s="15">
        <f t="shared" si="122"/>
        <v>17615.125</v>
      </c>
      <c r="N1285" t="str">
        <f t="shared" si="118"/>
        <v>BA</v>
      </c>
      <c r="O1285" t="str">
        <f t="shared" si="119"/>
        <v>Vitória Da Conquista</v>
      </c>
    </row>
    <row r="1286" spans="1:15" x14ac:dyDescent="0.3">
      <c r="A1286" s="10">
        <v>45839</v>
      </c>
      <c r="B1286" s="9" t="s">
        <v>21</v>
      </c>
      <c r="C1286" t="s">
        <v>228</v>
      </c>
      <c r="D1286" s="9">
        <v>19740</v>
      </c>
      <c r="E1286" s="5" t="s">
        <v>465</v>
      </c>
      <c r="F1286" t="s">
        <v>229</v>
      </c>
      <c r="G1286">
        <v>2196</v>
      </c>
      <c r="H1286">
        <v>778</v>
      </c>
      <c r="I1286" s="8">
        <f t="shared" si="120"/>
        <v>0.35428051001821492</v>
      </c>
      <c r="J1286" s="17">
        <v>0.7</v>
      </c>
      <c r="K1286" s="12">
        <v>13.75</v>
      </c>
      <c r="L1286" s="2">
        <f t="shared" si="121"/>
        <v>759.19999999999982</v>
      </c>
      <c r="M1286" s="15">
        <f t="shared" si="122"/>
        <v>10438.999999999998</v>
      </c>
      <c r="N1286" t="str">
        <f t="shared" si="118"/>
        <v>BA</v>
      </c>
      <c r="O1286" t="str">
        <f t="shared" si="119"/>
        <v>Salvador</v>
      </c>
    </row>
    <row r="1287" spans="1:15" x14ac:dyDescent="0.3">
      <c r="A1287" s="10">
        <v>45839</v>
      </c>
      <c r="B1287" s="9" t="s">
        <v>21</v>
      </c>
      <c r="C1287" t="s">
        <v>352</v>
      </c>
      <c r="D1287" s="9">
        <v>19738</v>
      </c>
      <c r="E1287" s="5" t="s">
        <v>466</v>
      </c>
      <c r="F1287" t="s">
        <v>118</v>
      </c>
      <c r="G1287">
        <v>4421</v>
      </c>
      <c r="H1287">
        <v>2191</v>
      </c>
      <c r="I1287" s="8">
        <f t="shared" si="120"/>
        <v>0.49558923320515719</v>
      </c>
      <c r="J1287" s="17">
        <v>0.7</v>
      </c>
      <c r="K1287" s="12">
        <v>13.75</v>
      </c>
      <c r="L1287" s="2">
        <f t="shared" si="121"/>
        <v>903.69999999999982</v>
      </c>
      <c r="M1287" s="15">
        <f t="shared" si="122"/>
        <v>12425.874999999998</v>
      </c>
      <c r="N1287" t="str">
        <f t="shared" si="118"/>
        <v>BA</v>
      </c>
      <c r="O1287" t="str">
        <f t="shared" si="119"/>
        <v>Lauro De Freitas</v>
      </c>
    </row>
    <row r="1288" spans="1:15" x14ac:dyDescent="0.3">
      <c r="A1288" s="10">
        <v>45839</v>
      </c>
      <c r="B1288" s="9" t="s">
        <v>129</v>
      </c>
      <c r="C1288" t="s">
        <v>130</v>
      </c>
      <c r="D1288" s="9">
        <v>19742</v>
      </c>
      <c r="E1288" s="5" t="s">
        <v>467</v>
      </c>
      <c r="F1288" t="s">
        <v>131</v>
      </c>
      <c r="G1288">
        <v>1192</v>
      </c>
      <c r="H1288">
        <v>602</v>
      </c>
      <c r="I1288" s="8">
        <f t="shared" si="120"/>
        <v>0.50503355704697983</v>
      </c>
      <c r="J1288" s="17">
        <v>0.7</v>
      </c>
      <c r="K1288" s="12">
        <v>13.75</v>
      </c>
      <c r="L1288" s="2">
        <f t="shared" si="121"/>
        <v>232.39999999999998</v>
      </c>
      <c r="M1288" s="15">
        <f t="shared" si="122"/>
        <v>3195.4999999999995</v>
      </c>
      <c r="N1288" t="str">
        <f t="shared" si="118"/>
        <v>AM</v>
      </c>
      <c r="O1288" t="str">
        <f t="shared" si="119"/>
        <v>Manaus</v>
      </c>
    </row>
    <row r="1289" spans="1:15" x14ac:dyDescent="0.3">
      <c r="A1289" s="10">
        <v>45839</v>
      </c>
      <c r="B1289" s="9" t="s">
        <v>129</v>
      </c>
      <c r="C1289" t="s">
        <v>130</v>
      </c>
      <c r="D1289" s="9">
        <v>19785</v>
      </c>
      <c r="E1289" s="5" t="s">
        <v>468</v>
      </c>
      <c r="F1289" t="s">
        <v>132</v>
      </c>
      <c r="G1289">
        <v>1802</v>
      </c>
      <c r="H1289">
        <v>782</v>
      </c>
      <c r="I1289" s="8">
        <f t="shared" si="120"/>
        <v>0.43396226415094341</v>
      </c>
      <c r="J1289" s="17">
        <v>0.7</v>
      </c>
      <c r="K1289" s="12">
        <v>13.75</v>
      </c>
      <c r="L1289" s="2">
        <f t="shared" si="121"/>
        <v>479.39999999999986</v>
      </c>
      <c r="M1289" s="15">
        <f t="shared" si="122"/>
        <v>6591.7499999999982</v>
      </c>
      <c r="N1289" t="str">
        <f t="shared" si="118"/>
        <v>AM</v>
      </c>
      <c r="O1289" t="str">
        <f t="shared" si="119"/>
        <v>Manaus</v>
      </c>
    </row>
    <row r="1290" spans="1:15" x14ac:dyDescent="0.3">
      <c r="A1290" s="10">
        <v>45839</v>
      </c>
      <c r="B1290" s="9" t="s">
        <v>129</v>
      </c>
      <c r="C1290" t="s">
        <v>130</v>
      </c>
      <c r="D1290" s="9">
        <v>19843</v>
      </c>
      <c r="E1290" s="5" t="s">
        <v>469</v>
      </c>
      <c r="F1290" t="s">
        <v>133</v>
      </c>
      <c r="G1290">
        <v>1294</v>
      </c>
      <c r="H1290">
        <v>585</v>
      </c>
      <c r="I1290" s="8">
        <f t="shared" si="120"/>
        <v>0.45208655332302938</v>
      </c>
      <c r="J1290" s="17">
        <v>0.7</v>
      </c>
      <c r="K1290" s="12">
        <v>13.75</v>
      </c>
      <c r="L1290" s="2">
        <f t="shared" si="121"/>
        <v>320.79999999999995</v>
      </c>
      <c r="M1290" s="15">
        <f t="shared" si="122"/>
        <v>4410.9999999999991</v>
      </c>
      <c r="N1290" t="str">
        <f t="shared" si="118"/>
        <v>AM</v>
      </c>
      <c r="O1290" t="str">
        <f t="shared" si="119"/>
        <v>Manaus</v>
      </c>
    </row>
    <row r="1291" spans="1:15" x14ac:dyDescent="0.3">
      <c r="A1291" s="10">
        <v>45839</v>
      </c>
      <c r="B1291" s="9" t="s">
        <v>129</v>
      </c>
      <c r="C1291" t="s">
        <v>130</v>
      </c>
      <c r="D1291" s="9">
        <v>19879</v>
      </c>
      <c r="E1291" s="5" t="s">
        <v>470</v>
      </c>
      <c r="F1291" t="s">
        <v>134</v>
      </c>
      <c r="G1291">
        <v>1439</v>
      </c>
      <c r="H1291">
        <v>735</v>
      </c>
      <c r="I1291" s="8">
        <f t="shared" si="120"/>
        <v>0.51077136900625431</v>
      </c>
      <c r="J1291" s="17">
        <v>0.7</v>
      </c>
      <c r="K1291" s="12">
        <v>13.75</v>
      </c>
      <c r="L1291" s="2">
        <f t="shared" si="121"/>
        <v>272.30000000000007</v>
      </c>
      <c r="M1291" s="15">
        <f t="shared" si="122"/>
        <v>3744.1250000000009</v>
      </c>
      <c r="N1291" t="str">
        <f t="shared" si="118"/>
        <v>AM</v>
      </c>
      <c r="O1291" t="str">
        <f t="shared" si="119"/>
        <v>Manaus</v>
      </c>
    </row>
    <row r="1292" spans="1:15" x14ac:dyDescent="0.3">
      <c r="A1292" s="10">
        <v>45839</v>
      </c>
      <c r="B1292" s="9" t="s">
        <v>89</v>
      </c>
      <c r="C1292" t="s">
        <v>346</v>
      </c>
      <c r="D1292" s="9">
        <v>19735</v>
      </c>
      <c r="E1292" s="5" t="s">
        <v>471</v>
      </c>
      <c r="F1292" t="s">
        <v>90</v>
      </c>
      <c r="G1292">
        <v>1444</v>
      </c>
      <c r="H1292">
        <v>710</v>
      </c>
      <c r="I1292" s="8">
        <f t="shared" si="120"/>
        <v>0.4916897506925208</v>
      </c>
      <c r="J1292" s="17">
        <v>0.7</v>
      </c>
      <c r="K1292" s="12">
        <v>13.75</v>
      </c>
      <c r="L1292" s="2">
        <f t="shared" si="121"/>
        <v>300.79999999999984</v>
      </c>
      <c r="M1292" s="15">
        <f t="shared" si="122"/>
        <v>4135.9999999999982</v>
      </c>
      <c r="N1292" t="str">
        <f t="shared" si="118"/>
        <v>CE</v>
      </c>
      <c r="O1292" t="str">
        <f t="shared" si="119"/>
        <v>Fortaleza</v>
      </c>
    </row>
    <row r="1293" spans="1:15" x14ac:dyDescent="0.3">
      <c r="A1293" s="10">
        <v>45839</v>
      </c>
      <c r="B1293" s="9" t="s">
        <v>89</v>
      </c>
      <c r="C1293" t="s">
        <v>346</v>
      </c>
      <c r="D1293" s="9">
        <v>19607</v>
      </c>
      <c r="E1293" s="5" t="s">
        <v>472</v>
      </c>
      <c r="F1293" t="s">
        <v>91</v>
      </c>
      <c r="G1293">
        <v>1762</v>
      </c>
      <c r="H1293">
        <v>725</v>
      </c>
      <c r="I1293" s="8">
        <f t="shared" si="120"/>
        <v>0.41146424517593644</v>
      </c>
      <c r="J1293" s="17">
        <v>0.7</v>
      </c>
      <c r="K1293" s="12">
        <v>13.75</v>
      </c>
      <c r="L1293" s="2">
        <f t="shared" si="121"/>
        <v>508.39999999999986</v>
      </c>
      <c r="M1293" s="15">
        <f t="shared" si="122"/>
        <v>6990.4999999999982</v>
      </c>
      <c r="N1293" t="str">
        <f t="shared" si="118"/>
        <v>CE</v>
      </c>
      <c r="O1293" t="str">
        <f t="shared" si="119"/>
        <v>Fortaleza</v>
      </c>
    </row>
    <row r="1294" spans="1:15" x14ac:dyDescent="0.3">
      <c r="A1294" s="10">
        <v>45839</v>
      </c>
      <c r="B1294" s="9" t="s">
        <v>89</v>
      </c>
      <c r="C1294" t="s">
        <v>346</v>
      </c>
      <c r="D1294" s="9">
        <v>19642</v>
      </c>
      <c r="E1294" s="5" t="s">
        <v>473</v>
      </c>
      <c r="F1294" t="s">
        <v>92</v>
      </c>
      <c r="G1294">
        <v>1602</v>
      </c>
      <c r="H1294">
        <v>607</v>
      </c>
      <c r="I1294" s="8">
        <f t="shared" si="120"/>
        <v>0.37890137328339574</v>
      </c>
      <c r="J1294" s="17">
        <v>0.7</v>
      </c>
      <c r="K1294" s="12">
        <v>13.75</v>
      </c>
      <c r="L1294" s="2">
        <f t="shared" si="121"/>
        <v>514.40000000000009</v>
      </c>
      <c r="M1294" s="15">
        <f t="shared" si="122"/>
        <v>7073.0000000000009</v>
      </c>
      <c r="N1294" t="str">
        <f t="shared" si="118"/>
        <v>CE</v>
      </c>
      <c r="O1294" t="str">
        <f t="shared" si="119"/>
        <v>Fortaleza</v>
      </c>
    </row>
    <row r="1295" spans="1:15" x14ac:dyDescent="0.3">
      <c r="A1295" s="10">
        <v>45839</v>
      </c>
      <c r="B1295" s="9" t="s">
        <v>89</v>
      </c>
      <c r="C1295" t="s">
        <v>346</v>
      </c>
      <c r="D1295" s="9">
        <v>19725</v>
      </c>
      <c r="E1295" s="5" t="s">
        <v>474</v>
      </c>
      <c r="F1295" t="s">
        <v>93</v>
      </c>
      <c r="G1295">
        <v>1117</v>
      </c>
      <c r="H1295">
        <v>473</v>
      </c>
      <c r="I1295" s="8">
        <f t="shared" si="120"/>
        <v>0.42345568487018798</v>
      </c>
      <c r="J1295" s="17">
        <v>0.7</v>
      </c>
      <c r="K1295" s="12">
        <v>13.75</v>
      </c>
      <c r="L1295" s="2">
        <f t="shared" si="121"/>
        <v>308.89999999999998</v>
      </c>
      <c r="M1295" s="15">
        <f t="shared" si="122"/>
        <v>4247.375</v>
      </c>
      <c r="N1295" t="str">
        <f t="shared" si="118"/>
        <v>CE</v>
      </c>
      <c r="O1295" t="str">
        <f t="shared" si="119"/>
        <v>Fortaleza</v>
      </c>
    </row>
    <row r="1296" spans="1:15" x14ac:dyDescent="0.3">
      <c r="A1296" s="10">
        <v>45839</v>
      </c>
      <c r="B1296" s="9" t="s">
        <v>89</v>
      </c>
      <c r="C1296" t="s">
        <v>346</v>
      </c>
      <c r="D1296" s="9">
        <v>19902</v>
      </c>
      <c r="E1296" s="5" t="s">
        <v>475</v>
      </c>
      <c r="F1296" t="s">
        <v>94</v>
      </c>
      <c r="G1296">
        <v>1704</v>
      </c>
      <c r="H1296">
        <v>769</v>
      </c>
      <c r="I1296" s="8">
        <f t="shared" si="120"/>
        <v>0.45129107981220656</v>
      </c>
      <c r="J1296" s="17">
        <v>0.7</v>
      </c>
      <c r="K1296" s="12">
        <v>13.75</v>
      </c>
      <c r="L1296" s="2">
        <f t="shared" si="121"/>
        <v>423.79999999999995</v>
      </c>
      <c r="M1296" s="15">
        <f t="shared" si="122"/>
        <v>5827.2499999999991</v>
      </c>
      <c r="N1296" t="str">
        <f t="shared" si="118"/>
        <v>CE</v>
      </c>
      <c r="O1296" t="str">
        <f t="shared" si="119"/>
        <v>Fortaleza</v>
      </c>
    </row>
    <row r="1297" spans="1:15" x14ac:dyDescent="0.3">
      <c r="A1297" s="10">
        <v>45839</v>
      </c>
      <c r="B1297" s="9" t="s">
        <v>89</v>
      </c>
      <c r="C1297" t="s">
        <v>346</v>
      </c>
      <c r="D1297" s="9">
        <v>19903</v>
      </c>
      <c r="E1297" s="5" t="s">
        <v>476</v>
      </c>
      <c r="F1297" t="s">
        <v>95</v>
      </c>
      <c r="G1297">
        <v>1703</v>
      </c>
      <c r="H1297">
        <v>1043</v>
      </c>
      <c r="I1297" s="8">
        <f t="shared" si="120"/>
        <v>0.61244862008220791</v>
      </c>
      <c r="J1297" s="17">
        <v>0.7</v>
      </c>
      <c r="K1297" s="12">
        <v>13.75</v>
      </c>
      <c r="L1297" s="2">
        <f t="shared" si="121"/>
        <v>149.09999999999968</v>
      </c>
      <c r="M1297" s="15">
        <f t="shared" si="122"/>
        <v>2050.1249999999955</v>
      </c>
      <c r="N1297" t="str">
        <f t="shared" si="118"/>
        <v>CE</v>
      </c>
      <c r="O1297" t="str">
        <f t="shared" si="119"/>
        <v>Fortaleza</v>
      </c>
    </row>
    <row r="1298" spans="1:15" x14ac:dyDescent="0.3">
      <c r="A1298" s="10">
        <v>45839</v>
      </c>
      <c r="B1298" s="9" t="s">
        <v>82</v>
      </c>
      <c r="C1298" t="s">
        <v>135</v>
      </c>
      <c r="D1298" s="9">
        <v>19749</v>
      </c>
      <c r="E1298" s="5" t="s">
        <v>477</v>
      </c>
      <c r="F1298" t="s">
        <v>136</v>
      </c>
      <c r="G1298">
        <v>1593</v>
      </c>
      <c r="H1298">
        <v>484</v>
      </c>
      <c r="I1298" s="8">
        <f t="shared" si="120"/>
        <v>0.30382925298179536</v>
      </c>
      <c r="J1298" s="17">
        <v>0.7</v>
      </c>
      <c r="K1298" s="12">
        <v>13.75</v>
      </c>
      <c r="L1298" s="2">
        <f t="shared" si="121"/>
        <v>631.09999999999991</v>
      </c>
      <c r="M1298" s="15">
        <f t="shared" si="122"/>
        <v>8677.6249999999982</v>
      </c>
      <c r="N1298" t="str">
        <f t="shared" si="118"/>
        <v>PR</v>
      </c>
      <c r="O1298" t="str">
        <f t="shared" si="119"/>
        <v>Maringá</v>
      </c>
    </row>
    <row r="1299" spans="1:15" x14ac:dyDescent="0.3">
      <c r="A1299" s="10">
        <v>45839</v>
      </c>
      <c r="B1299" s="9" t="s">
        <v>82</v>
      </c>
      <c r="C1299" t="s">
        <v>83</v>
      </c>
      <c r="D1299" s="9">
        <v>19545</v>
      </c>
      <c r="E1299" s="5" t="s">
        <v>478</v>
      </c>
      <c r="F1299" t="s">
        <v>84</v>
      </c>
      <c r="G1299">
        <v>3125</v>
      </c>
      <c r="H1299">
        <v>1210</v>
      </c>
      <c r="I1299" s="8">
        <f t="shared" si="120"/>
        <v>0.38719999999999999</v>
      </c>
      <c r="J1299" s="17">
        <v>0.7</v>
      </c>
      <c r="K1299" s="12">
        <v>13.75</v>
      </c>
      <c r="L1299" s="2">
        <f t="shared" si="121"/>
        <v>977.5</v>
      </c>
      <c r="M1299" s="15">
        <f t="shared" si="122"/>
        <v>13440.625</v>
      </c>
      <c r="N1299" t="str">
        <f t="shared" si="118"/>
        <v>PR</v>
      </c>
      <c r="O1299" t="str">
        <f t="shared" si="119"/>
        <v>Curitiba</v>
      </c>
    </row>
    <row r="1300" spans="1:15" x14ac:dyDescent="0.3">
      <c r="A1300" s="10">
        <v>45839</v>
      </c>
      <c r="B1300" s="9" t="s">
        <v>82</v>
      </c>
      <c r="C1300" t="s">
        <v>83</v>
      </c>
      <c r="D1300" s="9">
        <v>19546</v>
      </c>
      <c r="E1300" s="5" t="s">
        <v>479</v>
      </c>
      <c r="F1300" t="s">
        <v>85</v>
      </c>
      <c r="G1300">
        <v>2373</v>
      </c>
      <c r="H1300">
        <v>757</v>
      </c>
      <c r="I1300" s="8">
        <f t="shared" si="120"/>
        <v>0.31900547829751369</v>
      </c>
      <c r="J1300" s="17">
        <v>0.7</v>
      </c>
      <c r="K1300" s="12">
        <v>13.75</v>
      </c>
      <c r="L1300" s="2">
        <f t="shared" si="121"/>
        <v>904.09999999999991</v>
      </c>
      <c r="M1300" s="15">
        <f t="shared" si="122"/>
        <v>12431.374999999998</v>
      </c>
      <c r="N1300" t="str">
        <f t="shared" si="118"/>
        <v>PR</v>
      </c>
      <c r="O1300" t="str">
        <f t="shared" si="119"/>
        <v>Curitiba</v>
      </c>
    </row>
    <row r="1301" spans="1:15" x14ac:dyDescent="0.3">
      <c r="A1301" s="10">
        <v>45839</v>
      </c>
      <c r="B1301" s="9" t="s">
        <v>3</v>
      </c>
      <c r="C1301" t="s">
        <v>248</v>
      </c>
      <c r="D1301" s="9">
        <v>19763</v>
      </c>
      <c r="E1301" s="5" t="s">
        <v>480</v>
      </c>
      <c r="F1301" t="s">
        <v>263</v>
      </c>
      <c r="G1301">
        <v>1376</v>
      </c>
      <c r="H1301">
        <v>451</v>
      </c>
      <c r="I1301" s="8">
        <f t="shared" si="120"/>
        <v>0.32776162790697677</v>
      </c>
      <c r="J1301" s="17">
        <v>0.7</v>
      </c>
      <c r="K1301" s="12">
        <v>13.75</v>
      </c>
      <c r="L1301" s="2">
        <f t="shared" si="121"/>
        <v>512.19999999999993</v>
      </c>
      <c r="M1301" s="15">
        <f t="shared" si="122"/>
        <v>7042.7499999999991</v>
      </c>
      <c r="N1301" t="str">
        <f t="shared" si="118"/>
        <v>SP</v>
      </c>
      <c r="O1301" t="str">
        <f t="shared" si="119"/>
        <v>São Paulo</v>
      </c>
    </row>
    <row r="1302" spans="1:15" x14ac:dyDescent="0.3">
      <c r="A1302" s="10">
        <v>45839</v>
      </c>
      <c r="B1302" s="9" t="s">
        <v>3</v>
      </c>
      <c r="C1302" t="s">
        <v>248</v>
      </c>
      <c r="D1302" s="9">
        <v>19711</v>
      </c>
      <c r="E1302" s="5" t="s">
        <v>481</v>
      </c>
      <c r="F1302" t="s">
        <v>264</v>
      </c>
      <c r="G1302">
        <v>1820</v>
      </c>
      <c r="H1302">
        <v>618</v>
      </c>
      <c r="I1302" s="8">
        <f t="shared" si="120"/>
        <v>0.33956043956043958</v>
      </c>
      <c r="J1302" s="17">
        <v>0.7</v>
      </c>
      <c r="K1302" s="12">
        <v>13.75</v>
      </c>
      <c r="L1302" s="2">
        <f t="shared" si="121"/>
        <v>655.99999999999977</v>
      </c>
      <c r="M1302" s="15">
        <f t="shared" si="122"/>
        <v>9019.9999999999964</v>
      </c>
      <c r="N1302" t="str">
        <f t="shared" si="118"/>
        <v>SP</v>
      </c>
      <c r="O1302" t="str">
        <f t="shared" si="119"/>
        <v>São Paulo</v>
      </c>
    </row>
    <row r="1303" spans="1:15" x14ac:dyDescent="0.3">
      <c r="A1303" s="10">
        <v>45839</v>
      </c>
      <c r="B1303" s="9" t="s">
        <v>46</v>
      </c>
      <c r="C1303" t="s">
        <v>47</v>
      </c>
      <c r="D1303" s="9">
        <v>19755</v>
      </c>
      <c r="E1303" s="5" t="s">
        <v>482</v>
      </c>
      <c r="F1303" t="s">
        <v>53</v>
      </c>
      <c r="G1303">
        <v>1301</v>
      </c>
      <c r="H1303">
        <v>500</v>
      </c>
      <c r="I1303" s="8">
        <f t="shared" si="120"/>
        <v>0.3843197540353574</v>
      </c>
      <c r="J1303" s="17">
        <v>0.7</v>
      </c>
      <c r="K1303" s="12">
        <v>13.75</v>
      </c>
      <c r="L1303" s="2">
        <f t="shared" si="121"/>
        <v>410.70000000000005</v>
      </c>
      <c r="M1303" s="15">
        <f t="shared" si="122"/>
        <v>5647.1250000000009</v>
      </c>
      <c r="N1303" t="str">
        <f t="shared" si="118"/>
        <v>DF</v>
      </c>
      <c r="O1303" t="str">
        <f t="shared" si="119"/>
        <v>Brasília</v>
      </c>
    </row>
    <row r="1304" spans="1:15" x14ac:dyDescent="0.3">
      <c r="A1304" s="10">
        <v>45839</v>
      </c>
      <c r="B1304" s="9" t="s">
        <v>3</v>
      </c>
      <c r="C1304" t="s">
        <v>248</v>
      </c>
      <c r="D1304" s="9">
        <v>19753</v>
      </c>
      <c r="E1304" s="5" t="s">
        <v>483</v>
      </c>
      <c r="F1304" t="s">
        <v>265</v>
      </c>
      <c r="G1304">
        <v>2496</v>
      </c>
      <c r="H1304">
        <v>876</v>
      </c>
      <c r="I1304" s="8">
        <f t="shared" si="120"/>
        <v>0.35096153846153844</v>
      </c>
      <c r="J1304" s="17">
        <v>0.7</v>
      </c>
      <c r="K1304" s="12">
        <v>13.75</v>
      </c>
      <c r="L1304" s="2">
        <f t="shared" si="121"/>
        <v>871.2</v>
      </c>
      <c r="M1304" s="15">
        <f t="shared" si="122"/>
        <v>11979</v>
      </c>
      <c r="N1304" t="str">
        <f t="shared" si="118"/>
        <v>SP</v>
      </c>
      <c r="O1304" t="str">
        <f t="shared" si="119"/>
        <v>São Paulo</v>
      </c>
    </row>
    <row r="1305" spans="1:15" x14ac:dyDescent="0.3">
      <c r="A1305" s="10">
        <v>45839</v>
      </c>
      <c r="B1305" s="9" t="s">
        <v>7</v>
      </c>
      <c r="C1305" t="s">
        <v>99</v>
      </c>
      <c r="D1305" s="9">
        <v>19754</v>
      </c>
      <c r="E1305" s="5" t="s">
        <v>484</v>
      </c>
      <c r="F1305" t="s">
        <v>101</v>
      </c>
      <c r="G1305">
        <v>3236</v>
      </c>
      <c r="H1305">
        <v>1338</v>
      </c>
      <c r="I1305" s="8">
        <f t="shared" si="120"/>
        <v>0.41347342398022252</v>
      </c>
      <c r="J1305" s="17">
        <v>0.7</v>
      </c>
      <c r="K1305" s="12">
        <v>13.75</v>
      </c>
      <c r="L1305" s="2">
        <f t="shared" si="121"/>
        <v>927.19999999999982</v>
      </c>
      <c r="M1305" s="15">
        <f t="shared" si="122"/>
        <v>12748.999999999998</v>
      </c>
      <c r="N1305" t="str">
        <f t="shared" si="118"/>
        <v>GO</v>
      </c>
      <c r="O1305" t="str">
        <f t="shared" si="119"/>
        <v>Goiânia</v>
      </c>
    </row>
    <row r="1306" spans="1:15" x14ac:dyDescent="0.3">
      <c r="A1306" s="10">
        <v>45839</v>
      </c>
      <c r="B1306" s="9" t="s">
        <v>14</v>
      </c>
      <c r="C1306" t="s">
        <v>29</v>
      </c>
      <c r="D1306" s="9">
        <v>19759</v>
      </c>
      <c r="E1306" s="5" t="s">
        <v>485</v>
      </c>
      <c r="F1306" t="s">
        <v>38</v>
      </c>
      <c r="G1306">
        <v>1705</v>
      </c>
      <c r="H1306">
        <v>747</v>
      </c>
      <c r="I1306" s="8">
        <f t="shared" si="120"/>
        <v>0.43812316715542521</v>
      </c>
      <c r="J1306" s="17">
        <v>0.7</v>
      </c>
      <c r="K1306" s="12">
        <v>13.75</v>
      </c>
      <c r="L1306" s="2">
        <f t="shared" si="121"/>
        <v>446.5</v>
      </c>
      <c r="M1306" s="15">
        <f t="shared" si="122"/>
        <v>6139.375</v>
      </c>
      <c r="N1306" t="str">
        <f t="shared" si="118"/>
        <v>MG</v>
      </c>
      <c r="O1306" t="str">
        <f t="shared" si="119"/>
        <v>Belo Horizonte</v>
      </c>
    </row>
    <row r="1307" spans="1:15" x14ac:dyDescent="0.3">
      <c r="A1307" s="10">
        <v>45839</v>
      </c>
      <c r="B1307" s="9" t="s">
        <v>195</v>
      </c>
      <c r="C1307" t="s">
        <v>196</v>
      </c>
      <c r="D1307" s="9">
        <v>19762</v>
      </c>
      <c r="E1307" s="5" t="s">
        <v>486</v>
      </c>
      <c r="F1307" t="s">
        <v>197</v>
      </c>
      <c r="G1307">
        <v>1534</v>
      </c>
      <c r="H1307">
        <v>808</v>
      </c>
      <c r="I1307" s="8">
        <f t="shared" si="120"/>
        <v>0.52672750977835725</v>
      </c>
      <c r="J1307" s="17">
        <v>0.7</v>
      </c>
      <c r="K1307" s="12">
        <v>13.75</v>
      </c>
      <c r="L1307" s="2">
        <f t="shared" si="121"/>
        <v>265.79999999999973</v>
      </c>
      <c r="M1307" s="15">
        <f t="shared" si="122"/>
        <v>3654.7499999999964</v>
      </c>
      <c r="N1307" t="str">
        <f t="shared" si="118"/>
        <v>AC</v>
      </c>
      <c r="O1307" t="str">
        <f t="shared" si="119"/>
        <v>Rio Branco</v>
      </c>
    </row>
    <row r="1308" spans="1:15" x14ac:dyDescent="0.3">
      <c r="A1308" s="10">
        <v>45839</v>
      </c>
      <c r="B1308" s="9" t="s">
        <v>82</v>
      </c>
      <c r="C1308" t="s">
        <v>349</v>
      </c>
      <c r="D1308" s="9">
        <v>19772</v>
      </c>
      <c r="E1308" s="5" t="s">
        <v>487</v>
      </c>
      <c r="F1308" t="s">
        <v>96</v>
      </c>
      <c r="G1308">
        <v>1683</v>
      </c>
      <c r="H1308">
        <v>970</v>
      </c>
      <c r="I1308" s="8">
        <f t="shared" si="120"/>
        <v>0.57635175282234108</v>
      </c>
      <c r="J1308" s="17">
        <v>0.7</v>
      </c>
      <c r="K1308" s="12">
        <v>13.75</v>
      </c>
      <c r="L1308" s="2">
        <f t="shared" si="121"/>
        <v>208.09999999999991</v>
      </c>
      <c r="M1308" s="15">
        <f t="shared" si="122"/>
        <v>2861.3749999999986</v>
      </c>
      <c r="N1308" t="str">
        <f t="shared" si="118"/>
        <v>PR</v>
      </c>
      <c r="O1308" t="str">
        <f t="shared" si="119"/>
        <v>Foz Do Iguaçu</v>
      </c>
    </row>
    <row r="1309" spans="1:15" x14ac:dyDescent="0.3">
      <c r="A1309" s="10">
        <v>45839</v>
      </c>
      <c r="B1309" s="9" t="s">
        <v>15</v>
      </c>
      <c r="C1309" t="s">
        <v>345</v>
      </c>
      <c r="D1309" s="9">
        <v>19687</v>
      </c>
      <c r="E1309" s="5" t="s">
        <v>488</v>
      </c>
      <c r="F1309" t="s">
        <v>88</v>
      </c>
      <c r="G1309">
        <v>2019</v>
      </c>
      <c r="H1309">
        <v>1669</v>
      </c>
      <c r="I1309" s="8">
        <f t="shared" si="120"/>
        <v>0.82664685487865275</v>
      </c>
      <c r="J1309" s="17">
        <v>0.7</v>
      </c>
      <c r="K1309" s="12">
        <v>13.75</v>
      </c>
      <c r="L1309" s="2">
        <f>G1309-H1309</f>
        <v>350</v>
      </c>
      <c r="M1309" s="15">
        <f t="shared" si="122"/>
        <v>4812.5</v>
      </c>
      <c r="N1309" t="str">
        <f t="shared" si="118"/>
        <v>RJ</v>
      </c>
      <c r="O1309" t="str">
        <f t="shared" si="119"/>
        <v>Duque De Caxias</v>
      </c>
    </row>
    <row r="1310" spans="1:15" x14ac:dyDescent="0.3">
      <c r="A1310" s="10">
        <v>45839</v>
      </c>
      <c r="B1310" s="9" t="s">
        <v>21</v>
      </c>
      <c r="C1310" t="s">
        <v>228</v>
      </c>
      <c r="D1310" s="9">
        <v>19689</v>
      </c>
      <c r="E1310" s="5" t="s">
        <v>490</v>
      </c>
      <c r="F1310" t="s">
        <v>230</v>
      </c>
      <c r="G1310">
        <v>2547</v>
      </c>
      <c r="H1310">
        <v>1120</v>
      </c>
      <c r="I1310" s="8">
        <f t="shared" si="120"/>
        <v>0.43973301923831959</v>
      </c>
      <c r="J1310" s="17">
        <v>0.7</v>
      </c>
      <c r="K1310" s="12">
        <v>13.75</v>
      </c>
      <c r="L1310" s="2">
        <f t="shared" ref="L1310:L1341" si="123">H1310*J1310/I1310-H1310</f>
        <v>662.90000000000009</v>
      </c>
      <c r="M1310" s="15">
        <f t="shared" si="122"/>
        <v>9114.8750000000018</v>
      </c>
      <c r="N1310" t="str">
        <f t="shared" si="118"/>
        <v>BA</v>
      </c>
      <c r="O1310" t="str">
        <f t="shared" si="119"/>
        <v>Salvador</v>
      </c>
    </row>
    <row r="1311" spans="1:15" x14ac:dyDescent="0.3">
      <c r="A1311" s="10">
        <v>45839</v>
      </c>
      <c r="B1311" s="9" t="s">
        <v>21</v>
      </c>
      <c r="C1311" t="s">
        <v>228</v>
      </c>
      <c r="D1311" s="9">
        <v>19625</v>
      </c>
      <c r="E1311" s="5" t="s">
        <v>491</v>
      </c>
      <c r="F1311" t="s">
        <v>231</v>
      </c>
      <c r="G1311">
        <v>3341</v>
      </c>
      <c r="H1311">
        <v>1462</v>
      </c>
      <c r="I1311" s="8">
        <f t="shared" si="120"/>
        <v>0.43759353486979946</v>
      </c>
      <c r="J1311" s="17">
        <v>0.7</v>
      </c>
      <c r="K1311" s="12">
        <v>13.75</v>
      </c>
      <c r="L1311" s="2">
        <f t="shared" si="123"/>
        <v>876.69999999999982</v>
      </c>
      <c r="M1311" s="15">
        <f t="shared" si="122"/>
        <v>12054.624999999998</v>
      </c>
      <c r="N1311" t="str">
        <f t="shared" si="118"/>
        <v>BA</v>
      </c>
      <c r="O1311" t="str">
        <f t="shared" si="119"/>
        <v>Salvador</v>
      </c>
    </row>
    <row r="1312" spans="1:15" x14ac:dyDescent="0.3">
      <c r="A1312" s="10">
        <v>45839</v>
      </c>
      <c r="B1312" s="9" t="s">
        <v>40</v>
      </c>
      <c r="C1312" t="s">
        <v>41</v>
      </c>
      <c r="D1312" s="9">
        <v>19787</v>
      </c>
      <c r="E1312" s="5" t="s">
        <v>492</v>
      </c>
      <c r="F1312" t="s">
        <v>42</v>
      </c>
      <c r="G1312">
        <v>623</v>
      </c>
      <c r="H1312">
        <v>286</v>
      </c>
      <c r="I1312" s="8">
        <f t="shared" si="120"/>
        <v>0.4590690208667737</v>
      </c>
      <c r="J1312" s="17">
        <v>0.7</v>
      </c>
      <c r="K1312" s="12">
        <v>13.75</v>
      </c>
      <c r="L1312" s="2">
        <f t="shared" si="123"/>
        <v>150.09999999999997</v>
      </c>
      <c r="M1312" s="15">
        <f t="shared" si="122"/>
        <v>2063.8749999999995</v>
      </c>
      <c r="N1312" t="str">
        <f t="shared" si="118"/>
        <v>RR</v>
      </c>
      <c r="O1312" t="str">
        <f t="shared" si="119"/>
        <v>Boa Vista</v>
      </c>
    </row>
    <row r="1313" spans="1:15" x14ac:dyDescent="0.3">
      <c r="A1313" s="10">
        <v>45839</v>
      </c>
      <c r="B1313" s="9" t="s">
        <v>40</v>
      </c>
      <c r="C1313" t="s">
        <v>41</v>
      </c>
      <c r="D1313" s="9">
        <v>19868</v>
      </c>
      <c r="E1313" s="5" t="s">
        <v>493</v>
      </c>
      <c r="F1313" t="s">
        <v>43</v>
      </c>
      <c r="G1313">
        <v>1792</v>
      </c>
      <c r="H1313">
        <v>1144</v>
      </c>
      <c r="I1313" s="8">
        <f t="shared" si="120"/>
        <v>0.6383928571428571</v>
      </c>
      <c r="J1313" s="17">
        <v>0.7</v>
      </c>
      <c r="K1313" s="12">
        <v>13.75</v>
      </c>
      <c r="L1313" s="2">
        <f t="shared" si="123"/>
        <v>110.40000000000009</v>
      </c>
      <c r="M1313" s="15">
        <f t="shared" si="122"/>
        <v>1518.0000000000014</v>
      </c>
      <c r="N1313" t="str">
        <f t="shared" si="118"/>
        <v>RR</v>
      </c>
      <c r="O1313" t="str">
        <f t="shared" si="119"/>
        <v>Boa Vista</v>
      </c>
    </row>
    <row r="1314" spans="1:15" x14ac:dyDescent="0.3">
      <c r="A1314" s="10">
        <v>45839</v>
      </c>
      <c r="B1314" s="9" t="s">
        <v>71</v>
      </c>
      <c r="C1314" t="s">
        <v>175</v>
      </c>
      <c r="D1314" s="9">
        <v>19788</v>
      </c>
      <c r="E1314" s="5" t="s">
        <v>495</v>
      </c>
      <c r="F1314" t="s">
        <v>177</v>
      </c>
      <c r="G1314">
        <v>4935</v>
      </c>
      <c r="H1314">
        <v>1362</v>
      </c>
      <c r="I1314" s="8">
        <f t="shared" si="120"/>
        <v>0.27598784194528875</v>
      </c>
      <c r="J1314" s="17">
        <v>0.7</v>
      </c>
      <c r="K1314" s="12">
        <v>13.75</v>
      </c>
      <c r="L1314" s="2">
        <f t="shared" si="123"/>
        <v>2092.5</v>
      </c>
      <c r="M1314" s="15">
        <f t="shared" si="122"/>
        <v>28771.875</v>
      </c>
      <c r="N1314" t="str">
        <f t="shared" si="118"/>
        <v>RS</v>
      </c>
      <c r="O1314" t="str">
        <f t="shared" si="119"/>
        <v>Porto Alegre</v>
      </c>
    </row>
    <row r="1315" spans="1:15" x14ac:dyDescent="0.3">
      <c r="A1315" s="10">
        <v>45839</v>
      </c>
      <c r="B1315" s="9" t="s">
        <v>21</v>
      </c>
      <c r="C1315" t="s">
        <v>228</v>
      </c>
      <c r="D1315" s="9">
        <v>19790</v>
      </c>
      <c r="E1315" s="5" t="s">
        <v>497</v>
      </c>
      <c r="F1315" t="s">
        <v>232</v>
      </c>
      <c r="G1315">
        <v>3255</v>
      </c>
      <c r="H1315">
        <v>1190</v>
      </c>
      <c r="I1315" s="8">
        <f t="shared" si="120"/>
        <v>0.36559139784946237</v>
      </c>
      <c r="J1315" s="17">
        <v>0.7</v>
      </c>
      <c r="K1315" s="12">
        <v>13.75</v>
      </c>
      <c r="L1315" s="2">
        <f t="shared" si="123"/>
        <v>1088.5</v>
      </c>
      <c r="M1315" s="15">
        <f t="shared" si="122"/>
        <v>14966.875</v>
      </c>
      <c r="N1315" t="str">
        <f t="shared" si="118"/>
        <v>BA</v>
      </c>
      <c r="O1315" t="str">
        <f t="shared" si="119"/>
        <v>Salvador</v>
      </c>
    </row>
    <row r="1316" spans="1:15" x14ac:dyDescent="0.3">
      <c r="A1316" s="10">
        <v>45839</v>
      </c>
      <c r="B1316" s="9" t="s">
        <v>71</v>
      </c>
      <c r="C1316" t="s">
        <v>175</v>
      </c>
      <c r="D1316" s="9">
        <v>19842</v>
      </c>
      <c r="E1316" s="5" t="s">
        <v>498</v>
      </c>
      <c r="F1316" t="s">
        <v>178</v>
      </c>
      <c r="G1316">
        <v>3581</v>
      </c>
      <c r="H1316">
        <v>990</v>
      </c>
      <c r="I1316" s="8">
        <f t="shared" si="120"/>
        <v>0.27645908963976545</v>
      </c>
      <c r="J1316" s="17">
        <v>0.7</v>
      </c>
      <c r="K1316" s="12">
        <v>13.75</v>
      </c>
      <c r="L1316" s="2">
        <f t="shared" si="123"/>
        <v>1516.6999999999998</v>
      </c>
      <c r="M1316" s="15">
        <f t="shared" si="122"/>
        <v>20854.624999999996</v>
      </c>
      <c r="N1316" t="str">
        <f t="shared" si="118"/>
        <v>RS</v>
      </c>
      <c r="O1316" t="str">
        <f t="shared" si="119"/>
        <v>Porto Alegre</v>
      </c>
    </row>
    <row r="1317" spans="1:15" x14ac:dyDescent="0.3">
      <c r="A1317" s="10">
        <v>45839</v>
      </c>
      <c r="B1317" s="9" t="s">
        <v>59</v>
      </c>
      <c r="C1317" t="s">
        <v>292</v>
      </c>
      <c r="D1317" s="9">
        <v>19580</v>
      </c>
      <c r="E1317" s="5" t="s">
        <v>499</v>
      </c>
      <c r="F1317" t="s">
        <v>293</v>
      </c>
      <c r="G1317">
        <v>2546</v>
      </c>
      <c r="H1317">
        <v>839</v>
      </c>
      <c r="I1317" s="8">
        <f t="shared" si="120"/>
        <v>0.32953652788688137</v>
      </c>
      <c r="J1317" s="17">
        <v>0.7</v>
      </c>
      <c r="K1317" s="12">
        <v>13.75</v>
      </c>
      <c r="L1317" s="2">
        <f t="shared" si="123"/>
        <v>943.19999999999982</v>
      </c>
      <c r="M1317" s="15">
        <f t="shared" si="122"/>
        <v>12968.999999999998</v>
      </c>
      <c r="N1317" t="str">
        <f t="shared" si="118"/>
        <v>ES</v>
      </c>
      <c r="O1317" t="str">
        <f t="shared" si="119"/>
        <v>Vitória</v>
      </c>
    </row>
    <row r="1318" spans="1:15" x14ac:dyDescent="0.3">
      <c r="A1318" s="10">
        <v>45839</v>
      </c>
      <c r="B1318" s="9" t="s">
        <v>59</v>
      </c>
      <c r="C1318" t="s">
        <v>292</v>
      </c>
      <c r="D1318" s="9">
        <v>19719</v>
      </c>
      <c r="E1318" s="5" t="s">
        <v>500</v>
      </c>
      <c r="F1318" t="s">
        <v>294</v>
      </c>
      <c r="G1318">
        <v>1944</v>
      </c>
      <c r="H1318">
        <v>621</v>
      </c>
      <c r="I1318" s="8">
        <f t="shared" si="120"/>
        <v>0.31944444444444442</v>
      </c>
      <c r="J1318" s="17">
        <v>0.7</v>
      </c>
      <c r="K1318" s="12">
        <v>13.75</v>
      </c>
      <c r="L1318" s="2">
        <f t="shared" si="123"/>
        <v>739.80000000000018</v>
      </c>
      <c r="M1318" s="15">
        <f t="shared" si="122"/>
        <v>10172.250000000002</v>
      </c>
      <c r="N1318" t="str">
        <f t="shared" si="118"/>
        <v>ES</v>
      </c>
      <c r="O1318" t="str">
        <f t="shared" si="119"/>
        <v>Vitória</v>
      </c>
    </row>
    <row r="1319" spans="1:15" x14ac:dyDescent="0.3">
      <c r="A1319" s="10">
        <v>45839</v>
      </c>
      <c r="B1319" s="9" t="s">
        <v>59</v>
      </c>
      <c r="C1319" t="s">
        <v>289</v>
      </c>
      <c r="D1319" s="9">
        <v>19581</v>
      </c>
      <c r="E1319" s="5" t="s">
        <v>501</v>
      </c>
      <c r="F1319" t="s">
        <v>290</v>
      </c>
      <c r="G1319">
        <v>2662</v>
      </c>
      <c r="H1319">
        <v>916</v>
      </c>
      <c r="I1319" s="8">
        <f t="shared" si="120"/>
        <v>0.3441021788129226</v>
      </c>
      <c r="J1319" s="17">
        <v>0.7</v>
      </c>
      <c r="K1319" s="12">
        <v>13.75</v>
      </c>
      <c r="L1319" s="2">
        <f t="shared" si="123"/>
        <v>947.39999999999986</v>
      </c>
      <c r="M1319" s="15">
        <f t="shared" si="122"/>
        <v>13026.749999999998</v>
      </c>
      <c r="N1319" t="str">
        <f t="shared" si="118"/>
        <v>ES</v>
      </c>
      <c r="O1319" t="str">
        <f t="shared" si="119"/>
        <v>Vila Velha</v>
      </c>
    </row>
    <row r="1320" spans="1:15" x14ac:dyDescent="0.3">
      <c r="A1320" s="10">
        <v>45839</v>
      </c>
      <c r="B1320" s="9" t="s">
        <v>59</v>
      </c>
      <c r="C1320" t="s">
        <v>289</v>
      </c>
      <c r="D1320" s="9">
        <v>19876</v>
      </c>
      <c r="E1320" s="5" t="s">
        <v>502</v>
      </c>
      <c r="F1320" t="s">
        <v>291</v>
      </c>
      <c r="G1320">
        <v>2887</v>
      </c>
      <c r="H1320">
        <v>987</v>
      </c>
      <c r="I1320" s="8">
        <f t="shared" si="120"/>
        <v>0.3418773813647385</v>
      </c>
      <c r="J1320" s="17">
        <v>0.7</v>
      </c>
      <c r="K1320" s="12">
        <v>13.75</v>
      </c>
      <c r="L1320" s="2">
        <f t="shared" si="123"/>
        <v>1033.8999999999999</v>
      </c>
      <c r="M1320" s="15">
        <f t="shared" si="122"/>
        <v>14216.124999999998</v>
      </c>
      <c r="N1320" t="str">
        <f t="shared" si="118"/>
        <v>ES</v>
      </c>
      <c r="O1320" t="str">
        <f t="shared" si="119"/>
        <v>Vila Velha</v>
      </c>
    </row>
    <row r="1321" spans="1:15" x14ac:dyDescent="0.3">
      <c r="A1321" s="10">
        <v>45839</v>
      </c>
      <c r="B1321" s="9" t="s">
        <v>59</v>
      </c>
      <c r="C1321" t="s">
        <v>271</v>
      </c>
      <c r="D1321" s="9">
        <v>19775</v>
      </c>
      <c r="E1321" s="5" t="s">
        <v>503</v>
      </c>
      <c r="F1321" t="s">
        <v>272</v>
      </c>
      <c r="G1321">
        <v>1566</v>
      </c>
      <c r="H1321">
        <v>644</v>
      </c>
      <c r="I1321" s="8">
        <f t="shared" si="120"/>
        <v>0.41123882503192849</v>
      </c>
      <c r="J1321" s="17">
        <v>0.7</v>
      </c>
      <c r="K1321" s="12">
        <v>13.75</v>
      </c>
      <c r="L1321" s="2">
        <f t="shared" si="123"/>
        <v>452.19999999999982</v>
      </c>
      <c r="M1321" s="15">
        <f t="shared" si="122"/>
        <v>6217.7499999999973</v>
      </c>
      <c r="N1321" t="str">
        <f t="shared" si="118"/>
        <v>ES</v>
      </c>
      <c r="O1321" t="str">
        <f t="shared" si="119"/>
        <v>Serra</v>
      </c>
    </row>
    <row r="1322" spans="1:15" x14ac:dyDescent="0.3">
      <c r="A1322" s="10">
        <v>45839</v>
      </c>
      <c r="B1322" s="9" t="s">
        <v>71</v>
      </c>
      <c r="C1322" t="s">
        <v>175</v>
      </c>
      <c r="D1322" s="9">
        <v>19874</v>
      </c>
      <c r="E1322" s="5" t="s">
        <v>504</v>
      </c>
      <c r="F1322" t="s">
        <v>179</v>
      </c>
      <c r="G1322">
        <v>3956</v>
      </c>
      <c r="H1322">
        <v>1235</v>
      </c>
      <c r="I1322" s="8">
        <f t="shared" si="120"/>
        <v>0.31218402426693631</v>
      </c>
      <c r="J1322" s="17">
        <v>0.7</v>
      </c>
      <c r="K1322" s="12">
        <v>13.75</v>
      </c>
      <c r="L1322" s="2">
        <f t="shared" si="123"/>
        <v>1534.1999999999998</v>
      </c>
      <c r="M1322" s="15">
        <f t="shared" si="122"/>
        <v>21095.249999999996</v>
      </c>
      <c r="N1322" t="str">
        <f t="shared" si="118"/>
        <v>RS</v>
      </c>
      <c r="O1322" t="str">
        <f t="shared" si="119"/>
        <v>Porto Alegre</v>
      </c>
    </row>
    <row r="1323" spans="1:15" x14ac:dyDescent="0.3">
      <c r="A1323" s="10">
        <v>45839</v>
      </c>
      <c r="B1323" s="9" t="s">
        <v>3</v>
      </c>
      <c r="C1323" t="s">
        <v>165</v>
      </c>
      <c r="D1323" s="9">
        <v>19761</v>
      </c>
      <c r="E1323" s="5" t="s">
        <v>505</v>
      </c>
      <c r="F1323" t="s">
        <v>166</v>
      </c>
      <c r="G1323">
        <v>1632</v>
      </c>
      <c r="H1323">
        <v>619</v>
      </c>
      <c r="I1323" s="8">
        <f t="shared" si="120"/>
        <v>0.37928921568627449</v>
      </c>
      <c r="J1323" s="17">
        <v>0.7</v>
      </c>
      <c r="K1323" s="12">
        <v>13.75</v>
      </c>
      <c r="L1323" s="2">
        <f t="shared" si="123"/>
        <v>523.39999999999986</v>
      </c>
      <c r="M1323" s="15">
        <f t="shared" si="122"/>
        <v>7196.7499999999982</v>
      </c>
      <c r="N1323" t="str">
        <f t="shared" si="118"/>
        <v>SP</v>
      </c>
      <c r="O1323" t="str">
        <f t="shared" si="119"/>
        <v>Paulínia</v>
      </c>
    </row>
    <row r="1324" spans="1:15" x14ac:dyDescent="0.3">
      <c r="A1324" s="10">
        <v>45839</v>
      </c>
      <c r="B1324" s="9" t="s">
        <v>46</v>
      </c>
      <c r="C1324" t="s">
        <v>47</v>
      </c>
      <c r="D1324" s="9">
        <v>19881</v>
      </c>
      <c r="E1324" s="5" t="s">
        <v>507</v>
      </c>
      <c r="F1324" t="s">
        <v>54</v>
      </c>
      <c r="G1324">
        <v>3640</v>
      </c>
      <c r="H1324">
        <v>1438</v>
      </c>
      <c r="I1324" s="8">
        <f t="shared" si="120"/>
        <v>0.39505494505494504</v>
      </c>
      <c r="J1324" s="17">
        <v>0.7</v>
      </c>
      <c r="K1324" s="12">
        <v>13.75</v>
      </c>
      <c r="L1324" s="2">
        <f t="shared" si="123"/>
        <v>1110</v>
      </c>
      <c r="M1324" s="15">
        <f t="shared" si="122"/>
        <v>15262.5</v>
      </c>
      <c r="N1324" t="str">
        <f t="shared" si="118"/>
        <v>DF</v>
      </c>
      <c r="O1324" t="str">
        <f t="shared" si="119"/>
        <v>Brasília</v>
      </c>
    </row>
    <row r="1325" spans="1:15" x14ac:dyDescent="0.3">
      <c r="A1325" s="10">
        <v>45839</v>
      </c>
      <c r="B1325" s="9" t="s">
        <v>3</v>
      </c>
      <c r="C1325" t="s">
        <v>64</v>
      </c>
      <c r="D1325" s="9">
        <v>19696</v>
      </c>
      <c r="E1325" s="5" t="s">
        <v>508</v>
      </c>
      <c r="F1325" t="s">
        <v>65</v>
      </c>
      <c r="G1325">
        <v>1297</v>
      </c>
      <c r="H1325">
        <v>384</v>
      </c>
      <c r="I1325" s="8">
        <f t="shared" si="120"/>
        <v>0.29606784888203547</v>
      </c>
      <c r="J1325" s="17">
        <v>0.7</v>
      </c>
      <c r="K1325" s="12">
        <v>13.75</v>
      </c>
      <c r="L1325" s="2">
        <f t="shared" si="123"/>
        <v>523.89999999999986</v>
      </c>
      <c r="M1325" s="15">
        <f t="shared" si="122"/>
        <v>7203.6249999999982</v>
      </c>
      <c r="N1325" t="str">
        <f t="shared" si="118"/>
        <v>SP</v>
      </c>
      <c r="O1325" t="str">
        <f t="shared" si="119"/>
        <v>Campinas</v>
      </c>
    </row>
    <row r="1326" spans="1:15" x14ac:dyDescent="0.3">
      <c r="A1326" s="10">
        <v>45839</v>
      </c>
      <c r="B1326" s="9" t="s">
        <v>71</v>
      </c>
      <c r="C1326" t="s">
        <v>72</v>
      </c>
      <c r="D1326" s="9">
        <v>19883</v>
      </c>
      <c r="E1326" s="5" t="s">
        <v>509</v>
      </c>
      <c r="F1326" t="s">
        <v>73</v>
      </c>
      <c r="G1326">
        <v>1850</v>
      </c>
      <c r="H1326">
        <v>569</v>
      </c>
      <c r="I1326" s="8">
        <f t="shared" si="120"/>
        <v>0.30756756756756759</v>
      </c>
      <c r="J1326" s="17">
        <v>0.7</v>
      </c>
      <c r="K1326" s="12">
        <v>13.75</v>
      </c>
      <c r="L1326" s="2">
        <f t="shared" si="123"/>
        <v>725.99999999999977</v>
      </c>
      <c r="M1326" s="15">
        <f t="shared" si="122"/>
        <v>9982.4999999999964</v>
      </c>
      <c r="N1326" t="str">
        <f t="shared" si="118"/>
        <v>RS</v>
      </c>
      <c r="O1326" t="str">
        <f t="shared" si="119"/>
        <v>Canoas</v>
      </c>
    </row>
    <row r="1327" spans="1:15" x14ac:dyDescent="0.3">
      <c r="A1327" s="10">
        <v>45839</v>
      </c>
      <c r="B1327" s="9" t="s">
        <v>15</v>
      </c>
      <c r="C1327" t="s">
        <v>358</v>
      </c>
      <c r="D1327" s="9">
        <v>19514</v>
      </c>
      <c r="E1327" s="5" t="s">
        <v>510</v>
      </c>
      <c r="F1327" t="s">
        <v>221</v>
      </c>
      <c r="G1327">
        <v>3036</v>
      </c>
      <c r="H1327">
        <v>1030</v>
      </c>
      <c r="I1327" s="8">
        <f t="shared" si="120"/>
        <v>0.33926218708827405</v>
      </c>
      <c r="J1327" s="17">
        <v>0.7</v>
      </c>
      <c r="K1327" s="12">
        <v>13.75</v>
      </c>
      <c r="L1327" s="2">
        <f t="shared" si="123"/>
        <v>1095.1999999999998</v>
      </c>
      <c r="M1327" s="15">
        <f t="shared" si="122"/>
        <v>15058.999999999998</v>
      </c>
      <c r="N1327" t="str">
        <f t="shared" si="118"/>
        <v>RJ</v>
      </c>
      <c r="O1327" t="str">
        <f t="shared" si="119"/>
        <v>Rio De Janeiro</v>
      </c>
    </row>
    <row r="1328" spans="1:15" x14ac:dyDescent="0.3">
      <c r="A1328" s="10">
        <v>45839</v>
      </c>
      <c r="B1328" s="9" t="s">
        <v>15</v>
      </c>
      <c r="C1328" t="s">
        <v>358</v>
      </c>
      <c r="D1328" s="9">
        <v>19600</v>
      </c>
      <c r="E1328" s="5" t="s">
        <v>511</v>
      </c>
      <c r="F1328" t="s">
        <v>222</v>
      </c>
      <c r="G1328">
        <v>2606</v>
      </c>
      <c r="H1328">
        <v>935</v>
      </c>
      <c r="I1328" s="8">
        <f t="shared" si="120"/>
        <v>0.35878741366078282</v>
      </c>
      <c r="J1328" s="17">
        <v>0.7</v>
      </c>
      <c r="K1328" s="12">
        <v>13.75</v>
      </c>
      <c r="L1328" s="2">
        <f t="shared" si="123"/>
        <v>889.2</v>
      </c>
      <c r="M1328" s="15">
        <f t="shared" si="122"/>
        <v>12226.5</v>
      </c>
      <c r="N1328" t="str">
        <f t="shared" si="118"/>
        <v>RJ</v>
      </c>
      <c r="O1328" t="str">
        <f t="shared" si="119"/>
        <v>Rio De Janeiro</v>
      </c>
    </row>
    <row r="1329" spans="1:15" x14ac:dyDescent="0.3">
      <c r="A1329" s="10">
        <v>45839</v>
      </c>
      <c r="B1329" s="9" t="s">
        <v>78</v>
      </c>
      <c r="C1329" t="s">
        <v>277</v>
      </c>
      <c r="D1329" s="9">
        <v>19896</v>
      </c>
      <c r="E1329" s="5" t="s">
        <v>512</v>
      </c>
      <c r="F1329" t="s">
        <v>278</v>
      </c>
      <c r="G1329">
        <v>1471</v>
      </c>
      <c r="H1329">
        <v>639</v>
      </c>
      <c r="I1329" s="8">
        <f t="shared" si="120"/>
        <v>0.43439836845683211</v>
      </c>
      <c r="J1329" s="17">
        <v>0.7</v>
      </c>
      <c r="K1329" s="12">
        <v>13.75</v>
      </c>
      <c r="L1329" s="2">
        <f t="shared" si="123"/>
        <v>390.69999999999982</v>
      </c>
      <c r="M1329" s="15">
        <f t="shared" si="122"/>
        <v>5372.1249999999973</v>
      </c>
      <c r="N1329" t="str">
        <f t="shared" si="118"/>
        <v>MT</v>
      </c>
      <c r="O1329" t="str">
        <f t="shared" si="119"/>
        <v>Sorriso</v>
      </c>
    </row>
    <row r="1330" spans="1:15" x14ac:dyDescent="0.3">
      <c r="A1330" s="10">
        <v>45839</v>
      </c>
      <c r="B1330" s="9" t="s">
        <v>14</v>
      </c>
      <c r="C1330" t="s">
        <v>287</v>
      </c>
      <c r="D1330" s="9">
        <v>19905</v>
      </c>
      <c r="E1330" s="5" t="s">
        <v>513</v>
      </c>
      <c r="F1330" t="s">
        <v>288</v>
      </c>
      <c r="G1330">
        <v>1421</v>
      </c>
      <c r="H1330">
        <v>598</v>
      </c>
      <c r="I1330" s="8">
        <f t="shared" si="120"/>
        <v>0.42083040112596765</v>
      </c>
      <c r="J1330" s="17">
        <v>0.7</v>
      </c>
      <c r="K1330" s="12">
        <v>13.75</v>
      </c>
      <c r="L1330" s="2">
        <f t="shared" si="123"/>
        <v>396.69999999999993</v>
      </c>
      <c r="M1330" s="15">
        <f t="shared" si="122"/>
        <v>5454.6249999999991</v>
      </c>
      <c r="N1330" t="str">
        <f t="shared" si="118"/>
        <v>MG</v>
      </c>
      <c r="O1330" t="str">
        <f t="shared" si="119"/>
        <v>Varginha</v>
      </c>
    </row>
    <row r="1331" spans="1:15" x14ac:dyDescent="0.3">
      <c r="A1331" s="10">
        <v>45839</v>
      </c>
      <c r="B1331" s="9" t="s">
        <v>3</v>
      </c>
      <c r="C1331" t="s">
        <v>12</v>
      </c>
      <c r="D1331" s="9">
        <v>19901</v>
      </c>
      <c r="E1331" s="5" t="s">
        <v>514</v>
      </c>
      <c r="F1331" t="s">
        <v>13</v>
      </c>
      <c r="G1331">
        <v>1165</v>
      </c>
      <c r="H1331">
        <v>334</v>
      </c>
      <c r="I1331" s="8">
        <f t="shared" si="120"/>
        <v>0.28669527896995706</v>
      </c>
      <c r="J1331" s="17">
        <v>0.7</v>
      </c>
      <c r="K1331" s="12">
        <v>13.75</v>
      </c>
      <c r="L1331" s="2">
        <f t="shared" si="123"/>
        <v>481.5</v>
      </c>
      <c r="M1331" s="15">
        <f t="shared" si="122"/>
        <v>6620.625</v>
      </c>
      <c r="N1331" t="str">
        <f t="shared" si="118"/>
        <v>SP</v>
      </c>
      <c r="O1331" t="str">
        <f t="shared" si="119"/>
        <v>Araras</v>
      </c>
    </row>
    <row r="1332" spans="1:15" x14ac:dyDescent="0.3">
      <c r="A1332" s="10">
        <v>45839</v>
      </c>
      <c r="B1332" s="9" t="s">
        <v>14</v>
      </c>
      <c r="C1332" t="s">
        <v>137</v>
      </c>
      <c r="D1332" s="9">
        <v>19899</v>
      </c>
      <c r="E1332" s="5" t="s">
        <v>515</v>
      </c>
      <c r="F1332" t="s">
        <v>138</v>
      </c>
      <c r="G1332">
        <v>1397</v>
      </c>
      <c r="H1332">
        <v>561</v>
      </c>
      <c r="I1332" s="8">
        <f t="shared" si="120"/>
        <v>0.40157480314960631</v>
      </c>
      <c r="J1332" s="17">
        <v>0.7</v>
      </c>
      <c r="K1332" s="12">
        <v>13.75</v>
      </c>
      <c r="L1332" s="2">
        <f t="shared" si="123"/>
        <v>416.9</v>
      </c>
      <c r="M1332" s="15">
        <f t="shared" si="122"/>
        <v>5732.375</v>
      </c>
      <c r="N1332" t="str">
        <f t="shared" si="118"/>
        <v>MG</v>
      </c>
      <c r="O1332" t="str">
        <f t="shared" si="119"/>
        <v>Montes Claros</v>
      </c>
    </row>
    <row r="1333" spans="1:15" x14ac:dyDescent="0.3">
      <c r="A1333" s="10">
        <v>45839</v>
      </c>
      <c r="B1333" s="9" t="s">
        <v>14</v>
      </c>
      <c r="C1333" t="s">
        <v>137</v>
      </c>
      <c r="D1333" s="9">
        <v>19796</v>
      </c>
      <c r="E1333" s="5" t="s">
        <v>516</v>
      </c>
      <c r="F1333" t="s">
        <v>139</v>
      </c>
      <c r="G1333">
        <v>2921</v>
      </c>
      <c r="H1333">
        <v>1291</v>
      </c>
      <c r="I1333" s="8">
        <f t="shared" si="120"/>
        <v>0.44197192742211572</v>
      </c>
      <c r="J1333" s="17">
        <v>0.7</v>
      </c>
      <c r="K1333" s="12">
        <v>13.75</v>
      </c>
      <c r="L1333" s="2">
        <f t="shared" si="123"/>
        <v>753.69999999999982</v>
      </c>
      <c r="M1333" s="15">
        <f t="shared" si="122"/>
        <v>10363.374999999998</v>
      </c>
      <c r="N1333" t="str">
        <f t="shared" si="118"/>
        <v>MG</v>
      </c>
      <c r="O1333" t="str">
        <f t="shared" si="119"/>
        <v>Montes Claros</v>
      </c>
    </row>
    <row r="1334" spans="1:15" x14ac:dyDescent="0.3">
      <c r="A1334" s="10">
        <v>45839</v>
      </c>
      <c r="B1334" s="9" t="s">
        <v>15</v>
      </c>
      <c r="C1334" t="s">
        <v>358</v>
      </c>
      <c r="D1334" s="9">
        <v>19528</v>
      </c>
      <c r="E1334" s="5" t="s">
        <v>517</v>
      </c>
      <c r="F1334" t="s">
        <v>223</v>
      </c>
      <c r="G1334">
        <v>2996</v>
      </c>
      <c r="H1334">
        <v>853</v>
      </c>
      <c r="I1334" s="8">
        <f t="shared" si="120"/>
        <v>0.2847129506008011</v>
      </c>
      <c r="J1334" s="17">
        <v>0.7</v>
      </c>
      <c r="K1334" s="12">
        <v>13.75</v>
      </c>
      <c r="L1334" s="2">
        <f t="shared" si="123"/>
        <v>1244.1999999999994</v>
      </c>
      <c r="M1334" s="15">
        <f t="shared" si="122"/>
        <v>17107.749999999993</v>
      </c>
      <c r="N1334" t="str">
        <f t="shared" si="118"/>
        <v>RJ</v>
      </c>
      <c r="O1334" t="str">
        <f t="shared" si="119"/>
        <v>Rio De Janeiro</v>
      </c>
    </row>
    <row r="1335" spans="1:15" x14ac:dyDescent="0.3">
      <c r="A1335" s="10">
        <v>45839</v>
      </c>
      <c r="B1335" s="9" t="s">
        <v>6</v>
      </c>
      <c r="C1335" t="s">
        <v>158</v>
      </c>
      <c r="D1335" s="9">
        <v>19914</v>
      </c>
      <c r="E1335" s="5" t="s">
        <v>519</v>
      </c>
      <c r="F1335" t="s">
        <v>159</v>
      </c>
      <c r="G1335">
        <v>2453</v>
      </c>
      <c r="H1335">
        <v>1492</v>
      </c>
      <c r="I1335" s="8">
        <f t="shared" si="120"/>
        <v>0.60823481451284145</v>
      </c>
      <c r="J1335" s="17">
        <v>0.7</v>
      </c>
      <c r="K1335" s="12">
        <v>13.75</v>
      </c>
      <c r="L1335" s="2">
        <f t="shared" si="123"/>
        <v>225.09999999999968</v>
      </c>
      <c r="M1335" s="15">
        <f t="shared" si="122"/>
        <v>3095.1249999999955</v>
      </c>
      <c r="N1335" t="str">
        <f t="shared" si="118"/>
        <v>PA</v>
      </c>
      <c r="O1335" t="str">
        <f t="shared" si="119"/>
        <v>Parauapebas</v>
      </c>
    </row>
    <row r="1336" spans="1:15" x14ac:dyDescent="0.3">
      <c r="A1336" s="10">
        <v>45839</v>
      </c>
      <c r="B1336" s="9" t="s">
        <v>155</v>
      </c>
      <c r="C1336" t="s">
        <v>156</v>
      </c>
      <c r="D1336" s="9">
        <v>19916</v>
      </c>
      <c r="E1336" s="5" t="s">
        <v>520</v>
      </c>
      <c r="F1336" t="s">
        <v>157</v>
      </c>
      <c r="G1336">
        <v>2193</v>
      </c>
      <c r="H1336">
        <v>966</v>
      </c>
      <c r="I1336" s="8">
        <f t="shared" si="120"/>
        <v>0.44049247606019154</v>
      </c>
      <c r="J1336" s="17">
        <v>0.7</v>
      </c>
      <c r="K1336" s="12">
        <v>13.75</v>
      </c>
      <c r="L1336" s="2">
        <f t="shared" si="123"/>
        <v>569.09999999999968</v>
      </c>
      <c r="M1336" s="15">
        <f t="shared" si="122"/>
        <v>7825.1249999999955</v>
      </c>
      <c r="N1336" t="str">
        <f t="shared" si="118"/>
        <v>TO</v>
      </c>
      <c r="O1336" t="str">
        <f t="shared" si="119"/>
        <v>Palmas</v>
      </c>
    </row>
    <row r="1337" spans="1:15" x14ac:dyDescent="0.3">
      <c r="A1337" s="10">
        <v>45839</v>
      </c>
      <c r="B1337" s="9" t="s">
        <v>74</v>
      </c>
      <c r="C1337" t="s">
        <v>97</v>
      </c>
      <c r="D1337" s="9">
        <v>19911</v>
      </c>
      <c r="E1337" s="5" t="s">
        <v>522</v>
      </c>
      <c r="F1337" t="s">
        <v>98</v>
      </c>
      <c r="G1337">
        <v>2670</v>
      </c>
      <c r="H1337">
        <v>1330</v>
      </c>
      <c r="I1337" s="8">
        <f t="shared" si="120"/>
        <v>0.49812734082397003</v>
      </c>
      <c r="J1337" s="17">
        <v>0.7</v>
      </c>
      <c r="K1337" s="12">
        <v>13.75</v>
      </c>
      <c r="L1337" s="2">
        <f t="shared" si="123"/>
        <v>538.99999999999977</v>
      </c>
      <c r="M1337" s="15">
        <f t="shared" si="122"/>
        <v>7411.2499999999973</v>
      </c>
      <c r="N1337" t="str">
        <f t="shared" si="118"/>
        <v>PE</v>
      </c>
      <c r="O1337" t="str">
        <f t="shared" si="119"/>
        <v>Garanhuns</v>
      </c>
    </row>
    <row r="1338" spans="1:15" x14ac:dyDescent="0.3">
      <c r="A1338" s="10">
        <v>45839</v>
      </c>
      <c r="B1338" s="9" t="s">
        <v>15</v>
      </c>
      <c r="C1338" t="s">
        <v>341</v>
      </c>
      <c r="D1338" s="9">
        <v>19908</v>
      </c>
      <c r="E1338" s="5" t="s">
        <v>523</v>
      </c>
      <c r="F1338" t="s">
        <v>16</v>
      </c>
      <c r="G1338">
        <v>1789</v>
      </c>
      <c r="H1338">
        <v>964</v>
      </c>
      <c r="I1338" s="8">
        <f t="shared" si="120"/>
        <v>0.53884851872554496</v>
      </c>
      <c r="J1338" s="17">
        <v>0.7</v>
      </c>
      <c r="K1338" s="12">
        <v>13.75</v>
      </c>
      <c r="L1338" s="2">
        <f t="shared" si="123"/>
        <v>288.29999999999995</v>
      </c>
      <c r="M1338" s="15">
        <f t="shared" si="122"/>
        <v>3964.1249999999995</v>
      </c>
      <c r="N1338" t="str">
        <f t="shared" si="118"/>
        <v>RJ</v>
      </c>
      <c r="O1338" t="str">
        <f t="shared" si="119"/>
        <v>Armação Dos Búzios</v>
      </c>
    </row>
    <row r="1339" spans="1:15" x14ac:dyDescent="0.3">
      <c r="A1339" s="10">
        <v>45839</v>
      </c>
      <c r="B1339" s="9" t="s">
        <v>21</v>
      </c>
      <c r="C1339" t="s">
        <v>121</v>
      </c>
      <c r="D1339" s="9">
        <v>19910</v>
      </c>
      <c r="E1339" s="5" t="s">
        <v>524</v>
      </c>
      <c r="F1339" t="s">
        <v>122</v>
      </c>
      <c r="G1339">
        <v>1207</v>
      </c>
      <c r="H1339">
        <v>575</v>
      </c>
      <c r="I1339" s="8">
        <f t="shared" si="120"/>
        <v>0.47638773819386909</v>
      </c>
      <c r="J1339" s="17">
        <v>0.7</v>
      </c>
      <c r="K1339" s="12">
        <v>13.75</v>
      </c>
      <c r="L1339" s="2">
        <f t="shared" si="123"/>
        <v>269.89999999999998</v>
      </c>
      <c r="M1339" s="15">
        <f t="shared" si="122"/>
        <v>3711.1249999999995</v>
      </c>
      <c r="N1339" t="str">
        <f t="shared" si="118"/>
        <v>BA</v>
      </c>
      <c r="O1339" t="str">
        <f t="shared" si="119"/>
        <v>Luís Eduardo Magalhães</v>
      </c>
    </row>
    <row r="1340" spans="1:15" x14ac:dyDescent="0.3">
      <c r="A1340" s="10">
        <v>45839</v>
      </c>
      <c r="B1340" s="9" t="s">
        <v>82</v>
      </c>
      <c r="C1340" t="s">
        <v>173</v>
      </c>
      <c r="D1340" s="9">
        <v>19926</v>
      </c>
      <c r="E1340" s="5" t="s">
        <v>525</v>
      </c>
      <c r="F1340" t="s">
        <v>174</v>
      </c>
      <c r="G1340">
        <v>1091</v>
      </c>
      <c r="H1340">
        <v>401</v>
      </c>
      <c r="I1340" s="8">
        <f t="shared" si="120"/>
        <v>0.36755270394133821</v>
      </c>
      <c r="J1340" s="17">
        <v>0.7</v>
      </c>
      <c r="K1340" s="12">
        <v>13.75</v>
      </c>
      <c r="L1340" s="2">
        <f t="shared" si="123"/>
        <v>362.70000000000005</v>
      </c>
      <c r="M1340" s="15">
        <f t="shared" si="122"/>
        <v>4987.1250000000009</v>
      </c>
      <c r="N1340" t="str">
        <f t="shared" si="118"/>
        <v>PR</v>
      </c>
      <c r="O1340" t="str">
        <f t="shared" si="119"/>
        <v>Ponta Grossa</v>
      </c>
    </row>
    <row r="1341" spans="1:15" x14ac:dyDescent="0.3">
      <c r="A1341" s="10">
        <v>45839</v>
      </c>
      <c r="B1341" s="9" t="s">
        <v>15</v>
      </c>
      <c r="C1341" t="s">
        <v>358</v>
      </c>
      <c r="D1341" s="9">
        <v>19523</v>
      </c>
      <c r="E1341" s="5" t="s">
        <v>526</v>
      </c>
      <c r="F1341" t="s">
        <v>224</v>
      </c>
      <c r="G1341">
        <v>2896</v>
      </c>
      <c r="H1341">
        <v>782</v>
      </c>
      <c r="I1341" s="8">
        <f t="shared" si="120"/>
        <v>0.27002762430939226</v>
      </c>
      <c r="J1341" s="17">
        <v>0.7</v>
      </c>
      <c r="K1341" s="12">
        <v>13.75</v>
      </c>
      <c r="L1341" s="2">
        <f t="shared" si="123"/>
        <v>1245.2</v>
      </c>
      <c r="M1341" s="15">
        <f t="shared" si="122"/>
        <v>17121.5</v>
      </c>
      <c r="N1341" t="str">
        <f t="shared" si="118"/>
        <v>RJ</v>
      </c>
      <c r="O1341" t="str">
        <f t="shared" si="119"/>
        <v>Rio De Janeiro</v>
      </c>
    </row>
    <row r="1342" spans="1:15" x14ac:dyDescent="0.3">
      <c r="A1342" s="10">
        <v>45839</v>
      </c>
      <c r="B1342" s="9" t="s">
        <v>15</v>
      </c>
      <c r="C1342" t="s">
        <v>358</v>
      </c>
      <c r="D1342" s="9">
        <v>19652</v>
      </c>
      <c r="E1342" s="5" t="s">
        <v>527</v>
      </c>
      <c r="F1342" t="s">
        <v>225</v>
      </c>
      <c r="G1342">
        <v>4839</v>
      </c>
      <c r="H1342">
        <v>1369</v>
      </c>
      <c r="I1342" s="8">
        <f t="shared" si="120"/>
        <v>0.28290969208514155</v>
      </c>
      <c r="J1342" s="17">
        <v>0.7</v>
      </c>
      <c r="K1342" s="12">
        <v>13.75</v>
      </c>
      <c r="L1342" s="2">
        <f t="shared" ref="L1342:L1373" si="124">H1342*J1342/I1342-H1342</f>
        <v>2018.2999999999997</v>
      </c>
      <c r="M1342" s="15">
        <f t="shared" si="122"/>
        <v>27751.624999999996</v>
      </c>
      <c r="N1342" t="str">
        <f t="shared" si="118"/>
        <v>RJ</v>
      </c>
      <c r="O1342" t="str">
        <f t="shared" si="119"/>
        <v>Rio De Janeiro</v>
      </c>
    </row>
    <row r="1343" spans="1:15" x14ac:dyDescent="0.3">
      <c r="A1343" s="10">
        <v>45839</v>
      </c>
      <c r="B1343" s="9" t="s">
        <v>15</v>
      </c>
      <c r="C1343" t="s">
        <v>358</v>
      </c>
      <c r="D1343" s="9">
        <v>19529</v>
      </c>
      <c r="E1343" s="5" t="s">
        <v>528</v>
      </c>
      <c r="F1343" t="s">
        <v>226</v>
      </c>
      <c r="G1343">
        <v>5328</v>
      </c>
      <c r="H1343">
        <v>1542</v>
      </c>
      <c r="I1343" s="8">
        <f t="shared" si="120"/>
        <v>0.2894144144144144</v>
      </c>
      <c r="J1343" s="17">
        <v>0.7</v>
      </c>
      <c r="K1343" s="12">
        <v>13.75</v>
      </c>
      <c r="L1343" s="2">
        <f t="shared" si="124"/>
        <v>2187.6</v>
      </c>
      <c r="M1343" s="15">
        <f t="shared" si="122"/>
        <v>30079.5</v>
      </c>
      <c r="N1343" t="str">
        <f t="shared" si="118"/>
        <v>RJ</v>
      </c>
      <c r="O1343" t="str">
        <f t="shared" si="119"/>
        <v>Rio De Janeiro</v>
      </c>
    </row>
    <row r="1344" spans="1:15" x14ac:dyDescent="0.3">
      <c r="A1344" s="10">
        <v>45839</v>
      </c>
      <c r="B1344" s="9" t="s">
        <v>3</v>
      </c>
      <c r="C1344" t="s">
        <v>248</v>
      </c>
      <c r="D1344" s="9">
        <v>19889</v>
      </c>
      <c r="E1344" s="5" t="s">
        <v>529</v>
      </c>
      <c r="F1344" t="s">
        <v>266</v>
      </c>
      <c r="G1344">
        <v>1586</v>
      </c>
      <c r="H1344">
        <v>524</v>
      </c>
      <c r="I1344" s="8">
        <f t="shared" si="120"/>
        <v>0.33039092055485497</v>
      </c>
      <c r="J1344" s="17">
        <v>0.7</v>
      </c>
      <c r="K1344" s="12">
        <v>13.75</v>
      </c>
      <c r="L1344" s="2">
        <f t="shared" si="124"/>
        <v>586.19999999999982</v>
      </c>
      <c r="M1344" s="15">
        <f t="shared" si="122"/>
        <v>8060.2499999999973</v>
      </c>
      <c r="N1344" t="str">
        <f t="shared" si="118"/>
        <v>SP</v>
      </c>
      <c r="O1344" t="str">
        <f t="shared" si="119"/>
        <v>São Paulo</v>
      </c>
    </row>
    <row r="1345" spans="1:15" x14ac:dyDescent="0.3">
      <c r="A1345" s="10">
        <v>45839</v>
      </c>
      <c r="B1345" s="9" t="s">
        <v>3</v>
      </c>
      <c r="C1345" t="s">
        <v>248</v>
      </c>
      <c r="D1345" s="9">
        <v>19888</v>
      </c>
      <c r="E1345" s="5" t="s">
        <v>530</v>
      </c>
      <c r="F1345" t="s">
        <v>267</v>
      </c>
      <c r="G1345">
        <v>1359</v>
      </c>
      <c r="H1345">
        <v>427</v>
      </c>
      <c r="I1345" s="8">
        <f t="shared" si="120"/>
        <v>0.3142016188373804</v>
      </c>
      <c r="J1345" s="17">
        <v>0.7</v>
      </c>
      <c r="K1345" s="12">
        <v>13.75</v>
      </c>
      <c r="L1345" s="2">
        <f t="shared" si="124"/>
        <v>524.29999999999995</v>
      </c>
      <c r="M1345" s="15">
        <f t="shared" si="122"/>
        <v>7209.1249999999991</v>
      </c>
      <c r="N1345" t="str">
        <f t="shared" si="118"/>
        <v>SP</v>
      </c>
      <c r="O1345" t="str">
        <f t="shared" si="119"/>
        <v>São Paulo</v>
      </c>
    </row>
    <row r="1346" spans="1:15" x14ac:dyDescent="0.3">
      <c r="A1346" s="10">
        <v>45839</v>
      </c>
      <c r="B1346" s="9" t="s">
        <v>82</v>
      </c>
      <c r="C1346" t="s">
        <v>106</v>
      </c>
      <c r="D1346" s="9">
        <v>19927</v>
      </c>
      <c r="E1346" s="5" t="s">
        <v>531</v>
      </c>
      <c r="F1346" t="s">
        <v>107</v>
      </c>
      <c r="G1346">
        <v>777</v>
      </c>
      <c r="H1346">
        <v>213</v>
      </c>
      <c r="I1346" s="8">
        <f t="shared" si="120"/>
        <v>0.27413127413127414</v>
      </c>
      <c r="J1346" s="17">
        <v>0.7</v>
      </c>
      <c r="K1346" s="12">
        <v>13.75</v>
      </c>
      <c r="L1346" s="2">
        <f t="shared" si="124"/>
        <v>330.9</v>
      </c>
      <c r="M1346" s="15">
        <f t="shared" si="122"/>
        <v>4549.875</v>
      </c>
      <c r="N1346" t="str">
        <f t="shared" ref="N1346:N1409" si="125">B1346</f>
        <v>PR</v>
      </c>
      <c r="O1346" t="str">
        <f t="shared" ref="O1346:O1409" si="126">C1346</f>
        <v>Guarapuava</v>
      </c>
    </row>
    <row r="1347" spans="1:15" x14ac:dyDescent="0.3">
      <c r="A1347" s="10">
        <v>45839</v>
      </c>
      <c r="B1347" s="9" t="s">
        <v>3</v>
      </c>
      <c r="C1347" t="s">
        <v>44</v>
      </c>
      <c r="D1347" s="9">
        <v>19930</v>
      </c>
      <c r="E1347" s="5" t="s">
        <v>533</v>
      </c>
      <c r="F1347" t="s">
        <v>45</v>
      </c>
      <c r="G1347">
        <v>1932</v>
      </c>
      <c r="H1347">
        <v>872</v>
      </c>
      <c r="I1347" s="8">
        <f t="shared" ref="I1347:I1410" si="127">H1347/G1347</f>
        <v>0.45134575569358176</v>
      </c>
      <c r="J1347" s="17">
        <v>0.7</v>
      </c>
      <c r="K1347" s="12">
        <v>13.75</v>
      </c>
      <c r="L1347" s="2">
        <f t="shared" si="124"/>
        <v>480.40000000000009</v>
      </c>
      <c r="M1347" s="15">
        <f t="shared" ref="M1347:M1410" si="128">L1347*K1347</f>
        <v>6605.5000000000009</v>
      </c>
      <c r="N1347" t="str">
        <f t="shared" si="125"/>
        <v>SP</v>
      </c>
      <c r="O1347" t="str">
        <f t="shared" si="126"/>
        <v>Botucatu</v>
      </c>
    </row>
    <row r="1348" spans="1:15" x14ac:dyDescent="0.3">
      <c r="A1348" s="10">
        <v>45839</v>
      </c>
      <c r="B1348" s="9" t="s">
        <v>3</v>
      </c>
      <c r="C1348" t="s">
        <v>353</v>
      </c>
      <c r="D1348" s="9">
        <v>19675</v>
      </c>
      <c r="E1348" s="5" t="s">
        <v>534</v>
      </c>
      <c r="F1348" t="s">
        <v>354</v>
      </c>
      <c r="G1348">
        <v>1004</v>
      </c>
      <c r="H1348">
        <v>337</v>
      </c>
      <c r="I1348" s="8">
        <f t="shared" si="127"/>
        <v>0.33565737051792827</v>
      </c>
      <c r="J1348" s="17">
        <v>0.7</v>
      </c>
      <c r="K1348" s="12">
        <v>13.75</v>
      </c>
      <c r="L1348" s="2">
        <f t="shared" si="124"/>
        <v>365.79999999999995</v>
      </c>
      <c r="M1348" s="15">
        <f t="shared" si="128"/>
        <v>5029.7499999999991</v>
      </c>
      <c r="N1348" t="str">
        <f t="shared" si="125"/>
        <v>SP</v>
      </c>
      <c r="O1348" t="str">
        <f t="shared" si="126"/>
        <v>Limeira</v>
      </c>
    </row>
    <row r="1349" spans="1:15" x14ac:dyDescent="0.3">
      <c r="A1349" s="10">
        <v>45839</v>
      </c>
      <c r="B1349" s="9" t="s">
        <v>15</v>
      </c>
      <c r="C1349" t="s">
        <v>358</v>
      </c>
      <c r="D1349" s="9">
        <v>19609</v>
      </c>
      <c r="E1349" s="5" t="s">
        <v>535</v>
      </c>
      <c r="F1349" t="s">
        <v>227</v>
      </c>
      <c r="G1349">
        <v>2294</v>
      </c>
      <c r="H1349">
        <v>913</v>
      </c>
      <c r="I1349" s="8">
        <f t="shared" si="127"/>
        <v>0.3979947689625109</v>
      </c>
      <c r="J1349" s="17">
        <v>0.7</v>
      </c>
      <c r="K1349" s="12">
        <v>13.75</v>
      </c>
      <c r="L1349" s="2">
        <f t="shared" si="124"/>
        <v>692.79999999999973</v>
      </c>
      <c r="M1349" s="15">
        <f t="shared" si="128"/>
        <v>9525.9999999999964</v>
      </c>
      <c r="N1349" t="str">
        <f t="shared" si="125"/>
        <v>RJ</v>
      </c>
      <c r="O1349" t="str">
        <f t="shared" si="126"/>
        <v>Rio De Janeiro</v>
      </c>
    </row>
    <row r="1350" spans="1:15" x14ac:dyDescent="0.3">
      <c r="A1350" s="10">
        <v>45839</v>
      </c>
      <c r="B1350" s="9" t="s">
        <v>3</v>
      </c>
      <c r="C1350" t="s">
        <v>4</v>
      </c>
      <c r="D1350" s="9">
        <v>19928</v>
      </c>
      <c r="E1350" s="5" t="s">
        <v>536</v>
      </c>
      <c r="F1350" t="s">
        <v>5</v>
      </c>
      <c r="G1350">
        <v>1727</v>
      </c>
      <c r="H1350">
        <v>791</v>
      </c>
      <c r="I1350" s="8">
        <f t="shared" si="127"/>
        <v>0.45801968731905035</v>
      </c>
      <c r="J1350" s="17">
        <v>0.7</v>
      </c>
      <c r="K1350" s="12">
        <v>13.75</v>
      </c>
      <c r="L1350" s="2">
        <f t="shared" si="124"/>
        <v>417.89999999999986</v>
      </c>
      <c r="M1350" s="15">
        <f t="shared" si="128"/>
        <v>5746.1249999999982</v>
      </c>
      <c r="N1350" t="str">
        <f t="shared" si="125"/>
        <v>SP</v>
      </c>
      <c r="O1350" t="str">
        <f t="shared" si="126"/>
        <v>Americana</v>
      </c>
    </row>
    <row r="1351" spans="1:15" x14ac:dyDescent="0.3">
      <c r="A1351" s="10">
        <v>45839</v>
      </c>
      <c r="B1351" s="9" t="s">
        <v>71</v>
      </c>
      <c r="C1351" t="s">
        <v>163</v>
      </c>
      <c r="D1351" s="9">
        <v>19933</v>
      </c>
      <c r="E1351" s="5" t="s">
        <v>538</v>
      </c>
      <c r="F1351" t="s">
        <v>164</v>
      </c>
      <c r="G1351">
        <v>697</v>
      </c>
      <c r="H1351">
        <v>159</v>
      </c>
      <c r="I1351" s="8">
        <f t="shared" si="127"/>
        <v>0.22812051649928264</v>
      </c>
      <c r="J1351" s="17">
        <v>0.7</v>
      </c>
      <c r="K1351" s="12">
        <v>13.75</v>
      </c>
      <c r="L1351" s="2">
        <f t="shared" si="124"/>
        <v>328.9</v>
      </c>
      <c r="M1351" s="15">
        <f t="shared" si="128"/>
        <v>4522.375</v>
      </c>
      <c r="N1351" t="str">
        <f t="shared" si="125"/>
        <v>RS</v>
      </c>
      <c r="O1351" t="str">
        <f t="shared" si="126"/>
        <v>Passo</v>
      </c>
    </row>
    <row r="1352" spans="1:15" x14ac:dyDescent="0.3">
      <c r="A1352" s="10">
        <v>45839</v>
      </c>
      <c r="B1352" s="9" t="s">
        <v>59</v>
      </c>
      <c r="C1352" t="s">
        <v>343</v>
      </c>
      <c r="D1352" s="9">
        <v>19944</v>
      </c>
      <c r="E1352" s="5" t="s">
        <v>539</v>
      </c>
      <c r="F1352" t="s">
        <v>60</v>
      </c>
      <c r="G1352">
        <v>2423</v>
      </c>
      <c r="H1352">
        <v>909</v>
      </c>
      <c r="I1352" s="8">
        <f t="shared" si="127"/>
        <v>0.3751547668179942</v>
      </c>
      <c r="J1352" s="17">
        <v>0.7</v>
      </c>
      <c r="K1352" s="12">
        <v>13.75</v>
      </c>
      <c r="L1352" s="2">
        <f t="shared" si="124"/>
        <v>787.09999999999991</v>
      </c>
      <c r="M1352" s="15">
        <f t="shared" si="128"/>
        <v>10822.624999999998</v>
      </c>
      <c r="N1352" t="str">
        <f t="shared" si="125"/>
        <v>ES</v>
      </c>
      <c r="O1352" t="str">
        <f t="shared" si="126"/>
        <v>Cachoeira De Itapemirim</v>
      </c>
    </row>
    <row r="1353" spans="1:15" x14ac:dyDescent="0.3">
      <c r="A1353" s="10">
        <v>45839</v>
      </c>
      <c r="B1353" s="9" t="s">
        <v>82</v>
      </c>
      <c r="C1353" t="s">
        <v>83</v>
      </c>
      <c r="D1353" s="9">
        <v>19936</v>
      </c>
      <c r="E1353" s="5" t="s">
        <v>540</v>
      </c>
      <c r="F1353" t="s">
        <v>86</v>
      </c>
      <c r="G1353">
        <v>1801</v>
      </c>
      <c r="H1353">
        <v>508</v>
      </c>
      <c r="I1353" s="8">
        <f t="shared" si="127"/>
        <v>0.28206551915602446</v>
      </c>
      <c r="J1353" s="17">
        <v>0.7</v>
      </c>
      <c r="K1353" s="12">
        <v>13.75</v>
      </c>
      <c r="L1353" s="2">
        <f t="shared" si="124"/>
        <v>752.69999999999982</v>
      </c>
      <c r="M1353" s="15">
        <f t="shared" si="128"/>
        <v>10349.624999999998</v>
      </c>
      <c r="N1353" t="str">
        <f t="shared" si="125"/>
        <v>PR</v>
      </c>
      <c r="O1353" t="str">
        <f t="shared" si="126"/>
        <v>Curitiba</v>
      </c>
    </row>
    <row r="1354" spans="1:15" x14ac:dyDescent="0.3">
      <c r="A1354" s="10">
        <v>45839</v>
      </c>
      <c r="B1354" s="9" t="s">
        <v>21</v>
      </c>
      <c r="C1354" t="s">
        <v>228</v>
      </c>
      <c r="D1354" s="9">
        <v>19931</v>
      </c>
      <c r="E1354" s="5" t="s">
        <v>541</v>
      </c>
      <c r="F1354" t="s">
        <v>233</v>
      </c>
      <c r="G1354">
        <v>2010</v>
      </c>
      <c r="H1354">
        <v>894</v>
      </c>
      <c r="I1354" s="8">
        <f t="shared" si="127"/>
        <v>0.44477611940298506</v>
      </c>
      <c r="J1354" s="17">
        <v>0.7</v>
      </c>
      <c r="K1354" s="12">
        <v>13.75</v>
      </c>
      <c r="L1354" s="2">
        <f t="shared" si="124"/>
        <v>513</v>
      </c>
      <c r="M1354" s="15">
        <f t="shared" si="128"/>
        <v>7053.75</v>
      </c>
      <c r="N1354" t="str">
        <f t="shared" si="125"/>
        <v>BA</v>
      </c>
      <c r="O1354" t="str">
        <f t="shared" si="126"/>
        <v>Salvador</v>
      </c>
    </row>
    <row r="1355" spans="1:15" x14ac:dyDescent="0.3">
      <c r="A1355" s="10">
        <v>45839</v>
      </c>
      <c r="B1355" s="9" t="s">
        <v>14</v>
      </c>
      <c r="C1355" t="s">
        <v>273</v>
      </c>
      <c r="D1355" s="9">
        <v>19937</v>
      </c>
      <c r="E1355" s="5" t="s">
        <v>542</v>
      </c>
      <c r="F1355" t="s">
        <v>274</v>
      </c>
      <c r="G1355">
        <v>1490</v>
      </c>
      <c r="H1355">
        <v>656</v>
      </c>
      <c r="I1355" s="8">
        <f t="shared" si="127"/>
        <v>0.44026845637583895</v>
      </c>
      <c r="J1355" s="17">
        <v>0.7</v>
      </c>
      <c r="K1355" s="12">
        <v>13.75</v>
      </c>
      <c r="L1355" s="2">
        <f t="shared" si="124"/>
        <v>387</v>
      </c>
      <c r="M1355" s="15">
        <f t="shared" si="128"/>
        <v>5321.25</v>
      </c>
      <c r="N1355" t="str">
        <f t="shared" si="125"/>
        <v>MG</v>
      </c>
      <c r="O1355" t="str">
        <f t="shared" si="126"/>
        <v>Sete Lagoas</v>
      </c>
    </row>
    <row r="1356" spans="1:15" x14ac:dyDescent="0.3">
      <c r="A1356" s="10">
        <v>45839</v>
      </c>
      <c r="B1356" s="9" t="s">
        <v>46</v>
      </c>
      <c r="C1356" t="s">
        <v>102</v>
      </c>
      <c r="D1356" s="9">
        <v>19553</v>
      </c>
      <c r="E1356" s="5" t="s">
        <v>543</v>
      </c>
      <c r="F1356" t="s">
        <v>103</v>
      </c>
      <c r="G1356">
        <v>2546</v>
      </c>
      <c r="H1356">
        <v>962</v>
      </c>
      <c r="I1356" s="8">
        <f t="shared" si="127"/>
        <v>0.37784760408483897</v>
      </c>
      <c r="J1356" s="17">
        <v>0.7</v>
      </c>
      <c r="K1356" s="12">
        <v>13.75</v>
      </c>
      <c r="L1356" s="2">
        <f t="shared" si="124"/>
        <v>820.19999999999982</v>
      </c>
      <c r="M1356" s="15">
        <f t="shared" si="128"/>
        <v>11277.749999999998</v>
      </c>
      <c r="N1356" t="str">
        <f t="shared" si="125"/>
        <v>DF</v>
      </c>
      <c r="O1356" t="str">
        <f t="shared" si="126"/>
        <v>Guará</v>
      </c>
    </row>
    <row r="1357" spans="1:15" x14ac:dyDescent="0.3">
      <c r="A1357" s="10">
        <v>45839</v>
      </c>
      <c r="B1357" s="9" t="s">
        <v>140</v>
      </c>
      <c r="C1357" t="s">
        <v>141</v>
      </c>
      <c r="D1357" s="9">
        <v>19940</v>
      </c>
      <c r="E1357" s="5" t="s">
        <v>545</v>
      </c>
      <c r="F1357" t="s">
        <v>142</v>
      </c>
      <c r="G1357">
        <v>2361</v>
      </c>
      <c r="H1357">
        <v>1315</v>
      </c>
      <c r="I1357" s="8">
        <f t="shared" si="127"/>
        <v>0.55696738670055057</v>
      </c>
      <c r="J1357" s="17">
        <v>0.7</v>
      </c>
      <c r="K1357" s="12">
        <v>13.75</v>
      </c>
      <c r="L1357" s="2">
        <f t="shared" si="124"/>
        <v>337.69999999999982</v>
      </c>
      <c r="M1357" s="15">
        <f t="shared" si="128"/>
        <v>4643.3749999999973</v>
      </c>
      <c r="N1357" t="str">
        <f t="shared" si="125"/>
        <v>RN</v>
      </c>
      <c r="O1357" t="str">
        <f t="shared" si="126"/>
        <v>Natal</v>
      </c>
    </row>
    <row r="1358" spans="1:15" x14ac:dyDescent="0.3">
      <c r="A1358" s="10">
        <v>45839</v>
      </c>
      <c r="B1358" s="9" t="s">
        <v>123</v>
      </c>
      <c r="C1358" t="s">
        <v>124</v>
      </c>
      <c r="D1358" s="9">
        <v>19945</v>
      </c>
      <c r="E1358" s="5" t="s">
        <v>546</v>
      </c>
      <c r="F1358" t="s">
        <v>125</v>
      </c>
      <c r="G1358">
        <v>1611</v>
      </c>
      <c r="H1358">
        <v>980</v>
      </c>
      <c r="I1358" s="8">
        <f t="shared" si="127"/>
        <v>0.60831781502172566</v>
      </c>
      <c r="J1358" s="17">
        <v>0.7</v>
      </c>
      <c r="K1358" s="12">
        <v>13.75</v>
      </c>
      <c r="L1358" s="2">
        <f t="shared" si="124"/>
        <v>147.70000000000005</v>
      </c>
      <c r="M1358" s="15">
        <f t="shared" si="128"/>
        <v>2030.8750000000007</v>
      </c>
      <c r="N1358" t="str">
        <f t="shared" si="125"/>
        <v>AP</v>
      </c>
      <c r="O1358" t="str">
        <f t="shared" si="126"/>
        <v>Macapa</v>
      </c>
    </row>
    <row r="1359" spans="1:15" x14ac:dyDescent="0.3">
      <c r="A1359" s="10">
        <v>45839</v>
      </c>
      <c r="B1359" s="9" t="s">
        <v>21</v>
      </c>
      <c r="C1359" t="s">
        <v>228</v>
      </c>
      <c r="D1359" s="9">
        <v>19907</v>
      </c>
      <c r="E1359" s="5" t="s">
        <v>547</v>
      </c>
      <c r="F1359" t="s">
        <v>234</v>
      </c>
      <c r="G1359">
        <v>1478</v>
      </c>
      <c r="H1359">
        <v>555</v>
      </c>
      <c r="I1359" s="8">
        <f t="shared" si="127"/>
        <v>0.37550744248985113</v>
      </c>
      <c r="J1359" s="17">
        <v>0.7</v>
      </c>
      <c r="K1359" s="12">
        <v>13.75</v>
      </c>
      <c r="L1359" s="2">
        <f t="shared" si="124"/>
        <v>479.60000000000014</v>
      </c>
      <c r="M1359" s="15">
        <f t="shared" si="128"/>
        <v>6594.5000000000018</v>
      </c>
      <c r="N1359" t="str">
        <f t="shared" si="125"/>
        <v>BA</v>
      </c>
      <c r="O1359" t="str">
        <f t="shared" si="126"/>
        <v>Salvador</v>
      </c>
    </row>
    <row r="1360" spans="1:15" x14ac:dyDescent="0.3">
      <c r="A1360" s="10">
        <v>45839</v>
      </c>
      <c r="B1360" s="9" t="s">
        <v>15</v>
      </c>
      <c r="C1360" t="s">
        <v>145</v>
      </c>
      <c r="D1360" s="9">
        <v>19538</v>
      </c>
      <c r="E1360" s="5" t="s">
        <v>548</v>
      </c>
      <c r="F1360" t="s">
        <v>146</v>
      </c>
      <c r="G1360">
        <v>2908</v>
      </c>
      <c r="H1360">
        <v>1189</v>
      </c>
      <c r="I1360" s="8">
        <f t="shared" si="127"/>
        <v>0.40887207702888584</v>
      </c>
      <c r="J1360" s="17">
        <v>0.7</v>
      </c>
      <c r="K1360" s="12">
        <v>13.75</v>
      </c>
      <c r="L1360" s="2">
        <f t="shared" si="124"/>
        <v>846.59999999999991</v>
      </c>
      <c r="M1360" s="15">
        <f t="shared" si="128"/>
        <v>11640.749999999998</v>
      </c>
      <c r="N1360" t="str">
        <f t="shared" si="125"/>
        <v>RJ</v>
      </c>
      <c r="O1360" t="str">
        <f t="shared" si="126"/>
        <v>Niterói</v>
      </c>
    </row>
    <row r="1361" spans="1:15" x14ac:dyDescent="0.3">
      <c r="A1361" s="10">
        <v>45839</v>
      </c>
      <c r="B1361" s="9" t="s">
        <v>71</v>
      </c>
      <c r="C1361" t="s">
        <v>175</v>
      </c>
      <c r="D1361" s="9">
        <v>19947</v>
      </c>
      <c r="E1361" s="5" t="s">
        <v>550</v>
      </c>
      <c r="F1361" t="s">
        <v>180</v>
      </c>
      <c r="G1361">
        <v>3184</v>
      </c>
      <c r="H1361">
        <v>940</v>
      </c>
      <c r="I1361" s="8">
        <f t="shared" si="127"/>
        <v>0.29522613065326631</v>
      </c>
      <c r="J1361" s="17">
        <v>0.7</v>
      </c>
      <c r="K1361" s="12">
        <v>13.75</v>
      </c>
      <c r="L1361" s="2">
        <f t="shared" si="124"/>
        <v>1288.8000000000002</v>
      </c>
      <c r="M1361" s="15">
        <f t="shared" si="128"/>
        <v>17721.000000000004</v>
      </c>
      <c r="N1361" t="str">
        <f t="shared" si="125"/>
        <v>RS</v>
      </c>
      <c r="O1361" t="str">
        <f t="shared" si="126"/>
        <v>Porto Alegre</v>
      </c>
    </row>
    <row r="1362" spans="1:15" x14ac:dyDescent="0.3">
      <c r="A1362" s="10">
        <v>45839</v>
      </c>
      <c r="B1362" s="9" t="s">
        <v>14</v>
      </c>
      <c r="C1362" t="s">
        <v>114</v>
      </c>
      <c r="D1362" s="9">
        <v>19943</v>
      </c>
      <c r="E1362" s="5" t="s">
        <v>551</v>
      </c>
      <c r="F1362" t="s">
        <v>115</v>
      </c>
      <c r="G1362">
        <v>1195</v>
      </c>
      <c r="H1362">
        <v>438</v>
      </c>
      <c r="I1362" s="8">
        <f t="shared" si="127"/>
        <v>0.36652719665271966</v>
      </c>
      <c r="J1362" s="17">
        <v>0.7</v>
      </c>
      <c r="K1362" s="12">
        <v>13.75</v>
      </c>
      <c r="L1362" s="2">
        <f t="shared" si="124"/>
        <v>398.49999999999989</v>
      </c>
      <c r="M1362" s="15">
        <f t="shared" si="128"/>
        <v>5479.3749999999982</v>
      </c>
      <c r="N1362" t="str">
        <f t="shared" si="125"/>
        <v>MG</v>
      </c>
      <c r="O1362" t="str">
        <f t="shared" si="126"/>
        <v>Ituiutaba</v>
      </c>
    </row>
    <row r="1363" spans="1:15" x14ac:dyDescent="0.3">
      <c r="A1363" s="10">
        <v>45839</v>
      </c>
      <c r="B1363" s="9" t="s">
        <v>244</v>
      </c>
      <c r="C1363" t="s">
        <v>245</v>
      </c>
      <c r="D1363" s="9">
        <v>19617</v>
      </c>
      <c r="E1363" s="5" t="s">
        <v>552</v>
      </c>
      <c r="F1363" t="s">
        <v>246</v>
      </c>
      <c r="G1363">
        <v>3838</v>
      </c>
      <c r="H1363">
        <v>1615</v>
      </c>
      <c r="I1363" s="8">
        <f t="shared" si="127"/>
        <v>0.42079207920792078</v>
      </c>
      <c r="J1363" s="17">
        <v>0.7</v>
      </c>
      <c r="K1363" s="12">
        <v>13.75</v>
      </c>
      <c r="L1363" s="2">
        <f t="shared" si="124"/>
        <v>1071.5999999999999</v>
      </c>
      <c r="M1363" s="15">
        <f t="shared" si="128"/>
        <v>14734.499999999998</v>
      </c>
      <c r="N1363" t="str">
        <f t="shared" si="125"/>
        <v>MA</v>
      </c>
      <c r="O1363" t="str">
        <f t="shared" si="126"/>
        <v>São Luís</v>
      </c>
    </row>
    <row r="1364" spans="1:15" x14ac:dyDescent="0.3">
      <c r="A1364" s="10">
        <v>45839</v>
      </c>
      <c r="B1364" s="9" t="s">
        <v>244</v>
      </c>
      <c r="C1364" t="s">
        <v>245</v>
      </c>
      <c r="D1364" s="9">
        <v>19595</v>
      </c>
      <c r="E1364" s="5" t="s">
        <v>553</v>
      </c>
      <c r="F1364" t="s">
        <v>247</v>
      </c>
      <c r="G1364">
        <v>3945</v>
      </c>
      <c r="H1364">
        <v>1800</v>
      </c>
      <c r="I1364" s="8">
        <f t="shared" si="127"/>
        <v>0.45627376425855515</v>
      </c>
      <c r="J1364" s="17">
        <v>0.7</v>
      </c>
      <c r="K1364" s="12">
        <v>13.75</v>
      </c>
      <c r="L1364" s="2">
        <f t="shared" si="124"/>
        <v>961.5</v>
      </c>
      <c r="M1364" s="15">
        <f t="shared" si="128"/>
        <v>13220.625</v>
      </c>
      <c r="N1364" t="str">
        <f t="shared" si="125"/>
        <v>MA</v>
      </c>
      <c r="O1364" t="str">
        <f t="shared" si="126"/>
        <v>São Luís</v>
      </c>
    </row>
    <row r="1365" spans="1:15" x14ac:dyDescent="0.3">
      <c r="A1365" s="10">
        <v>45839</v>
      </c>
      <c r="B1365" s="9" t="s">
        <v>14</v>
      </c>
      <c r="C1365" t="s">
        <v>283</v>
      </c>
      <c r="D1365" s="9">
        <v>19912</v>
      </c>
      <c r="E1365" s="5" t="s">
        <v>554</v>
      </c>
      <c r="F1365" t="s">
        <v>284</v>
      </c>
      <c r="G1365">
        <v>939</v>
      </c>
      <c r="H1365">
        <v>416</v>
      </c>
      <c r="I1365" s="8">
        <f t="shared" si="127"/>
        <v>0.44302449414270501</v>
      </c>
      <c r="J1365" s="17">
        <v>0.7</v>
      </c>
      <c r="K1365" s="12">
        <v>13.75</v>
      </c>
      <c r="L1365" s="2">
        <f t="shared" si="124"/>
        <v>241.29999999999995</v>
      </c>
      <c r="M1365" s="15">
        <f t="shared" si="128"/>
        <v>3317.8749999999995</v>
      </c>
      <c r="N1365" t="str">
        <f t="shared" si="125"/>
        <v>MG</v>
      </c>
      <c r="O1365" t="str">
        <f t="shared" si="126"/>
        <v>Uberaba</v>
      </c>
    </row>
    <row r="1366" spans="1:15" x14ac:dyDescent="0.3">
      <c r="A1366" s="10">
        <v>45839</v>
      </c>
      <c r="B1366" s="9" t="s">
        <v>3</v>
      </c>
      <c r="C1366" t="s">
        <v>10</v>
      </c>
      <c r="D1366" s="9">
        <v>19948</v>
      </c>
      <c r="E1366" s="5" t="s">
        <v>555</v>
      </c>
      <c r="F1366" t="s">
        <v>11</v>
      </c>
      <c r="G1366">
        <v>1194</v>
      </c>
      <c r="H1366">
        <v>399</v>
      </c>
      <c r="I1366" s="8">
        <f t="shared" si="127"/>
        <v>0.33417085427135679</v>
      </c>
      <c r="J1366" s="17">
        <v>0.7</v>
      </c>
      <c r="K1366" s="12">
        <v>13.75</v>
      </c>
      <c r="L1366" s="2">
        <f t="shared" si="124"/>
        <v>436.79999999999984</v>
      </c>
      <c r="M1366" s="15">
        <f t="shared" si="128"/>
        <v>6005.9999999999982</v>
      </c>
      <c r="N1366" t="str">
        <f t="shared" si="125"/>
        <v>SP</v>
      </c>
      <c r="O1366" t="str">
        <f t="shared" si="126"/>
        <v>Araraquara</v>
      </c>
    </row>
    <row r="1367" spans="1:15" x14ac:dyDescent="0.3">
      <c r="A1367" s="10">
        <v>45839</v>
      </c>
      <c r="B1367" s="9" t="s">
        <v>74</v>
      </c>
      <c r="C1367" t="s">
        <v>75</v>
      </c>
      <c r="D1367" s="9">
        <v>19798</v>
      </c>
      <c r="E1367" s="5" t="s">
        <v>556</v>
      </c>
      <c r="F1367" t="s">
        <v>76</v>
      </c>
      <c r="G1367">
        <v>3371</v>
      </c>
      <c r="H1367">
        <v>1437</v>
      </c>
      <c r="I1367" s="8">
        <f t="shared" si="127"/>
        <v>0.42628300207653513</v>
      </c>
      <c r="J1367" s="17">
        <v>0.7</v>
      </c>
      <c r="K1367" s="12">
        <v>13.75</v>
      </c>
      <c r="L1367" s="2">
        <f t="shared" si="124"/>
        <v>922.70000000000027</v>
      </c>
      <c r="M1367" s="15">
        <f t="shared" si="128"/>
        <v>12687.125000000004</v>
      </c>
      <c r="N1367" t="str">
        <f t="shared" si="125"/>
        <v>PE</v>
      </c>
      <c r="O1367" t="str">
        <f t="shared" si="126"/>
        <v>Caruaru</v>
      </c>
    </row>
    <row r="1368" spans="1:15" x14ac:dyDescent="0.3">
      <c r="A1368" s="10">
        <v>45839</v>
      </c>
      <c r="B1368" s="9" t="s">
        <v>15</v>
      </c>
      <c r="C1368" t="s">
        <v>19</v>
      </c>
      <c r="D1368" s="9">
        <v>19694</v>
      </c>
      <c r="E1368" s="5" t="s">
        <v>557</v>
      </c>
      <c r="F1368" t="s">
        <v>20</v>
      </c>
      <c r="G1368">
        <v>2119</v>
      </c>
      <c r="H1368">
        <v>991</v>
      </c>
      <c r="I1368" s="8">
        <f t="shared" si="127"/>
        <v>0.4676734308636149</v>
      </c>
      <c r="J1368" s="17">
        <v>0.7</v>
      </c>
      <c r="K1368" s="12">
        <v>13.75</v>
      </c>
      <c r="L1368" s="2">
        <f t="shared" si="124"/>
        <v>492.29999999999995</v>
      </c>
      <c r="M1368" s="15">
        <f t="shared" si="128"/>
        <v>6769.1249999999991</v>
      </c>
      <c r="N1368" t="str">
        <f t="shared" si="125"/>
        <v>RJ</v>
      </c>
      <c r="O1368" t="str">
        <f t="shared" si="126"/>
        <v>Barra Mansa</v>
      </c>
    </row>
    <row r="1369" spans="1:15" x14ac:dyDescent="0.3">
      <c r="A1369" s="10">
        <v>45839</v>
      </c>
      <c r="B1369" s="9" t="s">
        <v>14</v>
      </c>
      <c r="C1369" t="s">
        <v>112</v>
      </c>
      <c r="D1369" s="9">
        <v>19951</v>
      </c>
      <c r="E1369" s="5" t="s">
        <v>558</v>
      </c>
      <c r="F1369" t="s">
        <v>113</v>
      </c>
      <c r="G1369">
        <v>2234</v>
      </c>
      <c r="H1369">
        <v>751</v>
      </c>
      <c r="I1369" s="8">
        <f t="shared" si="127"/>
        <v>0.33616830796777081</v>
      </c>
      <c r="J1369" s="17">
        <v>0.7</v>
      </c>
      <c r="K1369" s="12">
        <v>13.75</v>
      </c>
      <c r="L1369" s="2">
        <f t="shared" si="124"/>
        <v>812.79999999999973</v>
      </c>
      <c r="M1369" s="15">
        <f t="shared" si="128"/>
        <v>11175.999999999996</v>
      </c>
      <c r="N1369" t="str">
        <f t="shared" si="125"/>
        <v>MG</v>
      </c>
      <c r="O1369" t="str">
        <f t="shared" si="126"/>
        <v>Ipatinga</v>
      </c>
    </row>
    <row r="1370" spans="1:15" x14ac:dyDescent="0.3">
      <c r="A1370" s="10">
        <v>45839</v>
      </c>
      <c r="B1370" s="9" t="s">
        <v>160</v>
      </c>
      <c r="C1370" t="s">
        <v>161</v>
      </c>
      <c r="D1370" s="9">
        <v>19954</v>
      </c>
      <c r="E1370" s="5" t="s">
        <v>559</v>
      </c>
      <c r="F1370" t="s">
        <v>162</v>
      </c>
      <c r="G1370">
        <v>1102</v>
      </c>
      <c r="H1370">
        <v>673</v>
      </c>
      <c r="I1370" s="8">
        <f t="shared" si="127"/>
        <v>0.61070780399274049</v>
      </c>
      <c r="J1370" s="17">
        <v>0.7</v>
      </c>
      <c r="K1370" s="12">
        <v>13.75</v>
      </c>
      <c r="L1370" s="2">
        <f t="shared" si="124"/>
        <v>98.399999999999864</v>
      </c>
      <c r="M1370" s="15">
        <f t="shared" si="128"/>
        <v>1352.9999999999982</v>
      </c>
      <c r="N1370" t="str">
        <f t="shared" si="125"/>
        <v>PI</v>
      </c>
      <c r="O1370" t="str">
        <f t="shared" si="126"/>
        <v>Parnaíba</v>
      </c>
    </row>
    <row r="1371" spans="1:15" x14ac:dyDescent="0.3">
      <c r="A1371" s="10">
        <v>45839</v>
      </c>
      <c r="B1371" s="9" t="s">
        <v>14</v>
      </c>
      <c r="C1371" t="s">
        <v>351</v>
      </c>
      <c r="D1371" s="9">
        <v>19615</v>
      </c>
      <c r="E1371" s="5" t="s">
        <v>560</v>
      </c>
      <c r="F1371" t="s">
        <v>117</v>
      </c>
      <c r="G1371">
        <v>2706</v>
      </c>
      <c r="H1371">
        <v>936</v>
      </c>
      <c r="I1371" s="8">
        <f t="shared" si="127"/>
        <v>0.34589800443458979</v>
      </c>
      <c r="J1371" s="17">
        <v>0.7</v>
      </c>
      <c r="K1371" s="12">
        <v>13.75</v>
      </c>
      <c r="L1371" s="2">
        <f t="shared" si="124"/>
        <v>958.19999999999982</v>
      </c>
      <c r="M1371" s="15">
        <f t="shared" si="128"/>
        <v>13175.249999999998</v>
      </c>
      <c r="N1371" t="str">
        <f t="shared" si="125"/>
        <v>MG</v>
      </c>
      <c r="O1371" t="str">
        <f t="shared" si="126"/>
        <v>Juiz De Fora</v>
      </c>
    </row>
    <row r="1372" spans="1:15" x14ac:dyDescent="0.3">
      <c r="A1372" s="10">
        <v>45839</v>
      </c>
      <c r="B1372" s="9" t="s">
        <v>46</v>
      </c>
      <c r="C1372" t="s">
        <v>47</v>
      </c>
      <c r="D1372" s="9">
        <v>19647</v>
      </c>
      <c r="E1372" s="5" t="s">
        <v>561</v>
      </c>
      <c r="F1372" t="s">
        <v>55</v>
      </c>
      <c r="G1372">
        <v>2166</v>
      </c>
      <c r="H1372">
        <v>554</v>
      </c>
      <c r="I1372" s="8">
        <f t="shared" si="127"/>
        <v>0.25577100646352724</v>
      </c>
      <c r="J1372" s="17">
        <v>0.7</v>
      </c>
      <c r="K1372" s="12">
        <v>13.75</v>
      </c>
      <c r="L1372" s="2">
        <f t="shared" si="124"/>
        <v>962.19999999999982</v>
      </c>
      <c r="M1372" s="15">
        <f t="shared" si="128"/>
        <v>13230.249999999998</v>
      </c>
      <c r="N1372" t="str">
        <f t="shared" si="125"/>
        <v>DF</v>
      </c>
      <c r="O1372" t="str">
        <f t="shared" si="126"/>
        <v>Brasília</v>
      </c>
    </row>
    <row r="1373" spans="1:15" x14ac:dyDescent="0.3">
      <c r="A1373" s="10">
        <v>45839</v>
      </c>
      <c r="B1373" s="9" t="s">
        <v>46</v>
      </c>
      <c r="C1373" t="s">
        <v>47</v>
      </c>
      <c r="D1373" s="9">
        <v>19898</v>
      </c>
      <c r="E1373" s="5" t="s">
        <v>562</v>
      </c>
      <c r="F1373" t="s">
        <v>56</v>
      </c>
      <c r="G1373">
        <v>1483</v>
      </c>
      <c r="H1373">
        <v>454</v>
      </c>
      <c r="I1373" s="8">
        <f t="shared" si="127"/>
        <v>0.30613621038435601</v>
      </c>
      <c r="J1373" s="17">
        <v>0.7</v>
      </c>
      <c r="K1373" s="12">
        <v>13.75</v>
      </c>
      <c r="L1373" s="2">
        <f t="shared" si="124"/>
        <v>584.09999999999991</v>
      </c>
      <c r="M1373" s="15">
        <f t="shared" si="128"/>
        <v>8031.3749999999991</v>
      </c>
      <c r="N1373" t="str">
        <f t="shared" si="125"/>
        <v>DF</v>
      </c>
      <c r="O1373" t="str">
        <f t="shared" si="126"/>
        <v>Brasília</v>
      </c>
    </row>
    <row r="1374" spans="1:15" x14ac:dyDescent="0.3">
      <c r="A1374" s="10">
        <v>45839</v>
      </c>
      <c r="B1374" s="9" t="s">
        <v>3</v>
      </c>
      <c r="C1374" t="s">
        <v>64</v>
      </c>
      <c r="D1374" s="9">
        <v>19616</v>
      </c>
      <c r="E1374" s="5" t="s">
        <v>563</v>
      </c>
      <c r="F1374" t="s">
        <v>66</v>
      </c>
      <c r="G1374">
        <v>4025</v>
      </c>
      <c r="H1374">
        <v>1380</v>
      </c>
      <c r="I1374" s="8">
        <f t="shared" si="127"/>
        <v>0.34285714285714286</v>
      </c>
      <c r="J1374" s="17">
        <v>0.7</v>
      </c>
      <c r="K1374" s="12">
        <v>13.75</v>
      </c>
      <c r="L1374" s="2">
        <f t="shared" ref="L1374:L1405" si="129">H1374*J1374/I1374-H1374</f>
        <v>1437.4999999999995</v>
      </c>
      <c r="M1374" s="15">
        <f t="shared" si="128"/>
        <v>19765.624999999993</v>
      </c>
      <c r="N1374" t="str">
        <f t="shared" si="125"/>
        <v>SP</v>
      </c>
      <c r="O1374" t="str">
        <f t="shared" si="126"/>
        <v>Campinas</v>
      </c>
    </row>
    <row r="1375" spans="1:15" x14ac:dyDescent="0.3">
      <c r="A1375" s="10">
        <v>45839</v>
      </c>
      <c r="B1375" s="9" t="s">
        <v>3</v>
      </c>
      <c r="C1375" t="s">
        <v>64</v>
      </c>
      <c r="D1375" s="9">
        <v>19688</v>
      </c>
      <c r="E1375" s="5" t="s">
        <v>564</v>
      </c>
      <c r="F1375" t="s">
        <v>67</v>
      </c>
      <c r="G1375">
        <v>2043</v>
      </c>
      <c r="H1375">
        <v>613</v>
      </c>
      <c r="I1375" s="8">
        <f t="shared" si="127"/>
        <v>0.30004894762604012</v>
      </c>
      <c r="J1375" s="17">
        <v>0.7</v>
      </c>
      <c r="K1375" s="12">
        <v>13.75</v>
      </c>
      <c r="L1375" s="2">
        <f t="shared" si="129"/>
        <v>817.09999999999991</v>
      </c>
      <c r="M1375" s="15">
        <f t="shared" si="128"/>
        <v>11235.124999999998</v>
      </c>
      <c r="N1375" t="str">
        <f t="shared" si="125"/>
        <v>SP</v>
      </c>
      <c r="O1375" t="str">
        <f t="shared" si="126"/>
        <v>Campinas</v>
      </c>
    </row>
    <row r="1376" spans="1:15" x14ac:dyDescent="0.3">
      <c r="A1376" s="10">
        <v>45839</v>
      </c>
      <c r="B1376" s="9" t="s">
        <v>3</v>
      </c>
      <c r="C1376" t="s">
        <v>248</v>
      </c>
      <c r="D1376" s="9">
        <v>19863</v>
      </c>
      <c r="E1376" s="5" t="s">
        <v>566</v>
      </c>
      <c r="F1376" t="s">
        <v>268</v>
      </c>
      <c r="G1376">
        <v>2670</v>
      </c>
      <c r="H1376">
        <v>815</v>
      </c>
      <c r="I1376" s="8">
        <f t="shared" si="127"/>
        <v>0.30524344569288392</v>
      </c>
      <c r="J1376" s="17">
        <v>0.7</v>
      </c>
      <c r="K1376" s="12">
        <v>13.75</v>
      </c>
      <c r="L1376" s="2">
        <f t="shared" si="129"/>
        <v>1053.9999999999998</v>
      </c>
      <c r="M1376" s="15">
        <f t="shared" si="128"/>
        <v>14492.499999999996</v>
      </c>
      <c r="N1376" t="str">
        <f t="shared" si="125"/>
        <v>SP</v>
      </c>
      <c r="O1376" t="str">
        <f t="shared" si="126"/>
        <v>São Paulo</v>
      </c>
    </row>
    <row r="1377" spans="1:15" x14ac:dyDescent="0.3">
      <c r="A1377" s="10">
        <v>45839</v>
      </c>
      <c r="B1377" s="9" t="s">
        <v>3</v>
      </c>
      <c r="C1377" t="s">
        <v>248</v>
      </c>
      <c r="D1377" s="9">
        <v>19817</v>
      </c>
      <c r="E1377" s="5" t="s">
        <v>567</v>
      </c>
      <c r="F1377" t="s">
        <v>269</v>
      </c>
      <c r="G1377">
        <v>1470</v>
      </c>
      <c r="H1377">
        <v>508</v>
      </c>
      <c r="I1377" s="8">
        <f t="shared" si="127"/>
        <v>0.34557823129251702</v>
      </c>
      <c r="J1377" s="17">
        <v>0.7</v>
      </c>
      <c r="K1377" s="12">
        <v>13.75</v>
      </c>
      <c r="L1377" s="2">
        <f t="shared" si="129"/>
        <v>520.99999999999977</v>
      </c>
      <c r="M1377" s="15">
        <f t="shared" si="128"/>
        <v>7163.7499999999973</v>
      </c>
      <c r="N1377" t="str">
        <f t="shared" si="125"/>
        <v>SP</v>
      </c>
      <c r="O1377" t="str">
        <f t="shared" si="126"/>
        <v>São Paulo</v>
      </c>
    </row>
    <row r="1378" spans="1:15" x14ac:dyDescent="0.3">
      <c r="A1378" s="10">
        <v>45839</v>
      </c>
      <c r="B1378" s="9" t="s">
        <v>3</v>
      </c>
      <c r="C1378" t="s">
        <v>248</v>
      </c>
      <c r="D1378" s="9">
        <v>19866</v>
      </c>
      <c r="E1378" s="5" t="s">
        <v>568</v>
      </c>
      <c r="F1378" t="s">
        <v>270</v>
      </c>
      <c r="G1378">
        <v>1749</v>
      </c>
      <c r="H1378">
        <v>548</v>
      </c>
      <c r="I1378" s="8">
        <f t="shared" si="127"/>
        <v>0.31332189822755863</v>
      </c>
      <c r="J1378" s="17">
        <v>0.7</v>
      </c>
      <c r="K1378" s="12">
        <v>13.75</v>
      </c>
      <c r="L1378" s="2">
        <f t="shared" si="129"/>
        <v>676.29999999999973</v>
      </c>
      <c r="M1378" s="15">
        <f t="shared" si="128"/>
        <v>9299.1249999999964</v>
      </c>
      <c r="N1378" t="str">
        <f t="shared" si="125"/>
        <v>SP</v>
      </c>
      <c r="O1378" t="str">
        <f t="shared" si="126"/>
        <v>São Paulo</v>
      </c>
    </row>
    <row r="1379" spans="1:15" x14ac:dyDescent="0.3">
      <c r="A1379" s="10">
        <v>45839</v>
      </c>
      <c r="B1379" s="9" t="s">
        <v>15</v>
      </c>
      <c r="C1379" t="s">
        <v>171</v>
      </c>
      <c r="D1379" s="9">
        <v>19520</v>
      </c>
      <c r="E1379" s="5" t="s">
        <v>569</v>
      </c>
      <c r="F1379" t="s">
        <v>172</v>
      </c>
      <c r="G1379">
        <v>1403</v>
      </c>
      <c r="H1379">
        <v>674</v>
      </c>
      <c r="I1379" s="8">
        <f t="shared" si="127"/>
        <v>0.4803991446899501</v>
      </c>
      <c r="J1379" s="17">
        <v>0.7</v>
      </c>
      <c r="K1379" s="12">
        <v>13.75</v>
      </c>
      <c r="L1379" s="2">
        <f t="shared" si="129"/>
        <v>308.09999999999991</v>
      </c>
      <c r="M1379" s="15">
        <f t="shared" si="128"/>
        <v>4236.3749999999991</v>
      </c>
      <c r="N1379" t="str">
        <f t="shared" si="125"/>
        <v>RJ</v>
      </c>
      <c r="O1379" t="str">
        <f t="shared" si="126"/>
        <v>Petrópolis</v>
      </c>
    </row>
    <row r="1380" spans="1:15" x14ac:dyDescent="0.3">
      <c r="A1380" s="10">
        <v>45839</v>
      </c>
      <c r="B1380" s="9" t="s">
        <v>68</v>
      </c>
      <c r="C1380" t="s">
        <v>69</v>
      </c>
      <c r="D1380" s="9">
        <v>19602</v>
      </c>
      <c r="E1380" s="5" t="s">
        <v>570</v>
      </c>
      <c r="F1380" t="s">
        <v>70</v>
      </c>
      <c r="G1380">
        <v>538</v>
      </c>
      <c r="H1380">
        <v>107</v>
      </c>
      <c r="I1380" s="8">
        <f t="shared" si="127"/>
        <v>0.19888475836431227</v>
      </c>
      <c r="J1380" s="17">
        <v>0.7</v>
      </c>
      <c r="K1380" s="12">
        <v>13.75</v>
      </c>
      <c r="L1380" s="2">
        <f t="shared" si="129"/>
        <v>269.59999999999997</v>
      </c>
      <c r="M1380" s="15">
        <f t="shared" si="128"/>
        <v>3706.9999999999995</v>
      </c>
      <c r="N1380" t="str">
        <f t="shared" si="125"/>
        <v>MS</v>
      </c>
      <c r="O1380" t="str">
        <f t="shared" si="126"/>
        <v>Campo Grande</v>
      </c>
    </row>
    <row r="1381" spans="1:15" x14ac:dyDescent="0.3">
      <c r="A1381" s="10">
        <v>45839</v>
      </c>
      <c r="B1381" s="9" t="s">
        <v>15</v>
      </c>
      <c r="C1381" t="s">
        <v>332</v>
      </c>
      <c r="D1381" s="9">
        <v>19679</v>
      </c>
      <c r="E1381" s="5" t="s">
        <v>571</v>
      </c>
      <c r="F1381" t="s">
        <v>333</v>
      </c>
      <c r="G1381">
        <v>2263</v>
      </c>
      <c r="H1381">
        <v>1027</v>
      </c>
      <c r="I1381" s="8">
        <f t="shared" si="127"/>
        <v>0.4538223596995139</v>
      </c>
      <c r="J1381" s="17">
        <v>0.7</v>
      </c>
      <c r="K1381" s="12">
        <v>13.75</v>
      </c>
      <c r="L1381" s="2">
        <f t="shared" si="129"/>
        <v>557.09999999999991</v>
      </c>
      <c r="M1381" s="15">
        <f t="shared" si="128"/>
        <v>7660.1249999999991</v>
      </c>
      <c r="N1381" t="str">
        <f t="shared" si="125"/>
        <v>RJ</v>
      </c>
      <c r="O1381" t="str">
        <f t="shared" si="126"/>
        <v>Macaé</v>
      </c>
    </row>
    <row r="1382" spans="1:15" x14ac:dyDescent="0.3">
      <c r="A1382" s="10">
        <v>45839</v>
      </c>
      <c r="B1382" s="9" t="s">
        <v>59</v>
      </c>
      <c r="C1382" t="s">
        <v>104</v>
      </c>
      <c r="D1382" s="9">
        <v>19872</v>
      </c>
      <c r="E1382" s="5" t="s">
        <v>572</v>
      </c>
      <c r="F1382" t="s">
        <v>105</v>
      </c>
      <c r="G1382">
        <v>2737</v>
      </c>
      <c r="H1382">
        <v>1267</v>
      </c>
      <c r="I1382" s="8">
        <f t="shared" si="127"/>
        <v>0.46291560102301788</v>
      </c>
      <c r="J1382" s="17">
        <v>0.7</v>
      </c>
      <c r="K1382" s="12">
        <v>13.75</v>
      </c>
      <c r="L1382" s="2">
        <f t="shared" si="129"/>
        <v>648.90000000000009</v>
      </c>
      <c r="M1382" s="15">
        <f t="shared" si="128"/>
        <v>8922.3750000000018</v>
      </c>
      <c r="N1382" t="str">
        <f t="shared" si="125"/>
        <v>ES</v>
      </c>
      <c r="O1382" t="str">
        <f t="shared" si="126"/>
        <v>Guarapari</v>
      </c>
    </row>
    <row r="1383" spans="1:15" x14ac:dyDescent="0.3">
      <c r="A1383" s="10">
        <v>45839</v>
      </c>
      <c r="B1383" s="9" t="s">
        <v>82</v>
      </c>
      <c r="C1383" t="s">
        <v>83</v>
      </c>
      <c r="D1383" s="9">
        <v>19547</v>
      </c>
      <c r="E1383" s="5" t="s">
        <v>573</v>
      </c>
      <c r="F1383" t="s">
        <v>87</v>
      </c>
      <c r="G1383">
        <v>2635</v>
      </c>
      <c r="H1383">
        <v>704</v>
      </c>
      <c r="I1383" s="8">
        <f t="shared" si="127"/>
        <v>0.26717267552182161</v>
      </c>
      <c r="J1383" s="17">
        <v>0.7</v>
      </c>
      <c r="K1383" s="12">
        <v>13.75</v>
      </c>
      <c r="L1383" s="2">
        <f t="shared" si="129"/>
        <v>1140.5</v>
      </c>
      <c r="M1383" s="15">
        <f t="shared" si="128"/>
        <v>15681.875</v>
      </c>
      <c r="N1383" t="str">
        <f t="shared" si="125"/>
        <v>PR</v>
      </c>
      <c r="O1383" t="str">
        <f t="shared" si="126"/>
        <v>Curitiba</v>
      </c>
    </row>
    <row r="1384" spans="1:15" x14ac:dyDescent="0.3">
      <c r="A1384" s="10">
        <v>45839</v>
      </c>
      <c r="B1384" s="9" t="s">
        <v>15</v>
      </c>
      <c r="C1384" t="s">
        <v>145</v>
      </c>
      <c r="D1384" s="9">
        <v>19513</v>
      </c>
      <c r="E1384" s="5" t="s">
        <v>574</v>
      </c>
      <c r="F1384" t="s">
        <v>147</v>
      </c>
      <c r="G1384">
        <v>2920</v>
      </c>
      <c r="H1384">
        <v>925</v>
      </c>
      <c r="I1384" s="8">
        <f t="shared" si="127"/>
        <v>0.31678082191780821</v>
      </c>
      <c r="J1384" s="17">
        <v>0.7</v>
      </c>
      <c r="K1384" s="12">
        <v>13.75</v>
      </c>
      <c r="L1384" s="2">
        <f t="shared" si="129"/>
        <v>1119</v>
      </c>
      <c r="M1384" s="15">
        <f t="shared" si="128"/>
        <v>15386.25</v>
      </c>
      <c r="N1384" t="str">
        <f t="shared" si="125"/>
        <v>RJ</v>
      </c>
      <c r="O1384" t="str">
        <f t="shared" si="126"/>
        <v>Niterói</v>
      </c>
    </row>
    <row r="1385" spans="1:15" x14ac:dyDescent="0.3">
      <c r="A1385" s="10">
        <v>45839</v>
      </c>
      <c r="B1385" s="9" t="s">
        <v>15</v>
      </c>
      <c r="C1385" t="s">
        <v>145</v>
      </c>
      <c r="D1385" s="9">
        <v>19525</v>
      </c>
      <c r="E1385" s="5" t="s">
        <v>575</v>
      </c>
      <c r="F1385" t="s">
        <v>148</v>
      </c>
      <c r="G1385">
        <v>3710</v>
      </c>
      <c r="H1385">
        <v>1327</v>
      </c>
      <c r="I1385" s="8">
        <f t="shared" si="127"/>
        <v>0.35768194070080861</v>
      </c>
      <c r="J1385" s="17">
        <v>0.7</v>
      </c>
      <c r="K1385" s="12">
        <v>13.75</v>
      </c>
      <c r="L1385" s="2">
        <f t="shared" si="129"/>
        <v>1270</v>
      </c>
      <c r="M1385" s="15">
        <f t="shared" si="128"/>
        <v>17462.5</v>
      </c>
      <c r="N1385" t="str">
        <f t="shared" si="125"/>
        <v>RJ</v>
      </c>
      <c r="O1385" t="str">
        <f t="shared" si="126"/>
        <v>Niterói</v>
      </c>
    </row>
    <row r="1386" spans="1:15" x14ac:dyDescent="0.3">
      <c r="A1386" s="10">
        <v>45839</v>
      </c>
      <c r="B1386" s="9" t="s">
        <v>21</v>
      </c>
      <c r="C1386" t="s">
        <v>228</v>
      </c>
      <c r="D1386" s="9">
        <v>19771</v>
      </c>
      <c r="E1386" s="5" t="s">
        <v>576</v>
      </c>
      <c r="F1386" t="s">
        <v>235</v>
      </c>
      <c r="G1386">
        <v>2133</v>
      </c>
      <c r="H1386">
        <v>790</v>
      </c>
      <c r="I1386" s="8">
        <f t="shared" si="127"/>
        <v>0.37037037037037035</v>
      </c>
      <c r="J1386" s="17">
        <v>0.7</v>
      </c>
      <c r="K1386" s="12">
        <v>13.75</v>
      </c>
      <c r="L1386" s="2">
        <f t="shared" si="129"/>
        <v>703.10000000000014</v>
      </c>
      <c r="M1386" s="15">
        <f t="shared" si="128"/>
        <v>9667.6250000000018</v>
      </c>
      <c r="N1386" t="str">
        <f t="shared" si="125"/>
        <v>BA</v>
      </c>
      <c r="O1386" t="str">
        <f t="shared" si="126"/>
        <v>Salvador</v>
      </c>
    </row>
    <row r="1387" spans="1:15" x14ac:dyDescent="0.3">
      <c r="A1387" s="10">
        <v>45839</v>
      </c>
      <c r="B1387" s="9" t="s">
        <v>15</v>
      </c>
      <c r="C1387" t="s">
        <v>358</v>
      </c>
      <c r="D1387" s="9">
        <v>19685</v>
      </c>
      <c r="E1387" s="5" t="s">
        <v>359</v>
      </c>
      <c r="F1387" t="s">
        <v>198</v>
      </c>
      <c r="G1387">
        <v>1747</v>
      </c>
      <c r="H1387">
        <v>717</v>
      </c>
      <c r="I1387" s="8">
        <f t="shared" si="127"/>
        <v>0.41041785918717805</v>
      </c>
      <c r="J1387" s="17">
        <v>0.7</v>
      </c>
      <c r="K1387" s="12">
        <v>13.75</v>
      </c>
      <c r="L1387" s="2">
        <f t="shared" si="129"/>
        <v>505.89999999999986</v>
      </c>
      <c r="M1387" s="15">
        <f t="shared" si="128"/>
        <v>6956.1249999999982</v>
      </c>
      <c r="N1387" t="str">
        <f t="shared" si="125"/>
        <v>RJ</v>
      </c>
      <c r="O1387" t="str">
        <f t="shared" si="126"/>
        <v>Rio De Janeiro</v>
      </c>
    </row>
    <row r="1388" spans="1:15" x14ac:dyDescent="0.3">
      <c r="A1388" s="10">
        <v>45870</v>
      </c>
      <c r="B1388" s="9" t="s">
        <v>71</v>
      </c>
      <c r="C1388" t="s">
        <v>175</v>
      </c>
      <c r="D1388" s="9">
        <v>19540</v>
      </c>
      <c r="E1388" s="5" t="s">
        <v>370</v>
      </c>
      <c r="F1388" t="s">
        <v>176</v>
      </c>
      <c r="G1388">
        <v>5228</v>
      </c>
      <c r="H1388">
        <v>1927</v>
      </c>
      <c r="I1388" s="8">
        <f t="shared" si="127"/>
        <v>0.36859219586840092</v>
      </c>
      <c r="J1388" s="17">
        <v>0.7</v>
      </c>
      <c r="K1388" s="12">
        <v>13.75</v>
      </c>
      <c r="L1388" s="2">
        <f t="shared" si="129"/>
        <v>1732.5999999999995</v>
      </c>
      <c r="M1388" s="15">
        <f t="shared" si="128"/>
        <v>23823.249999999993</v>
      </c>
      <c r="N1388" t="str">
        <f t="shared" si="125"/>
        <v>RS</v>
      </c>
      <c r="O1388" t="str">
        <f t="shared" si="126"/>
        <v>Porto Alegre</v>
      </c>
    </row>
    <row r="1389" spans="1:15" x14ac:dyDescent="0.3">
      <c r="A1389" s="10">
        <v>45870</v>
      </c>
      <c r="B1389" s="9" t="s">
        <v>15</v>
      </c>
      <c r="C1389" t="s">
        <v>358</v>
      </c>
      <c r="D1389" s="9">
        <v>19521</v>
      </c>
      <c r="E1389" s="5" t="s">
        <v>371</v>
      </c>
      <c r="F1389" t="s">
        <v>199</v>
      </c>
      <c r="G1389">
        <v>3087</v>
      </c>
      <c r="H1389">
        <v>1444</v>
      </c>
      <c r="I1389" s="8">
        <f t="shared" si="127"/>
        <v>0.46776805960479428</v>
      </c>
      <c r="J1389" s="17">
        <v>0.7</v>
      </c>
      <c r="K1389" s="12">
        <v>13.75</v>
      </c>
      <c r="L1389" s="2">
        <f t="shared" si="129"/>
        <v>716.90000000000009</v>
      </c>
      <c r="M1389" s="15">
        <f t="shared" si="128"/>
        <v>9857.3750000000018</v>
      </c>
      <c r="N1389" t="str">
        <f t="shared" si="125"/>
        <v>RJ</v>
      </c>
      <c r="O1389" t="str">
        <f t="shared" si="126"/>
        <v>Rio De Janeiro</v>
      </c>
    </row>
    <row r="1390" spans="1:15" x14ac:dyDescent="0.3">
      <c r="A1390" s="10">
        <v>45870</v>
      </c>
      <c r="B1390" s="9" t="s">
        <v>14</v>
      </c>
      <c r="C1390" t="s">
        <v>285</v>
      </c>
      <c r="D1390" s="9">
        <v>19563</v>
      </c>
      <c r="E1390" s="5" t="s">
        <v>374</v>
      </c>
      <c r="F1390" t="s">
        <v>286</v>
      </c>
      <c r="G1390">
        <v>3261</v>
      </c>
      <c r="H1390">
        <v>1090</v>
      </c>
      <c r="I1390" s="8">
        <f t="shared" si="127"/>
        <v>0.33425329653480529</v>
      </c>
      <c r="J1390" s="17">
        <v>0.7</v>
      </c>
      <c r="K1390" s="12">
        <v>13.75</v>
      </c>
      <c r="L1390" s="2">
        <f t="shared" si="129"/>
        <v>1192.6999999999998</v>
      </c>
      <c r="M1390" s="15">
        <f t="shared" si="128"/>
        <v>16399.624999999996</v>
      </c>
      <c r="N1390" t="str">
        <f t="shared" si="125"/>
        <v>MG</v>
      </c>
      <c r="O1390" t="str">
        <f t="shared" si="126"/>
        <v>Uberlândia</v>
      </c>
    </row>
    <row r="1391" spans="1:15" x14ac:dyDescent="0.3">
      <c r="A1391" s="10">
        <v>45870</v>
      </c>
      <c r="B1391" s="9" t="s">
        <v>6</v>
      </c>
      <c r="C1391" t="s">
        <v>26</v>
      </c>
      <c r="D1391" s="9">
        <v>19597</v>
      </c>
      <c r="E1391" s="5" t="s">
        <v>375</v>
      </c>
      <c r="F1391" t="s">
        <v>27</v>
      </c>
      <c r="G1391">
        <v>3711</v>
      </c>
      <c r="H1391">
        <v>1938</v>
      </c>
      <c r="I1391" s="8">
        <f t="shared" si="127"/>
        <v>0.5222312045270816</v>
      </c>
      <c r="J1391" s="17">
        <v>0.7</v>
      </c>
      <c r="K1391" s="12">
        <v>13.75</v>
      </c>
      <c r="L1391" s="2">
        <f t="shared" si="129"/>
        <v>659.69999999999982</v>
      </c>
      <c r="M1391" s="15">
        <f t="shared" si="128"/>
        <v>9070.8749999999982</v>
      </c>
      <c r="N1391" t="str">
        <f t="shared" si="125"/>
        <v>PA</v>
      </c>
      <c r="O1391" t="str">
        <f t="shared" si="126"/>
        <v>Belém</v>
      </c>
    </row>
    <row r="1392" spans="1:15" x14ac:dyDescent="0.3">
      <c r="A1392" s="10">
        <v>45870</v>
      </c>
      <c r="B1392" s="9" t="s">
        <v>15</v>
      </c>
      <c r="C1392" t="s">
        <v>296</v>
      </c>
      <c r="D1392" s="9">
        <v>19524</v>
      </c>
      <c r="E1392" s="5" t="s">
        <v>376</v>
      </c>
      <c r="F1392" t="s">
        <v>297</v>
      </c>
      <c r="G1392">
        <v>2343</v>
      </c>
      <c r="H1392">
        <v>971</v>
      </c>
      <c r="I1392" s="8">
        <f t="shared" si="127"/>
        <v>0.41442594963721724</v>
      </c>
      <c r="J1392" s="17">
        <v>0.7</v>
      </c>
      <c r="K1392" s="12">
        <v>13.75</v>
      </c>
      <c r="L1392" s="2">
        <f t="shared" si="129"/>
        <v>669.09999999999991</v>
      </c>
      <c r="M1392" s="15">
        <f t="shared" si="128"/>
        <v>9200.1249999999982</v>
      </c>
      <c r="N1392" t="str">
        <f t="shared" si="125"/>
        <v>RJ</v>
      </c>
      <c r="O1392" t="str">
        <f t="shared" si="126"/>
        <v>Volta Redonda</v>
      </c>
    </row>
    <row r="1393" spans="1:15" x14ac:dyDescent="0.3">
      <c r="A1393" s="10">
        <v>45870</v>
      </c>
      <c r="B1393" s="9" t="s">
        <v>160</v>
      </c>
      <c r="C1393" t="s">
        <v>279</v>
      </c>
      <c r="D1393" s="9">
        <v>19564</v>
      </c>
      <c r="E1393" s="5" t="s">
        <v>378</v>
      </c>
      <c r="F1393" t="s">
        <v>280</v>
      </c>
      <c r="G1393">
        <v>1444</v>
      </c>
      <c r="H1393">
        <v>654</v>
      </c>
      <c r="I1393" s="8">
        <f t="shared" si="127"/>
        <v>0.45290858725761773</v>
      </c>
      <c r="J1393" s="17">
        <v>0.7</v>
      </c>
      <c r="K1393" s="12">
        <v>13.75</v>
      </c>
      <c r="L1393" s="2">
        <f t="shared" si="129"/>
        <v>356.79999999999984</v>
      </c>
      <c r="M1393" s="15">
        <f t="shared" si="128"/>
        <v>4905.9999999999982</v>
      </c>
      <c r="N1393" t="str">
        <f t="shared" si="125"/>
        <v>PI</v>
      </c>
      <c r="O1393" t="str">
        <f t="shared" si="126"/>
        <v>Teresina</v>
      </c>
    </row>
    <row r="1394" spans="1:15" x14ac:dyDescent="0.3">
      <c r="A1394" s="10">
        <v>45870</v>
      </c>
      <c r="B1394" s="9" t="s">
        <v>15</v>
      </c>
      <c r="C1394" t="s">
        <v>358</v>
      </c>
      <c r="D1394" s="9">
        <v>19536</v>
      </c>
      <c r="E1394" s="5" t="s">
        <v>379</v>
      </c>
      <c r="F1394" t="s">
        <v>200</v>
      </c>
      <c r="G1394">
        <v>2716</v>
      </c>
      <c r="H1394">
        <v>935</v>
      </c>
      <c r="I1394" s="8">
        <f t="shared" si="127"/>
        <v>0.34425625920471281</v>
      </c>
      <c r="J1394" s="17">
        <v>0.7</v>
      </c>
      <c r="K1394" s="12">
        <v>13.75</v>
      </c>
      <c r="L1394" s="2">
        <f t="shared" si="129"/>
        <v>966.2</v>
      </c>
      <c r="M1394" s="15">
        <f t="shared" si="128"/>
        <v>13285.25</v>
      </c>
      <c r="N1394" t="str">
        <f t="shared" si="125"/>
        <v>RJ</v>
      </c>
      <c r="O1394" t="str">
        <f t="shared" si="126"/>
        <v>Rio De Janeiro</v>
      </c>
    </row>
    <row r="1395" spans="1:15" x14ac:dyDescent="0.3">
      <c r="A1395" s="10">
        <v>45870</v>
      </c>
      <c r="B1395" s="9" t="s">
        <v>15</v>
      </c>
      <c r="C1395" t="s">
        <v>358</v>
      </c>
      <c r="D1395" s="9">
        <v>19727</v>
      </c>
      <c r="E1395" s="5" t="s">
        <v>380</v>
      </c>
      <c r="F1395" t="s">
        <v>201</v>
      </c>
      <c r="G1395">
        <v>1874</v>
      </c>
      <c r="H1395">
        <v>671</v>
      </c>
      <c r="I1395" s="8">
        <f t="shared" si="127"/>
        <v>0.35805763073639274</v>
      </c>
      <c r="J1395" s="17">
        <v>0.7</v>
      </c>
      <c r="K1395" s="12">
        <v>13.75</v>
      </c>
      <c r="L1395" s="2">
        <f t="shared" si="129"/>
        <v>640.79999999999995</v>
      </c>
      <c r="M1395" s="15">
        <f t="shared" si="128"/>
        <v>8811</v>
      </c>
      <c r="N1395" t="str">
        <f t="shared" si="125"/>
        <v>RJ</v>
      </c>
      <c r="O1395" t="str">
        <f t="shared" si="126"/>
        <v>Rio De Janeiro</v>
      </c>
    </row>
    <row r="1396" spans="1:15" x14ac:dyDescent="0.3">
      <c r="A1396" s="10">
        <v>45870</v>
      </c>
      <c r="B1396" s="9" t="s">
        <v>3</v>
      </c>
      <c r="C1396" t="s">
        <v>248</v>
      </c>
      <c r="D1396" s="9">
        <v>19572</v>
      </c>
      <c r="E1396" s="5" t="s">
        <v>381</v>
      </c>
      <c r="F1396" t="s">
        <v>249</v>
      </c>
      <c r="G1396">
        <v>4126</v>
      </c>
      <c r="H1396">
        <v>1687</v>
      </c>
      <c r="I1396" s="8">
        <f t="shared" si="127"/>
        <v>0.40887057682985944</v>
      </c>
      <c r="J1396" s="17">
        <v>0.7</v>
      </c>
      <c r="K1396" s="12">
        <v>13.75</v>
      </c>
      <c r="L1396" s="2">
        <f t="shared" si="129"/>
        <v>1201.1999999999994</v>
      </c>
      <c r="M1396" s="15">
        <f t="shared" si="128"/>
        <v>16516.499999999993</v>
      </c>
      <c r="N1396" t="str">
        <f t="shared" si="125"/>
        <v>SP</v>
      </c>
      <c r="O1396" t="str">
        <f t="shared" si="126"/>
        <v>São Paulo</v>
      </c>
    </row>
    <row r="1397" spans="1:15" x14ac:dyDescent="0.3">
      <c r="A1397" s="10">
        <v>45870</v>
      </c>
      <c r="B1397" s="9" t="s">
        <v>3</v>
      </c>
      <c r="C1397" t="s">
        <v>167</v>
      </c>
      <c r="D1397" s="9">
        <v>19578</v>
      </c>
      <c r="E1397" s="5" t="s">
        <v>382</v>
      </c>
      <c r="F1397" t="s">
        <v>168</v>
      </c>
      <c r="G1397">
        <v>2319</v>
      </c>
      <c r="H1397">
        <v>719</v>
      </c>
      <c r="I1397" s="8">
        <f t="shared" si="127"/>
        <v>0.31004743423889608</v>
      </c>
      <c r="J1397" s="17">
        <v>0.7</v>
      </c>
      <c r="K1397" s="12">
        <v>13.75</v>
      </c>
      <c r="L1397" s="2">
        <f t="shared" si="129"/>
        <v>904.29999999999973</v>
      </c>
      <c r="M1397" s="15">
        <f t="shared" si="128"/>
        <v>12434.124999999996</v>
      </c>
      <c r="N1397" t="str">
        <f t="shared" si="125"/>
        <v>SP</v>
      </c>
      <c r="O1397" t="str">
        <f t="shared" si="126"/>
        <v>Perdizes</v>
      </c>
    </row>
    <row r="1398" spans="1:15" x14ac:dyDescent="0.3">
      <c r="A1398" s="10">
        <v>45870</v>
      </c>
      <c r="B1398" s="9" t="s">
        <v>3</v>
      </c>
      <c r="C1398" t="s">
        <v>248</v>
      </c>
      <c r="D1398" s="9">
        <v>19774</v>
      </c>
      <c r="E1398" s="5" t="s">
        <v>383</v>
      </c>
      <c r="F1398" t="s">
        <v>250</v>
      </c>
      <c r="G1398">
        <v>3796</v>
      </c>
      <c r="H1398">
        <v>1224</v>
      </c>
      <c r="I1398" s="8">
        <f t="shared" si="127"/>
        <v>0.32244467860906217</v>
      </c>
      <c r="J1398" s="17">
        <v>0.7</v>
      </c>
      <c r="K1398" s="12">
        <v>13.75</v>
      </c>
      <c r="L1398" s="2">
        <f t="shared" si="129"/>
        <v>1433.1999999999998</v>
      </c>
      <c r="M1398" s="15">
        <f t="shared" si="128"/>
        <v>19706.499999999996</v>
      </c>
      <c r="N1398" t="str">
        <f t="shared" si="125"/>
        <v>SP</v>
      </c>
      <c r="O1398" t="str">
        <f t="shared" si="126"/>
        <v>São Paulo</v>
      </c>
    </row>
    <row r="1399" spans="1:15" x14ac:dyDescent="0.3">
      <c r="A1399" s="10">
        <v>45870</v>
      </c>
      <c r="B1399" s="9" t="s">
        <v>46</v>
      </c>
      <c r="C1399" t="s">
        <v>47</v>
      </c>
      <c r="D1399" s="9">
        <v>19551</v>
      </c>
      <c r="E1399" s="5" t="s">
        <v>384</v>
      </c>
      <c r="F1399" t="s">
        <v>48</v>
      </c>
      <c r="G1399">
        <v>2830</v>
      </c>
      <c r="H1399">
        <v>1143</v>
      </c>
      <c r="I1399" s="8">
        <f t="shared" si="127"/>
        <v>0.40388692579505303</v>
      </c>
      <c r="J1399" s="17">
        <v>0.7</v>
      </c>
      <c r="K1399" s="12">
        <v>13.75</v>
      </c>
      <c r="L1399" s="2">
        <f t="shared" si="129"/>
        <v>837.99999999999955</v>
      </c>
      <c r="M1399" s="15">
        <f t="shared" si="128"/>
        <v>11522.499999999995</v>
      </c>
      <c r="N1399" t="str">
        <f t="shared" si="125"/>
        <v>DF</v>
      </c>
      <c r="O1399" t="str">
        <f t="shared" si="126"/>
        <v>Brasília</v>
      </c>
    </row>
    <row r="1400" spans="1:15" x14ac:dyDescent="0.3">
      <c r="A1400" s="10">
        <v>45870</v>
      </c>
      <c r="B1400" s="9" t="s">
        <v>15</v>
      </c>
      <c r="C1400" t="s">
        <v>151</v>
      </c>
      <c r="D1400" s="9">
        <v>19596</v>
      </c>
      <c r="E1400" s="5" t="s">
        <v>385</v>
      </c>
      <c r="F1400" t="s">
        <v>153</v>
      </c>
      <c r="G1400">
        <v>905</v>
      </c>
      <c r="H1400">
        <v>356</v>
      </c>
      <c r="I1400" s="8">
        <f t="shared" si="127"/>
        <v>0.39337016574585637</v>
      </c>
      <c r="J1400" s="17">
        <v>0.7</v>
      </c>
      <c r="K1400" s="12">
        <v>13.75</v>
      </c>
      <c r="L1400" s="2">
        <f t="shared" si="129"/>
        <v>277.5</v>
      </c>
      <c r="M1400" s="15">
        <f t="shared" si="128"/>
        <v>3815.625</v>
      </c>
      <c r="N1400" t="str">
        <f t="shared" si="125"/>
        <v>RJ</v>
      </c>
      <c r="O1400" t="str">
        <f t="shared" si="126"/>
        <v>Nova Iguaçu</v>
      </c>
    </row>
    <row r="1401" spans="1:15" x14ac:dyDescent="0.3">
      <c r="A1401" s="10">
        <v>45870</v>
      </c>
      <c r="B1401" s="9" t="s">
        <v>15</v>
      </c>
      <c r="C1401" t="s">
        <v>358</v>
      </c>
      <c r="D1401" s="9">
        <v>19618</v>
      </c>
      <c r="E1401" s="5" t="s">
        <v>386</v>
      </c>
      <c r="F1401" t="s">
        <v>202</v>
      </c>
      <c r="G1401">
        <v>2793</v>
      </c>
      <c r="H1401">
        <v>1042</v>
      </c>
      <c r="I1401" s="8">
        <f t="shared" si="127"/>
        <v>0.37307554600787685</v>
      </c>
      <c r="J1401" s="17">
        <v>0.7</v>
      </c>
      <c r="K1401" s="12">
        <v>13.75</v>
      </c>
      <c r="L1401" s="2">
        <f t="shared" si="129"/>
        <v>913.09999999999991</v>
      </c>
      <c r="M1401" s="15">
        <f t="shared" si="128"/>
        <v>12555.124999999998</v>
      </c>
      <c r="N1401" t="str">
        <f t="shared" si="125"/>
        <v>RJ</v>
      </c>
      <c r="O1401" t="str">
        <f t="shared" si="126"/>
        <v>Rio De Janeiro</v>
      </c>
    </row>
    <row r="1402" spans="1:15" x14ac:dyDescent="0.3">
      <c r="A1402" s="10">
        <v>45870</v>
      </c>
      <c r="B1402" s="9" t="s">
        <v>21</v>
      </c>
      <c r="C1402" t="s">
        <v>22</v>
      </c>
      <c r="D1402" s="9">
        <v>19741</v>
      </c>
      <c r="E1402" s="5" t="s">
        <v>387</v>
      </c>
      <c r="F1402" t="s">
        <v>23</v>
      </c>
      <c r="G1402">
        <v>1325</v>
      </c>
      <c r="H1402">
        <v>679</v>
      </c>
      <c r="I1402" s="8">
        <f t="shared" si="127"/>
        <v>0.51245283018867926</v>
      </c>
      <c r="J1402" s="17">
        <v>0.7</v>
      </c>
      <c r="K1402" s="12">
        <v>13.75</v>
      </c>
      <c r="L1402" s="2">
        <f t="shared" si="129"/>
        <v>248.49999999999989</v>
      </c>
      <c r="M1402" s="15">
        <f t="shared" si="128"/>
        <v>3416.8749999999986</v>
      </c>
      <c r="N1402" t="str">
        <f t="shared" si="125"/>
        <v>BA</v>
      </c>
      <c r="O1402" t="str">
        <f t="shared" si="126"/>
        <v>Barreiras</v>
      </c>
    </row>
    <row r="1403" spans="1:15" x14ac:dyDescent="0.3">
      <c r="A1403" s="10">
        <v>45870</v>
      </c>
      <c r="B1403" s="9" t="s">
        <v>74</v>
      </c>
      <c r="C1403" t="s">
        <v>169</v>
      </c>
      <c r="D1403" s="9">
        <v>19897</v>
      </c>
      <c r="E1403" s="5" t="s">
        <v>388</v>
      </c>
      <c r="F1403" t="s">
        <v>170</v>
      </c>
      <c r="G1403">
        <v>1901</v>
      </c>
      <c r="H1403">
        <v>751</v>
      </c>
      <c r="I1403" s="8">
        <f t="shared" si="127"/>
        <v>0.39505523408732246</v>
      </c>
      <c r="J1403" s="17">
        <v>0.7</v>
      </c>
      <c r="K1403" s="12">
        <v>13.75</v>
      </c>
      <c r="L1403" s="2">
        <f t="shared" si="129"/>
        <v>579.69999999999982</v>
      </c>
      <c r="M1403" s="15">
        <f t="shared" si="128"/>
        <v>7970.8749999999973</v>
      </c>
      <c r="N1403" t="str">
        <f t="shared" si="125"/>
        <v>PE</v>
      </c>
      <c r="O1403" t="str">
        <f t="shared" si="126"/>
        <v>Petrolina</v>
      </c>
    </row>
    <row r="1404" spans="1:15" x14ac:dyDescent="0.3">
      <c r="A1404" s="10">
        <v>45870</v>
      </c>
      <c r="B1404" s="9" t="s">
        <v>61</v>
      </c>
      <c r="C1404" t="s">
        <v>62</v>
      </c>
      <c r="D1404" s="9">
        <v>19633</v>
      </c>
      <c r="E1404" s="5" t="s">
        <v>389</v>
      </c>
      <c r="F1404" t="s">
        <v>63</v>
      </c>
      <c r="G1404">
        <v>2191</v>
      </c>
      <c r="H1404">
        <v>1094</v>
      </c>
      <c r="I1404" s="8">
        <f t="shared" si="127"/>
        <v>0.49931538110451851</v>
      </c>
      <c r="J1404" s="17">
        <v>0.7</v>
      </c>
      <c r="K1404" s="12">
        <v>13.75</v>
      </c>
      <c r="L1404" s="2">
        <f t="shared" si="129"/>
        <v>439.69999999999982</v>
      </c>
      <c r="M1404" s="15">
        <f t="shared" si="128"/>
        <v>6045.8749999999973</v>
      </c>
      <c r="N1404" t="str">
        <f t="shared" si="125"/>
        <v>PB</v>
      </c>
      <c r="O1404" t="str">
        <f t="shared" si="126"/>
        <v>Campina Grande</v>
      </c>
    </row>
    <row r="1405" spans="1:15" x14ac:dyDescent="0.3">
      <c r="A1405" s="10">
        <v>45870</v>
      </c>
      <c r="B1405" s="9" t="s">
        <v>6</v>
      </c>
      <c r="C1405" t="s">
        <v>26</v>
      </c>
      <c r="D1405" s="9">
        <v>19622</v>
      </c>
      <c r="E1405" s="5" t="s">
        <v>390</v>
      </c>
      <c r="F1405" t="s">
        <v>28</v>
      </c>
      <c r="G1405">
        <v>2201</v>
      </c>
      <c r="H1405">
        <v>1193</v>
      </c>
      <c r="I1405" s="8">
        <f t="shared" si="127"/>
        <v>0.54202635165833712</v>
      </c>
      <c r="J1405" s="17">
        <v>0.7</v>
      </c>
      <c r="K1405" s="12">
        <v>13.75</v>
      </c>
      <c r="L1405" s="2">
        <f t="shared" si="129"/>
        <v>347.69999999999982</v>
      </c>
      <c r="M1405" s="15">
        <f t="shared" si="128"/>
        <v>4780.8749999999973</v>
      </c>
      <c r="N1405" t="str">
        <f t="shared" si="125"/>
        <v>PA</v>
      </c>
      <c r="O1405" t="str">
        <f t="shared" si="126"/>
        <v>Belém</v>
      </c>
    </row>
    <row r="1406" spans="1:15" x14ac:dyDescent="0.3">
      <c r="A1406" s="10">
        <v>45870</v>
      </c>
      <c r="B1406" s="9" t="s">
        <v>46</v>
      </c>
      <c r="C1406" t="s">
        <v>47</v>
      </c>
      <c r="D1406" s="9">
        <v>19666</v>
      </c>
      <c r="E1406" s="5" t="s">
        <v>391</v>
      </c>
      <c r="F1406" t="s">
        <v>624</v>
      </c>
      <c r="G1406">
        <v>2494</v>
      </c>
      <c r="H1406">
        <v>678</v>
      </c>
      <c r="I1406" s="8">
        <f t="shared" si="127"/>
        <v>0.27185244587008822</v>
      </c>
      <c r="J1406" s="17">
        <v>0.7</v>
      </c>
      <c r="K1406" s="12">
        <v>13.75</v>
      </c>
      <c r="L1406" s="2">
        <f t="shared" ref="L1406:L1437" si="130">H1406*J1406/I1406-H1406</f>
        <v>1067.7999999999997</v>
      </c>
      <c r="M1406" s="15">
        <f t="shared" si="128"/>
        <v>14682.249999999996</v>
      </c>
      <c r="N1406" t="str">
        <f t="shared" si="125"/>
        <v>DF</v>
      </c>
      <c r="O1406" t="str">
        <f t="shared" si="126"/>
        <v>Brasília</v>
      </c>
    </row>
    <row r="1407" spans="1:15" x14ac:dyDescent="0.3">
      <c r="A1407" s="10">
        <v>45870</v>
      </c>
      <c r="B1407" s="9" t="s">
        <v>15</v>
      </c>
      <c r="C1407" t="s">
        <v>358</v>
      </c>
      <c r="D1407" s="9">
        <v>19632</v>
      </c>
      <c r="E1407" s="5" t="s">
        <v>392</v>
      </c>
      <c r="F1407" t="s">
        <v>203</v>
      </c>
      <c r="G1407">
        <v>2555</v>
      </c>
      <c r="H1407">
        <v>1106</v>
      </c>
      <c r="I1407" s="8">
        <f t="shared" si="127"/>
        <v>0.43287671232876712</v>
      </c>
      <c r="J1407" s="17">
        <v>0.7</v>
      </c>
      <c r="K1407" s="12">
        <v>13.75</v>
      </c>
      <c r="L1407" s="2">
        <f t="shared" si="130"/>
        <v>682.49999999999977</v>
      </c>
      <c r="M1407" s="15">
        <f t="shared" si="128"/>
        <v>9384.3749999999964</v>
      </c>
      <c r="N1407" t="str">
        <f t="shared" si="125"/>
        <v>RJ</v>
      </c>
      <c r="O1407" t="str">
        <f t="shared" si="126"/>
        <v>Rio De Janeiro</v>
      </c>
    </row>
    <row r="1408" spans="1:15" x14ac:dyDescent="0.3">
      <c r="A1408" s="10">
        <v>45870</v>
      </c>
      <c r="B1408" s="9" t="s">
        <v>46</v>
      </c>
      <c r="C1408" t="s">
        <v>47</v>
      </c>
      <c r="D1408" s="9">
        <v>19552</v>
      </c>
      <c r="E1408" s="5" t="s">
        <v>393</v>
      </c>
      <c r="F1408" t="s">
        <v>50</v>
      </c>
      <c r="G1408">
        <v>4179</v>
      </c>
      <c r="H1408">
        <v>1730</v>
      </c>
      <c r="I1408" s="8">
        <f t="shared" si="127"/>
        <v>0.41397463508016275</v>
      </c>
      <c r="J1408" s="17">
        <v>0.7</v>
      </c>
      <c r="K1408" s="12">
        <v>13.75</v>
      </c>
      <c r="L1408" s="2">
        <f t="shared" si="130"/>
        <v>1195.2999999999997</v>
      </c>
      <c r="M1408" s="15">
        <f t="shared" si="128"/>
        <v>16435.374999999996</v>
      </c>
      <c r="N1408" t="str">
        <f t="shared" si="125"/>
        <v>DF</v>
      </c>
      <c r="O1408" t="str">
        <f t="shared" si="126"/>
        <v>Brasília</v>
      </c>
    </row>
    <row r="1409" spans="1:15" x14ac:dyDescent="0.3">
      <c r="A1409" s="10">
        <v>45870</v>
      </c>
      <c r="B1409" s="9" t="s">
        <v>15</v>
      </c>
      <c r="C1409" t="s">
        <v>191</v>
      </c>
      <c r="D1409" s="9">
        <v>19636</v>
      </c>
      <c r="E1409" s="5" t="s">
        <v>394</v>
      </c>
      <c r="F1409" t="s">
        <v>192</v>
      </c>
      <c r="G1409">
        <v>2478</v>
      </c>
      <c r="H1409">
        <v>992</v>
      </c>
      <c r="I1409" s="8">
        <f t="shared" si="127"/>
        <v>0.40032284100080712</v>
      </c>
      <c r="J1409" s="17">
        <v>0.7</v>
      </c>
      <c r="K1409" s="12">
        <v>13.75</v>
      </c>
      <c r="L1409" s="2">
        <f t="shared" si="130"/>
        <v>742.59999999999991</v>
      </c>
      <c r="M1409" s="15">
        <f t="shared" si="128"/>
        <v>10210.749999999998</v>
      </c>
      <c r="N1409" t="str">
        <f t="shared" si="125"/>
        <v>RJ</v>
      </c>
      <c r="O1409" t="str">
        <f t="shared" si="126"/>
        <v>Resende</v>
      </c>
    </row>
    <row r="1410" spans="1:15" x14ac:dyDescent="0.3">
      <c r="A1410" s="10">
        <v>45870</v>
      </c>
      <c r="B1410" s="9" t="s">
        <v>74</v>
      </c>
      <c r="C1410" t="s">
        <v>186</v>
      </c>
      <c r="D1410" s="9">
        <v>19649</v>
      </c>
      <c r="E1410" s="5" t="s">
        <v>395</v>
      </c>
      <c r="F1410" t="s">
        <v>187</v>
      </c>
      <c r="G1410">
        <v>3239</v>
      </c>
      <c r="H1410">
        <v>1364</v>
      </c>
      <c r="I1410" s="8">
        <f t="shared" si="127"/>
        <v>0.42111762889780796</v>
      </c>
      <c r="J1410" s="17">
        <v>0.7</v>
      </c>
      <c r="K1410" s="12">
        <v>13.75</v>
      </c>
      <c r="L1410" s="2">
        <f t="shared" si="130"/>
        <v>903.29999999999973</v>
      </c>
      <c r="M1410" s="15">
        <f t="shared" si="128"/>
        <v>12420.374999999996</v>
      </c>
      <c r="N1410" t="str">
        <f t="shared" ref="N1410:N1473" si="131">B1410</f>
        <v>PE</v>
      </c>
      <c r="O1410" t="str">
        <f t="shared" ref="O1410:O1473" si="132">C1410</f>
        <v>Recife</v>
      </c>
    </row>
    <row r="1411" spans="1:15" x14ac:dyDescent="0.3">
      <c r="A1411" s="10">
        <v>45870</v>
      </c>
      <c r="B1411" s="9" t="s">
        <v>74</v>
      </c>
      <c r="C1411" t="s">
        <v>186</v>
      </c>
      <c r="D1411" s="9">
        <v>19601</v>
      </c>
      <c r="E1411" s="5" t="s">
        <v>396</v>
      </c>
      <c r="F1411" t="s">
        <v>188</v>
      </c>
      <c r="G1411">
        <v>3186</v>
      </c>
      <c r="H1411">
        <v>1133</v>
      </c>
      <c r="I1411" s="8">
        <f t="shared" ref="I1411:I1474" si="133">H1411/G1411</f>
        <v>0.35561833019460137</v>
      </c>
      <c r="J1411" s="17">
        <v>0.7</v>
      </c>
      <c r="K1411" s="12">
        <v>13.75</v>
      </c>
      <c r="L1411" s="2">
        <f t="shared" si="130"/>
        <v>1097.1999999999998</v>
      </c>
      <c r="M1411" s="15">
        <f t="shared" ref="M1411:M1474" si="134">L1411*K1411</f>
        <v>15086.499999999998</v>
      </c>
      <c r="N1411" t="str">
        <f t="shared" si="131"/>
        <v>PE</v>
      </c>
      <c r="O1411" t="str">
        <f t="shared" si="132"/>
        <v>Recife</v>
      </c>
    </row>
    <row r="1412" spans="1:15" x14ac:dyDescent="0.3">
      <c r="A1412" s="10">
        <v>45870</v>
      </c>
      <c r="B1412" s="9" t="s">
        <v>74</v>
      </c>
      <c r="C1412" t="s">
        <v>186</v>
      </c>
      <c r="D1412" s="9">
        <v>19565</v>
      </c>
      <c r="E1412" s="5" t="s">
        <v>397</v>
      </c>
      <c r="F1412" t="s">
        <v>189</v>
      </c>
      <c r="G1412">
        <v>3140</v>
      </c>
      <c r="H1412">
        <v>980</v>
      </c>
      <c r="I1412" s="8">
        <f t="shared" si="133"/>
        <v>0.31210191082802546</v>
      </c>
      <c r="J1412" s="17">
        <v>0.7</v>
      </c>
      <c r="K1412" s="12">
        <v>13.75</v>
      </c>
      <c r="L1412" s="2">
        <f t="shared" si="130"/>
        <v>1218</v>
      </c>
      <c r="M1412" s="15">
        <f t="shared" si="134"/>
        <v>16747.5</v>
      </c>
      <c r="N1412" t="str">
        <f t="shared" si="131"/>
        <v>PE</v>
      </c>
      <c r="O1412" t="str">
        <f t="shared" si="132"/>
        <v>Recife</v>
      </c>
    </row>
    <row r="1413" spans="1:15" x14ac:dyDescent="0.3">
      <c r="A1413" s="10">
        <v>45870</v>
      </c>
      <c r="B1413" s="9" t="s">
        <v>74</v>
      </c>
      <c r="C1413" t="s">
        <v>186</v>
      </c>
      <c r="D1413" s="9">
        <v>19654</v>
      </c>
      <c r="E1413" s="5" t="s">
        <v>398</v>
      </c>
      <c r="F1413" t="s">
        <v>190</v>
      </c>
      <c r="G1413">
        <v>2409</v>
      </c>
      <c r="H1413">
        <v>812</v>
      </c>
      <c r="I1413" s="8">
        <f t="shared" si="133"/>
        <v>0.33706932337069323</v>
      </c>
      <c r="J1413" s="17">
        <v>0.7</v>
      </c>
      <c r="K1413" s="12">
        <v>13.75</v>
      </c>
      <c r="L1413" s="2">
        <f t="shared" si="130"/>
        <v>874.3</v>
      </c>
      <c r="M1413" s="15">
        <f t="shared" si="134"/>
        <v>12021.625</v>
      </c>
      <c r="N1413" t="str">
        <f t="shared" si="131"/>
        <v>PE</v>
      </c>
      <c r="O1413" t="str">
        <f t="shared" si="132"/>
        <v>Recife</v>
      </c>
    </row>
    <row r="1414" spans="1:15" x14ac:dyDescent="0.3">
      <c r="A1414" s="10">
        <v>45870</v>
      </c>
      <c r="B1414" s="9" t="s">
        <v>74</v>
      </c>
      <c r="C1414" t="s">
        <v>350</v>
      </c>
      <c r="D1414" s="9">
        <v>19624</v>
      </c>
      <c r="E1414" s="5" t="s">
        <v>399</v>
      </c>
      <c r="F1414" t="s">
        <v>116</v>
      </c>
      <c r="G1414">
        <v>1736</v>
      </c>
      <c r="H1414">
        <v>592</v>
      </c>
      <c r="I1414" s="8">
        <f t="shared" si="133"/>
        <v>0.34101382488479265</v>
      </c>
      <c r="J1414" s="17">
        <v>0.7</v>
      </c>
      <c r="K1414" s="12">
        <v>13.75</v>
      </c>
      <c r="L1414" s="2">
        <f t="shared" si="130"/>
        <v>623.19999999999982</v>
      </c>
      <c r="M1414" s="15">
        <f t="shared" si="134"/>
        <v>8568.9999999999982</v>
      </c>
      <c r="N1414" t="str">
        <f t="shared" si="131"/>
        <v>PE</v>
      </c>
      <c r="O1414" t="str">
        <f t="shared" si="132"/>
        <v>Jaboatão Dos Guararapes</v>
      </c>
    </row>
    <row r="1415" spans="1:15" x14ac:dyDescent="0.3">
      <c r="A1415" s="10">
        <v>45870</v>
      </c>
      <c r="B1415" s="9" t="s">
        <v>15</v>
      </c>
      <c r="C1415" t="s">
        <v>143</v>
      </c>
      <c r="D1415" s="9">
        <v>19648</v>
      </c>
      <c r="E1415" s="5" t="s">
        <v>400</v>
      </c>
      <c r="F1415" t="s">
        <v>144</v>
      </c>
      <c r="G1415">
        <v>2056</v>
      </c>
      <c r="H1415">
        <v>555</v>
      </c>
      <c r="I1415" s="8">
        <f t="shared" si="133"/>
        <v>0.26994163424124512</v>
      </c>
      <c r="J1415" s="17">
        <v>0.7</v>
      </c>
      <c r="K1415" s="12">
        <v>13.75</v>
      </c>
      <c r="L1415" s="2">
        <f t="shared" si="130"/>
        <v>884.2</v>
      </c>
      <c r="M1415" s="15">
        <f t="shared" si="134"/>
        <v>12157.75</v>
      </c>
      <c r="N1415" t="str">
        <f t="shared" si="131"/>
        <v>RJ</v>
      </c>
      <c r="O1415" t="str">
        <f t="shared" si="132"/>
        <v>Nilópolis</v>
      </c>
    </row>
    <row r="1416" spans="1:15" x14ac:dyDescent="0.3">
      <c r="A1416" s="10">
        <v>45870</v>
      </c>
      <c r="B1416" s="9" t="s">
        <v>15</v>
      </c>
      <c r="C1416" t="s">
        <v>57</v>
      </c>
      <c r="D1416" s="9">
        <v>19657</v>
      </c>
      <c r="E1416" s="5" t="s">
        <v>401</v>
      </c>
      <c r="F1416" t="s">
        <v>58</v>
      </c>
      <c r="G1416">
        <v>1649</v>
      </c>
      <c r="H1416">
        <v>670</v>
      </c>
      <c r="I1416" s="8">
        <f t="shared" si="133"/>
        <v>0.4063068526379624</v>
      </c>
      <c r="J1416" s="17">
        <v>0.7</v>
      </c>
      <c r="K1416" s="12">
        <v>13.75</v>
      </c>
      <c r="L1416" s="2">
        <f t="shared" si="130"/>
        <v>484.29999999999995</v>
      </c>
      <c r="M1416" s="15">
        <f t="shared" si="134"/>
        <v>6659.1249999999991</v>
      </c>
      <c r="N1416" t="str">
        <f t="shared" si="131"/>
        <v>RJ</v>
      </c>
      <c r="O1416" t="str">
        <f t="shared" si="132"/>
        <v>Cabo Frio</v>
      </c>
    </row>
    <row r="1417" spans="1:15" x14ac:dyDescent="0.3">
      <c r="A1417" s="10">
        <v>45870</v>
      </c>
      <c r="B1417" s="9" t="s">
        <v>82</v>
      </c>
      <c r="C1417" t="s">
        <v>119</v>
      </c>
      <c r="D1417" s="9">
        <v>19661</v>
      </c>
      <c r="E1417" s="5" t="s">
        <v>403</v>
      </c>
      <c r="F1417" t="s">
        <v>120</v>
      </c>
      <c r="G1417">
        <v>3558</v>
      </c>
      <c r="H1417">
        <v>1132</v>
      </c>
      <c r="I1417" s="8">
        <f t="shared" si="133"/>
        <v>0.31815626756604837</v>
      </c>
      <c r="J1417" s="17">
        <v>0.7</v>
      </c>
      <c r="K1417" s="12">
        <v>13.75</v>
      </c>
      <c r="L1417" s="2">
        <f t="shared" si="130"/>
        <v>1358.6</v>
      </c>
      <c r="M1417" s="15">
        <f t="shared" si="134"/>
        <v>18680.75</v>
      </c>
      <c r="N1417" t="str">
        <f t="shared" si="131"/>
        <v>PR</v>
      </c>
      <c r="O1417" t="str">
        <f t="shared" si="132"/>
        <v>Londrina</v>
      </c>
    </row>
    <row r="1418" spans="1:15" x14ac:dyDescent="0.3">
      <c r="A1418" s="10">
        <v>45870</v>
      </c>
      <c r="B1418" s="9" t="s">
        <v>183</v>
      </c>
      <c r="C1418" t="s">
        <v>184</v>
      </c>
      <c r="D1418" s="9">
        <v>19752</v>
      </c>
      <c r="E1418" s="5" t="s">
        <v>404</v>
      </c>
      <c r="F1418" t="s">
        <v>185</v>
      </c>
      <c r="G1418">
        <v>1167</v>
      </c>
      <c r="H1418">
        <v>596</v>
      </c>
      <c r="I1418" s="8">
        <f t="shared" si="133"/>
        <v>0.51071122536418168</v>
      </c>
      <c r="J1418" s="17">
        <v>0.7</v>
      </c>
      <c r="K1418" s="12">
        <v>13.75</v>
      </c>
      <c r="L1418" s="2">
        <f t="shared" si="130"/>
        <v>220.89999999999998</v>
      </c>
      <c r="M1418" s="15">
        <f t="shared" si="134"/>
        <v>3037.3749999999995</v>
      </c>
      <c r="N1418" t="str">
        <f t="shared" si="131"/>
        <v>RO</v>
      </c>
      <c r="O1418" t="str">
        <f t="shared" si="132"/>
        <v>Porto Velho</v>
      </c>
    </row>
    <row r="1419" spans="1:15" x14ac:dyDescent="0.3">
      <c r="A1419" s="10">
        <v>45870</v>
      </c>
      <c r="B1419" s="9" t="s">
        <v>15</v>
      </c>
      <c r="C1419" t="s">
        <v>281</v>
      </c>
      <c r="D1419" s="9">
        <v>19671</v>
      </c>
      <c r="E1419" s="5" t="s">
        <v>405</v>
      </c>
      <c r="F1419" t="s">
        <v>282</v>
      </c>
      <c r="G1419">
        <v>2538</v>
      </c>
      <c r="H1419">
        <v>1035</v>
      </c>
      <c r="I1419" s="8">
        <f t="shared" si="133"/>
        <v>0.40780141843971629</v>
      </c>
      <c r="J1419" s="17">
        <v>0.7</v>
      </c>
      <c r="K1419" s="12">
        <v>13.75</v>
      </c>
      <c r="L1419" s="2">
        <f t="shared" si="130"/>
        <v>741.60000000000014</v>
      </c>
      <c r="M1419" s="15">
        <f t="shared" si="134"/>
        <v>10197.000000000002</v>
      </c>
      <c r="N1419" t="str">
        <f t="shared" si="131"/>
        <v>RJ</v>
      </c>
      <c r="O1419" t="str">
        <f t="shared" si="132"/>
        <v>Teresópolis</v>
      </c>
    </row>
    <row r="1420" spans="1:15" x14ac:dyDescent="0.3">
      <c r="A1420" s="10">
        <v>45870</v>
      </c>
      <c r="B1420" s="9" t="s">
        <v>3</v>
      </c>
      <c r="C1420" t="s">
        <v>248</v>
      </c>
      <c r="D1420" s="9">
        <v>19674</v>
      </c>
      <c r="E1420" s="5" t="s">
        <v>406</v>
      </c>
      <c r="F1420" t="s">
        <v>251</v>
      </c>
      <c r="G1420">
        <v>2399</v>
      </c>
      <c r="H1420">
        <v>823</v>
      </c>
      <c r="I1420" s="8">
        <f t="shared" si="133"/>
        <v>0.34305960817007086</v>
      </c>
      <c r="J1420" s="17">
        <v>0.7</v>
      </c>
      <c r="K1420" s="12">
        <v>13.75</v>
      </c>
      <c r="L1420" s="2">
        <f t="shared" si="130"/>
        <v>856.29999999999973</v>
      </c>
      <c r="M1420" s="15">
        <f t="shared" si="134"/>
        <v>11774.124999999996</v>
      </c>
      <c r="N1420" t="str">
        <f t="shared" si="131"/>
        <v>SP</v>
      </c>
      <c r="O1420" t="str">
        <f t="shared" si="132"/>
        <v>São Paulo</v>
      </c>
    </row>
    <row r="1421" spans="1:15" x14ac:dyDescent="0.3">
      <c r="A1421" s="10">
        <v>45870</v>
      </c>
      <c r="B1421" s="9" t="s">
        <v>3</v>
      </c>
      <c r="C1421" t="s">
        <v>248</v>
      </c>
      <c r="D1421" s="9">
        <v>19756</v>
      </c>
      <c r="E1421" s="5" t="s">
        <v>407</v>
      </c>
      <c r="F1421" t="s">
        <v>252</v>
      </c>
      <c r="G1421">
        <v>2185</v>
      </c>
      <c r="H1421">
        <v>804</v>
      </c>
      <c r="I1421" s="8">
        <f t="shared" si="133"/>
        <v>0.3679633867276888</v>
      </c>
      <c r="J1421" s="17">
        <v>0.7</v>
      </c>
      <c r="K1421" s="12">
        <v>13.75</v>
      </c>
      <c r="L1421" s="2">
        <f t="shared" si="130"/>
        <v>725.49999999999977</v>
      </c>
      <c r="M1421" s="15">
        <f t="shared" si="134"/>
        <v>9975.6249999999964</v>
      </c>
      <c r="N1421" t="str">
        <f t="shared" si="131"/>
        <v>SP</v>
      </c>
      <c r="O1421" t="str">
        <f t="shared" si="132"/>
        <v>São Paulo</v>
      </c>
    </row>
    <row r="1422" spans="1:15" x14ac:dyDescent="0.3">
      <c r="A1422" s="10">
        <v>45870</v>
      </c>
      <c r="B1422" s="9" t="s">
        <v>3</v>
      </c>
      <c r="C1422" t="s">
        <v>248</v>
      </c>
      <c r="D1422" s="9">
        <v>19579</v>
      </c>
      <c r="E1422" s="5" t="s">
        <v>409</v>
      </c>
      <c r="F1422" t="s">
        <v>254</v>
      </c>
      <c r="G1422">
        <v>2019</v>
      </c>
      <c r="H1422">
        <v>665</v>
      </c>
      <c r="I1422" s="8">
        <f t="shared" si="133"/>
        <v>0.32937097573055968</v>
      </c>
      <c r="J1422" s="17">
        <v>0.7</v>
      </c>
      <c r="K1422" s="12">
        <v>13.75</v>
      </c>
      <c r="L1422" s="2">
        <f t="shared" si="130"/>
        <v>748.3</v>
      </c>
      <c r="M1422" s="15">
        <f t="shared" si="134"/>
        <v>10289.125</v>
      </c>
      <c r="N1422" t="str">
        <f t="shared" si="131"/>
        <v>SP</v>
      </c>
      <c r="O1422" t="str">
        <f t="shared" si="132"/>
        <v>São Paulo</v>
      </c>
    </row>
    <row r="1423" spans="1:15" x14ac:dyDescent="0.3">
      <c r="A1423" s="10">
        <v>45870</v>
      </c>
      <c r="B1423" s="9" t="s">
        <v>126</v>
      </c>
      <c r="C1423" t="s">
        <v>127</v>
      </c>
      <c r="D1423" s="9">
        <v>19623</v>
      </c>
      <c r="E1423" s="5" t="s">
        <v>410</v>
      </c>
      <c r="F1423" t="s">
        <v>128</v>
      </c>
      <c r="G1423">
        <v>1537</v>
      </c>
      <c r="H1423">
        <v>717</v>
      </c>
      <c r="I1423" s="8">
        <f t="shared" si="133"/>
        <v>0.4664931685100846</v>
      </c>
      <c r="J1423" s="17">
        <v>0.7</v>
      </c>
      <c r="K1423" s="12">
        <v>13.75</v>
      </c>
      <c r="L1423" s="2">
        <f t="shared" si="130"/>
        <v>358.89999999999986</v>
      </c>
      <c r="M1423" s="15">
        <f t="shared" si="134"/>
        <v>4934.8749999999982</v>
      </c>
      <c r="N1423" t="str">
        <f t="shared" si="131"/>
        <v>AL</v>
      </c>
      <c r="O1423" t="str">
        <f t="shared" si="132"/>
        <v>Maceió</v>
      </c>
    </row>
    <row r="1424" spans="1:15" x14ac:dyDescent="0.3">
      <c r="A1424" s="10">
        <v>45870</v>
      </c>
      <c r="B1424" s="9" t="s">
        <v>46</v>
      </c>
      <c r="C1424" t="s">
        <v>47</v>
      </c>
      <c r="D1424" s="9">
        <v>19693</v>
      </c>
      <c r="E1424" s="5" t="s">
        <v>411</v>
      </c>
      <c r="F1424" t="s">
        <v>51</v>
      </c>
      <c r="G1424">
        <v>3006</v>
      </c>
      <c r="H1424">
        <v>851</v>
      </c>
      <c r="I1424" s="8">
        <f t="shared" si="133"/>
        <v>0.28310046573519626</v>
      </c>
      <c r="J1424" s="17">
        <v>0.7</v>
      </c>
      <c r="K1424" s="12">
        <v>13.75</v>
      </c>
      <c r="L1424" s="2">
        <f t="shared" si="130"/>
        <v>1253.1999999999998</v>
      </c>
      <c r="M1424" s="15">
        <f t="shared" si="134"/>
        <v>17231.499999999996</v>
      </c>
      <c r="N1424" t="str">
        <f t="shared" si="131"/>
        <v>DF</v>
      </c>
      <c r="O1424" t="str">
        <f t="shared" si="132"/>
        <v>Brasília</v>
      </c>
    </row>
    <row r="1425" spans="1:15" x14ac:dyDescent="0.3">
      <c r="A1425" s="10">
        <v>45870</v>
      </c>
      <c r="B1425" s="9" t="s">
        <v>78</v>
      </c>
      <c r="C1425" t="s">
        <v>79</v>
      </c>
      <c r="D1425" s="9">
        <v>19730</v>
      </c>
      <c r="E1425" s="5" t="s">
        <v>413</v>
      </c>
      <c r="F1425" t="s">
        <v>80</v>
      </c>
      <c r="G1425">
        <v>3099</v>
      </c>
      <c r="H1425">
        <v>964</v>
      </c>
      <c r="I1425" s="8">
        <f t="shared" si="133"/>
        <v>0.31106808647950951</v>
      </c>
      <c r="J1425" s="17">
        <v>0.7</v>
      </c>
      <c r="K1425" s="12">
        <v>13.75</v>
      </c>
      <c r="L1425" s="2">
        <f t="shared" si="130"/>
        <v>1205.2999999999997</v>
      </c>
      <c r="M1425" s="15">
        <f t="shared" si="134"/>
        <v>16572.874999999996</v>
      </c>
      <c r="N1425" t="str">
        <f t="shared" si="131"/>
        <v>MT</v>
      </c>
      <c r="O1425" t="str">
        <f t="shared" si="132"/>
        <v>Cuiabá</v>
      </c>
    </row>
    <row r="1426" spans="1:15" x14ac:dyDescent="0.3">
      <c r="A1426" s="10">
        <v>45870</v>
      </c>
      <c r="B1426" s="9" t="s">
        <v>78</v>
      </c>
      <c r="C1426" t="s">
        <v>79</v>
      </c>
      <c r="D1426" s="9">
        <v>19794</v>
      </c>
      <c r="E1426" s="5" t="s">
        <v>414</v>
      </c>
      <c r="F1426" t="s">
        <v>81</v>
      </c>
      <c r="G1426">
        <v>2907</v>
      </c>
      <c r="H1426">
        <v>1127</v>
      </c>
      <c r="I1426" s="8">
        <f t="shared" si="133"/>
        <v>0.38768489852081184</v>
      </c>
      <c r="J1426" s="17">
        <v>0.7</v>
      </c>
      <c r="K1426" s="12">
        <v>13.75</v>
      </c>
      <c r="L1426" s="2">
        <f t="shared" si="130"/>
        <v>907.89999999999986</v>
      </c>
      <c r="M1426" s="15">
        <f t="shared" si="134"/>
        <v>12483.624999999998</v>
      </c>
      <c r="N1426" t="str">
        <f t="shared" si="131"/>
        <v>MT</v>
      </c>
      <c r="O1426" t="str">
        <f t="shared" si="132"/>
        <v>Cuiabá</v>
      </c>
    </row>
    <row r="1427" spans="1:15" x14ac:dyDescent="0.3">
      <c r="A1427" s="10">
        <v>45870</v>
      </c>
      <c r="B1427" s="9" t="s">
        <v>7</v>
      </c>
      <c r="C1427" t="s">
        <v>99</v>
      </c>
      <c r="D1427" s="9">
        <v>19691</v>
      </c>
      <c r="E1427" s="5" t="s">
        <v>415</v>
      </c>
      <c r="F1427" t="s">
        <v>100</v>
      </c>
      <c r="G1427">
        <v>2513</v>
      </c>
      <c r="H1427">
        <v>1071</v>
      </c>
      <c r="I1427" s="8">
        <f t="shared" si="133"/>
        <v>0.42618384401114207</v>
      </c>
      <c r="J1427" s="17">
        <v>0.7</v>
      </c>
      <c r="K1427" s="12">
        <v>13.75</v>
      </c>
      <c r="L1427" s="2">
        <f t="shared" si="130"/>
        <v>688.09999999999991</v>
      </c>
      <c r="M1427" s="15">
        <f t="shared" si="134"/>
        <v>9461.3749999999982</v>
      </c>
      <c r="N1427" t="str">
        <f t="shared" si="131"/>
        <v>GO</v>
      </c>
      <c r="O1427" t="str">
        <f t="shared" si="132"/>
        <v>Goiânia</v>
      </c>
    </row>
    <row r="1428" spans="1:15" x14ac:dyDescent="0.3">
      <c r="A1428" s="10">
        <v>45870</v>
      </c>
      <c r="B1428" s="9" t="s">
        <v>15</v>
      </c>
      <c r="C1428" t="s">
        <v>358</v>
      </c>
      <c r="D1428" s="9">
        <v>19505</v>
      </c>
      <c r="E1428" s="5" t="s">
        <v>416</v>
      </c>
      <c r="F1428" t="s">
        <v>204</v>
      </c>
      <c r="G1428">
        <v>2533</v>
      </c>
      <c r="H1428">
        <v>823</v>
      </c>
      <c r="I1428" s="8">
        <f t="shared" si="133"/>
        <v>0.32491117252270035</v>
      </c>
      <c r="J1428" s="17">
        <v>0.7</v>
      </c>
      <c r="K1428" s="12">
        <v>13.75</v>
      </c>
      <c r="L1428" s="2">
        <f t="shared" si="130"/>
        <v>950.09999999999968</v>
      </c>
      <c r="M1428" s="15">
        <f t="shared" si="134"/>
        <v>13063.874999999996</v>
      </c>
      <c r="N1428" t="str">
        <f t="shared" si="131"/>
        <v>RJ</v>
      </c>
      <c r="O1428" t="str">
        <f t="shared" si="132"/>
        <v>Rio De Janeiro</v>
      </c>
    </row>
    <row r="1429" spans="1:15" x14ac:dyDescent="0.3">
      <c r="A1429" s="10">
        <v>45870</v>
      </c>
      <c r="B1429" s="9" t="s">
        <v>15</v>
      </c>
      <c r="C1429" t="s">
        <v>358</v>
      </c>
      <c r="D1429" s="9">
        <v>19515</v>
      </c>
      <c r="E1429" s="5" t="s">
        <v>417</v>
      </c>
      <c r="F1429" t="s">
        <v>205</v>
      </c>
      <c r="G1429">
        <v>3594</v>
      </c>
      <c r="H1429">
        <v>796</v>
      </c>
      <c r="I1429" s="8">
        <f t="shared" si="133"/>
        <v>0.22148024485253201</v>
      </c>
      <c r="J1429" s="17">
        <v>0.7</v>
      </c>
      <c r="K1429" s="12">
        <v>13.75</v>
      </c>
      <c r="L1429" s="2">
        <f t="shared" si="130"/>
        <v>1719.7999999999997</v>
      </c>
      <c r="M1429" s="15">
        <f t="shared" si="134"/>
        <v>23647.249999999996</v>
      </c>
      <c r="N1429" t="str">
        <f t="shared" si="131"/>
        <v>RJ</v>
      </c>
      <c r="O1429" t="str">
        <f t="shared" si="132"/>
        <v>Rio De Janeiro</v>
      </c>
    </row>
    <row r="1430" spans="1:15" x14ac:dyDescent="0.3">
      <c r="A1430" s="10">
        <v>45870</v>
      </c>
      <c r="B1430" s="9" t="s">
        <v>15</v>
      </c>
      <c r="C1430" t="s">
        <v>358</v>
      </c>
      <c r="D1430" s="9">
        <v>19519</v>
      </c>
      <c r="E1430" s="5" t="s">
        <v>418</v>
      </c>
      <c r="F1430" t="s">
        <v>206</v>
      </c>
      <c r="G1430">
        <v>5582</v>
      </c>
      <c r="H1430">
        <v>1749</v>
      </c>
      <c r="I1430" s="8">
        <f t="shared" si="133"/>
        <v>0.31332855607309207</v>
      </c>
      <c r="J1430" s="17">
        <v>0.7</v>
      </c>
      <c r="K1430" s="12">
        <v>13.75</v>
      </c>
      <c r="L1430" s="2">
        <f t="shared" si="130"/>
        <v>2158.4</v>
      </c>
      <c r="M1430" s="15">
        <f t="shared" si="134"/>
        <v>29678</v>
      </c>
      <c r="N1430" t="str">
        <f t="shared" si="131"/>
        <v>RJ</v>
      </c>
      <c r="O1430" t="str">
        <f t="shared" si="132"/>
        <v>Rio De Janeiro</v>
      </c>
    </row>
    <row r="1431" spans="1:15" x14ac:dyDescent="0.3">
      <c r="A1431" s="10">
        <v>45870</v>
      </c>
      <c r="B1431" s="9" t="s">
        <v>15</v>
      </c>
      <c r="C1431" t="s">
        <v>358</v>
      </c>
      <c r="D1431" s="9">
        <v>19518</v>
      </c>
      <c r="E1431" s="5" t="s">
        <v>419</v>
      </c>
      <c r="F1431" t="s">
        <v>207</v>
      </c>
      <c r="G1431">
        <v>4428</v>
      </c>
      <c r="H1431">
        <v>1745</v>
      </c>
      <c r="I1431" s="8">
        <f t="shared" si="133"/>
        <v>0.39408310749774167</v>
      </c>
      <c r="J1431" s="17">
        <v>0.7</v>
      </c>
      <c r="K1431" s="12">
        <v>13.75</v>
      </c>
      <c r="L1431" s="2">
        <f t="shared" si="130"/>
        <v>1354.6</v>
      </c>
      <c r="M1431" s="15">
        <f t="shared" si="134"/>
        <v>18625.75</v>
      </c>
      <c r="N1431" t="str">
        <f t="shared" si="131"/>
        <v>RJ</v>
      </c>
      <c r="O1431" t="str">
        <f t="shared" si="132"/>
        <v>Rio De Janeiro</v>
      </c>
    </row>
    <row r="1432" spans="1:15" x14ac:dyDescent="0.3">
      <c r="A1432" s="10">
        <v>45870</v>
      </c>
      <c r="B1432" s="9" t="s">
        <v>15</v>
      </c>
      <c r="C1432" t="s">
        <v>358</v>
      </c>
      <c r="D1432" s="9">
        <v>19507</v>
      </c>
      <c r="E1432" s="5" t="s">
        <v>420</v>
      </c>
      <c r="F1432" t="s">
        <v>208</v>
      </c>
      <c r="G1432">
        <v>3463</v>
      </c>
      <c r="H1432">
        <v>1075</v>
      </c>
      <c r="I1432" s="8">
        <f t="shared" si="133"/>
        <v>0.31042448743863704</v>
      </c>
      <c r="J1432" s="17">
        <v>0.7</v>
      </c>
      <c r="K1432" s="12">
        <v>13.75</v>
      </c>
      <c r="L1432" s="2">
        <f t="shared" si="130"/>
        <v>1349.1</v>
      </c>
      <c r="M1432" s="15">
        <f t="shared" si="134"/>
        <v>18550.125</v>
      </c>
      <c r="N1432" t="str">
        <f t="shared" si="131"/>
        <v>RJ</v>
      </c>
      <c r="O1432" t="str">
        <f t="shared" si="132"/>
        <v>Rio De Janeiro</v>
      </c>
    </row>
    <row r="1433" spans="1:15" x14ac:dyDescent="0.3">
      <c r="A1433" s="10">
        <v>45870</v>
      </c>
      <c r="B1433" s="9" t="s">
        <v>15</v>
      </c>
      <c r="C1433" t="s">
        <v>358</v>
      </c>
      <c r="D1433" s="9">
        <v>19714</v>
      </c>
      <c r="E1433" s="5" t="s">
        <v>421</v>
      </c>
      <c r="F1433" t="s">
        <v>209</v>
      </c>
      <c r="G1433">
        <v>2904</v>
      </c>
      <c r="H1433">
        <v>967</v>
      </c>
      <c r="I1433" s="8">
        <f t="shared" si="133"/>
        <v>0.33298898071625344</v>
      </c>
      <c r="J1433" s="17">
        <v>0.7</v>
      </c>
      <c r="K1433" s="12">
        <v>13.75</v>
      </c>
      <c r="L1433" s="2">
        <f t="shared" si="130"/>
        <v>1065.8</v>
      </c>
      <c r="M1433" s="15">
        <f t="shared" si="134"/>
        <v>14654.75</v>
      </c>
      <c r="N1433" t="str">
        <f t="shared" si="131"/>
        <v>RJ</v>
      </c>
      <c r="O1433" t="str">
        <f t="shared" si="132"/>
        <v>Rio De Janeiro</v>
      </c>
    </row>
    <row r="1434" spans="1:15" x14ac:dyDescent="0.3">
      <c r="A1434" s="10">
        <v>45870</v>
      </c>
      <c r="B1434" s="9" t="s">
        <v>15</v>
      </c>
      <c r="C1434" t="s">
        <v>358</v>
      </c>
      <c r="D1434" s="9">
        <v>19844</v>
      </c>
      <c r="E1434" s="5" t="s">
        <v>428</v>
      </c>
      <c r="F1434" t="s">
        <v>210</v>
      </c>
      <c r="G1434">
        <v>2341</v>
      </c>
      <c r="H1434">
        <v>784</v>
      </c>
      <c r="I1434" s="8">
        <f t="shared" si="133"/>
        <v>0.33489961554891073</v>
      </c>
      <c r="J1434" s="17">
        <v>0.7</v>
      </c>
      <c r="K1434" s="12">
        <v>13.75</v>
      </c>
      <c r="L1434" s="2">
        <f t="shared" si="130"/>
        <v>854.69999999999982</v>
      </c>
      <c r="M1434" s="15">
        <f t="shared" si="134"/>
        <v>11752.124999999998</v>
      </c>
      <c r="N1434" t="str">
        <f t="shared" si="131"/>
        <v>RJ</v>
      </c>
      <c r="O1434" t="str">
        <f t="shared" si="132"/>
        <v>Rio De Janeiro</v>
      </c>
    </row>
    <row r="1435" spans="1:15" x14ac:dyDescent="0.3">
      <c r="A1435" s="10">
        <v>45870</v>
      </c>
      <c r="B1435" s="9" t="s">
        <v>14</v>
      </c>
      <c r="C1435" t="s">
        <v>29</v>
      </c>
      <c r="D1435" s="9">
        <v>19704</v>
      </c>
      <c r="E1435" s="5" t="s">
        <v>429</v>
      </c>
      <c r="F1435" t="s">
        <v>30</v>
      </c>
      <c r="G1435">
        <v>3149</v>
      </c>
      <c r="H1435">
        <v>1285</v>
      </c>
      <c r="I1435" s="8">
        <f t="shared" si="133"/>
        <v>0.40806605271514768</v>
      </c>
      <c r="J1435" s="17">
        <v>0.7</v>
      </c>
      <c r="K1435" s="12">
        <v>13.75</v>
      </c>
      <c r="L1435" s="2">
        <f t="shared" si="130"/>
        <v>919.29999999999973</v>
      </c>
      <c r="M1435" s="15">
        <f t="shared" si="134"/>
        <v>12640.374999999996</v>
      </c>
      <c r="N1435" t="str">
        <f t="shared" si="131"/>
        <v>MG</v>
      </c>
      <c r="O1435" t="str">
        <f t="shared" si="132"/>
        <v>Belo Horizonte</v>
      </c>
    </row>
    <row r="1436" spans="1:15" x14ac:dyDescent="0.3">
      <c r="A1436" s="10">
        <v>45870</v>
      </c>
      <c r="B1436" s="9" t="s">
        <v>15</v>
      </c>
      <c r="C1436" t="s">
        <v>358</v>
      </c>
      <c r="D1436" s="9">
        <v>19512</v>
      </c>
      <c r="E1436" s="5" t="s">
        <v>430</v>
      </c>
      <c r="F1436" t="s">
        <v>211</v>
      </c>
      <c r="G1436">
        <v>1922</v>
      </c>
      <c r="H1436">
        <v>650</v>
      </c>
      <c r="I1436" s="8">
        <f t="shared" si="133"/>
        <v>0.33818938605619148</v>
      </c>
      <c r="J1436" s="17">
        <v>0.7</v>
      </c>
      <c r="K1436" s="12">
        <v>13.75</v>
      </c>
      <c r="L1436" s="2">
        <f t="shared" si="130"/>
        <v>695.39999999999986</v>
      </c>
      <c r="M1436" s="15">
        <f t="shared" si="134"/>
        <v>9561.7499999999982</v>
      </c>
      <c r="N1436" t="str">
        <f t="shared" si="131"/>
        <v>RJ</v>
      </c>
      <c r="O1436" t="str">
        <f t="shared" si="132"/>
        <v>Rio De Janeiro</v>
      </c>
    </row>
    <row r="1437" spans="1:15" x14ac:dyDescent="0.3">
      <c r="A1437" s="10">
        <v>45870</v>
      </c>
      <c r="B1437" s="9" t="s">
        <v>14</v>
      </c>
      <c r="C1437" t="s">
        <v>29</v>
      </c>
      <c r="D1437" s="9">
        <v>19562</v>
      </c>
      <c r="E1437" s="5" t="s">
        <v>431</v>
      </c>
      <c r="F1437" t="s">
        <v>31</v>
      </c>
      <c r="G1437">
        <v>1529</v>
      </c>
      <c r="H1437">
        <v>647</v>
      </c>
      <c r="I1437" s="8">
        <f t="shared" si="133"/>
        <v>0.42315238718116416</v>
      </c>
      <c r="J1437" s="17">
        <v>0.7</v>
      </c>
      <c r="K1437" s="12">
        <v>13.75</v>
      </c>
      <c r="L1437" s="2">
        <f t="shared" si="130"/>
        <v>423.29999999999995</v>
      </c>
      <c r="M1437" s="15">
        <f t="shared" si="134"/>
        <v>5820.3749999999991</v>
      </c>
      <c r="N1437" t="str">
        <f t="shared" si="131"/>
        <v>MG</v>
      </c>
      <c r="O1437" t="str">
        <f t="shared" si="132"/>
        <v>Belo Horizonte</v>
      </c>
    </row>
    <row r="1438" spans="1:15" x14ac:dyDescent="0.3">
      <c r="A1438" s="10">
        <v>45870</v>
      </c>
      <c r="B1438" s="9" t="s">
        <v>14</v>
      </c>
      <c r="C1438" t="s">
        <v>29</v>
      </c>
      <c r="D1438" s="9">
        <v>19748</v>
      </c>
      <c r="E1438" s="5" t="s">
        <v>432</v>
      </c>
      <c r="F1438" t="s">
        <v>32</v>
      </c>
      <c r="G1438">
        <v>2085</v>
      </c>
      <c r="H1438">
        <v>906</v>
      </c>
      <c r="I1438" s="8">
        <f t="shared" si="133"/>
        <v>0.43453237410071943</v>
      </c>
      <c r="J1438" s="17">
        <v>0.7</v>
      </c>
      <c r="K1438" s="12">
        <v>13.75</v>
      </c>
      <c r="L1438" s="2">
        <f t="shared" ref="L1438:L1469" si="135">H1438*J1438/I1438-H1438</f>
        <v>553.49999999999977</v>
      </c>
      <c r="M1438" s="15">
        <f t="shared" si="134"/>
        <v>7610.6249999999973</v>
      </c>
      <c r="N1438" t="str">
        <f t="shared" si="131"/>
        <v>MG</v>
      </c>
      <c r="O1438" t="str">
        <f t="shared" si="132"/>
        <v>Belo Horizonte</v>
      </c>
    </row>
    <row r="1439" spans="1:15" x14ac:dyDescent="0.3">
      <c r="A1439" s="10">
        <v>45870</v>
      </c>
      <c r="B1439" s="9" t="s">
        <v>14</v>
      </c>
      <c r="C1439" t="s">
        <v>29</v>
      </c>
      <c r="D1439" s="9">
        <v>19561</v>
      </c>
      <c r="E1439" s="5" t="s">
        <v>433</v>
      </c>
      <c r="F1439" t="s">
        <v>33</v>
      </c>
      <c r="G1439">
        <v>1348</v>
      </c>
      <c r="H1439">
        <v>432</v>
      </c>
      <c r="I1439" s="8">
        <f t="shared" si="133"/>
        <v>0.32047477744807124</v>
      </c>
      <c r="J1439" s="17">
        <v>0.7</v>
      </c>
      <c r="K1439" s="12">
        <v>13.75</v>
      </c>
      <c r="L1439" s="2">
        <f t="shared" si="135"/>
        <v>511.59999999999991</v>
      </c>
      <c r="M1439" s="15">
        <f t="shared" si="134"/>
        <v>7034.4999999999991</v>
      </c>
      <c r="N1439" t="str">
        <f t="shared" si="131"/>
        <v>MG</v>
      </c>
      <c r="O1439" t="str">
        <f t="shared" si="132"/>
        <v>Belo Horizonte</v>
      </c>
    </row>
    <row r="1440" spans="1:15" x14ac:dyDescent="0.3">
      <c r="A1440" s="10">
        <v>45870</v>
      </c>
      <c r="B1440" s="9" t="s">
        <v>14</v>
      </c>
      <c r="C1440" t="s">
        <v>29</v>
      </c>
      <c r="D1440" s="9">
        <v>19560</v>
      </c>
      <c r="E1440" s="5" t="s">
        <v>435</v>
      </c>
      <c r="F1440" t="s">
        <v>34</v>
      </c>
      <c r="G1440">
        <v>3905</v>
      </c>
      <c r="H1440">
        <v>1620</v>
      </c>
      <c r="I1440" s="8">
        <f t="shared" si="133"/>
        <v>0.41485275288092188</v>
      </c>
      <c r="J1440" s="17">
        <v>0.7</v>
      </c>
      <c r="K1440" s="12">
        <v>13.75</v>
      </c>
      <c r="L1440" s="2">
        <f t="shared" si="135"/>
        <v>1113.5</v>
      </c>
      <c r="M1440" s="15">
        <f t="shared" si="134"/>
        <v>15310.625</v>
      </c>
      <c r="N1440" t="str">
        <f t="shared" si="131"/>
        <v>MG</v>
      </c>
      <c r="O1440" t="str">
        <f t="shared" si="132"/>
        <v>Belo Horizonte</v>
      </c>
    </row>
    <row r="1441" spans="1:15" x14ac:dyDescent="0.3">
      <c r="A1441" s="10">
        <v>45870</v>
      </c>
      <c r="B1441" s="9" t="s">
        <v>15</v>
      </c>
      <c r="C1441" t="s">
        <v>358</v>
      </c>
      <c r="D1441" s="9">
        <v>19508</v>
      </c>
      <c r="E1441" s="5" t="s">
        <v>444</v>
      </c>
      <c r="F1441" t="s">
        <v>212</v>
      </c>
      <c r="G1441">
        <v>2926</v>
      </c>
      <c r="H1441">
        <v>1051</v>
      </c>
      <c r="I1441" s="8">
        <f t="shared" si="133"/>
        <v>0.35919343814080656</v>
      </c>
      <c r="J1441" s="17">
        <v>0.7</v>
      </c>
      <c r="K1441" s="12">
        <v>13.75</v>
      </c>
      <c r="L1441" s="2">
        <f t="shared" si="135"/>
        <v>997.19999999999982</v>
      </c>
      <c r="M1441" s="15">
        <f t="shared" si="134"/>
        <v>13711.499999999998</v>
      </c>
      <c r="N1441" t="str">
        <f t="shared" si="131"/>
        <v>RJ</v>
      </c>
      <c r="O1441" t="str">
        <f t="shared" si="132"/>
        <v>Rio De Janeiro</v>
      </c>
    </row>
    <row r="1442" spans="1:15" x14ac:dyDescent="0.3">
      <c r="A1442" s="10">
        <v>45870</v>
      </c>
      <c r="B1442" s="9" t="s">
        <v>15</v>
      </c>
      <c r="C1442" t="s">
        <v>358</v>
      </c>
      <c r="D1442" s="9">
        <v>19894</v>
      </c>
      <c r="E1442" s="5" t="s">
        <v>446</v>
      </c>
      <c r="F1442" t="s">
        <v>213</v>
      </c>
      <c r="G1442">
        <v>2473</v>
      </c>
      <c r="H1442">
        <v>871</v>
      </c>
      <c r="I1442" s="8">
        <f t="shared" si="133"/>
        <v>0.35220380105135463</v>
      </c>
      <c r="J1442" s="17">
        <v>0.7</v>
      </c>
      <c r="K1442" s="12">
        <v>13.75</v>
      </c>
      <c r="L1442" s="2">
        <f t="shared" si="135"/>
        <v>860.09999999999991</v>
      </c>
      <c r="M1442" s="15">
        <f t="shared" si="134"/>
        <v>11826.374999999998</v>
      </c>
      <c r="N1442" t="str">
        <f t="shared" si="131"/>
        <v>RJ</v>
      </c>
      <c r="O1442" t="str">
        <f t="shared" si="132"/>
        <v>Rio De Janeiro</v>
      </c>
    </row>
    <row r="1443" spans="1:15" x14ac:dyDescent="0.3">
      <c r="A1443" s="10">
        <v>45870</v>
      </c>
      <c r="B1443" s="9" t="s">
        <v>15</v>
      </c>
      <c r="C1443" t="s">
        <v>358</v>
      </c>
      <c r="D1443" s="9">
        <v>19526</v>
      </c>
      <c r="E1443" s="5" t="s">
        <v>447</v>
      </c>
      <c r="F1443" t="s">
        <v>214</v>
      </c>
      <c r="G1443">
        <v>1436</v>
      </c>
      <c r="H1443">
        <v>538</v>
      </c>
      <c r="I1443" s="8">
        <f t="shared" si="133"/>
        <v>0.37465181058495822</v>
      </c>
      <c r="J1443" s="17">
        <v>0.7</v>
      </c>
      <c r="K1443" s="12">
        <v>13.75</v>
      </c>
      <c r="L1443" s="2">
        <f t="shared" si="135"/>
        <v>467.19999999999993</v>
      </c>
      <c r="M1443" s="15">
        <f t="shared" si="134"/>
        <v>6423.9999999999991</v>
      </c>
      <c r="N1443" t="str">
        <f t="shared" si="131"/>
        <v>RJ</v>
      </c>
      <c r="O1443" t="str">
        <f t="shared" si="132"/>
        <v>Rio De Janeiro</v>
      </c>
    </row>
    <row r="1444" spans="1:15" x14ac:dyDescent="0.3">
      <c r="A1444" s="10">
        <v>45870</v>
      </c>
      <c r="B1444" s="9" t="s">
        <v>15</v>
      </c>
      <c r="C1444" t="s">
        <v>358</v>
      </c>
      <c r="D1444" s="9">
        <v>19509</v>
      </c>
      <c r="E1444" s="5" t="s">
        <v>448</v>
      </c>
      <c r="F1444" t="s">
        <v>215</v>
      </c>
      <c r="G1444">
        <v>2648</v>
      </c>
      <c r="H1444">
        <v>849</v>
      </c>
      <c r="I1444" s="8">
        <f t="shared" si="133"/>
        <v>0.32061933534743203</v>
      </c>
      <c r="J1444" s="17">
        <v>0.7</v>
      </c>
      <c r="K1444" s="12">
        <v>13.75</v>
      </c>
      <c r="L1444" s="2">
        <f t="shared" si="135"/>
        <v>1004.5999999999999</v>
      </c>
      <c r="M1444" s="15">
        <f t="shared" si="134"/>
        <v>13813.249999999998</v>
      </c>
      <c r="N1444" t="str">
        <f t="shared" si="131"/>
        <v>RJ</v>
      </c>
      <c r="O1444" t="str">
        <f t="shared" si="132"/>
        <v>Rio De Janeiro</v>
      </c>
    </row>
    <row r="1445" spans="1:15" x14ac:dyDescent="0.3">
      <c r="A1445" s="10">
        <v>45870</v>
      </c>
      <c r="B1445" s="9" t="s">
        <v>15</v>
      </c>
      <c r="C1445" t="s">
        <v>358</v>
      </c>
      <c r="D1445" s="9">
        <v>19635</v>
      </c>
      <c r="E1445" s="5" t="s">
        <v>452</v>
      </c>
      <c r="F1445" t="s">
        <v>216</v>
      </c>
      <c r="G1445">
        <v>1855</v>
      </c>
      <c r="H1445">
        <v>758</v>
      </c>
      <c r="I1445" s="8">
        <f t="shared" si="133"/>
        <v>0.40862533692722369</v>
      </c>
      <c r="J1445" s="17">
        <v>0.7</v>
      </c>
      <c r="K1445" s="12">
        <v>13.75</v>
      </c>
      <c r="L1445" s="2">
        <f t="shared" si="135"/>
        <v>540.50000000000023</v>
      </c>
      <c r="M1445" s="15">
        <f t="shared" si="134"/>
        <v>7431.8750000000027</v>
      </c>
      <c r="N1445" t="str">
        <f t="shared" si="131"/>
        <v>RJ</v>
      </c>
      <c r="O1445" t="str">
        <f t="shared" si="132"/>
        <v>Rio De Janeiro</v>
      </c>
    </row>
    <row r="1446" spans="1:15" x14ac:dyDescent="0.3">
      <c r="A1446" s="10">
        <v>45870</v>
      </c>
      <c r="B1446" s="9" t="s">
        <v>15</v>
      </c>
      <c r="C1446" t="s">
        <v>358</v>
      </c>
      <c r="D1446" s="9">
        <v>19665</v>
      </c>
      <c r="E1446" s="5" t="s">
        <v>453</v>
      </c>
      <c r="F1446" t="s">
        <v>217</v>
      </c>
      <c r="G1446">
        <v>1945</v>
      </c>
      <c r="H1446">
        <v>730</v>
      </c>
      <c r="I1446" s="8">
        <f t="shared" si="133"/>
        <v>0.37532133676092544</v>
      </c>
      <c r="J1446" s="17">
        <v>0.7</v>
      </c>
      <c r="K1446" s="12">
        <v>13.75</v>
      </c>
      <c r="L1446" s="2">
        <f t="shared" si="135"/>
        <v>631.5</v>
      </c>
      <c r="M1446" s="15">
        <f t="shared" si="134"/>
        <v>8683.125</v>
      </c>
      <c r="N1446" t="str">
        <f t="shared" si="131"/>
        <v>RJ</v>
      </c>
      <c r="O1446" t="str">
        <f t="shared" si="132"/>
        <v>Rio De Janeiro</v>
      </c>
    </row>
    <row r="1447" spans="1:15" x14ac:dyDescent="0.3">
      <c r="A1447" s="10">
        <v>45870</v>
      </c>
      <c r="B1447" s="9" t="s">
        <v>15</v>
      </c>
      <c r="C1447" t="s">
        <v>358</v>
      </c>
      <c r="D1447" s="9">
        <v>19504</v>
      </c>
      <c r="E1447" s="5" t="s">
        <v>454</v>
      </c>
      <c r="F1447" t="s">
        <v>218</v>
      </c>
      <c r="G1447">
        <v>3136</v>
      </c>
      <c r="H1447">
        <v>1215</v>
      </c>
      <c r="I1447" s="8">
        <f t="shared" si="133"/>
        <v>0.38743622448979592</v>
      </c>
      <c r="J1447" s="17">
        <v>0.7</v>
      </c>
      <c r="K1447" s="12">
        <v>13.75</v>
      </c>
      <c r="L1447" s="2">
        <f t="shared" si="135"/>
        <v>980.19999999999982</v>
      </c>
      <c r="M1447" s="15">
        <f t="shared" si="134"/>
        <v>13477.749999999998</v>
      </c>
      <c r="N1447" t="str">
        <f t="shared" si="131"/>
        <v>RJ</v>
      </c>
      <c r="O1447" t="str">
        <f t="shared" si="132"/>
        <v>Rio De Janeiro</v>
      </c>
    </row>
    <row r="1448" spans="1:15" x14ac:dyDescent="0.3">
      <c r="A1448" s="10">
        <v>45870</v>
      </c>
      <c r="B1448" s="9" t="s">
        <v>15</v>
      </c>
      <c r="C1448" t="s">
        <v>358</v>
      </c>
      <c r="D1448" s="9">
        <v>19511</v>
      </c>
      <c r="E1448" s="5" t="s">
        <v>455</v>
      </c>
      <c r="F1448" t="s">
        <v>219</v>
      </c>
      <c r="G1448">
        <v>2931</v>
      </c>
      <c r="H1448">
        <v>926</v>
      </c>
      <c r="I1448" s="8">
        <f t="shared" si="133"/>
        <v>0.31593312862504264</v>
      </c>
      <c r="J1448" s="17">
        <v>0.7</v>
      </c>
      <c r="K1448" s="12">
        <v>13.75</v>
      </c>
      <c r="L1448" s="2">
        <f t="shared" si="135"/>
        <v>1125.6999999999998</v>
      </c>
      <c r="M1448" s="15">
        <f t="shared" si="134"/>
        <v>15478.374999999998</v>
      </c>
      <c r="N1448" t="str">
        <f t="shared" si="131"/>
        <v>RJ</v>
      </c>
      <c r="O1448" t="str">
        <f t="shared" si="132"/>
        <v>Rio De Janeiro</v>
      </c>
    </row>
    <row r="1449" spans="1:15" x14ac:dyDescent="0.3">
      <c r="A1449" s="10">
        <v>45870</v>
      </c>
      <c r="B1449" s="9" t="s">
        <v>14</v>
      </c>
      <c r="C1449" t="s">
        <v>285</v>
      </c>
      <c r="D1449" s="9">
        <v>19698</v>
      </c>
      <c r="E1449" s="5" t="s">
        <v>456</v>
      </c>
      <c r="F1449" t="s">
        <v>331</v>
      </c>
      <c r="G1449">
        <v>2700</v>
      </c>
      <c r="H1449">
        <v>955</v>
      </c>
      <c r="I1449" s="8">
        <f t="shared" si="133"/>
        <v>0.35370370370370369</v>
      </c>
      <c r="J1449" s="17">
        <v>0.7</v>
      </c>
      <c r="K1449" s="12">
        <v>13.75</v>
      </c>
      <c r="L1449" s="2">
        <f t="shared" si="135"/>
        <v>935</v>
      </c>
      <c r="M1449" s="15">
        <f t="shared" si="134"/>
        <v>12856.25</v>
      </c>
      <c r="N1449" t="str">
        <f t="shared" si="131"/>
        <v>MG</v>
      </c>
      <c r="O1449" t="str">
        <f t="shared" si="132"/>
        <v>Uberlândia</v>
      </c>
    </row>
    <row r="1450" spans="1:15" x14ac:dyDescent="0.3">
      <c r="A1450" s="10">
        <v>45870</v>
      </c>
      <c r="B1450" s="9" t="s">
        <v>15</v>
      </c>
      <c r="C1450" t="s">
        <v>358</v>
      </c>
      <c r="D1450" s="9">
        <v>19506</v>
      </c>
      <c r="E1450" s="5" t="s">
        <v>457</v>
      </c>
      <c r="F1450" t="s">
        <v>220</v>
      </c>
      <c r="G1450">
        <v>2933</v>
      </c>
      <c r="H1450">
        <v>1024</v>
      </c>
      <c r="I1450" s="8">
        <f t="shared" si="133"/>
        <v>0.3491305830207978</v>
      </c>
      <c r="J1450" s="17">
        <v>0.7</v>
      </c>
      <c r="K1450" s="12">
        <v>13.75</v>
      </c>
      <c r="L1450" s="2">
        <f t="shared" si="135"/>
        <v>1029.0999999999999</v>
      </c>
      <c r="M1450" s="15">
        <f t="shared" si="134"/>
        <v>14150.124999999998</v>
      </c>
      <c r="N1450" t="str">
        <f t="shared" si="131"/>
        <v>RJ</v>
      </c>
      <c r="O1450" t="str">
        <f t="shared" si="132"/>
        <v>Rio De Janeiro</v>
      </c>
    </row>
    <row r="1451" spans="1:15" x14ac:dyDescent="0.3">
      <c r="A1451" s="10">
        <v>45870</v>
      </c>
      <c r="B1451" s="9" t="s">
        <v>7</v>
      </c>
      <c r="C1451" t="s">
        <v>8</v>
      </c>
      <c r="D1451" s="9">
        <v>19700</v>
      </c>
      <c r="E1451" s="5" t="s">
        <v>458</v>
      </c>
      <c r="F1451" t="s">
        <v>9</v>
      </c>
      <c r="G1451">
        <v>2037</v>
      </c>
      <c r="H1451">
        <v>745</v>
      </c>
      <c r="I1451" s="8">
        <f t="shared" si="133"/>
        <v>0.36573392243495334</v>
      </c>
      <c r="J1451" s="17">
        <v>0.7</v>
      </c>
      <c r="K1451" s="12">
        <v>13.75</v>
      </c>
      <c r="L1451" s="2">
        <f t="shared" si="135"/>
        <v>680.90000000000009</v>
      </c>
      <c r="M1451" s="15">
        <f t="shared" si="134"/>
        <v>9362.3750000000018</v>
      </c>
      <c r="N1451" t="str">
        <f t="shared" si="131"/>
        <v>GO</v>
      </c>
      <c r="O1451" t="str">
        <f t="shared" si="132"/>
        <v>Anápolis</v>
      </c>
    </row>
    <row r="1452" spans="1:15" x14ac:dyDescent="0.3">
      <c r="A1452" s="10">
        <v>45870</v>
      </c>
      <c r="B1452" s="9" t="s">
        <v>14</v>
      </c>
      <c r="C1452" t="s">
        <v>29</v>
      </c>
      <c r="D1452" s="9">
        <v>19697</v>
      </c>
      <c r="E1452" s="5" t="s">
        <v>459</v>
      </c>
      <c r="F1452" t="s">
        <v>37</v>
      </c>
      <c r="G1452">
        <v>2168</v>
      </c>
      <c r="H1452">
        <v>760</v>
      </c>
      <c r="I1452" s="8">
        <f t="shared" si="133"/>
        <v>0.35055350553505538</v>
      </c>
      <c r="J1452" s="17">
        <v>0.7</v>
      </c>
      <c r="K1452" s="12">
        <v>13.75</v>
      </c>
      <c r="L1452" s="2">
        <f t="shared" si="135"/>
        <v>757.59999999999991</v>
      </c>
      <c r="M1452" s="15">
        <f t="shared" si="134"/>
        <v>10416.999999999998</v>
      </c>
      <c r="N1452" t="str">
        <f t="shared" si="131"/>
        <v>MG</v>
      </c>
      <c r="O1452" t="str">
        <f t="shared" si="132"/>
        <v>Belo Horizonte</v>
      </c>
    </row>
    <row r="1453" spans="1:15" x14ac:dyDescent="0.3">
      <c r="A1453" s="10">
        <v>45870</v>
      </c>
      <c r="B1453" s="9" t="s">
        <v>46</v>
      </c>
      <c r="C1453" t="s">
        <v>47</v>
      </c>
      <c r="D1453" s="9">
        <v>19722</v>
      </c>
      <c r="E1453" s="5" t="s">
        <v>460</v>
      </c>
      <c r="F1453" t="s">
        <v>52</v>
      </c>
      <c r="G1453">
        <v>1693</v>
      </c>
      <c r="H1453">
        <v>515</v>
      </c>
      <c r="I1453" s="8">
        <f t="shared" si="133"/>
        <v>0.30419373892498525</v>
      </c>
      <c r="J1453" s="17">
        <v>0.7</v>
      </c>
      <c r="K1453" s="12">
        <v>13.75</v>
      </c>
      <c r="L1453" s="2">
        <f t="shared" si="135"/>
        <v>670.09999999999991</v>
      </c>
      <c r="M1453" s="15">
        <f t="shared" si="134"/>
        <v>9213.8749999999982</v>
      </c>
      <c r="N1453" t="str">
        <f t="shared" si="131"/>
        <v>DF</v>
      </c>
      <c r="O1453" t="str">
        <f t="shared" si="132"/>
        <v>Brasília</v>
      </c>
    </row>
    <row r="1454" spans="1:15" x14ac:dyDescent="0.3">
      <c r="A1454" s="10">
        <v>45870</v>
      </c>
      <c r="B1454" s="9" t="s">
        <v>3</v>
      </c>
      <c r="C1454" t="s">
        <v>248</v>
      </c>
      <c r="D1454" s="9">
        <v>19716</v>
      </c>
      <c r="E1454" s="5" t="s">
        <v>461</v>
      </c>
      <c r="F1454" t="s">
        <v>262</v>
      </c>
      <c r="G1454">
        <v>1723</v>
      </c>
      <c r="H1454">
        <v>695</v>
      </c>
      <c r="I1454" s="8">
        <f t="shared" si="133"/>
        <v>0.40336622170632619</v>
      </c>
      <c r="J1454" s="17">
        <v>0.7</v>
      </c>
      <c r="K1454" s="12">
        <v>13.75</v>
      </c>
      <c r="L1454" s="2">
        <f t="shared" si="135"/>
        <v>511.09999999999991</v>
      </c>
      <c r="M1454" s="15">
        <f t="shared" si="134"/>
        <v>7027.6249999999991</v>
      </c>
      <c r="N1454" t="str">
        <f t="shared" si="131"/>
        <v>SP</v>
      </c>
      <c r="O1454" t="str">
        <f t="shared" si="132"/>
        <v>São Paulo</v>
      </c>
    </row>
    <row r="1455" spans="1:15" x14ac:dyDescent="0.3">
      <c r="A1455" s="10">
        <v>45870</v>
      </c>
      <c r="B1455" s="9" t="s">
        <v>3</v>
      </c>
      <c r="C1455" t="s">
        <v>17</v>
      </c>
      <c r="D1455" s="9">
        <v>19715</v>
      </c>
      <c r="E1455" s="5" t="s">
        <v>462</v>
      </c>
      <c r="F1455" t="s">
        <v>18</v>
      </c>
      <c r="G1455">
        <v>1756</v>
      </c>
      <c r="H1455">
        <v>913</v>
      </c>
      <c r="I1455" s="8">
        <f t="shared" si="133"/>
        <v>0.51993166287015946</v>
      </c>
      <c r="J1455" s="17">
        <v>0.7</v>
      </c>
      <c r="K1455" s="12">
        <v>13.75</v>
      </c>
      <c r="L1455" s="2">
        <f t="shared" si="135"/>
        <v>316.19999999999982</v>
      </c>
      <c r="M1455" s="15">
        <f t="shared" si="134"/>
        <v>4347.7499999999973</v>
      </c>
      <c r="N1455" t="str">
        <f t="shared" si="131"/>
        <v>SP</v>
      </c>
      <c r="O1455" t="str">
        <f t="shared" si="132"/>
        <v>Atibaia</v>
      </c>
    </row>
    <row r="1456" spans="1:15" x14ac:dyDescent="0.3">
      <c r="A1456" s="10">
        <v>45870</v>
      </c>
      <c r="B1456" s="9" t="s">
        <v>21</v>
      </c>
      <c r="C1456" t="s">
        <v>368</v>
      </c>
      <c r="D1456" s="9">
        <v>19736</v>
      </c>
      <c r="E1456" s="5" t="s">
        <v>464</v>
      </c>
      <c r="F1456" t="s">
        <v>295</v>
      </c>
      <c r="G1456">
        <v>4001</v>
      </c>
      <c r="H1456">
        <v>1460</v>
      </c>
      <c r="I1456" s="8">
        <f t="shared" si="133"/>
        <v>0.36490877280679829</v>
      </c>
      <c r="J1456" s="17">
        <v>0.7</v>
      </c>
      <c r="K1456" s="12">
        <v>13.75</v>
      </c>
      <c r="L1456" s="2">
        <f t="shared" si="135"/>
        <v>1340.6999999999998</v>
      </c>
      <c r="M1456" s="15">
        <f t="shared" si="134"/>
        <v>18434.624999999996</v>
      </c>
      <c r="N1456" t="str">
        <f t="shared" si="131"/>
        <v>BA</v>
      </c>
      <c r="O1456" t="str">
        <f t="shared" si="132"/>
        <v>Vitória Da Conquista</v>
      </c>
    </row>
    <row r="1457" spans="1:15" x14ac:dyDescent="0.3">
      <c r="A1457" s="10">
        <v>45870</v>
      </c>
      <c r="B1457" s="9" t="s">
        <v>21</v>
      </c>
      <c r="C1457" t="s">
        <v>228</v>
      </c>
      <c r="D1457" s="9">
        <v>19740</v>
      </c>
      <c r="E1457" s="5" t="s">
        <v>465</v>
      </c>
      <c r="F1457" t="s">
        <v>229</v>
      </c>
      <c r="G1457">
        <v>2188</v>
      </c>
      <c r="H1457">
        <v>765</v>
      </c>
      <c r="I1457" s="8">
        <f t="shared" si="133"/>
        <v>0.34963436928702013</v>
      </c>
      <c r="J1457" s="17">
        <v>0.7</v>
      </c>
      <c r="K1457" s="12">
        <v>13.75</v>
      </c>
      <c r="L1457" s="2">
        <f t="shared" si="135"/>
        <v>766.59999999999991</v>
      </c>
      <c r="M1457" s="15">
        <f t="shared" si="134"/>
        <v>10540.749999999998</v>
      </c>
      <c r="N1457" t="str">
        <f t="shared" si="131"/>
        <v>BA</v>
      </c>
      <c r="O1457" t="str">
        <f t="shared" si="132"/>
        <v>Salvador</v>
      </c>
    </row>
    <row r="1458" spans="1:15" x14ac:dyDescent="0.3">
      <c r="A1458" s="10">
        <v>45870</v>
      </c>
      <c r="B1458" s="9" t="s">
        <v>21</v>
      </c>
      <c r="C1458" t="s">
        <v>352</v>
      </c>
      <c r="D1458" s="9">
        <v>19738</v>
      </c>
      <c r="E1458" s="5" t="s">
        <v>466</v>
      </c>
      <c r="F1458" t="s">
        <v>118</v>
      </c>
      <c r="G1458">
        <v>4406</v>
      </c>
      <c r="H1458">
        <v>2236</v>
      </c>
      <c r="I1458" s="8">
        <f t="shared" si="133"/>
        <v>0.50748978665456201</v>
      </c>
      <c r="J1458" s="17">
        <v>0.7</v>
      </c>
      <c r="K1458" s="12">
        <v>13.75</v>
      </c>
      <c r="L1458" s="2">
        <f t="shared" si="135"/>
        <v>848.19999999999936</v>
      </c>
      <c r="M1458" s="15">
        <f t="shared" si="134"/>
        <v>11662.749999999991</v>
      </c>
      <c r="N1458" t="str">
        <f t="shared" si="131"/>
        <v>BA</v>
      </c>
      <c r="O1458" t="str">
        <f t="shared" si="132"/>
        <v>Lauro De Freitas</v>
      </c>
    </row>
    <row r="1459" spans="1:15" x14ac:dyDescent="0.3">
      <c r="A1459" s="10">
        <v>45870</v>
      </c>
      <c r="B1459" s="9" t="s">
        <v>129</v>
      </c>
      <c r="C1459" t="s">
        <v>130</v>
      </c>
      <c r="D1459" s="9">
        <v>19742</v>
      </c>
      <c r="E1459" s="5" t="s">
        <v>467</v>
      </c>
      <c r="F1459" t="s">
        <v>131</v>
      </c>
      <c r="G1459">
        <v>1623</v>
      </c>
      <c r="H1459">
        <v>793</v>
      </c>
      <c r="I1459" s="8">
        <f t="shared" si="133"/>
        <v>0.48860135551447936</v>
      </c>
      <c r="J1459" s="17">
        <v>0.7</v>
      </c>
      <c r="K1459" s="12">
        <v>13.75</v>
      </c>
      <c r="L1459" s="2">
        <f t="shared" si="135"/>
        <v>343.09999999999991</v>
      </c>
      <c r="M1459" s="15">
        <f t="shared" si="134"/>
        <v>4717.6249999999991</v>
      </c>
      <c r="N1459" t="str">
        <f t="shared" si="131"/>
        <v>AM</v>
      </c>
      <c r="O1459" t="str">
        <f t="shared" si="132"/>
        <v>Manaus</v>
      </c>
    </row>
    <row r="1460" spans="1:15" x14ac:dyDescent="0.3">
      <c r="A1460" s="10">
        <v>45870</v>
      </c>
      <c r="B1460" s="9" t="s">
        <v>129</v>
      </c>
      <c r="C1460" t="s">
        <v>130</v>
      </c>
      <c r="D1460" s="9">
        <v>19785</v>
      </c>
      <c r="E1460" s="5" t="s">
        <v>468</v>
      </c>
      <c r="F1460" t="s">
        <v>132</v>
      </c>
      <c r="G1460">
        <v>1845</v>
      </c>
      <c r="H1460">
        <v>860</v>
      </c>
      <c r="I1460" s="8">
        <f t="shared" si="133"/>
        <v>0.46612466124661245</v>
      </c>
      <c r="J1460" s="17">
        <v>0.7</v>
      </c>
      <c r="K1460" s="12">
        <v>13.75</v>
      </c>
      <c r="L1460" s="2">
        <f t="shared" si="135"/>
        <v>431.5</v>
      </c>
      <c r="M1460" s="15">
        <f t="shared" si="134"/>
        <v>5933.125</v>
      </c>
      <c r="N1460" t="str">
        <f t="shared" si="131"/>
        <v>AM</v>
      </c>
      <c r="O1460" t="str">
        <f t="shared" si="132"/>
        <v>Manaus</v>
      </c>
    </row>
    <row r="1461" spans="1:15" x14ac:dyDescent="0.3">
      <c r="A1461" s="10">
        <v>45870</v>
      </c>
      <c r="B1461" s="9" t="s">
        <v>129</v>
      </c>
      <c r="C1461" t="s">
        <v>130</v>
      </c>
      <c r="D1461" s="9">
        <v>19843</v>
      </c>
      <c r="E1461" s="5" t="s">
        <v>469</v>
      </c>
      <c r="F1461" t="s">
        <v>133</v>
      </c>
      <c r="G1461">
        <v>1416</v>
      </c>
      <c r="H1461">
        <v>661</v>
      </c>
      <c r="I1461" s="8">
        <f t="shared" si="133"/>
        <v>0.46680790960451979</v>
      </c>
      <c r="J1461" s="17">
        <v>0.7</v>
      </c>
      <c r="K1461" s="12">
        <v>13.75</v>
      </c>
      <c r="L1461" s="2">
        <f t="shared" si="135"/>
        <v>330.19999999999993</v>
      </c>
      <c r="M1461" s="15">
        <f t="shared" si="134"/>
        <v>4540.2499999999991</v>
      </c>
      <c r="N1461" t="str">
        <f t="shared" si="131"/>
        <v>AM</v>
      </c>
      <c r="O1461" t="str">
        <f t="shared" si="132"/>
        <v>Manaus</v>
      </c>
    </row>
    <row r="1462" spans="1:15" x14ac:dyDescent="0.3">
      <c r="A1462" s="10">
        <v>45870</v>
      </c>
      <c r="B1462" s="9" t="s">
        <v>129</v>
      </c>
      <c r="C1462" t="s">
        <v>130</v>
      </c>
      <c r="D1462" s="9">
        <v>19879</v>
      </c>
      <c r="E1462" s="5" t="s">
        <v>470</v>
      </c>
      <c r="F1462" t="s">
        <v>134</v>
      </c>
      <c r="G1462">
        <v>1525</v>
      </c>
      <c r="H1462">
        <v>768</v>
      </c>
      <c r="I1462" s="8">
        <f t="shared" si="133"/>
        <v>0.50360655737704918</v>
      </c>
      <c r="J1462" s="17">
        <v>0.7</v>
      </c>
      <c r="K1462" s="12">
        <v>13.75</v>
      </c>
      <c r="L1462" s="2">
        <f t="shared" si="135"/>
        <v>299.49999999999977</v>
      </c>
      <c r="M1462" s="15">
        <f t="shared" si="134"/>
        <v>4118.1249999999973</v>
      </c>
      <c r="N1462" t="str">
        <f t="shared" si="131"/>
        <v>AM</v>
      </c>
      <c r="O1462" t="str">
        <f t="shared" si="132"/>
        <v>Manaus</v>
      </c>
    </row>
    <row r="1463" spans="1:15" x14ac:dyDescent="0.3">
      <c r="A1463" s="10">
        <v>45870</v>
      </c>
      <c r="B1463" s="9" t="s">
        <v>89</v>
      </c>
      <c r="C1463" t="s">
        <v>346</v>
      </c>
      <c r="D1463" s="9">
        <v>19735</v>
      </c>
      <c r="E1463" s="5" t="s">
        <v>471</v>
      </c>
      <c r="F1463" t="s">
        <v>90</v>
      </c>
      <c r="G1463">
        <v>1360</v>
      </c>
      <c r="H1463">
        <v>615</v>
      </c>
      <c r="I1463" s="8">
        <f t="shared" si="133"/>
        <v>0.45220588235294118</v>
      </c>
      <c r="J1463" s="17">
        <v>0.7</v>
      </c>
      <c r="K1463" s="12">
        <v>13.75</v>
      </c>
      <c r="L1463" s="2">
        <f t="shared" si="135"/>
        <v>337</v>
      </c>
      <c r="M1463" s="15">
        <f t="shared" si="134"/>
        <v>4633.75</v>
      </c>
      <c r="N1463" t="str">
        <f t="shared" si="131"/>
        <v>CE</v>
      </c>
      <c r="O1463" t="str">
        <f t="shared" si="132"/>
        <v>Fortaleza</v>
      </c>
    </row>
    <row r="1464" spans="1:15" x14ac:dyDescent="0.3">
      <c r="A1464" s="10">
        <v>45870</v>
      </c>
      <c r="B1464" s="9" t="s">
        <v>89</v>
      </c>
      <c r="C1464" t="s">
        <v>346</v>
      </c>
      <c r="D1464" s="9">
        <v>19607</v>
      </c>
      <c r="E1464" s="5" t="s">
        <v>472</v>
      </c>
      <c r="F1464" t="s">
        <v>91</v>
      </c>
      <c r="G1464">
        <v>1633</v>
      </c>
      <c r="H1464">
        <v>635</v>
      </c>
      <c r="I1464" s="8">
        <f t="shared" si="133"/>
        <v>0.38885486834047767</v>
      </c>
      <c r="J1464" s="17">
        <v>0.7</v>
      </c>
      <c r="K1464" s="12">
        <v>13.75</v>
      </c>
      <c r="L1464" s="2">
        <f t="shared" si="135"/>
        <v>508.09999999999991</v>
      </c>
      <c r="M1464" s="15">
        <f t="shared" si="134"/>
        <v>6986.3749999999991</v>
      </c>
      <c r="N1464" t="str">
        <f t="shared" si="131"/>
        <v>CE</v>
      </c>
      <c r="O1464" t="str">
        <f t="shared" si="132"/>
        <v>Fortaleza</v>
      </c>
    </row>
    <row r="1465" spans="1:15" x14ac:dyDescent="0.3">
      <c r="A1465" s="10">
        <v>45870</v>
      </c>
      <c r="B1465" s="9" t="s">
        <v>89</v>
      </c>
      <c r="C1465" t="s">
        <v>346</v>
      </c>
      <c r="D1465" s="9">
        <v>19642</v>
      </c>
      <c r="E1465" s="5" t="s">
        <v>473</v>
      </c>
      <c r="F1465" t="s">
        <v>92</v>
      </c>
      <c r="G1465">
        <v>1564</v>
      </c>
      <c r="H1465">
        <v>582</v>
      </c>
      <c r="I1465" s="8">
        <f t="shared" si="133"/>
        <v>0.37212276214833762</v>
      </c>
      <c r="J1465" s="17">
        <v>0.7</v>
      </c>
      <c r="K1465" s="12">
        <v>13.75</v>
      </c>
      <c r="L1465" s="2">
        <f t="shared" si="135"/>
        <v>512.79999999999995</v>
      </c>
      <c r="M1465" s="15">
        <f t="shared" si="134"/>
        <v>7050.9999999999991</v>
      </c>
      <c r="N1465" t="str">
        <f t="shared" si="131"/>
        <v>CE</v>
      </c>
      <c r="O1465" t="str">
        <f t="shared" si="132"/>
        <v>Fortaleza</v>
      </c>
    </row>
    <row r="1466" spans="1:15" x14ac:dyDescent="0.3">
      <c r="A1466" s="10">
        <v>45870</v>
      </c>
      <c r="B1466" s="9" t="s">
        <v>89</v>
      </c>
      <c r="C1466" t="s">
        <v>346</v>
      </c>
      <c r="D1466" s="9">
        <v>19725</v>
      </c>
      <c r="E1466" s="5" t="s">
        <v>474</v>
      </c>
      <c r="F1466" t="s">
        <v>93</v>
      </c>
      <c r="G1466">
        <v>1107</v>
      </c>
      <c r="H1466">
        <v>429</v>
      </c>
      <c r="I1466" s="8">
        <f t="shared" si="133"/>
        <v>0.38753387533875339</v>
      </c>
      <c r="J1466" s="17">
        <v>0.7</v>
      </c>
      <c r="K1466" s="12">
        <v>13.75</v>
      </c>
      <c r="L1466" s="2">
        <f t="shared" si="135"/>
        <v>345.89999999999986</v>
      </c>
      <c r="M1466" s="15">
        <f t="shared" si="134"/>
        <v>4756.1249999999982</v>
      </c>
      <c r="N1466" t="str">
        <f t="shared" si="131"/>
        <v>CE</v>
      </c>
      <c r="O1466" t="str">
        <f t="shared" si="132"/>
        <v>Fortaleza</v>
      </c>
    </row>
    <row r="1467" spans="1:15" x14ac:dyDescent="0.3">
      <c r="A1467" s="10">
        <v>45870</v>
      </c>
      <c r="B1467" s="9" t="s">
        <v>89</v>
      </c>
      <c r="C1467" t="s">
        <v>346</v>
      </c>
      <c r="D1467" s="9">
        <v>19902</v>
      </c>
      <c r="E1467" s="5" t="s">
        <v>475</v>
      </c>
      <c r="F1467" t="s">
        <v>94</v>
      </c>
      <c r="G1467">
        <v>1442</v>
      </c>
      <c r="H1467">
        <v>584</v>
      </c>
      <c r="I1467" s="8">
        <f t="shared" si="133"/>
        <v>0.40499306518723993</v>
      </c>
      <c r="J1467" s="17">
        <v>0.7</v>
      </c>
      <c r="K1467" s="12">
        <v>13.75</v>
      </c>
      <c r="L1467" s="2">
        <f t="shared" si="135"/>
        <v>425.4</v>
      </c>
      <c r="M1467" s="15">
        <f t="shared" si="134"/>
        <v>5849.25</v>
      </c>
      <c r="N1467" t="str">
        <f t="shared" si="131"/>
        <v>CE</v>
      </c>
      <c r="O1467" t="str">
        <f t="shared" si="132"/>
        <v>Fortaleza</v>
      </c>
    </row>
    <row r="1468" spans="1:15" x14ac:dyDescent="0.3">
      <c r="A1468" s="10">
        <v>45870</v>
      </c>
      <c r="B1468" s="9" t="s">
        <v>89</v>
      </c>
      <c r="C1468" t="s">
        <v>346</v>
      </c>
      <c r="D1468" s="9">
        <v>19903</v>
      </c>
      <c r="E1468" s="5" t="s">
        <v>476</v>
      </c>
      <c r="F1468" t="s">
        <v>95</v>
      </c>
      <c r="G1468">
        <v>1455</v>
      </c>
      <c r="H1468">
        <v>895</v>
      </c>
      <c r="I1468" s="8">
        <f t="shared" si="133"/>
        <v>0.61512027491408938</v>
      </c>
      <c r="J1468" s="17">
        <v>0.7</v>
      </c>
      <c r="K1468" s="12">
        <v>13.75</v>
      </c>
      <c r="L1468" s="2">
        <f t="shared" si="135"/>
        <v>123.49999999999989</v>
      </c>
      <c r="M1468" s="15">
        <f t="shared" si="134"/>
        <v>1698.1249999999984</v>
      </c>
      <c r="N1468" t="str">
        <f t="shared" si="131"/>
        <v>CE</v>
      </c>
      <c r="O1468" t="str">
        <f t="shared" si="132"/>
        <v>Fortaleza</v>
      </c>
    </row>
    <row r="1469" spans="1:15" x14ac:dyDescent="0.3">
      <c r="A1469" s="10">
        <v>45870</v>
      </c>
      <c r="B1469" s="9" t="s">
        <v>82</v>
      </c>
      <c r="C1469" t="s">
        <v>135</v>
      </c>
      <c r="D1469" s="9">
        <v>19749</v>
      </c>
      <c r="E1469" s="5" t="s">
        <v>477</v>
      </c>
      <c r="F1469" t="s">
        <v>136</v>
      </c>
      <c r="G1469">
        <v>1561</v>
      </c>
      <c r="H1469">
        <v>521</v>
      </c>
      <c r="I1469" s="8">
        <f t="shared" si="133"/>
        <v>0.33376040999359385</v>
      </c>
      <c r="J1469" s="17">
        <v>0.7</v>
      </c>
      <c r="K1469" s="12">
        <v>13.75</v>
      </c>
      <c r="L1469" s="2">
        <f t="shared" si="135"/>
        <v>571.70000000000005</v>
      </c>
      <c r="M1469" s="15">
        <f t="shared" si="134"/>
        <v>7860.8750000000009</v>
      </c>
      <c r="N1469" t="str">
        <f t="shared" si="131"/>
        <v>PR</v>
      </c>
      <c r="O1469" t="str">
        <f t="shared" si="132"/>
        <v>Maringá</v>
      </c>
    </row>
    <row r="1470" spans="1:15" x14ac:dyDescent="0.3">
      <c r="A1470" s="10">
        <v>45870</v>
      </c>
      <c r="B1470" s="9" t="s">
        <v>82</v>
      </c>
      <c r="C1470" t="s">
        <v>83</v>
      </c>
      <c r="D1470" s="9">
        <v>19545</v>
      </c>
      <c r="E1470" s="5" t="s">
        <v>478</v>
      </c>
      <c r="F1470" t="s">
        <v>84</v>
      </c>
      <c r="G1470">
        <v>3258</v>
      </c>
      <c r="H1470">
        <v>1185</v>
      </c>
      <c r="I1470" s="8">
        <f t="shared" si="133"/>
        <v>0.36372007366482506</v>
      </c>
      <c r="J1470" s="17">
        <v>0.7</v>
      </c>
      <c r="K1470" s="12">
        <v>13.75</v>
      </c>
      <c r="L1470" s="2">
        <f t="shared" ref="L1470:L1475" si="136">H1470*J1470/I1470-H1470</f>
        <v>1095.5999999999999</v>
      </c>
      <c r="M1470" s="15">
        <f t="shared" si="134"/>
        <v>15064.499999999998</v>
      </c>
      <c r="N1470" t="str">
        <f t="shared" si="131"/>
        <v>PR</v>
      </c>
      <c r="O1470" t="str">
        <f t="shared" si="132"/>
        <v>Curitiba</v>
      </c>
    </row>
    <row r="1471" spans="1:15" x14ac:dyDescent="0.3">
      <c r="A1471" s="10">
        <v>45870</v>
      </c>
      <c r="B1471" s="9" t="s">
        <v>82</v>
      </c>
      <c r="C1471" t="s">
        <v>83</v>
      </c>
      <c r="D1471" s="9">
        <v>19546</v>
      </c>
      <c r="E1471" s="5" t="s">
        <v>479</v>
      </c>
      <c r="F1471" t="s">
        <v>85</v>
      </c>
      <c r="G1471">
        <v>2391</v>
      </c>
      <c r="H1471">
        <v>799</v>
      </c>
      <c r="I1471" s="8">
        <f t="shared" si="133"/>
        <v>0.3341698034295274</v>
      </c>
      <c r="J1471" s="17">
        <v>0.7</v>
      </c>
      <c r="K1471" s="12">
        <v>13.75</v>
      </c>
      <c r="L1471" s="2">
        <f t="shared" si="136"/>
        <v>874.69999999999982</v>
      </c>
      <c r="M1471" s="15">
        <f t="shared" si="134"/>
        <v>12027.124999999998</v>
      </c>
      <c r="N1471" t="str">
        <f t="shared" si="131"/>
        <v>PR</v>
      </c>
      <c r="O1471" t="str">
        <f t="shared" si="132"/>
        <v>Curitiba</v>
      </c>
    </row>
    <row r="1472" spans="1:15" x14ac:dyDescent="0.3">
      <c r="A1472" s="10">
        <v>45870</v>
      </c>
      <c r="B1472" s="9" t="s">
        <v>3</v>
      </c>
      <c r="C1472" t="s">
        <v>248</v>
      </c>
      <c r="D1472" s="9">
        <v>19753</v>
      </c>
      <c r="E1472" s="5" t="s">
        <v>483</v>
      </c>
      <c r="F1472" t="s">
        <v>265</v>
      </c>
      <c r="G1472">
        <v>2625</v>
      </c>
      <c r="H1472">
        <v>929</v>
      </c>
      <c r="I1472" s="8">
        <f t="shared" si="133"/>
        <v>0.35390476190476189</v>
      </c>
      <c r="J1472" s="17">
        <v>0.7</v>
      </c>
      <c r="K1472" s="12">
        <v>13.75</v>
      </c>
      <c r="L1472" s="2">
        <f t="shared" si="136"/>
        <v>908.5</v>
      </c>
      <c r="M1472" s="15">
        <f t="shared" si="134"/>
        <v>12491.875</v>
      </c>
      <c r="N1472" t="str">
        <f t="shared" si="131"/>
        <v>SP</v>
      </c>
      <c r="O1472" t="str">
        <f t="shared" si="132"/>
        <v>São Paulo</v>
      </c>
    </row>
    <row r="1473" spans="1:15" x14ac:dyDescent="0.3">
      <c r="A1473" s="10">
        <v>45870</v>
      </c>
      <c r="B1473" s="9" t="s">
        <v>7</v>
      </c>
      <c r="C1473" t="s">
        <v>99</v>
      </c>
      <c r="D1473" s="9">
        <v>19754</v>
      </c>
      <c r="E1473" s="5" t="s">
        <v>484</v>
      </c>
      <c r="F1473" t="s">
        <v>101</v>
      </c>
      <c r="G1473">
        <v>2933</v>
      </c>
      <c r="H1473">
        <v>1227</v>
      </c>
      <c r="I1473" s="8">
        <f t="shared" si="133"/>
        <v>0.41834299352199111</v>
      </c>
      <c r="J1473" s="17">
        <v>0.7</v>
      </c>
      <c r="K1473" s="12">
        <v>13.75</v>
      </c>
      <c r="L1473" s="2">
        <f t="shared" si="136"/>
        <v>826.09999999999991</v>
      </c>
      <c r="M1473" s="15">
        <f t="shared" si="134"/>
        <v>11358.874999999998</v>
      </c>
      <c r="N1473" t="str">
        <f t="shared" si="131"/>
        <v>GO</v>
      </c>
      <c r="O1473" t="str">
        <f t="shared" si="132"/>
        <v>Goiânia</v>
      </c>
    </row>
    <row r="1474" spans="1:15" x14ac:dyDescent="0.3">
      <c r="A1474" s="10">
        <v>45870</v>
      </c>
      <c r="B1474" s="9" t="s">
        <v>195</v>
      </c>
      <c r="C1474" t="s">
        <v>196</v>
      </c>
      <c r="D1474" s="9">
        <v>19762</v>
      </c>
      <c r="E1474" s="5" t="s">
        <v>486</v>
      </c>
      <c r="F1474" t="s">
        <v>197</v>
      </c>
      <c r="G1474">
        <v>1435</v>
      </c>
      <c r="H1474">
        <v>728</v>
      </c>
      <c r="I1474" s="8">
        <f t="shared" si="133"/>
        <v>0.50731707317073171</v>
      </c>
      <c r="J1474" s="17">
        <v>0.7</v>
      </c>
      <c r="K1474" s="12">
        <v>13.75</v>
      </c>
      <c r="L1474" s="2">
        <f t="shared" si="136"/>
        <v>276.49999999999989</v>
      </c>
      <c r="M1474" s="15">
        <f t="shared" si="134"/>
        <v>3801.8749999999986</v>
      </c>
      <c r="N1474" t="str">
        <f t="shared" ref="N1474:N1537" si="137">B1474</f>
        <v>AC</v>
      </c>
      <c r="O1474" t="str">
        <f t="shared" ref="O1474:O1537" si="138">C1474</f>
        <v>Rio Branco</v>
      </c>
    </row>
    <row r="1475" spans="1:15" x14ac:dyDescent="0.3">
      <c r="A1475" s="10">
        <v>45870</v>
      </c>
      <c r="B1475" s="9" t="s">
        <v>82</v>
      </c>
      <c r="C1475" t="s">
        <v>349</v>
      </c>
      <c r="D1475" s="9">
        <v>19772</v>
      </c>
      <c r="E1475" s="5" t="s">
        <v>487</v>
      </c>
      <c r="F1475" t="s">
        <v>96</v>
      </c>
      <c r="G1475">
        <v>1313</v>
      </c>
      <c r="H1475">
        <v>703</v>
      </c>
      <c r="I1475" s="8">
        <f t="shared" ref="I1475:I1538" si="139">H1475/G1475</f>
        <v>0.53541507996953541</v>
      </c>
      <c r="J1475" s="17">
        <v>0.7</v>
      </c>
      <c r="K1475" s="12">
        <v>13.75</v>
      </c>
      <c r="L1475" s="2">
        <f t="shared" si="136"/>
        <v>216.09999999999991</v>
      </c>
      <c r="M1475" s="15">
        <f t="shared" ref="M1475:M1538" si="140">L1475*K1475</f>
        <v>2971.3749999999986</v>
      </c>
      <c r="N1475" t="str">
        <f t="shared" si="137"/>
        <v>PR</v>
      </c>
      <c r="O1475" t="str">
        <f t="shared" si="138"/>
        <v>Foz Do Iguaçu</v>
      </c>
    </row>
    <row r="1476" spans="1:15" x14ac:dyDescent="0.3">
      <c r="A1476" s="10">
        <v>45870</v>
      </c>
      <c r="B1476" s="9" t="s">
        <v>15</v>
      </c>
      <c r="C1476" t="s">
        <v>345</v>
      </c>
      <c r="D1476" s="9">
        <v>19687</v>
      </c>
      <c r="E1476" s="5" t="s">
        <v>488</v>
      </c>
      <c r="F1476" t="s">
        <v>88</v>
      </c>
      <c r="G1476">
        <v>1731</v>
      </c>
      <c r="H1476">
        <v>1393</v>
      </c>
      <c r="I1476" s="8">
        <f t="shared" si="139"/>
        <v>0.80473714615828995</v>
      </c>
      <c r="J1476" s="17">
        <v>0.7</v>
      </c>
      <c r="K1476" s="12">
        <v>13.75</v>
      </c>
      <c r="L1476" s="2">
        <f>G1476-H1476</f>
        <v>338</v>
      </c>
      <c r="M1476" s="15">
        <f t="shared" si="140"/>
        <v>4647.5</v>
      </c>
      <c r="N1476" t="str">
        <f t="shared" si="137"/>
        <v>RJ</v>
      </c>
      <c r="O1476" t="str">
        <f t="shared" si="138"/>
        <v>Duque De Caxias</v>
      </c>
    </row>
    <row r="1477" spans="1:15" x14ac:dyDescent="0.3">
      <c r="A1477" s="10">
        <v>45870</v>
      </c>
      <c r="B1477" s="9" t="s">
        <v>40</v>
      </c>
      <c r="C1477" t="s">
        <v>41</v>
      </c>
      <c r="D1477" s="9">
        <v>19787</v>
      </c>
      <c r="E1477" s="5" t="s">
        <v>492</v>
      </c>
      <c r="F1477" t="s">
        <v>42</v>
      </c>
      <c r="G1477">
        <v>859</v>
      </c>
      <c r="H1477">
        <v>429</v>
      </c>
      <c r="I1477" s="8">
        <f t="shared" si="139"/>
        <v>0.49941792782305006</v>
      </c>
      <c r="J1477" s="17">
        <v>0.7</v>
      </c>
      <c r="K1477" s="12">
        <v>13.75</v>
      </c>
      <c r="L1477" s="2">
        <f t="shared" ref="L1477:L1508" si="141">H1477*J1477/I1477-H1477</f>
        <v>172.29999999999995</v>
      </c>
      <c r="M1477" s="15">
        <f t="shared" si="140"/>
        <v>2369.1249999999995</v>
      </c>
      <c r="N1477" t="str">
        <f t="shared" si="137"/>
        <v>RR</v>
      </c>
      <c r="O1477" t="str">
        <f t="shared" si="138"/>
        <v>Boa Vista</v>
      </c>
    </row>
    <row r="1478" spans="1:15" x14ac:dyDescent="0.3">
      <c r="A1478" s="10">
        <v>45870</v>
      </c>
      <c r="B1478" s="9" t="s">
        <v>71</v>
      </c>
      <c r="C1478" t="s">
        <v>175</v>
      </c>
      <c r="D1478" s="9">
        <v>19788</v>
      </c>
      <c r="E1478" s="5" t="s">
        <v>495</v>
      </c>
      <c r="F1478" t="s">
        <v>177</v>
      </c>
      <c r="G1478">
        <v>4985</v>
      </c>
      <c r="H1478">
        <v>1368</v>
      </c>
      <c r="I1478" s="8">
        <f t="shared" si="139"/>
        <v>0.27442326980942827</v>
      </c>
      <c r="J1478" s="17">
        <v>0.7</v>
      </c>
      <c r="K1478" s="12">
        <v>13.75</v>
      </c>
      <c r="L1478" s="2">
        <f t="shared" si="141"/>
        <v>2121.5</v>
      </c>
      <c r="M1478" s="15">
        <f t="shared" si="140"/>
        <v>29170.625</v>
      </c>
      <c r="N1478" t="str">
        <f t="shared" si="137"/>
        <v>RS</v>
      </c>
      <c r="O1478" t="str">
        <f t="shared" si="138"/>
        <v>Porto Alegre</v>
      </c>
    </row>
    <row r="1479" spans="1:15" x14ac:dyDescent="0.3">
      <c r="A1479" s="10">
        <v>45870</v>
      </c>
      <c r="B1479" s="9" t="s">
        <v>21</v>
      </c>
      <c r="C1479" t="s">
        <v>228</v>
      </c>
      <c r="D1479" s="9">
        <v>19790</v>
      </c>
      <c r="E1479" s="5" t="s">
        <v>497</v>
      </c>
      <c r="F1479" t="s">
        <v>232</v>
      </c>
      <c r="G1479">
        <v>3228</v>
      </c>
      <c r="H1479">
        <v>1218</v>
      </c>
      <c r="I1479" s="8">
        <f t="shared" si="139"/>
        <v>0.37732342007434944</v>
      </c>
      <c r="J1479" s="17">
        <v>0.7</v>
      </c>
      <c r="K1479" s="12">
        <v>13.75</v>
      </c>
      <c r="L1479" s="2">
        <f t="shared" si="141"/>
        <v>1041.5999999999999</v>
      </c>
      <c r="M1479" s="15">
        <f t="shared" si="140"/>
        <v>14321.999999999998</v>
      </c>
      <c r="N1479" t="str">
        <f t="shared" si="137"/>
        <v>BA</v>
      </c>
      <c r="O1479" t="str">
        <f t="shared" si="138"/>
        <v>Salvador</v>
      </c>
    </row>
    <row r="1480" spans="1:15" x14ac:dyDescent="0.3">
      <c r="A1480" s="10">
        <v>45870</v>
      </c>
      <c r="B1480" s="9" t="s">
        <v>71</v>
      </c>
      <c r="C1480" t="s">
        <v>175</v>
      </c>
      <c r="D1480" s="9">
        <v>19842</v>
      </c>
      <c r="E1480" s="5" t="s">
        <v>498</v>
      </c>
      <c r="F1480" t="s">
        <v>178</v>
      </c>
      <c r="G1480">
        <v>3470</v>
      </c>
      <c r="H1480">
        <v>1012</v>
      </c>
      <c r="I1480" s="8">
        <f t="shared" si="139"/>
        <v>0.29164265129682998</v>
      </c>
      <c r="J1480" s="17">
        <v>0.7</v>
      </c>
      <c r="K1480" s="12">
        <v>13.75</v>
      </c>
      <c r="L1480" s="2">
        <f t="shared" si="141"/>
        <v>1417</v>
      </c>
      <c r="M1480" s="15">
        <f t="shared" si="140"/>
        <v>19483.75</v>
      </c>
      <c r="N1480" t="str">
        <f t="shared" si="137"/>
        <v>RS</v>
      </c>
      <c r="O1480" t="str">
        <f t="shared" si="138"/>
        <v>Porto Alegre</v>
      </c>
    </row>
    <row r="1481" spans="1:15" x14ac:dyDescent="0.3">
      <c r="A1481" s="10">
        <v>45870</v>
      </c>
      <c r="B1481" s="9" t="s">
        <v>59</v>
      </c>
      <c r="C1481" t="s">
        <v>289</v>
      </c>
      <c r="D1481" s="9">
        <v>19581</v>
      </c>
      <c r="E1481" s="5" t="s">
        <v>501</v>
      </c>
      <c r="F1481" t="s">
        <v>290</v>
      </c>
      <c r="G1481">
        <v>2883</v>
      </c>
      <c r="H1481">
        <v>900</v>
      </c>
      <c r="I1481" s="8">
        <f t="shared" si="139"/>
        <v>0.31217481789802287</v>
      </c>
      <c r="J1481" s="17">
        <v>0.7</v>
      </c>
      <c r="K1481" s="12">
        <v>13.75</v>
      </c>
      <c r="L1481" s="2">
        <f t="shared" si="141"/>
        <v>1118.1000000000001</v>
      </c>
      <c r="M1481" s="15">
        <f t="shared" si="140"/>
        <v>15373.875000000002</v>
      </c>
      <c r="N1481" t="str">
        <f t="shared" si="137"/>
        <v>ES</v>
      </c>
      <c r="O1481" t="str">
        <f t="shared" si="138"/>
        <v>Vila Velha</v>
      </c>
    </row>
    <row r="1482" spans="1:15" x14ac:dyDescent="0.3">
      <c r="A1482" s="10">
        <v>45870</v>
      </c>
      <c r="B1482" s="9" t="s">
        <v>59</v>
      </c>
      <c r="C1482" t="s">
        <v>289</v>
      </c>
      <c r="D1482" s="9">
        <v>19876</v>
      </c>
      <c r="E1482" s="5" t="s">
        <v>502</v>
      </c>
      <c r="F1482" t="s">
        <v>291</v>
      </c>
      <c r="G1482">
        <v>2735</v>
      </c>
      <c r="H1482">
        <v>941</v>
      </c>
      <c r="I1482" s="8">
        <f t="shared" si="139"/>
        <v>0.3440585009140768</v>
      </c>
      <c r="J1482" s="17">
        <v>0.7</v>
      </c>
      <c r="K1482" s="12">
        <v>13.75</v>
      </c>
      <c r="L1482" s="2">
        <f t="shared" si="141"/>
        <v>973.49999999999977</v>
      </c>
      <c r="M1482" s="15">
        <f t="shared" si="140"/>
        <v>13385.624999999996</v>
      </c>
      <c r="N1482" t="str">
        <f t="shared" si="137"/>
        <v>ES</v>
      </c>
      <c r="O1482" t="str">
        <f t="shared" si="138"/>
        <v>Vila Velha</v>
      </c>
    </row>
    <row r="1483" spans="1:15" x14ac:dyDescent="0.3">
      <c r="A1483" s="10">
        <v>45870</v>
      </c>
      <c r="B1483" s="9" t="s">
        <v>71</v>
      </c>
      <c r="C1483" t="s">
        <v>175</v>
      </c>
      <c r="D1483" s="9">
        <v>19874</v>
      </c>
      <c r="E1483" s="5" t="s">
        <v>504</v>
      </c>
      <c r="F1483" t="s">
        <v>179</v>
      </c>
      <c r="G1483">
        <v>3916</v>
      </c>
      <c r="H1483">
        <v>1140</v>
      </c>
      <c r="I1483" s="8">
        <f t="shared" si="139"/>
        <v>0.29111338100102147</v>
      </c>
      <c r="J1483" s="17">
        <v>0.7</v>
      </c>
      <c r="K1483" s="12">
        <v>13.75</v>
      </c>
      <c r="L1483" s="2">
        <f t="shared" si="141"/>
        <v>1601.1999999999998</v>
      </c>
      <c r="M1483" s="15">
        <f t="shared" si="140"/>
        <v>22016.499999999996</v>
      </c>
      <c r="N1483" t="str">
        <f t="shared" si="137"/>
        <v>RS</v>
      </c>
      <c r="O1483" t="str">
        <f t="shared" si="138"/>
        <v>Porto Alegre</v>
      </c>
    </row>
    <row r="1484" spans="1:15" x14ac:dyDescent="0.3">
      <c r="A1484" s="10">
        <v>45870</v>
      </c>
      <c r="B1484" s="9" t="s">
        <v>3</v>
      </c>
      <c r="C1484" t="s">
        <v>165</v>
      </c>
      <c r="D1484" s="9">
        <v>19761</v>
      </c>
      <c r="E1484" s="5" t="s">
        <v>505</v>
      </c>
      <c r="F1484" t="s">
        <v>166</v>
      </c>
      <c r="G1484">
        <v>1555</v>
      </c>
      <c r="H1484">
        <v>563</v>
      </c>
      <c r="I1484" s="8">
        <f t="shared" si="139"/>
        <v>0.36205787781350485</v>
      </c>
      <c r="J1484" s="17">
        <v>0.7</v>
      </c>
      <c r="K1484" s="12">
        <v>13.75</v>
      </c>
      <c r="L1484" s="2">
        <f t="shared" si="141"/>
        <v>525.49999999999977</v>
      </c>
      <c r="M1484" s="15">
        <f t="shared" si="140"/>
        <v>7225.6249999999973</v>
      </c>
      <c r="N1484" t="str">
        <f t="shared" si="137"/>
        <v>SP</v>
      </c>
      <c r="O1484" t="str">
        <f t="shared" si="138"/>
        <v>Paulínia</v>
      </c>
    </row>
    <row r="1485" spans="1:15" x14ac:dyDescent="0.3">
      <c r="A1485" s="10">
        <v>45870</v>
      </c>
      <c r="B1485" s="9" t="s">
        <v>46</v>
      </c>
      <c r="C1485" t="s">
        <v>47</v>
      </c>
      <c r="D1485" s="9">
        <v>19881</v>
      </c>
      <c r="E1485" s="5" t="s">
        <v>507</v>
      </c>
      <c r="F1485" t="s">
        <v>54</v>
      </c>
      <c r="G1485">
        <v>3385</v>
      </c>
      <c r="H1485">
        <v>1251</v>
      </c>
      <c r="I1485" s="8">
        <f t="shared" si="139"/>
        <v>0.36957163958641065</v>
      </c>
      <c r="J1485" s="17">
        <v>0.7</v>
      </c>
      <c r="K1485" s="12">
        <v>13.75</v>
      </c>
      <c r="L1485" s="2">
        <f t="shared" si="141"/>
        <v>1118.4999999999995</v>
      </c>
      <c r="M1485" s="15">
        <f t="shared" si="140"/>
        <v>15379.374999999995</v>
      </c>
      <c r="N1485" t="str">
        <f t="shared" si="137"/>
        <v>DF</v>
      </c>
      <c r="O1485" t="str">
        <f t="shared" si="138"/>
        <v>Brasília</v>
      </c>
    </row>
    <row r="1486" spans="1:15" x14ac:dyDescent="0.3">
      <c r="A1486" s="10">
        <v>45870</v>
      </c>
      <c r="B1486" s="9" t="s">
        <v>3</v>
      </c>
      <c r="C1486" t="s">
        <v>64</v>
      </c>
      <c r="D1486" s="9">
        <v>19696</v>
      </c>
      <c r="E1486" s="5" t="s">
        <v>508</v>
      </c>
      <c r="F1486" t="s">
        <v>65</v>
      </c>
      <c r="G1486">
        <v>1559</v>
      </c>
      <c r="H1486">
        <v>474</v>
      </c>
      <c r="I1486" s="8">
        <f t="shared" si="139"/>
        <v>0.30404105195638231</v>
      </c>
      <c r="J1486" s="17">
        <v>0.7</v>
      </c>
      <c r="K1486" s="12">
        <v>13.75</v>
      </c>
      <c r="L1486" s="2">
        <f t="shared" si="141"/>
        <v>617.29999999999973</v>
      </c>
      <c r="M1486" s="15">
        <f t="shared" si="140"/>
        <v>8487.8749999999964</v>
      </c>
      <c r="N1486" t="str">
        <f t="shared" si="137"/>
        <v>SP</v>
      </c>
      <c r="O1486" t="str">
        <f t="shared" si="138"/>
        <v>Campinas</v>
      </c>
    </row>
    <row r="1487" spans="1:15" x14ac:dyDescent="0.3">
      <c r="A1487" s="10">
        <v>45870</v>
      </c>
      <c r="B1487" s="9" t="s">
        <v>71</v>
      </c>
      <c r="C1487" t="s">
        <v>72</v>
      </c>
      <c r="D1487" s="9">
        <v>19883</v>
      </c>
      <c r="E1487" s="5" t="s">
        <v>509</v>
      </c>
      <c r="F1487" t="s">
        <v>73</v>
      </c>
      <c r="G1487">
        <v>2073</v>
      </c>
      <c r="H1487">
        <v>630</v>
      </c>
      <c r="I1487" s="8">
        <f t="shared" si="139"/>
        <v>0.30390738060781475</v>
      </c>
      <c r="J1487" s="17">
        <v>0.7</v>
      </c>
      <c r="K1487" s="12">
        <v>13.75</v>
      </c>
      <c r="L1487" s="2">
        <f t="shared" si="141"/>
        <v>821.10000000000014</v>
      </c>
      <c r="M1487" s="15">
        <f t="shared" si="140"/>
        <v>11290.125000000002</v>
      </c>
      <c r="N1487" t="str">
        <f t="shared" si="137"/>
        <v>RS</v>
      </c>
      <c r="O1487" t="str">
        <f t="shared" si="138"/>
        <v>Canoas</v>
      </c>
    </row>
    <row r="1488" spans="1:15" x14ac:dyDescent="0.3">
      <c r="A1488" s="10">
        <v>45870</v>
      </c>
      <c r="B1488" s="9" t="s">
        <v>15</v>
      </c>
      <c r="C1488" t="s">
        <v>358</v>
      </c>
      <c r="D1488" s="9">
        <v>19514</v>
      </c>
      <c r="E1488" s="5" t="s">
        <v>510</v>
      </c>
      <c r="F1488" t="s">
        <v>221</v>
      </c>
      <c r="G1488">
        <v>2873</v>
      </c>
      <c r="H1488">
        <v>1050</v>
      </c>
      <c r="I1488" s="8">
        <f t="shared" si="139"/>
        <v>0.36547163243995823</v>
      </c>
      <c r="J1488" s="17">
        <v>0.7</v>
      </c>
      <c r="K1488" s="12">
        <v>13.75</v>
      </c>
      <c r="L1488" s="2">
        <f t="shared" si="141"/>
        <v>961.10000000000014</v>
      </c>
      <c r="M1488" s="15">
        <f t="shared" si="140"/>
        <v>13215.125000000002</v>
      </c>
      <c r="N1488" t="str">
        <f t="shared" si="137"/>
        <v>RJ</v>
      </c>
      <c r="O1488" t="str">
        <f t="shared" si="138"/>
        <v>Rio De Janeiro</v>
      </c>
    </row>
    <row r="1489" spans="1:15" x14ac:dyDescent="0.3">
      <c r="A1489" s="10">
        <v>45870</v>
      </c>
      <c r="B1489" s="9" t="s">
        <v>15</v>
      </c>
      <c r="C1489" t="s">
        <v>358</v>
      </c>
      <c r="D1489" s="9">
        <v>19600</v>
      </c>
      <c r="E1489" s="5" t="s">
        <v>511</v>
      </c>
      <c r="F1489" t="s">
        <v>222</v>
      </c>
      <c r="G1489">
        <v>2643</v>
      </c>
      <c r="H1489">
        <v>901</v>
      </c>
      <c r="I1489" s="8">
        <f t="shared" si="139"/>
        <v>0.34090049186530458</v>
      </c>
      <c r="J1489" s="17">
        <v>0.7</v>
      </c>
      <c r="K1489" s="12">
        <v>13.75</v>
      </c>
      <c r="L1489" s="2">
        <f t="shared" si="141"/>
        <v>949.09999999999991</v>
      </c>
      <c r="M1489" s="15">
        <f t="shared" si="140"/>
        <v>13050.124999999998</v>
      </c>
      <c r="N1489" t="str">
        <f t="shared" si="137"/>
        <v>RJ</v>
      </c>
      <c r="O1489" t="str">
        <f t="shared" si="138"/>
        <v>Rio De Janeiro</v>
      </c>
    </row>
    <row r="1490" spans="1:15" x14ac:dyDescent="0.3">
      <c r="A1490" s="10">
        <v>45870</v>
      </c>
      <c r="B1490" s="9" t="s">
        <v>78</v>
      </c>
      <c r="C1490" t="s">
        <v>277</v>
      </c>
      <c r="D1490" s="9">
        <v>19896</v>
      </c>
      <c r="E1490" s="5" t="s">
        <v>512</v>
      </c>
      <c r="F1490" t="s">
        <v>278</v>
      </c>
      <c r="G1490">
        <v>1605</v>
      </c>
      <c r="H1490">
        <v>690</v>
      </c>
      <c r="I1490" s="8">
        <f t="shared" si="139"/>
        <v>0.42990654205607476</v>
      </c>
      <c r="J1490" s="17">
        <v>0.7</v>
      </c>
      <c r="K1490" s="12">
        <v>13.75</v>
      </c>
      <c r="L1490" s="2">
        <f t="shared" si="141"/>
        <v>433.5</v>
      </c>
      <c r="M1490" s="15">
        <f t="shared" si="140"/>
        <v>5960.625</v>
      </c>
      <c r="N1490" t="str">
        <f t="shared" si="137"/>
        <v>MT</v>
      </c>
      <c r="O1490" t="str">
        <f t="shared" si="138"/>
        <v>Sorriso</v>
      </c>
    </row>
    <row r="1491" spans="1:15" x14ac:dyDescent="0.3">
      <c r="A1491" s="10">
        <v>45870</v>
      </c>
      <c r="B1491" s="9" t="s">
        <v>14</v>
      </c>
      <c r="C1491" t="s">
        <v>287</v>
      </c>
      <c r="D1491" s="9">
        <v>19905</v>
      </c>
      <c r="E1491" s="5" t="s">
        <v>513</v>
      </c>
      <c r="F1491" t="s">
        <v>288</v>
      </c>
      <c r="G1491">
        <v>1121</v>
      </c>
      <c r="H1491">
        <v>419</v>
      </c>
      <c r="I1491" s="8">
        <f t="shared" si="139"/>
        <v>0.37377341659232827</v>
      </c>
      <c r="J1491" s="17">
        <v>0.7</v>
      </c>
      <c r="K1491" s="12">
        <v>13.75</v>
      </c>
      <c r="L1491" s="2">
        <f t="shared" si="141"/>
        <v>365.69999999999993</v>
      </c>
      <c r="M1491" s="15">
        <f t="shared" si="140"/>
        <v>5028.3749999999991</v>
      </c>
      <c r="N1491" t="str">
        <f t="shared" si="137"/>
        <v>MG</v>
      </c>
      <c r="O1491" t="str">
        <f t="shared" si="138"/>
        <v>Varginha</v>
      </c>
    </row>
    <row r="1492" spans="1:15" x14ac:dyDescent="0.3">
      <c r="A1492" s="10">
        <v>45870</v>
      </c>
      <c r="B1492" s="9" t="s">
        <v>3</v>
      </c>
      <c r="C1492" t="s">
        <v>12</v>
      </c>
      <c r="D1492" s="9">
        <v>19901</v>
      </c>
      <c r="E1492" s="5" t="s">
        <v>514</v>
      </c>
      <c r="F1492" t="s">
        <v>13</v>
      </c>
      <c r="G1492">
        <v>1213</v>
      </c>
      <c r="H1492">
        <v>415</v>
      </c>
      <c r="I1492" s="8">
        <f t="shared" si="139"/>
        <v>0.34212695795548226</v>
      </c>
      <c r="J1492" s="17">
        <v>0.7</v>
      </c>
      <c r="K1492" s="12">
        <v>13.75</v>
      </c>
      <c r="L1492" s="2">
        <f t="shared" si="141"/>
        <v>434.1</v>
      </c>
      <c r="M1492" s="15">
        <f t="shared" si="140"/>
        <v>5968.875</v>
      </c>
      <c r="N1492" t="str">
        <f t="shared" si="137"/>
        <v>SP</v>
      </c>
      <c r="O1492" t="str">
        <f t="shared" si="138"/>
        <v>Araras</v>
      </c>
    </row>
    <row r="1493" spans="1:15" x14ac:dyDescent="0.3">
      <c r="A1493" s="10">
        <v>45870</v>
      </c>
      <c r="B1493" s="9" t="s">
        <v>14</v>
      </c>
      <c r="C1493" t="s">
        <v>137</v>
      </c>
      <c r="D1493" s="9">
        <v>19899</v>
      </c>
      <c r="E1493" s="5" t="s">
        <v>515</v>
      </c>
      <c r="F1493" t="s">
        <v>138</v>
      </c>
      <c r="G1493">
        <v>333</v>
      </c>
      <c r="H1493">
        <v>139</v>
      </c>
      <c r="I1493" s="8">
        <f t="shared" si="139"/>
        <v>0.41741741741741739</v>
      </c>
      <c r="J1493" s="17">
        <v>0.7</v>
      </c>
      <c r="K1493" s="12">
        <v>13.75</v>
      </c>
      <c r="L1493" s="2">
        <f t="shared" si="141"/>
        <v>94.1</v>
      </c>
      <c r="M1493" s="15">
        <f t="shared" si="140"/>
        <v>1293.875</v>
      </c>
      <c r="N1493" t="str">
        <f t="shared" si="137"/>
        <v>MG</v>
      </c>
      <c r="O1493" t="str">
        <f t="shared" si="138"/>
        <v>Montes Claros</v>
      </c>
    </row>
    <row r="1494" spans="1:15" x14ac:dyDescent="0.3">
      <c r="A1494" s="10">
        <v>45870</v>
      </c>
      <c r="B1494" s="9" t="s">
        <v>14</v>
      </c>
      <c r="C1494" t="s">
        <v>137</v>
      </c>
      <c r="D1494" s="9">
        <v>19796</v>
      </c>
      <c r="E1494" s="5" t="s">
        <v>516</v>
      </c>
      <c r="F1494" t="s">
        <v>139</v>
      </c>
      <c r="G1494">
        <v>2978</v>
      </c>
      <c r="H1494">
        <v>1426</v>
      </c>
      <c r="I1494" s="8">
        <f t="shared" si="139"/>
        <v>0.47884486232370721</v>
      </c>
      <c r="J1494" s="17">
        <v>0.7</v>
      </c>
      <c r="K1494" s="12">
        <v>13.75</v>
      </c>
      <c r="L1494" s="2">
        <f t="shared" si="141"/>
        <v>658.59999999999991</v>
      </c>
      <c r="M1494" s="15">
        <f t="shared" si="140"/>
        <v>9055.7499999999982</v>
      </c>
      <c r="N1494" t="str">
        <f t="shared" si="137"/>
        <v>MG</v>
      </c>
      <c r="O1494" t="str">
        <f t="shared" si="138"/>
        <v>Montes Claros</v>
      </c>
    </row>
    <row r="1495" spans="1:15" x14ac:dyDescent="0.3">
      <c r="A1495" s="10">
        <v>45870</v>
      </c>
      <c r="B1495" s="9" t="s">
        <v>15</v>
      </c>
      <c r="C1495" t="s">
        <v>358</v>
      </c>
      <c r="D1495" s="9">
        <v>19528</v>
      </c>
      <c r="E1495" s="5" t="s">
        <v>517</v>
      </c>
      <c r="F1495" t="s">
        <v>223</v>
      </c>
      <c r="G1495">
        <v>2902</v>
      </c>
      <c r="H1495">
        <v>862</v>
      </c>
      <c r="I1495" s="8">
        <f t="shared" si="139"/>
        <v>0.29703652653342522</v>
      </c>
      <c r="J1495" s="17">
        <v>0.7</v>
      </c>
      <c r="K1495" s="12">
        <v>13.75</v>
      </c>
      <c r="L1495" s="2">
        <f t="shared" si="141"/>
        <v>1169.4000000000001</v>
      </c>
      <c r="M1495" s="15">
        <f t="shared" si="140"/>
        <v>16079.250000000002</v>
      </c>
      <c r="N1495" t="str">
        <f t="shared" si="137"/>
        <v>RJ</v>
      </c>
      <c r="O1495" t="str">
        <f t="shared" si="138"/>
        <v>Rio De Janeiro</v>
      </c>
    </row>
    <row r="1496" spans="1:15" x14ac:dyDescent="0.3">
      <c r="A1496" s="10">
        <v>45870</v>
      </c>
      <c r="B1496" s="9" t="s">
        <v>6</v>
      </c>
      <c r="C1496" t="s">
        <v>158</v>
      </c>
      <c r="D1496" s="9">
        <v>19914</v>
      </c>
      <c r="E1496" s="5" t="s">
        <v>519</v>
      </c>
      <c r="F1496" t="s">
        <v>159</v>
      </c>
      <c r="G1496">
        <v>2308</v>
      </c>
      <c r="H1496">
        <v>1267</v>
      </c>
      <c r="I1496" s="8">
        <f t="shared" si="139"/>
        <v>0.54896013864818027</v>
      </c>
      <c r="J1496" s="17">
        <v>0.7</v>
      </c>
      <c r="K1496" s="12">
        <v>13.75</v>
      </c>
      <c r="L1496" s="2">
        <f t="shared" si="141"/>
        <v>348.59999999999991</v>
      </c>
      <c r="M1496" s="15">
        <f t="shared" si="140"/>
        <v>4793.2499999999991</v>
      </c>
      <c r="N1496" t="str">
        <f t="shared" si="137"/>
        <v>PA</v>
      </c>
      <c r="O1496" t="str">
        <f t="shared" si="138"/>
        <v>Parauapebas</v>
      </c>
    </row>
    <row r="1497" spans="1:15" x14ac:dyDescent="0.3">
      <c r="A1497" s="10">
        <v>45870</v>
      </c>
      <c r="B1497" s="9" t="s">
        <v>155</v>
      </c>
      <c r="C1497" t="s">
        <v>156</v>
      </c>
      <c r="D1497" s="9">
        <v>19916</v>
      </c>
      <c r="E1497" s="5" t="s">
        <v>520</v>
      </c>
      <c r="F1497" t="s">
        <v>157</v>
      </c>
      <c r="G1497">
        <v>2377</v>
      </c>
      <c r="H1497">
        <v>1086</v>
      </c>
      <c r="I1497" s="8">
        <f t="shared" si="139"/>
        <v>0.45687841817416913</v>
      </c>
      <c r="J1497" s="17">
        <v>0.7</v>
      </c>
      <c r="K1497" s="12">
        <v>13.75</v>
      </c>
      <c r="L1497" s="2">
        <f t="shared" si="141"/>
        <v>577.89999999999986</v>
      </c>
      <c r="M1497" s="15">
        <f t="shared" si="140"/>
        <v>7946.1249999999982</v>
      </c>
      <c r="N1497" t="str">
        <f t="shared" si="137"/>
        <v>TO</v>
      </c>
      <c r="O1497" t="str">
        <f t="shared" si="138"/>
        <v>Palmas</v>
      </c>
    </row>
    <row r="1498" spans="1:15" x14ac:dyDescent="0.3">
      <c r="A1498" s="10">
        <v>45870</v>
      </c>
      <c r="B1498" s="9" t="s">
        <v>74</v>
      </c>
      <c r="C1498" t="s">
        <v>97</v>
      </c>
      <c r="D1498" s="9">
        <v>19911</v>
      </c>
      <c r="E1498" s="5" t="s">
        <v>522</v>
      </c>
      <c r="F1498" t="s">
        <v>98</v>
      </c>
      <c r="G1498">
        <v>2194</v>
      </c>
      <c r="H1498">
        <v>975</v>
      </c>
      <c r="I1498" s="8">
        <f t="shared" si="139"/>
        <v>0.44439380127620787</v>
      </c>
      <c r="J1498" s="17">
        <v>0.7</v>
      </c>
      <c r="K1498" s="12">
        <v>13.75</v>
      </c>
      <c r="L1498" s="2">
        <f t="shared" si="141"/>
        <v>560.79999999999995</v>
      </c>
      <c r="M1498" s="15">
        <f t="shared" si="140"/>
        <v>7710.9999999999991</v>
      </c>
      <c r="N1498" t="str">
        <f t="shared" si="137"/>
        <v>PE</v>
      </c>
      <c r="O1498" t="str">
        <f t="shared" si="138"/>
        <v>Garanhuns</v>
      </c>
    </row>
    <row r="1499" spans="1:15" x14ac:dyDescent="0.3">
      <c r="A1499" s="10">
        <v>45870</v>
      </c>
      <c r="B1499" s="9" t="s">
        <v>21</v>
      </c>
      <c r="C1499" t="s">
        <v>121</v>
      </c>
      <c r="D1499" s="9">
        <v>19910</v>
      </c>
      <c r="E1499" s="5" t="s">
        <v>524</v>
      </c>
      <c r="F1499" t="s">
        <v>122</v>
      </c>
      <c r="G1499">
        <v>1303</v>
      </c>
      <c r="H1499">
        <v>673</v>
      </c>
      <c r="I1499" s="8">
        <f t="shared" si="139"/>
        <v>0.51650038372985418</v>
      </c>
      <c r="J1499" s="17">
        <v>0.7</v>
      </c>
      <c r="K1499" s="12">
        <v>13.75</v>
      </c>
      <c r="L1499" s="2">
        <f t="shared" si="141"/>
        <v>239.09999999999991</v>
      </c>
      <c r="M1499" s="15">
        <f t="shared" si="140"/>
        <v>3287.6249999999986</v>
      </c>
      <c r="N1499" t="str">
        <f t="shared" si="137"/>
        <v>BA</v>
      </c>
      <c r="O1499" t="str">
        <f t="shared" si="138"/>
        <v>Luís Eduardo Magalhães</v>
      </c>
    </row>
    <row r="1500" spans="1:15" x14ac:dyDescent="0.3">
      <c r="A1500" s="10">
        <v>45870</v>
      </c>
      <c r="B1500" s="9" t="s">
        <v>82</v>
      </c>
      <c r="C1500" t="s">
        <v>173</v>
      </c>
      <c r="D1500" s="9">
        <v>19926</v>
      </c>
      <c r="E1500" s="5" t="s">
        <v>525</v>
      </c>
      <c r="F1500" t="s">
        <v>174</v>
      </c>
      <c r="G1500">
        <v>1193</v>
      </c>
      <c r="H1500">
        <v>433</v>
      </c>
      <c r="I1500" s="8">
        <f t="shared" si="139"/>
        <v>0.36295054484492872</v>
      </c>
      <c r="J1500" s="17">
        <v>0.7</v>
      </c>
      <c r="K1500" s="12">
        <v>13.75</v>
      </c>
      <c r="L1500" s="2">
        <f t="shared" si="141"/>
        <v>402.1</v>
      </c>
      <c r="M1500" s="15">
        <f t="shared" si="140"/>
        <v>5528.875</v>
      </c>
      <c r="N1500" t="str">
        <f t="shared" si="137"/>
        <v>PR</v>
      </c>
      <c r="O1500" t="str">
        <f t="shared" si="138"/>
        <v>Ponta Grossa</v>
      </c>
    </row>
    <row r="1501" spans="1:15" x14ac:dyDescent="0.3">
      <c r="A1501" s="10">
        <v>45870</v>
      </c>
      <c r="B1501" s="9" t="s">
        <v>15</v>
      </c>
      <c r="C1501" t="s">
        <v>358</v>
      </c>
      <c r="D1501" s="9">
        <v>19523</v>
      </c>
      <c r="E1501" s="5" t="s">
        <v>526</v>
      </c>
      <c r="F1501" t="s">
        <v>224</v>
      </c>
      <c r="G1501">
        <v>3107</v>
      </c>
      <c r="H1501">
        <v>826</v>
      </c>
      <c r="I1501" s="8">
        <f t="shared" si="139"/>
        <v>0.26585130350820729</v>
      </c>
      <c r="J1501" s="17">
        <v>0.7</v>
      </c>
      <c r="K1501" s="12">
        <v>13.75</v>
      </c>
      <c r="L1501" s="2">
        <f t="shared" si="141"/>
        <v>1348.8999999999996</v>
      </c>
      <c r="M1501" s="15">
        <f t="shared" si="140"/>
        <v>18547.374999999996</v>
      </c>
      <c r="N1501" t="str">
        <f t="shared" si="137"/>
        <v>RJ</v>
      </c>
      <c r="O1501" t="str">
        <f t="shared" si="138"/>
        <v>Rio De Janeiro</v>
      </c>
    </row>
    <row r="1502" spans="1:15" x14ac:dyDescent="0.3">
      <c r="A1502" s="10">
        <v>45870</v>
      </c>
      <c r="B1502" s="9" t="s">
        <v>15</v>
      </c>
      <c r="C1502" t="s">
        <v>358</v>
      </c>
      <c r="D1502" s="9">
        <v>19652</v>
      </c>
      <c r="E1502" s="5" t="s">
        <v>527</v>
      </c>
      <c r="F1502" t="s">
        <v>225</v>
      </c>
      <c r="G1502">
        <v>4695</v>
      </c>
      <c r="H1502">
        <v>1295</v>
      </c>
      <c r="I1502" s="8">
        <f t="shared" si="139"/>
        <v>0.27582534611288606</v>
      </c>
      <c r="J1502" s="17">
        <v>0.7</v>
      </c>
      <c r="K1502" s="12">
        <v>13.75</v>
      </c>
      <c r="L1502" s="2">
        <f t="shared" si="141"/>
        <v>1991.4999999999995</v>
      </c>
      <c r="M1502" s="15">
        <f t="shared" si="140"/>
        <v>27383.124999999993</v>
      </c>
      <c r="N1502" t="str">
        <f t="shared" si="137"/>
        <v>RJ</v>
      </c>
      <c r="O1502" t="str">
        <f t="shared" si="138"/>
        <v>Rio De Janeiro</v>
      </c>
    </row>
    <row r="1503" spans="1:15" x14ac:dyDescent="0.3">
      <c r="A1503" s="10">
        <v>45870</v>
      </c>
      <c r="B1503" s="9" t="s">
        <v>15</v>
      </c>
      <c r="C1503" t="s">
        <v>358</v>
      </c>
      <c r="D1503" s="9">
        <v>19529</v>
      </c>
      <c r="E1503" s="5" t="s">
        <v>528</v>
      </c>
      <c r="F1503" t="s">
        <v>226</v>
      </c>
      <c r="G1503">
        <v>5088</v>
      </c>
      <c r="H1503">
        <v>1531</v>
      </c>
      <c r="I1503" s="8">
        <f t="shared" si="139"/>
        <v>0.30090408805031449</v>
      </c>
      <c r="J1503" s="17">
        <v>0.7</v>
      </c>
      <c r="K1503" s="12">
        <v>13.75</v>
      </c>
      <c r="L1503" s="2">
        <f t="shared" si="141"/>
        <v>2030.6</v>
      </c>
      <c r="M1503" s="15">
        <f t="shared" si="140"/>
        <v>27920.75</v>
      </c>
      <c r="N1503" t="str">
        <f t="shared" si="137"/>
        <v>RJ</v>
      </c>
      <c r="O1503" t="str">
        <f t="shared" si="138"/>
        <v>Rio De Janeiro</v>
      </c>
    </row>
    <row r="1504" spans="1:15" x14ac:dyDescent="0.3">
      <c r="A1504" s="10">
        <v>45870</v>
      </c>
      <c r="B1504" s="9" t="s">
        <v>3</v>
      </c>
      <c r="C1504" t="s">
        <v>248</v>
      </c>
      <c r="D1504" s="9">
        <v>19889</v>
      </c>
      <c r="E1504" s="5" t="s">
        <v>529</v>
      </c>
      <c r="F1504" t="s">
        <v>266</v>
      </c>
      <c r="G1504">
        <v>1582</v>
      </c>
      <c r="H1504">
        <v>524</v>
      </c>
      <c r="I1504" s="8">
        <f t="shared" si="139"/>
        <v>0.33122629582806573</v>
      </c>
      <c r="J1504" s="17">
        <v>0.7</v>
      </c>
      <c r="K1504" s="12">
        <v>13.75</v>
      </c>
      <c r="L1504" s="2">
        <f t="shared" si="141"/>
        <v>583.39999999999986</v>
      </c>
      <c r="M1504" s="15">
        <f t="shared" si="140"/>
        <v>8021.7499999999982</v>
      </c>
      <c r="N1504" t="str">
        <f t="shared" si="137"/>
        <v>SP</v>
      </c>
      <c r="O1504" t="str">
        <f t="shared" si="138"/>
        <v>São Paulo</v>
      </c>
    </row>
    <row r="1505" spans="1:15" x14ac:dyDescent="0.3">
      <c r="A1505" s="10">
        <v>45870</v>
      </c>
      <c r="B1505" s="9" t="s">
        <v>3</v>
      </c>
      <c r="C1505" t="s">
        <v>248</v>
      </c>
      <c r="D1505" s="9">
        <v>19888</v>
      </c>
      <c r="E1505" s="5" t="s">
        <v>530</v>
      </c>
      <c r="F1505" t="s">
        <v>267</v>
      </c>
      <c r="G1505">
        <v>1349</v>
      </c>
      <c r="H1505">
        <v>408</v>
      </c>
      <c r="I1505" s="8">
        <f t="shared" si="139"/>
        <v>0.30244625648628615</v>
      </c>
      <c r="J1505" s="17">
        <v>0.7</v>
      </c>
      <c r="K1505" s="12">
        <v>13.75</v>
      </c>
      <c r="L1505" s="2">
        <f t="shared" si="141"/>
        <v>536.29999999999984</v>
      </c>
      <c r="M1505" s="15">
        <f t="shared" si="140"/>
        <v>7374.1249999999982</v>
      </c>
      <c r="N1505" t="str">
        <f t="shared" si="137"/>
        <v>SP</v>
      </c>
      <c r="O1505" t="str">
        <f t="shared" si="138"/>
        <v>São Paulo</v>
      </c>
    </row>
    <row r="1506" spans="1:15" x14ac:dyDescent="0.3">
      <c r="A1506" s="10">
        <v>45870</v>
      </c>
      <c r="B1506" s="9" t="s">
        <v>82</v>
      </c>
      <c r="C1506" t="s">
        <v>106</v>
      </c>
      <c r="D1506" s="9">
        <v>19927</v>
      </c>
      <c r="E1506" s="5" t="s">
        <v>531</v>
      </c>
      <c r="F1506" t="s">
        <v>107</v>
      </c>
      <c r="G1506">
        <v>825</v>
      </c>
      <c r="H1506">
        <v>230</v>
      </c>
      <c r="I1506" s="8">
        <f t="shared" si="139"/>
        <v>0.27878787878787881</v>
      </c>
      <c r="J1506" s="17">
        <v>0.7</v>
      </c>
      <c r="K1506" s="12">
        <v>13.75</v>
      </c>
      <c r="L1506" s="2">
        <f t="shared" si="141"/>
        <v>347.5</v>
      </c>
      <c r="M1506" s="15">
        <f t="shared" si="140"/>
        <v>4778.125</v>
      </c>
      <c r="N1506" t="str">
        <f t="shared" si="137"/>
        <v>PR</v>
      </c>
      <c r="O1506" t="str">
        <f t="shared" si="138"/>
        <v>Guarapuava</v>
      </c>
    </row>
    <row r="1507" spans="1:15" x14ac:dyDescent="0.3">
      <c r="A1507" s="10">
        <v>45870</v>
      </c>
      <c r="B1507" s="9" t="s">
        <v>3</v>
      </c>
      <c r="C1507" t="s">
        <v>44</v>
      </c>
      <c r="D1507" s="9">
        <v>19930</v>
      </c>
      <c r="E1507" s="5" t="s">
        <v>533</v>
      </c>
      <c r="F1507" t="s">
        <v>45</v>
      </c>
      <c r="G1507">
        <v>2031</v>
      </c>
      <c r="H1507">
        <v>966</v>
      </c>
      <c r="I1507" s="8">
        <f t="shared" si="139"/>
        <v>0.4756277695716396</v>
      </c>
      <c r="J1507" s="17">
        <v>0.7</v>
      </c>
      <c r="K1507" s="12">
        <v>13.75</v>
      </c>
      <c r="L1507" s="2">
        <f t="shared" si="141"/>
        <v>455.69999999999982</v>
      </c>
      <c r="M1507" s="15">
        <f t="shared" si="140"/>
        <v>6265.8749999999973</v>
      </c>
      <c r="N1507" t="str">
        <f t="shared" si="137"/>
        <v>SP</v>
      </c>
      <c r="O1507" t="str">
        <f t="shared" si="138"/>
        <v>Botucatu</v>
      </c>
    </row>
    <row r="1508" spans="1:15" x14ac:dyDescent="0.3">
      <c r="A1508" s="10">
        <v>45870</v>
      </c>
      <c r="B1508" s="9" t="s">
        <v>3</v>
      </c>
      <c r="C1508" t="s">
        <v>353</v>
      </c>
      <c r="D1508" s="9">
        <v>19675</v>
      </c>
      <c r="E1508" s="5" t="s">
        <v>534</v>
      </c>
      <c r="F1508" t="s">
        <v>354</v>
      </c>
      <c r="G1508">
        <v>965</v>
      </c>
      <c r="H1508">
        <v>333</v>
      </c>
      <c r="I1508" s="8">
        <f t="shared" si="139"/>
        <v>0.34507772020725391</v>
      </c>
      <c r="J1508" s="17">
        <v>0.7</v>
      </c>
      <c r="K1508" s="12">
        <v>13.75</v>
      </c>
      <c r="L1508" s="2">
        <f t="shared" si="141"/>
        <v>342.49999999999989</v>
      </c>
      <c r="M1508" s="15">
        <f t="shared" si="140"/>
        <v>4709.3749999999982</v>
      </c>
      <c r="N1508" t="str">
        <f t="shared" si="137"/>
        <v>SP</v>
      </c>
      <c r="O1508" t="str">
        <f t="shared" si="138"/>
        <v>Limeira</v>
      </c>
    </row>
    <row r="1509" spans="1:15" x14ac:dyDescent="0.3">
      <c r="A1509" s="10">
        <v>45870</v>
      </c>
      <c r="B1509" s="9" t="s">
        <v>15</v>
      </c>
      <c r="C1509" t="s">
        <v>358</v>
      </c>
      <c r="D1509" s="9">
        <v>19609</v>
      </c>
      <c r="E1509" s="5" t="s">
        <v>535</v>
      </c>
      <c r="F1509" t="s">
        <v>227</v>
      </c>
      <c r="G1509">
        <v>2268</v>
      </c>
      <c r="H1509">
        <v>880</v>
      </c>
      <c r="I1509" s="8">
        <f t="shared" si="139"/>
        <v>0.38800705467372132</v>
      </c>
      <c r="J1509" s="17">
        <v>0.7</v>
      </c>
      <c r="K1509" s="12">
        <v>13.75</v>
      </c>
      <c r="L1509" s="2">
        <f t="shared" ref="L1509:L1540" si="142">H1509*J1509/I1509-H1509</f>
        <v>707.60000000000014</v>
      </c>
      <c r="M1509" s="15">
        <f t="shared" si="140"/>
        <v>9729.5000000000018</v>
      </c>
      <c r="N1509" t="str">
        <f t="shared" si="137"/>
        <v>RJ</v>
      </c>
      <c r="O1509" t="str">
        <f t="shared" si="138"/>
        <v>Rio De Janeiro</v>
      </c>
    </row>
    <row r="1510" spans="1:15" x14ac:dyDescent="0.3">
      <c r="A1510" s="10">
        <v>45870</v>
      </c>
      <c r="B1510" s="9" t="s">
        <v>3</v>
      </c>
      <c r="C1510" t="s">
        <v>4</v>
      </c>
      <c r="D1510" s="9">
        <v>19928</v>
      </c>
      <c r="E1510" s="5" t="s">
        <v>536</v>
      </c>
      <c r="F1510" t="s">
        <v>5</v>
      </c>
      <c r="G1510">
        <v>1633</v>
      </c>
      <c r="H1510">
        <v>827</v>
      </c>
      <c r="I1510" s="8">
        <f t="shared" si="139"/>
        <v>0.50642988364972441</v>
      </c>
      <c r="J1510" s="17">
        <v>0.7</v>
      </c>
      <c r="K1510" s="12">
        <v>13.75</v>
      </c>
      <c r="L1510" s="2">
        <f t="shared" si="142"/>
        <v>316.09999999999991</v>
      </c>
      <c r="M1510" s="15">
        <f t="shared" si="140"/>
        <v>4346.3749999999991</v>
      </c>
      <c r="N1510" t="str">
        <f t="shared" si="137"/>
        <v>SP</v>
      </c>
      <c r="O1510" t="str">
        <f t="shared" si="138"/>
        <v>Americana</v>
      </c>
    </row>
    <row r="1511" spans="1:15" x14ac:dyDescent="0.3">
      <c r="A1511" s="10">
        <v>45870</v>
      </c>
      <c r="B1511" s="9" t="s">
        <v>71</v>
      </c>
      <c r="C1511" t="s">
        <v>163</v>
      </c>
      <c r="D1511" s="9">
        <v>19933</v>
      </c>
      <c r="E1511" s="5" t="s">
        <v>538</v>
      </c>
      <c r="F1511" t="s">
        <v>164</v>
      </c>
      <c r="G1511">
        <v>655</v>
      </c>
      <c r="H1511">
        <v>181</v>
      </c>
      <c r="I1511" s="8">
        <f t="shared" si="139"/>
        <v>0.27633587786259545</v>
      </c>
      <c r="J1511" s="17">
        <v>0.7</v>
      </c>
      <c r="K1511" s="12">
        <v>13.75</v>
      </c>
      <c r="L1511" s="2">
        <f t="shared" si="142"/>
        <v>277.49999999999989</v>
      </c>
      <c r="M1511" s="15">
        <f t="shared" si="140"/>
        <v>3815.6249999999986</v>
      </c>
      <c r="N1511" t="str">
        <f t="shared" si="137"/>
        <v>RS</v>
      </c>
      <c r="O1511" t="str">
        <f t="shared" si="138"/>
        <v>Passo</v>
      </c>
    </row>
    <row r="1512" spans="1:15" x14ac:dyDescent="0.3">
      <c r="A1512" s="10">
        <v>45870</v>
      </c>
      <c r="B1512" s="9" t="s">
        <v>59</v>
      </c>
      <c r="C1512" t="s">
        <v>343</v>
      </c>
      <c r="D1512" s="9">
        <v>19944</v>
      </c>
      <c r="E1512" s="5" t="s">
        <v>539</v>
      </c>
      <c r="F1512" t="s">
        <v>60</v>
      </c>
      <c r="G1512">
        <v>2435</v>
      </c>
      <c r="H1512">
        <v>929</v>
      </c>
      <c r="I1512" s="8">
        <f t="shared" si="139"/>
        <v>0.38151950718685834</v>
      </c>
      <c r="J1512" s="17">
        <v>0.7</v>
      </c>
      <c r="K1512" s="12">
        <v>13.75</v>
      </c>
      <c r="L1512" s="2">
        <f t="shared" si="142"/>
        <v>775.49999999999977</v>
      </c>
      <c r="M1512" s="15">
        <f t="shared" si="140"/>
        <v>10663.124999999996</v>
      </c>
      <c r="N1512" t="str">
        <f t="shared" si="137"/>
        <v>ES</v>
      </c>
      <c r="O1512" t="str">
        <f t="shared" si="138"/>
        <v>Cachoeira De Itapemirim</v>
      </c>
    </row>
    <row r="1513" spans="1:15" x14ac:dyDescent="0.3">
      <c r="A1513" s="10">
        <v>45870</v>
      </c>
      <c r="B1513" s="9" t="s">
        <v>82</v>
      </c>
      <c r="C1513" t="s">
        <v>83</v>
      </c>
      <c r="D1513" s="9">
        <v>19936</v>
      </c>
      <c r="E1513" s="5" t="s">
        <v>540</v>
      </c>
      <c r="F1513" t="s">
        <v>86</v>
      </c>
      <c r="G1513">
        <v>1785</v>
      </c>
      <c r="H1513">
        <v>521</v>
      </c>
      <c r="I1513" s="8">
        <f t="shared" si="139"/>
        <v>0.29187675070028013</v>
      </c>
      <c r="J1513" s="17">
        <v>0.7</v>
      </c>
      <c r="K1513" s="12">
        <v>13.75</v>
      </c>
      <c r="L1513" s="2">
        <f t="shared" si="142"/>
        <v>728.49999999999977</v>
      </c>
      <c r="M1513" s="15">
        <f t="shared" si="140"/>
        <v>10016.874999999996</v>
      </c>
      <c r="N1513" t="str">
        <f t="shared" si="137"/>
        <v>PR</v>
      </c>
      <c r="O1513" t="str">
        <f t="shared" si="138"/>
        <v>Curitiba</v>
      </c>
    </row>
    <row r="1514" spans="1:15" x14ac:dyDescent="0.3">
      <c r="A1514" s="10">
        <v>45870</v>
      </c>
      <c r="B1514" s="9" t="s">
        <v>21</v>
      </c>
      <c r="C1514" t="s">
        <v>228</v>
      </c>
      <c r="D1514" s="9">
        <v>19931</v>
      </c>
      <c r="E1514" s="5" t="s">
        <v>541</v>
      </c>
      <c r="F1514" t="s">
        <v>233</v>
      </c>
      <c r="G1514">
        <v>2057</v>
      </c>
      <c r="H1514">
        <v>922</v>
      </c>
      <c r="I1514" s="8">
        <f t="shared" si="139"/>
        <v>0.44822557122022361</v>
      </c>
      <c r="J1514" s="17">
        <v>0.7</v>
      </c>
      <c r="K1514" s="12">
        <v>13.75</v>
      </c>
      <c r="L1514" s="2">
        <f t="shared" si="142"/>
        <v>517.90000000000009</v>
      </c>
      <c r="M1514" s="15">
        <f t="shared" si="140"/>
        <v>7121.1250000000009</v>
      </c>
      <c r="N1514" t="str">
        <f t="shared" si="137"/>
        <v>BA</v>
      </c>
      <c r="O1514" t="str">
        <f t="shared" si="138"/>
        <v>Salvador</v>
      </c>
    </row>
    <row r="1515" spans="1:15" x14ac:dyDescent="0.3">
      <c r="A1515" s="10">
        <v>45870</v>
      </c>
      <c r="B1515" s="9" t="s">
        <v>14</v>
      </c>
      <c r="C1515" t="s">
        <v>273</v>
      </c>
      <c r="D1515" s="9">
        <v>19937</v>
      </c>
      <c r="E1515" s="5" t="s">
        <v>542</v>
      </c>
      <c r="F1515" t="s">
        <v>274</v>
      </c>
      <c r="G1515">
        <v>1105</v>
      </c>
      <c r="H1515">
        <v>533</v>
      </c>
      <c r="I1515" s="8">
        <f t="shared" si="139"/>
        <v>0.4823529411764706</v>
      </c>
      <c r="J1515" s="17">
        <v>0.7</v>
      </c>
      <c r="K1515" s="12">
        <v>13.75</v>
      </c>
      <c r="L1515" s="2">
        <f t="shared" si="142"/>
        <v>240.49999999999989</v>
      </c>
      <c r="M1515" s="15">
        <f t="shared" si="140"/>
        <v>3306.8749999999986</v>
      </c>
      <c r="N1515" t="str">
        <f t="shared" si="137"/>
        <v>MG</v>
      </c>
      <c r="O1515" t="str">
        <f t="shared" si="138"/>
        <v>Sete Lagoas</v>
      </c>
    </row>
    <row r="1516" spans="1:15" x14ac:dyDescent="0.3">
      <c r="A1516" s="10">
        <v>45870</v>
      </c>
      <c r="B1516" s="9" t="s">
        <v>46</v>
      </c>
      <c r="C1516" t="s">
        <v>102</v>
      </c>
      <c r="D1516" s="9">
        <v>19553</v>
      </c>
      <c r="E1516" s="5" t="s">
        <v>543</v>
      </c>
      <c r="F1516" t="s">
        <v>103</v>
      </c>
      <c r="G1516">
        <v>2298</v>
      </c>
      <c r="H1516">
        <v>909</v>
      </c>
      <c r="I1516" s="8">
        <f t="shared" si="139"/>
        <v>0.39556135770234985</v>
      </c>
      <c r="J1516" s="17">
        <v>0.7</v>
      </c>
      <c r="K1516" s="12">
        <v>13.75</v>
      </c>
      <c r="L1516" s="2">
        <f t="shared" si="142"/>
        <v>699.59999999999991</v>
      </c>
      <c r="M1516" s="15">
        <f t="shared" si="140"/>
        <v>9619.4999999999982</v>
      </c>
      <c r="N1516" t="str">
        <f t="shared" si="137"/>
        <v>DF</v>
      </c>
      <c r="O1516" t="str">
        <f t="shared" si="138"/>
        <v>Guará</v>
      </c>
    </row>
    <row r="1517" spans="1:15" x14ac:dyDescent="0.3">
      <c r="A1517" s="10">
        <v>45870</v>
      </c>
      <c r="B1517" s="9" t="s">
        <v>140</v>
      </c>
      <c r="C1517" t="s">
        <v>141</v>
      </c>
      <c r="D1517" s="9">
        <v>19940</v>
      </c>
      <c r="E1517" s="5" t="s">
        <v>545</v>
      </c>
      <c r="F1517" t="s">
        <v>142</v>
      </c>
      <c r="G1517">
        <v>2225</v>
      </c>
      <c r="H1517">
        <v>1257</v>
      </c>
      <c r="I1517" s="8">
        <f t="shared" si="139"/>
        <v>0.56494382022471912</v>
      </c>
      <c r="J1517" s="17">
        <v>0.7</v>
      </c>
      <c r="K1517" s="12">
        <v>13.75</v>
      </c>
      <c r="L1517" s="2">
        <f t="shared" si="142"/>
        <v>300.5</v>
      </c>
      <c r="M1517" s="15">
        <f t="shared" si="140"/>
        <v>4131.875</v>
      </c>
      <c r="N1517" t="str">
        <f t="shared" si="137"/>
        <v>RN</v>
      </c>
      <c r="O1517" t="str">
        <f t="shared" si="138"/>
        <v>Natal</v>
      </c>
    </row>
    <row r="1518" spans="1:15" x14ac:dyDescent="0.3">
      <c r="A1518" s="10">
        <v>45870</v>
      </c>
      <c r="B1518" s="9" t="s">
        <v>123</v>
      </c>
      <c r="C1518" t="s">
        <v>124</v>
      </c>
      <c r="D1518" s="9">
        <v>19945</v>
      </c>
      <c r="E1518" s="5" t="s">
        <v>546</v>
      </c>
      <c r="F1518" t="s">
        <v>125</v>
      </c>
      <c r="G1518">
        <v>593</v>
      </c>
      <c r="H1518">
        <v>387</v>
      </c>
      <c r="I1518" s="8">
        <f t="shared" si="139"/>
        <v>0.65261382799325462</v>
      </c>
      <c r="J1518" s="17">
        <v>0.7</v>
      </c>
      <c r="K1518" s="12">
        <v>13.75</v>
      </c>
      <c r="L1518" s="2">
        <f t="shared" si="142"/>
        <v>28.099999999999966</v>
      </c>
      <c r="M1518" s="15">
        <f t="shared" si="140"/>
        <v>386.37499999999955</v>
      </c>
      <c r="N1518" t="str">
        <f t="shared" si="137"/>
        <v>AP</v>
      </c>
      <c r="O1518" t="str">
        <f t="shared" si="138"/>
        <v>Macapa</v>
      </c>
    </row>
    <row r="1519" spans="1:15" x14ac:dyDescent="0.3">
      <c r="A1519" s="10">
        <v>45870</v>
      </c>
      <c r="B1519" s="9" t="s">
        <v>21</v>
      </c>
      <c r="C1519" t="s">
        <v>228</v>
      </c>
      <c r="D1519" s="9">
        <v>19907</v>
      </c>
      <c r="E1519" s="5" t="s">
        <v>547</v>
      </c>
      <c r="F1519" t="s">
        <v>234</v>
      </c>
      <c r="G1519">
        <v>1582</v>
      </c>
      <c r="H1519">
        <v>605</v>
      </c>
      <c r="I1519" s="8">
        <f t="shared" si="139"/>
        <v>0.38242730720606827</v>
      </c>
      <c r="J1519" s="17">
        <v>0.7</v>
      </c>
      <c r="K1519" s="12">
        <v>13.75</v>
      </c>
      <c r="L1519" s="2">
        <f t="shared" si="142"/>
        <v>502.40000000000009</v>
      </c>
      <c r="M1519" s="15">
        <f t="shared" si="140"/>
        <v>6908.0000000000009</v>
      </c>
      <c r="N1519" t="str">
        <f t="shared" si="137"/>
        <v>BA</v>
      </c>
      <c r="O1519" t="str">
        <f t="shared" si="138"/>
        <v>Salvador</v>
      </c>
    </row>
    <row r="1520" spans="1:15" x14ac:dyDescent="0.3">
      <c r="A1520" s="10">
        <v>45870</v>
      </c>
      <c r="B1520" s="9" t="s">
        <v>15</v>
      </c>
      <c r="C1520" t="s">
        <v>145</v>
      </c>
      <c r="D1520" s="9">
        <v>19538</v>
      </c>
      <c r="E1520" s="5" t="s">
        <v>548</v>
      </c>
      <c r="F1520" t="s">
        <v>146</v>
      </c>
      <c r="G1520">
        <v>2723</v>
      </c>
      <c r="H1520">
        <v>1183</v>
      </c>
      <c r="I1520" s="8">
        <f t="shared" si="139"/>
        <v>0.43444730077120824</v>
      </c>
      <c r="J1520" s="17">
        <v>0.7</v>
      </c>
      <c r="K1520" s="12">
        <v>13.75</v>
      </c>
      <c r="L1520" s="2">
        <f t="shared" si="142"/>
        <v>723.09999999999968</v>
      </c>
      <c r="M1520" s="15">
        <f t="shared" si="140"/>
        <v>9942.6249999999964</v>
      </c>
      <c r="N1520" t="str">
        <f t="shared" si="137"/>
        <v>RJ</v>
      </c>
      <c r="O1520" t="str">
        <f t="shared" si="138"/>
        <v>Niterói</v>
      </c>
    </row>
    <row r="1521" spans="1:15" x14ac:dyDescent="0.3">
      <c r="A1521" s="10">
        <v>45870</v>
      </c>
      <c r="B1521" s="9" t="s">
        <v>71</v>
      </c>
      <c r="C1521" t="s">
        <v>175</v>
      </c>
      <c r="D1521" s="9">
        <v>19947</v>
      </c>
      <c r="E1521" s="5" t="s">
        <v>550</v>
      </c>
      <c r="F1521" t="s">
        <v>180</v>
      </c>
      <c r="G1521">
        <v>3111</v>
      </c>
      <c r="H1521">
        <v>902</v>
      </c>
      <c r="I1521" s="8">
        <f t="shared" si="139"/>
        <v>0.28993892639022822</v>
      </c>
      <c r="J1521" s="17">
        <v>0.7</v>
      </c>
      <c r="K1521" s="12">
        <v>13.75</v>
      </c>
      <c r="L1521" s="2">
        <f t="shared" si="142"/>
        <v>1275.6999999999998</v>
      </c>
      <c r="M1521" s="15">
        <f t="shared" si="140"/>
        <v>17540.874999999996</v>
      </c>
      <c r="N1521" t="str">
        <f t="shared" si="137"/>
        <v>RS</v>
      </c>
      <c r="O1521" t="str">
        <f t="shared" si="138"/>
        <v>Porto Alegre</v>
      </c>
    </row>
    <row r="1522" spans="1:15" x14ac:dyDescent="0.3">
      <c r="A1522" s="10">
        <v>45870</v>
      </c>
      <c r="B1522" s="9" t="s">
        <v>14</v>
      </c>
      <c r="C1522" t="s">
        <v>114</v>
      </c>
      <c r="D1522" s="9">
        <v>19943</v>
      </c>
      <c r="E1522" s="5" t="s">
        <v>551</v>
      </c>
      <c r="F1522" t="s">
        <v>115</v>
      </c>
      <c r="G1522">
        <v>1028</v>
      </c>
      <c r="H1522">
        <v>420</v>
      </c>
      <c r="I1522" s="8">
        <f t="shared" si="139"/>
        <v>0.40856031128404668</v>
      </c>
      <c r="J1522" s="17">
        <v>0.7</v>
      </c>
      <c r="K1522" s="12">
        <v>13.75</v>
      </c>
      <c r="L1522" s="2">
        <f t="shared" si="142"/>
        <v>299.60000000000002</v>
      </c>
      <c r="M1522" s="15">
        <f t="shared" si="140"/>
        <v>4119.5</v>
      </c>
      <c r="N1522" t="str">
        <f t="shared" si="137"/>
        <v>MG</v>
      </c>
      <c r="O1522" t="str">
        <f t="shared" si="138"/>
        <v>Ituiutaba</v>
      </c>
    </row>
    <row r="1523" spans="1:15" x14ac:dyDescent="0.3">
      <c r="A1523" s="10">
        <v>45870</v>
      </c>
      <c r="B1523" s="9" t="s">
        <v>244</v>
      </c>
      <c r="C1523" t="s">
        <v>245</v>
      </c>
      <c r="D1523" s="9">
        <v>19617</v>
      </c>
      <c r="E1523" s="5" t="s">
        <v>552</v>
      </c>
      <c r="F1523" t="s">
        <v>246</v>
      </c>
      <c r="G1523">
        <v>3566</v>
      </c>
      <c r="H1523">
        <v>1555</v>
      </c>
      <c r="I1523" s="8">
        <f t="shared" si="139"/>
        <v>0.43606281547952891</v>
      </c>
      <c r="J1523" s="17">
        <v>0.7</v>
      </c>
      <c r="K1523" s="12">
        <v>13.75</v>
      </c>
      <c r="L1523" s="2">
        <f t="shared" si="142"/>
        <v>941.19999999999982</v>
      </c>
      <c r="M1523" s="15">
        <f t="shared" si="140"/>
        <v>12941.499999999998</v>
      </c>
      <c r="N1523" t="str">
        <f t="shared" si="137"/>
        <v>MA</v>
      </c>
      <c r="O1523" t="str">
        <f t="shared" si="138"/>
        <v>São Luís</v>
      </c>
    </row>
    <row r="1524" spans="1:15" x14ac:dyDescent="0.3">
      <c r="A1524" s="10">
        <v>45870</v>
      </c>
      <c r="B1524" s="9" t="s">
        <v>244</v>
      </c>
      <c r="C1524" t="s">
        <v>245</v>
      </c>
      <c r="D1524" s="9">
        <v>19595</v>
      </c>
      <c r="E1524" s="5" t="s">
        <v>553</v>
      </c>
      <c r="F1524" t="s">
        <v>247</v>
      </c>
      <c r="G1524">
        <v>3795</v>
      </c>
      <c r="H1524">
        <v>1792</v>
      </c>
      <c r="I1524" s="8">
        <f t="shared" si="139"/>
        <v>0.47220026350461131</v>
      </c>
      <c r="J1524" s="17">
        <v>0.7</v>
      </c>
      <c r="K1524" s="12">
        <v>13.75</v>
      </c>
      <c r="L1524" s="2">
        <f t="shared" si="142"/>
        <v>864.5</v>
      </c>
      <c r="M1524" s="15">
        <f t="shared" si="140"/>
        <v>11886.875</v>
      </c>
      <c r="N1524" t="str">
        <f t="shared" si="137"/>
        <v>MA</v>
      </c>
      <c r="O1524" t="str">
        <f t="shared" si="138"/>
        <v>São Luís</v>
      </c>
    </row>
    <row r="1525" spans="1:15" x14ac:dyDescent="0.3">
      <c r="A1525" s="10">
        <v>45870</v>
      </c>
      <c r="B1525" s="9" t="s">
        <v>3</v>
      </c>
      <c r="C1525" t="s">
        <v>10</v>
      </c>
      <c r="D1525" s="9">
        <v>19948</v>
      </c>
      <c r="E1525" s="5" t="s">
        <v>555</v>
      </c>
      <c r="F1525" t="s">
        <v>11</v>
      </c>
      <c r="G1525">
        <v>1124</v>
      </c>
      <c r="H1525">
        <v>269</v>
      </c>
      <c r="I1525" s="8">
        <f t="shared" si="139"/>
        <v>0.23932384341637011</v>
      </c>
      <c r="J1525" s="17">
        <v>0.7</v>
      </c>
      <c r="K1525" s="12">
        <v>13.75</v>
      </c>
      <c r="L1525" s="2">
        <f t="shared" si="142"/>
        <v>517.79999999999995</v>
      </c>
      <c r="M1525" s="15">
        <f t="shared" si="140"/>
        <v>7119.7499999999991</v>
      </c>
      <c r="N1525" t="str">
        <f t="shared" si="137"/>
        <v>SP</v>
      </c>
      <c r="O1525" t="str">
        <f t="shared" si="138"/>
        <v>Araraquara</v>
      </c>
    </row>
    <row r="1526" spans="1:15" x14ac:dyDescent="0.3">
      <c r="A1526" s="10">
        <v>45870</v>
      </c>
      <c r="B1526" s="9" t="s">
        <v>74</v>
      </c>
      <c r="C1526" t="s">
        <v>75</v>
      </c>
      <c r="D1526" s="9">
        <v>19798</v>
      </c>
      <c r="E1526" s="5" t="s">
        <v>556</v>
      </c>
      <c r="F1526" t="s">
        <v>76</v>
      </c>
      <c r="G1526">
        <v>3266</v>
      </c>
      <c r="H1526">
        <v>1402</v>
      </c>
      <c r="I1526" s="8">
        <f t="shared" si="139"/>
        <v>0.42927127985303121</v>
      </c>
      <c r="J1526" s="17">
        <v>0.7</v>
      </c>
      <c r="K1526" s="12">
        <v>13.75</v>
      </c>
      <c r="L1526" s="2">
        <f t="shared" si="142"/>
        <v>884.20000000000027</v>
      </c>
      <c r="M1526" s="15">
        <f t="shared" si="140"/>
        <v>12157.750000000004</v>
      </c>
      <c r="N1526" t="str">
        <f t="shared" si="137"/>
        <v>PE</v>
      </c>
      <c r="O1526" t="str">
        <f t="shared" si="138"/>
        <v>Caruaru</v>
      </c>
    </row>
    <row r="1527" spans="1:15" x14ac:dyDescent="0.3">
      <c r="A1527" s="10">
        <v>45870</v>
      </c>
      <c r="B1527" s="9" t="s">
        <v>15</v>
      </c>
      <c r="C1527" t="s">
        <v>19</v>
      </c>
      <c r="D1527" s="9">
        <v>19694</v>
      </c>
      <c r="E1527" s="5" t="s">
        <v>557</v>
      </c>
      <c r="F1527" t="s">
        <v>20</v>
      </c>
      <c r="G1527">
        <v>2074</v>
      </c>
      <c r="H1527">
        <v>1036</v>
      </c>
      <c r="I1527" s="8">
        <f t="shared" si="139"/>
        <v>0.49951783992285437</v>
      </c>
      <c r="J1527" s="17">
        <v>0.7</v>
      </c>
      <c r="K1527" s="12">
        <v>13.75</v>
      </c>
      <c r="L1527" s="2">
        <f t="shared" si="142"/>
        <v>415.79999999999995</v>
      </c>
      <c r="M1527" s="15">
        <f t="shared" si="140"/>
        <v>5717.2499999999991</v>
      </c>
      <c r="N1527" t="str">
        <f t="shared" si="137"/>
        <v>RJ</v>
      </c>
      <c r="O1527" t="str">
        <f t="shared" si="138"/>
        <v>Barra Mansa</v>
      </c>
    </row>
    <row r="1528" spans="1:15" x14ac:dyDescent="0.3">
      <c r="A1528" s="10">
        <v>45870</v>
      </c>
      <c r="B1528" s="9" t="s">
        <v>14</v>
      </c>
      <c r="C1528" t="s">
        <v>112</v>
      </c>
      <c r="D1528" s="9">
        <v>19951</v>
      </c>
      <c r="E1528" s="5" t="s">
        <v>558</v>
      </c>
      <c r="F1528" t="s">
        <v>113</v>
      </c>
      <c r="G1528">
        <v>2285</v>
      </c>
      <c r="H1528">
        <v>808</v>
      </c>
      <c r="I1528" s="8">
        <f t="shared" si="139"/>
        <v>0.35361050328227572</v>
      </c>
      <c r="J1528" s="17">
        <v>0.7</v>
      </c>
      <c r="K1528" s="12">
        <v>13.75</v>
      </c>
      <c r="L1528" s="2">
        <f t="shared" si="142"/>
        <v>791.49999999999977</v>
      </c>
      <c r="M1528" s="15">
        <f t="shared" si="140"/>
        <v>10883.124999999996</v>
      </c>
      <c r="N1528" t="str">
        <f t="shared" si="137"/>
        <v>MG</v>
      </c>
      <c r="O1528" t="str">
        <f t="shared" si="138"/>
        <v>Ipatinga</v>
      </c>
    </row>
    <row r="1529" spans="1:15" x14ac:dyDescent="0.3">
      <c r="A1529" s="10">
        <v>45870</v>
      </c>
      <c r="B1529" s="9" t="s">
        <v>160</v>
      </c>
      <c r="C1529" t="s">
        <v>161</v>
      </c>
      <c r="D1529" s="9">
        <v>19954</v>
      </c>
      <c r="E1529" s="5" t="s">
        <v>559</v>
      </c>
      <c r="F1529" t="s">
        <v>162</v>
      </c>
      <c r="G1529">
        <v>977</v>
      </c>
      <c r="H1529">
        <v>530</v>
      </c>
      <c r="I1529" s="8">
        <f t="shared" si="139"/>
        <v>0.5424769703172978</v>
      </c>
      <c r="J1529" s="17">
        <v>0.7</v>
      </c>
      <c r="K1529" s="12">
        <v>13.75</v>
      </c>
      <c r="L1529" s="2">
        <f t="shared" si="142"/>
        <v>153.90000000000009</v>
      </c>
      <c r="M1529" s="15">
        <f t="shared" si="140"/>
        <v>2116.1250000000014</v>
      </c>
      <c r="N1529" t="str">
        <f t="shared" si="137"/>
        <v>PI</v>
      </c>
      <c r="O1529" t="str">
        <f t="shared" si="138"/>
        <v>Parnaíba</v>
      </c>
    </row>
    <row r="1530" spans="1:15" x14ac:dyDescent="0.3">
      <c r="A1530" s="10">
        <v>45870</v>
      </c>
      <c r="B1530" s="9" t="s">
        <v>14</v>
      </c>
      <c r="C1530" t="s">
        <v>351</v>
      </c>
      <c r="D1530" s="9">
        <v>19615</v>
      </c>
      <c r="E1530" s="5" t="s">
        <v>560</v>
      </c>
      <c r="F1530" t="s">
        <v>117</v>
      </c>
      <c r="G1530">
        <v>2340</v>
      </c>
      <c r="H1530">
        <v>803</v>
      </c>
      <c r="I1530" s="8">
        <f t="shared" si="139"/>
        <v>0.34316239316239316</v>
      </c>
      <c r="J1530" s="17">
        <v>0.7</v>
      </c>
      <c r="K1530" s="12">
        <v>13.75</v>
      </c>
      <c r="L1530" s="2">
        <f t="shared" si="142"/>
        <v>834.99999999999977</v>
      </c>
      <c r="M1530" s="15">
        <f t="shared" si="140"/>
        <v>11481.249999999996</v>
      </c>
      <c r="N1530" t="str">
        <f t="shared" si="137"/>
        <v>MG</v>
      </c>
      <c r="O1530" t="str">
        <f t="shared" si="138"/>
        <v>Juiz De Fora</v>
      </c>
    </row>
    <row r="1531" spans="1:15" x14ac:dyDescent="0.3">
      <c r="A1531" s="10">
        <v>45870</v>
      </c>
      <c r="B1531" s="9" t="s">
        <v>46</v>
      </c>
      <c r="C1531" t="s">
        <v>47</v>
      </c>
      <c r="D1531" s="9">
        <v>19647</v>
      </c>
      <c r="E1531" s="5" t="s">
        <v>561</v>
      </c>
      <c r="F1531" t="s">
        <v>55</v>
      </c>
      <c r="G1531">
        <v>1734</v>
      </c>
      <c r="H1531">
        <v>553</v>
      </c>
      <c r="I1531" s="8">
        <f t="shared" si="139"/>
        <v>0.31891580161476357</v>
      </c>
      <c r="J1531" s="17">
        <v>0.7</v>
      </c>
      <c r="K1531" s="12">
        <v>13.75</v>
      </c>
      <c r="L1531" s="2">
        <f t="shared" si="142"/>
        <v>660.79999999999973</v>
      </c>
      <c r="M1531" s="15">
        <f t="shared" si="140"/>
        <v>9085.9999999999964</v>
      </c>
      <c r="N1531" t="str">
        <f t="shared" si="137"/>
        <v>DF</v>
      </c>
      <c r="O1531" t="str">
        <f t="shared" si="138"/>
        <v>Brasília</v>
      </c>
    </row>
    <row r="1532" spans="1:15" x14ac:dyDescent="0.3">
      <c r="A1532" s="10">
        <v>45870</v>
      </c>
      <c r="B1532" s="9" t="s">
        <v>46</v>
      </c>
      <c r="C1532" t="s">
        <v>47</v>
      </c>
      <c r="D1532" s="9">
        <v>19898</v>
      </c>
      <c r="E1532" s="5" t="s">
        <v>562</v>
      </c>
      <c r="F1532" t="s">
        <v>56</v>
      </c>
      <c r="G1532">
        <v>1684</v>
      </c>
      <c r="H1532">
        <v>494</v>
      </c>
      <c r="I1532" s="8">
        <f t="shared" si="139"/>
        <v>0.29334916864608074</v>
      </c>
      <c r="J1532" s="17">
        <v>0.7</v>
      </c>
      <c r="K1532" s="12">
        <v>13.75</v>
      </c>
      <c r="L1532" s="2">
        <f t="shared" si="142"/>
        <v>684.8</v>
      </c>
      <c r="M1532" s="15">
        <f t="shared" si="140"/>
        <v>9416</v>
      </c>
      <c r="N1532" t="str">
        <f t="shared" si="137"/>
        <v>DF</v>
      </c>
      <c r="O1532" t="str">
        <f t="shared" si="138"/>
        <v>Brasília</v>
      </c>
    </row>
    <row r="1533" spans="1:15" x14ac:dyDescent="0.3">
      <c r="A1533" s="10">
        <v>45870</v>
      </c>
      <c r="B1533" s="9" t="s">
        <v>3</v>
      </c>
      <c r="C1533" t="s">
        <v>64</v>
      </c>
      <c r="D1533" s="9">
        <v>19616</v>
      </c>
      <c r="E1533" s="5" t="s">
        <v>563</v>
      </c>
      <c r="F1533" t="s">
        <v>66</v>
      </c>
      <c r="G1533">
        <v>3847</v>
      </c>
      <c r="H1533">
        <v>1279</v>
      </c>
      <c r="I1533" s="8">
        <f t="shared" si="139"/>
        <v>0.33246685729139591</v>
      </c>
      <c r="J1533" s="17">
        <v>0.7</v>
      </c>
      <c r="K1533" s="12">
        <v>13.75</v>
      </c>
      <c r="L1533" s="2">
        <f t="shared" si="142"/>
        <v>1413.8999999999996</v>
      </c>
      <c r="M1533" s="15">
        <f t="shared" si="140"/>
        <v>19441.124999999996</v>
      </c>
      <c r="N1533" t="str">
        <f t="shared" si="137"/>
        <v>SP</v>
      </c>
      <c r="O1533" t="str">
        <f t="shared" si="138"/>
        <v>Campinas</v>
      </c>
    </row>
    <row r="1534" spans="1:15" x14ac:dyDescent="0.3">
      <c r="A1534" s="10">
        <v>45870</v>
      </c>
      <c r="B1534" s="9" t="s">
        <v>3</v>
      </c>
      <c r="C1534" t="s">
        <v>64</v>
      </c>
      <c r="D1534" s="9">
        <v>19688</v>
      </c>
      <c r="E1534" s="5" t="s">
        <v>564</v>
      </c>
      <c r="F1534" t="s">
        <v>67</v>
      </c>
      <c r="G1534">
        <v>2186</v>
      </c>
      <c r="H1534">
        <v>656</v>
      </c>
      <c r="I1534" s="8">
        <f t="shared" si="139"/>
        <v>0.30009149130832569</v>
      </c>
      <c r="J1534" s="17">
        <v>0.7</v>
      </c>
      <c r="K1534" s="12">
        <v>13.75</v>
      </c>
      <c r="L1534" s="2">
        <f t="shared" si="142"/>
        <v>874.2</v>
      </c>
      <c r="M1534" s="15">
        <f t="shared" si="140"/>
        <v>12020.25</v>
      </c>
      <c r="N1534" t="str">
        <f t="shared" si="137"/>
        <v>SP</v>
      </c>
      <c r="O1534" t="str">
        <f t="shared" si="138"/>
        <v>Campinas</v>
      </c>
    </row>
    <row r="1535" spans="1:15" x14ac:dyDescent="0.3">
      <c r="A1535" s="10">
        <v>45870</v>
      </c>
      <c r="B1535" s="9" t="s">
        <v>3</v>
      </c>
      <c r="C1535" t="s">
        <v>248</v>
      </c>
      <c r="D1535" s="9">
        <v>19863</v>
      </c>
      <c r="E1535" s="5" t="s">
        <v>566</v>
      </c>
      <c r="F1535" t="s">
        <v>268</v>
      </c>
      <c r="G1535">
        <v>2542</v>
      </c>
      <c r="H1535">
        <v>842</v>
      </c>
      <c r="I1535" s="8">
        <f t="shared" si="139"/>
        <v>0.33123524783634933</v>
      </c>
      <c r="J1535" s="17">
        <v>0.7</v>
      </c>
      <c r="K1535" s="12">
        <v>13.75</v>
      </c>
      <c r="L1535" s="2">
        <f t="shared" si="142"/>
        <v>937.39999999999986</v>
      </c>
      <c r="M1535" s="15">
        <f t="shared" si="140"/>
        <v>12889.249999999998</v>
      </c>
      <c r="N1535" t="str">
        <f t="shared" si="137"/>
        <v>SP</v>
      </c>
      <c r="O1535" t="str">
        <f t="shared" si="138"/>
        <v>São Paulo</v>
      </c>
    </row>
    <row r="1536" spans="1:15" x14ac:dyDescent="0.3">
      <c r="A1536" s="10">
        <v>45870</v>
      </c>
      <c r="B1536" s="9" t="s">
        <v>3</v>
      </c>
      <c r="C1536" t="s">
        <v>248</v>
      </c>
      <c r="D1536" s="9">
        <v>19817</v>
      </c>
      <c r="E1536" s="5" t="s">
        <v>567</v>
      </c>
      <c r="F1536" t="s">
        <v>269</v>
      </c>
      <c r="G1536">
        <v>1413</v>
      </c>
      <c r="H1536">
        <v>543</v>
      </c>
      <c r="I1536" s="8">
        <f t="shared" si="139"/>
        <v>0.38428874734607221</v>
      </c>
      <c r="J1536" s="17">
        <v>0.7</v>
      </c>
      <c r="K1536" s="12">
        <v>13.75</v>
      </c>
      <c r="L1536" s="2">
        <f t="shared" si="142"/>
        <v>446.0999999999998</v>
      </c>
      <c r="M1536" s="15">
        <f t="shared" si="140"/>
        <v>6133.8749999999973</v>
      </c>
      <c r="N1536" t="str">
        <f t="shared" si="137"/>
        <v>SP</v>
      </c>
      <c r="O1536" t="str">
        <f t="shared" si="138"/>
        <v>São Paulo</v>
      </c>
    </row>
    <row r="1537" spans="1:15" x14ac:dyDescent="0.3">
      <c r="A1537" s="10">
        <v>45870</v>
      </c>
      <c r="B1537" s="9" t="s">
        <v>3</v>
      </c>
      <c r="C1537" t="s">
        <v>248</v>
      </c>
      <c r="D1537" s="9">
        <v>19866</v>
      </c>
      <c r="E1537" s="5" t="s">
        <v>568</v>
      </c>
      <c r="F1537" t="s">
        <v>270</v>
      </c>
      <c r="G1537">
        <v>1784</v>
      </c>
      <c r="H1537">
        <v>631</v>
      </c>
      <c r="I1537" s="8">
        <f t="shared" si="139"/>
        <v>0.35369955156950672</v>
      </c>
      <c r="J1537" s="17">
        <v>0.7</v>
      </c>
      <c r="K1537" s="12">
        <v>13.75</v>
      </c>
      <c r="L1537" s="2">
        <f t="shared" si="142"/>
        <v>617.79999999999995</v>
      </c>
      <c r="M1537" s="15">
        <f t="shared" si="140"/>
        <v>8494.75</v>
      </c>
      <c r="N1537" t="str">
        <f t="shared" si="137"/>
        <v>SP</v>
      </c>
      <c r="O1537" t="str">
        <f t="shared" si="138"/>
        <v>São Paulo</v>
      </c>
    </row>
    <row r="1538" spans="1:15" x14ac:dyDescent="0.3">
      <c r="A1538" s="10">
        <v>45870</v>
      </c>
      <c r="B1538" s="9" t="s">
        <v>3</v>
      </c>
      <c r="C1538" t="s">
        <v>110</v>
      </c>
      <c r="D1538" s="9">
        <v>19884</v>
      </c>
      <c r="E1538" s="5" t="s">
        <v>577</v>
      </c>
      <c r="F1538" t="s">
        <v>111</v>
      </c>
      <c r="G1538">
        <v>1849</v>
      </c>
      <c r="H1538">
        <v>525</v>
      </c>
      <c r="I1538" s="8">
        <f t="shared" si="139"/>
        <v>0.28393726338561387</v>
      </c>
      <c r="J1538" s="17">
        <v>0.7</v>
      </c>
      <c r="K1538" s="12">
        <v>13.75</v>
      </c>
      <c r="L1538" s="2">
        <f t="shared" si="142"/>
        <v>769.3</v>
      </c>
      <c r="M1538" s="15">
        <f t="shared" si="140"/>
        <v>10577.875</v>
      </c>
      <c r="N1538" t="str">
        <f t="shared" ref="N1538:N1601" si="143">B1538</f>
        <v>SP</v>
      </c>
      <c r="O1538" t="str">
        <f t="shared" ref="O1538:O1601" si="144">C1538</f>
        <v>Guarulhos</v>
      </c>
    </row>
    <row r="1539" spans="1:15" x14ac:dyDescent="0.3">
      <c r="A1539" s="10">
        <v>45870</v>
      </c>
      <c r="B1539" s="9" t="s">
        <v>3</v>
      </c>
      <c r="C1539" t="s">
        <v>248</v>
      </c>
      <c r="D1539" s="9">
        <v>19859</v>
      </c>
      <c r="E1539" s="5" t="s">
        <v>578</v>
      </c>
      <c r="F1539" t="s">
        <v>258</v>
      </c>
      <c r="G1539">
        <v>1849</v>
      </c>
      <c r="H1539">
        <v>506</v>
      </c>
      <c r="I1539" s="8">
        <f t="shared" ref="I1539:I1602" si="145">H1539/G1539</f>
        <v>0.27366143861546782</v>
      </c>
      <c r="J1539" s="17">
        <v>0.7</v>
      </c>
      <c r="K1539" s="12">
        <v>13.75</v>
      </c>
      <c r="L1539" s="2">
        <f t="shared" si="142"/>
        <v>788.3</v>
      </c>
      <c r="M1539" s="15">
        <f t="shared" ref="M1539:M1602" si="146">L1539*K1539</f>
        <v>10839.125</v>
      </c>
      <c r="N1539" t="str">
        <f t="shared" si="143"/>
        <v>SP</v>
      </c>
      <c r="O1539" t="str">
        <f t="shared" si="144"/>
        <v>São Paulo</v>
      </c>
    </row>
    <row r="1540" spans="1:15" x14ac:dyDescent="0.3">
      <c r="A1540" s="10">
        <v>45870</v>
      </c>
      <c r="B1540" s="9" t="s">
        <v>3</v>
      </c>
      <c r="C1540" t="s">
        <v>248</v>
      </c>
      <c r="D1540" s="9">
        <v>19711</v>
      </c>
      <c r="E1540" s="5" t="s">
        <v>579</v>
      </c>
      <c r="F1540" t="s">
        <v>264</v>
      </c>
      <c r="G1540">
        <v>1505</v>
      </c>
      <c r="H1540">
        <v>474</v>
      </c>
      <c r="I1540" s="8">
        <f t="shared" si="145"/>
        <v>0.31495016611295679</v>
      </c>
      <c r="J1540" s="17">
        <v>0.7</v>
      </c>
      <c r="K1540" s="12">
        <v>13.75</v>
      </c>
      <c r="L1540" s="2">
        <f t="shared" si="142"/>
        <v>579.5</v>
      </c>
      <c r="M1540" s="15">
        <f t="shared" si="146"/>
        <v>7968.125</v>
      </c>
      <c r="N1540" t="str">
        <f t="shared" si="143"/>
        <v>SP</v>
      </c>
      <c r="O1540" t="str">
        <f t="shared" si="144"/>
        <v>São Paulo</v>
      </c>
    </row>
    <row r="1541" spans="1:15" x14ac:dyDescent="0.3">
      <c r="A1541" s="10">
        <v>45870</v>
      </c>
      <c r="B1541" s="9" t="s">
        <v>3</v>
      </c>
      <c r="C1541" t="s">
        <v>248</v>
      </c>
      <c r="D1541" s="9">
        <v>19763</v>
      </c>
      <c r="E1541" s="5" t="s">
        <v>580</v>
      </c>
      <c r="F1541" t="s">
        <v>263</v>
      </c>
      <c r="G1541">
        <v>1312</v>
      </c>
      <c r="H1541">
        <v>465</v>
      </c>
      <c r="I1541" s="8">
        <f t="shared" si="145"/>
        <v>0.35442073170731708</v>
      </c>
      <c r="J1541" s="17">
        <v>0.7</v>
      </c>
      <c r="K1541" s="12">
        <v>13.75</v>
      </c>
      <c r="L1541" s="2">
        <f t="shared" ref="L1541:L1572" si="147">H1541*J1541/I1541-H1541</f>
        <v>453.4</v>
      </c>
      <c r="M1541" s="15">
        <f t="shared" si="146"/>
        <v>6234.25</v>
      </c>
      <c r="N1541" t="str">
        <f t="shared" si="143"/>
        <v>SP</v>
      </c>
      <c r="O1541" t="str">
        <f t="shared" si="144"/>
        <v>São Paulo</v>
      </c>
    </row>
    <row r="1542" spans="1:15" x14ac:dyDescent="0.3">
      <c r="A1542" s="10">
        <v>45870</v>
      </c>
      <c r="B1542" s="9" t="s">
        <v>68</v>
      </c>
      <c r="C1542" t="s">
        <v>69</v>
      </c>
      <c r="D1542" s="9">
        <v>19602</v>
      </c>
      <c r="E1542" s="5" t="s">
        <v>570</v>
      </c>
      <c r="F1542" t="s">
        <v>70</v>
      </c>
      <c r="G1542">
        <v>351</v>
      </c>
      <c r="H1542">
        <v>53</v>
      </c>
      <c r="I1542" s="8">
        <f t="shared" si="145"/>
        <v>0.150997150997151</v>
      </c>
      <c r="J1542" s="17">
        <v>0.7</v>
      </c>
      <c r="K1542" s="12">
        <v>13.75</v>
      </c>
      <c r="L1542" s="2">
        <f t="shared" si="147"/>
        <v>192.69999999999996</v>
      </c>
      <c r="M1542" s="15">
        <f t="shared" si="146"/>
        <v>2649.6249999999995</v>
      </c>
      <c r="N1542" t="str">
        <f t="shared" si="143"/>
        <v>MS</v>
      </c>
      <c r="O1542" t="str">
        <f t="shared" si="144"/>
        <v>Campo Grande</v>
      </c>
    </row>
    <row r="1543" spans="1:15" x14ac:dyDescent="0.3">
      <c r="A1543" s="10">
        <v>45870</v>
      </c>
      <c r="B1543" s="9" t="s">
        <v>46</v>
      </c>
      <c r="C1543" t="s">
        <v>47</v>
      </c>
      <c r="D1543" s="9">
        <v>19755</v>
      </c>
      <c r="E1543" s="5" t="s">
        <v>581</v>
      </c>
      <c r="F1543" t="s">
        <v>53</v>
      </c>
      <c r="G1543">
        <v>1306</v>
      </c>
      <c r="H1543">
        <v>526</v>
      </c>
      <c r="I1543" s="8">
        <f t="shared" si="145"/>
        <v>0.40275650842266464</v>
      </c>
      <c r="J1543" s="17">
        <v>0.7</v>
      </c>
      <c r="K1543" s="12">
        <v>13.75</v>
      </c>
      <c r="L1543" s="2">
        <f t="shared" si="147"/>
        <v>388.19999999999993</v>
      </c>
      <c r="M1543" s="15">
        <f t="shared" si="146"/>
        <v>5337.7499999999991</v>
      </c>
      <c r="N1543" t="str">
        <f t="shared" si="143"/>
        <v>DF</v>
      </c>
      <c r="O1543" t="str">
        <f t="shared" si="144"/>
        <v>Brasília</v>
      </c>
    </row>
    <row r="1544" spans="1:15" x14ac:dyDescent="0.3">
      <c r="A1544" s="10">
        <v>45870</v>
      </c>
      <c r="B1544" s="9" t="s">
        <v>14</v>
      </c>
      <c r="C1544" t="s">
        <v>29</v>
      </c>
      <c r="D1544" s="9">
        <v>19780</v>
      </c>
      <c r="E1544" s="5" t="s">
        <v>582</v>
      </c>
      <c r="F1544" t="s">
        <v>35</v>
      </c>
      <c r="G1544">
        <v>1524</v>
      </c>
      <c r="H1544">
        <v>693</v>
      </c>
      <c r="I1544" s="8">
        <f t="shared" si="145"/>
        <v>0.45472440944881892</v>
      </c>
      <c r="J1544" s="17">
        <v>0.7</v>
      </c>
      <c r="K1544" s="12">
        <v>13.75</v>
      </c>
      <c r="L1544" s="2">
        <f t="shared" si="147"/>
        <v>373.79999999999995</v>
      </c>
      <c r="M1544" s="15">
        <f t="shared" si="146"/>
        <v>5139.7499999999991</v>
      </c>
      <c r="N1544" t="str">
        <f t="shared" si="143"/>
        <v>MG</v>
      </c>
      <c r="O1544" t="str">
        <f t="shared" si="144"/>
        <v>Belo Horizonte</v>
      </c>
    </row>
    <row r="1545" spans="1:15" x14ac:dyDescent="0.3">
      <c r="A1545" s="10">
        <v>45870</v>
      </c>
      <c r="B1545" s="9" t="s">
        <v>3</v>
      </c>
      <c r="C1545" t="s">
        <v>362</v>
      </c>
      <c r="D1545" s="9">
        <v>19825</v>
      </c>
      <c r="E1545" s="5" t="s">
        <v>583</v>
      </c>
      <c r="F1545" t="s">
        <v>241</v>
      </c>
      <c r="G1545">
        <v>1311</v>
      </c>
      <c r="H1545">
        <v>372</v>
      </c>
      <c r="I1545" s="8">
        <f t="shared" si="145"/>
        <v>0.28375286041189929</v>
      </c>
      <c r="J1545" s="17">
        <v>0.7</v>
      </c>
      <c r="K1545" s="12">
        <v>13.75</v>
      </c>
      <c r="L1545" s="2">
        <f t="shared" si="147"/>
        <v>545.70000000000005</v>
      </c>
      <c r="M1545" s="15">
        <f t="shared" si="146"/>
        <v>7503.3750000000009</v>
      </c>
      <c r="N1545" t="str">
        <f t="shared" si="143"/>
        <v>SP</v>
      </c>
      <c r="O1545" t="str">
        <f t="shared" si="144"/>
        <v>São Bernardo Do Campo</v>
      </c>
    </row>
    <row r="1546" spans="1:15" x14ac:dyDescent="0.3">
      <c r="A1546" s="10">
        <v>45870</v>
      </c>
      <c r="B1546" s="9" t="s">
        <v>3</v>
      </c>
      <c r="C1546" t="s">
        <v>361</v>
      </c>
      <c r="D1546" s="9">
        <v>19847</v>
      </c>
      <c r="E1546" s="5" t="s">
        <v>584</v>
      </c>
      <c r="F1546" t="s">
        <v>238</v>
      </c>
      <c r="G1546">
        <v>1512</v>
      </c>
      <c r="H1546">
        <v>409</v>
      </c>
      <c r="I1546" s="8">
        <f t="shared" si="145"/>
        <v>0.27050264550264552</v>
      </c>
      <c r="J1546" s="17">
        <v>0.7</v>
      </c>
      <c r="K1546" s="12">
        <v>13.75</v>
      </c>
      <c r="L1546" s="2">
        <f t="shared" si="147"/>
        <v>649.39999999999986</v>
      </c>
      <c r="M1546" s="15">
        <f t="shared" si="146"/>
        <v>8929.2499999999982</v>
      </c>
      <c r="N1546" t="str">
        <f t="shared" si="143"/>
        <v>SP</v>
      </c>
      <c r="O1546" t="str">
        <f t="shared" si="144"/>
        <v>Santo André</v>
      </c>
    </row>
    <row r="1547" spans="1:15" x14ac:dyDescent="0.3">
      <c r="A1547" s="10">
        <v>45870</v>
      </c>
      <c r="B1547" s="9" t="s">
        <v>3</v>
      </c>
      <c r="C1547" t="s">
        <v>248</v>
      </c>
      <c r="D1547" s="9">
        <v>19890</v>
      </c>
      <c r="E1547" s="5" t="s">
        <v>585</v>
      </c>
      <c r="F1547" t="s">
        <v>259</v>
      </c>
      <c r="G1547">
        <v>843</v>
      </c>
      <c r="H1547">
        <v>266</v>
      </c>
      <c r="I1547" s="8">
        <f t="shared" si="145"/>
        <v>0.31553973902728349</v>
      </c>
      <c r="J1547" s="17">
        <v>0.7</v>
      </c>
      <c r="K1547" s="12">
        <v>13.75</v>
      </c>
      <c r="L1547" s="2">
        <f t="shared" si="147"/>
        <v>324.10000000000002</v>
      </c>
      <c r="M1547" s="15">
        <f t="shared" si="146"/>
        <v>4456.375</v>
      </c>
      <c r="N1547" t="str">
        <f t="shared" si="143"/>
        <v>SP</v>
      </c>
      <c r="O1547" t="str">
        <f t="shared" si="144"/>
        <v>São Paulo</v>
      </c>
    </row>
    <row r="1548" spans="1:15" x14ac:dyDescent="0.3">
      <c r="A1548" s="10">
        <v>45870</v>
      </c>
      <c r="B1548" s="9" t="s">
        <v>3</v>
      </c>
      <c r="C1548" t="s">
        <v>239</v>
      </c>
      <c r="D1548" s="9">
        <v>19708</v>
      </c>
      <c r="E1548" s="5" t="s">
        <v>586</v>
      </c>
      <c r="F1548" t="s">
        <v>240</v>
      </c>
      <c r="G1548">
        <v>2546</v>
      </c>
      <c r="H1548">
        <v>890</v>
      </c>
      <c r="I1548" s="8">
        <f t="shared" si="145"/>
        <v>0.34956794972505889</v>
      </c>
      <c r="J1548" s="17">
        <v>0.7</v>
      </c>
      <c r="K1548" s="12">
        <v>13.75</v>
      </c>
      <c r="L1548" s="2">
        <f t="shared" si="147"/>
        <v>892.2</v>
      </c>
      <c r="M1548" s="15">
        <f t="shared" si="146"/>
        <v>12267.75</v>
      </c>
      <c r="N1548" t="str">
        <f t="shared" si="143"/>
        <v>SP</v>
      </c>
      <c r="O1548" t="str">
        <f t="shared" si="144"/>
        <v>Santos</v>
      </c>
    </row>
    <row r="1549" spans="1:15" x14ac:dyDescent="0.3">
      <c r="A1549" s="10">
        <v>45870</v>
      </c>
      <c r="B1549" s="9" t="s">
        <v>3</v>
      </c>
      <c r="C1549" t="s">
        <v>356</v>
      </c>
      <c r="D1549" s="9">
        <v>19745</v>
      </c>
      <c r="E1549" s="5" t="s">
        <v>587</v>
      </c>
      <c r="F1549" t="s">
        <v>154</v>
      </c>
      <c r="G1549">
        <v>1638</v>
      </c>
      <c r="H1549">
        <v>678</v>
      </c>
      <c r="I1549" s="8">
        <f t="shared" si="145"/>
        <v>0.41391941391941389</v>
      </c>
      <c r="J1549" s="17">
        <v>0.7</v>
      </c>
      <c r="K1549" s="12">
        <v>13.75</v>
      </c>
      <c r="L1549" s="2">
        <f t="shared" si="147"/>
        <v>468.59999999999991</v>
      </c>
      <c r="M1549" s="15">
        <f t="shared" si="146"/>
        <v>6443.2499999999991</v>
      </c>
      <c r="N1549" t="str">
        <f t="shared" si="143"/>
        <v>SP</v>
      </c>
      <c r="O1549" t="str">
        <f t="shared" si="144"/>
        <v>Osasco</v>
      </c>
    </row>
    <row r="1550" spans="1:15" x14ac:dyDescent="0.3">
      <c r="A1550" s="10">
        <v>45870</v>
      </c>
      <c r="B1550" s="9" t="s">
        <v>3</v>
      </c>
      <c r="C1550" t="s">
        <v>248</v>
      </c>
      <c r="D1550" s="9">
        <v>19710</v>
      </c>
      <c r="E1550" s="5" t="s">
        <v>588</v>
      </c>
      <c r="F1550" t="s">
        <v>261</v>
      </c>
      <c r="G1550">
        <v>1634</v>
      </c>
      <c r="H1550">
        <v>773</v>
      </c>
      <c r="I1550" s="8">
        <f t="shared" si="145"/>
        <v>0.47307221542227662</v>
      </c>
      <c r="J1550" s="17">
        <v>0.7</v>
      </c>
      <c r="K1550" s="12">
        <v>13.75</v>
      </c>
      <c r="L1550" s="2">
        <f t="shared" si="147"/>
        <v>370.79999999999973</v>
      </c>
      <c r="M1550" s="15">
        <f t="shared" si="146"/>
        <v>5098.4999999999964</v>
      </c>
      <c r="N1550" t="str">
        <f t="shared" si="143"/>
        <v>SP</v>
      </c>
      <c r="O1550" t="str">
        <f t="shared" si="144"/>
        <v>São Paulo</v>
      </c>
    </row>
    <row r="1551" spans="1:15" x14ac:dyDescent="0.3">
      <c r="A1551" s="10">
        <v>45870</v>
      </c>
      <c r="B1551" s="9" t="s">
        <v>3</v>
      </c>
      <c r="C1551" t="s">
        <v>363</v>
      </c>
      <c r="D1551" s="9">
        <v>19808</v>
      </c>
      <c r="E1551" s="5" t="s">
        <v>589</v>
      </c>
      <c r="F1551" t="s">
        <v>243</v>
      </c>
      <c r="G1551">
        <v>1525</v>
      </c>
      <c r="H1551">
        <v>427</v>
      </c>
      <c r="I1551" s="8">
        <f t="shared" si="145"/>
        <v>0.28000000000000003</v>
      </c>
      <c r="J1551" s="17">
        <v>0.7</v>
      </c>
      <c r="K1551" s="12">
        <v>13.75</v>
      </c>
      <c r="L1551" s="2">
        <f t="shared" si="147"/>
        <v>640.49999999999977</v>
      </c>
      <c r="M1551" s="15">
        <f t="shared" si="146"/>
        <v>8806.8749999999964</v>
      </c>
      <c r="N1551" t="str">
        <f t="shared" si="143"/>
        <v>SP</v>
      </c>
      <c r="O1551" t="str">
        <f t="shared" si="144"/>
        <v>São Caetano Do Sul</v>
      </c>
    </row>
    <row r="1552" spans="1:15" x14ac:dyDescent="0.3">
      <c r="A1552" s="10">
        <v>45870</v>
      </c>
      <c r="B1552" s="9" t="s">
        <v>3</v>
      </c>
      <c r="C1552" t="s">
        <v>248</v>
      </c>
      <c r="D1552" s="9">
        <v>19804</v>
      </c>
      <c r="E1552" s="5" t="s">
        <v>590</v>
      </c>
      <c r="F1552" t="s">
        <v>255</v>
      </c>
      <c r="G1552">
        <v>978</v>
      </c>
      <c r="H1552">
        <v>370</v>
      </c>
      <c r="I1552" s="8">
        <f t="shared" si="145"/>
        <v>0.3783231083844581</v>
      </c>
      <c r="J1552" s="17">
        <v>0.7</v>
      </c>
      <c r="K1552" s="12">
        <v>13.75</v>
      </c>
      <c r="L1552" s="2">
        <f t="shared" si="147"/>
        <v>314.60000000000002</v>
      </c>
      <c r="M1552" s="15">
        <f t="shared" si="146"/>
        <v>4325.75</v>
      </c>
      <c r="N1552" t="str">
        <f t="shared" si="143"/>
        <v>SP</v>
      </c>
      <c r="O1552" t="str">
        <f t="shared" si="144"/>
        <v>São Paulo</v>
      </c>
    </row>
    <row r="1553" spans="1:15" x14ac:dyDescent="0.3">
      <c r="A1553" s="10">
        <v>45870</v>
      </c>
      <c r="B1553" s="9" t="s">
        <v>3</v>
      </c>
      <c r="C1553" t="s">
        <v>362</v>
      </c>
      <c r="D1553" s="9">
        <v>19820</v>
      </c>
      <c r="E1553" s="5" t="s">
        <v>591</v>
      </c>
      <c r="F1553" t="s">
        <v>242</v>
      </c>
      <c r="G1553">
        <v>1361</v>
      </c>
      <c r="H1553">
        <v>355</v>
      </c>
      <c r="I1553" s="8">
        <f t="shared" si="145"/>
        <v>0.26083761939750183</v>
      </c>
      <c r="J1553" s="17">
        <v>0.7</v>
      </c>
      <c r="K1553" s="12">
        <v>13.75</v>
      </c>
      <c r="L1553" s="2">
        <f t="shared" si="147"/>
        <v>597.69999999999993</v>
      </c>
      <c r="M1553" s="15">
        <f t="shared" si="146"/>
        <v>8218.3749999999982</v>
      </c>
      <c r="N1553" t="str">
        <f t="shared" si="143"/>
        <v>SP</v>
      </c>
      <c r="O1553" t="str">
        <f t="shared" si="144"/>
        <v>São Bernardo Do Campo</v>
      </c>
    </row>
    <row r="1554" spans="1:15" x14ac:dyDescent="0.3">
      <c r="A1554" s="10">
        <v>45870</v>
      </c>
      <c r="B1554" s="9" t="s">
        <v>3</v>
      </c>
      <c r="C1554" t="s">
        <v>24</v>
      </c>
      <c r="D1554" s="9">
        <v>19805</v>
      </c>
      <c r="E1554" s="5" t="s">
        <v>592</v>
      </c>
      <c r="F1554" t="s">
        <v>25</v>
      </c>
      <c r="G1554">
        <v>1186</v>
      </c>
      <c r="H1554">
        <v>546</v>
      </c>
      <c r="I1554" s="8">
        <f t="shared" si="145"/>
        <v>0.46037099494097805</v>
      </c>
      <c r="J1554" s="17">
        <v>0.7</v>
      </c>
      <c r="K1554" s="12">
        <v>13.75</v>
      </c>
      <c r="L1554" s="2">
        <f t="shared" si="147"/>
        <v>284.20000000000005</v>
      </c>
      <c r="M1554" s="15">
        <f t="shared" si="146"/>
        <v>3907.7500000000005</v>
      </c>
      <c r="N1554" t="str">
        <f t="shared" si="143"/>
        <v>SP</v>
      </c>
      <c r="O1554" t="str">
        <f t="shared" si="144"/>
        <v>Barueri</v>
      </c>
    </row>
    <row r="1555" spans="1:15" x14ac:dyDescent="0.3">
      <c r="A1555" s="10">
        <v>45870</v>
      </c>
      <c r="B1555" s="9" t="s">
        <v>14</v>
      </c>
      <c r="C1555" t="s">
        <v>29</v>
      </c>
      <c r="D1555" s="9">
        <v>19720</v>
      </c>
      <c r="E1555" s="5" t="s">
        <v>593</v>
      </c>
      <c r="F1555" t="s">
        <v>36</v>
      </c>
      <c r="G1555">
        <v>1518</v>
      </c>
      <c r="H1555">
        <v>554</v>
      </c>
      <c r="I1555" s="8">
        <f t="shared" si="145"/>
        <v>0.36495388669301715</v>
      </c>
      <c r="J1555" s="17">
        <v>0.7</v>
      </c>
      <c r="K1555" s="12">
        <v>13.75</v>
      </c>
      <c r="L1555" s="2">
        <f t="shared" si="147"/>
        <v>508.59999999999991</v>
      </c>
      <c r="M1555" s="15">
        <f t="shared" si="146"/>
        <v>6993.2499999999991</v>
      </c>
      <c r="N1555" t="str">
        <f t="shared" si="143"/>
        <v>MG</v>
      </c>
      <c r="O1555" t="str">
        <f t="shared" si="144"/>
        <v>Belo Horizonte</v>
      </c>
    </row>
    <row r="1556" spans="1:15" x14ac:dyDescent="0.3">
      <c r="A1556" s="10">
        <v>45870</v>
      </c>
      <c r="B1556" s="9" t="s">
        <v>3</v>
      </c>
      <c r="C1556" t="s">
        <v>108</v>
      </c>
      <c r="D1556" s="9">
        <v>19877</v>
      </c>
      <c r="E1556" s="5" t="s">
        <v>594</v>
      </c>
      <c r="F1556" t="s">
        <v>109</v>
      </c>
      <c r="G1556">
        <v>1807</v>
      </c>
      <c r="H1556">
        <v>664</v>
      </c>
      <c r="I1556" s="8">
        <f t="shared" si="145"/>
        <v>0.36745987825124515</v>
      </c>
      <c r="J1556" s="17">
        <v>0.7</v>
      </c>
      <c r="K1556" s="12">
        <v>13.75</v>
      </c>
      <c r="L1556" s="2">
        <f t="shared" si="147"/>
        <v>600.89999999999986</v>
      </c>
      <c r="M1556" s="15">
        <f t="shared" si="146"/>
        <v>8262.3749999999982</v>
      </c>
      <c r="N1556" t="str">
        <f t="shared" si="143"/>
        <v>SP</v>
      </c>
      <c r="O1556" t="str">
        <f t="shared" si="144"/>
        <v>Guarujá</v>
      </c>
    </row>
    <row r="1557" spans="1:15" x14ac:dyDescent="0.3">
      <c r="A1557" s="10">
        <v>45870</v>
      </c>
      <c r="B1557" s="9" t="s">
        <v>15</v>
      </c>
      <c r="C1557" t="s">
        <v>332</v>
      </c>
      <c r="D1557" s="9">
        <v>19679</v>
      </c>
      <c r="E1557" s="5" t="s">
        <v>571</v>
      </c>
      <c r="F1557" t="s">
        <v>333</v>
      </c>
      <c r="G1557">
        <v>2135</v>
      </c>
      <c r="H1557">
        <v>957</v>
      </c>
      <c r="I1557" s="8">
        <f t="shared" si="145"/>
        <v>0.44824355971896956</v>
      </c>
      <c r="J1557" s="17">
        <v>0.7</v>
      </c>
      <c r="K1557" s="12">
        <v>13.75</v>
      </c>
      <c r="L1557" s="2">
        <f t="shared" si="147"/>
        <v>537.5</v>
      </c>
      <c r="M1557" s="15">
        <f t="shared" si="146"/>
        <v>7390.625</v>
      </c>
      <c r="N1557" t="str">
        <f t="shared" si="143"/>
        <v>RJ</v>
      </c>
      <c r="O1557" t="str">
        <f t="shared" si="144"/>
        <v>Macaé</v>
      </c>
    </row>
    <row r="1558" spans="1:15" x14ac:dyDescent="0.3">
      <c r="A1558" s="10">
        <v>45870</v>
      </c>
      <c r="B1558" s="9" t="s">
        <v>59</v>
      </c>
      <c r="C1558" t="s">
        <v>104</v>
      </c>
      <c r="D1558" s="9">
        <v>19872</v>
      </c>
      <c r="E1558" s="5" t="s">
        <v>572</v>
      </c>
      <c r="F1558" t="s">
        <v>105</v>
      </c>
      <c r="G1558">
        <v>2172</v>
      </c>
      <c r="H1558">
        <v>966</v>
      </c>
      <c r="I1558" s="8">
        <f t="shared" si="145"/>
        <v>0.44475138121546959</v>
      </c>
      <c r="J1558" s="17">
        <v>0.7</v>
      </c>
      <c r="K1558" s="12">
        <v>13.75</v>
      </c>
      <c r="L1558" s="2">
        <f t="shared" si="147"/>
        <v>554.39999999999986</v>
      </c>
      <c r="M1558" s="15">
        <f t="shared" si="146"/>
        <v>7622.9999999999982</v>
      </c>
      <c r="N1558" t="str">
        <f t="shared" si="143"/>
        <v>ES</v>
      </c>
      <c r="O1558" t="str">
        <f t="shared" si="144"/>
        <v>Guarapari</v>
      </c>
    </row>
    <row r="1559" spans="1:15" x14ac:dyDescent="0.3">
      <c r="A1559" s="10">
        <v>45870</v>
      </c>
      <c r="B1559" s="9" t="s">
        <v>82</v>
      </c>
      <c r="C1559" t="s">
        <v>83</v>
      </c>
      <c r="D1559" s="9">
        <v>19547</v>
      </c>
      <c r="E1559" s="5" t="s">
        <v>573</v>
      </c>
      <c r="F1559" t="s">
        <v>87</v>
      </c>
      <c r="G1559">
        <v>2505</v>
      </c>
      <c r="H1559">
        <v>640</v>
      </c>
      <c r="I1559" s="8">
        <f t="shared" si="145"/>
        <v>0.2554890219560878</v>
      </c>
      <c r="J1559" s="17">
        <v>0.7</v>
      </c>
      <c r="K1559" s="12">
        <v>13.75</v>
      </c>
      <c r="L1559" s="2">
        <f t="shared" si="147"/>
        <v>1113.5000000000002</v>
      </c>
      <c r="M1559" s="15">
        <f t="shared" si="146"/>
        <v>15310.625000000004</v>
      </c>
      <c r="N1559" t="str">
        <f t="shared" si="143"/>
        <v>PR</v>
      </c>
      <c r="O1559" t="str">
        <f t="shared" si="144"/>
        <v>Curitiba</v>
      </c>
    </row>
    <row r="1560" spans="1:15" x14ac:dyDescent="0.3">
      <c r="A1560" s="10">
        <v>45870</v>
      </c>
      <c r="B1560" s="9" t="s">
        <v>15</v>
      </c>
      <c r="C1560" t="s">
        <v>145</v>
      </c>
      <c r="D1560" s="9">
        <v>19513</v>
      </c>
      <c r="E1560" s="5" t="s">
        <v>574</v>
      </c>
      <c r="F1560" t="s">
        <v>147</v>
      </c>
      <c r="G1560">
        <v>2979</v>
      </c>
      <c r="H1560">
        <v>949</v>
      </c>
      <c r="I1560" s="8">
        <f t="shared" si="145"/>
        <v>0.31856327626720377</v>
      </c>
      <c r="J1560" s="17">
        <v>0.7</v>
      </c>
      <c r="K1560" s="12">
        <v>13.75</v>
      </c>
      <c r="L1560" s="2">
        <f t="shared" si="147"/>
        <v>1136.2999999999997</v>
      </c>
      <c r="M1560" s="15">
        <f t="shared" si="146"/>
        <v>15624.124999999996</v>
      </c>
      <c r="N1560" t="str">
        <f t="shared" si="143"/>
        <v>RJ</v>
      </c>
      <c r="O1560" t="str">
        <f t="shared" si="144"/>
        <v>Niterói</v>
      </c>
    </row>
    <row r="1561" spans="1:15" x14ac:dyDescent="0.3">
      <c r="A1561" s="10">
        <v>45870</v>
      </c>
      <c r="B1561" s="9" t="s">
        <v>15</v>
      </c>
      <c r="C1561" t="s">
        <v>145</v>
      </c>
      <c r="D1561" s="9">
        <v>19525</v>
      </c>
      <c r="E1561" s="5" t="s">
        <v>575</v>
      </c>
      <c r="F1561" t="s">
        <v>148</v>
      </c>
      <c r="G1561">
        <v>3469</v>
      </c>
      <c r="H1561">
        <v>1258</v>
      </c>
      <c r="I1561" s="8">
        <f t="shared" si="145"/>
        <v>0.36264053041222255</v>
      </c>
      <c r="J1561" s="17">
        <v>0.7</v>
      </c>
      <c r="K1561" s="12">
        <v>13.75</v>
      </c>
      <c r="L1561" s="2">
        <f t="shared" si="147"/>
        <v>1170.2999999999997</v>
      </c>
      <c r="M1561" s="15">
        <f t="shared" si="146"/>
        <v>16091.624999999996</v>
      </c>
      <c r="N1561" t="str">
        <f t="shared" si="143"/>
        <v>RJ</v>
      </c>
      <c r="O1561" t="str">
        <f t="shared" si="144"/>
        <v>Niterói</v>
      </c>
    </row>
    <row r="1562" spans="1:15" x14ac:dyDescent="0.3">
      <c r="A1562" s="10">
        <v>45870</v>
      </c>
      <c r="B1562" s="9" t="s">
        <v>15</v>
      </c>
      <c r="C1562" t="s">
        <v>341</v>
      </c>
      <c r="D1562" s="9">
        <v>19908</v>
      </c>
      <c r="E1562" s="5" t="s">
        <v>595</v>
      </c>
      <c r="F1562" t="s">
        <v>16</v>
      </c>
      <c r="G1562">
        <v>1519</v>
      </c>
      <c r="H1562">
        <v>688</v>
      </c>
      <c r="I1562" s="8">
        <f t="shared" si="145"/>
        <v>0.45292955892034231</v>
      </c>
      <c r="J1562" s="17">
        <v>0.7</v>
      </c>
      <c r="K1562" s="12">
        <v>13.75</v>
      </c>
      <c r="L1562" s="2">
        <f t="shared" si="147"/>
        <v>375.29999999999995</v>
      </c>
      <c r="M1562" s="15">
        <f t="shared" si="146"/>
        <v>5160.3749999999991</v>
      </c>
      <c r="N1562" t="str">
        <f t="shared" si="143"/>
        <v>RJ</v>
      </c>
      <c r="O1562" t="str">
        <f t="shared" si="144"/>
        <v>Armação Dos Búzios</v>
      </c>
    </row>
    <row r="1563" spans="1:15" x14ac:dyDescent="0.3">
      <c r="A1563" s="10">
        <v>45870</v>
      </c>
      <c r="B1563" s="9" t="s">
        <v>21</v>
      </c>
      <c r="C1563" t="s">
        <v>228</v>
      </c>
      <c r="D1563" s="9">
        <v>19625</v>
      </c>
      <c r="E1563" s="5" t="s">
        <v>596</v>
      </c>
      <c r="F1563" t="s">
        <v>231</v>
      </c>
      <c r="G1563">
        <v>3303</v>
      </c>
      <c r="H1563">
        <v>1461</v>
      </c>
      <c r="I1563" s="8">
        <f t="shared" si="145"/>
        <v>0.44232515894641233</v>
      </c>
      <c r="J1563" s="17">
        <v>0.7</v>
      </c>
      <c r="K1563" s="12">
        <v>13.75</v>
      </c>
      <c r="L1563" s="2">
        <f t="shared" si="147"/>
        <v>851.09999999999991</v>
      </c>
      <c r="M1563" s="15">
        <f t="shared" si="146"/>
        <v>11702.624999999998</v>
      </c>
      <c r="N1563" t="str">
        <f t="shared" si="143"/>
        <v>BA</v>
      </c>
      <c r="O1563" t="str">
        <f t="shared" si="144"/>
        <v>Salvador</v>
      </c>
    </row>
    <row r="1564" spans="1:15" x14ac:dyDescent="0.3">
      <c r="A1564" s="10">
        <v>45870</v>
      </c>
      <c r="B1564" s="9" t="s">
        <v>21</v>
      </c>
      <c r="C1564" t="s">
        <v>228</v>
      </c>
      <c r="D1564" s="9">
        <v>19771</v>
      </c>
      <c r="E1564" s="5" t="s">
        <v>576</v>
      </c>
      <c r="F1564" t="s">
        <v>235</v>
      </c>
      <c r="G1564">
        <v>2000</v>
      </c>
      <c r="H1564">
        <v>820</v>
      </c>
      <c r="I1564" s="8">
        <f t="shared" si="145"/>
        <v>0.41</v>
      </c>
      <c r="J1564" s="17">
        <v>0.7</v>
      </c>
      <c r="K1564" s="12">
        <v>13.75</v>
      </c>
      <c r="L1564" s="2">
        <f t="shared" si="147"/>
        <v>580</v>
      </c>
      <c r="M1564" s="15">
        <f t="shared" si="146"/>
        <v>7975</v>
      </c>
      <c r="N1564" t="str">
        <f t="shared" si="143"/>
        <v>BA</v>
      </c>
      <c r="O1564" t="str">
        <f t="shared" si="144"/>
        <v>Salvador</v>
      </c>
    </row>
    <row r="1565" spans="1:15" x14ac:dyDescent="0.3">
      <c r="A1565" s="10">
        <v>45870</v>
      </c>
      <c r="B1565" s="9" t="s">
        <v>21</v>
      </c>
      <c r="C1565" t="s">
        <v>228</v>
      </c>
      <c r="D1565" s="9">
        <v>19689</v>
      </c>
      <c r="E1565" s="5" t="s">
        <v>597</v>
      </c>
      <c r="F1565" t="s">
        <v>230</v>
      </c>
      <c r="G1565">
        <v>2356</v>
      </c>
      <c r="H1565">
        <v>1080</v>
      </c>
      <c r="I1565" s="8">
        <f t="shared" si="145"/>
        <v>0.45840407470288624</v>
      </c>
      <c r="J1565" s="17">
        <v>0.7</v>
      </c>
      <c r="K1565" s="12">
        <v>13.75</v>
      </c>
      <c r="L1565" s="2">
        <f t="shared" si="147"/>
        <v>569.20000000000005</v>
      </c>
      <c r="M1565" s="15">
        <f t="shared" si="146"/>
        <v>7826.5000000000009</v>
      </c>
      <c r="N1565" t="str">
        <f t="shared" si="143"/>
        <v>BA</v>
      </c>
      <c r="O1565" t="str">
        <f t="shared" si="144"/>
        <v>Salvador</v>
      </c>
    </row>
    <row r="1566" spans="1:15" x14ac:dyDescent="0.3">
      <c r="A1566" s="10">
        <v>45870</v>
      </c>
      <c r="B1566" s="9" t="s">
        <v>59</v>
      </c>
      <c r="C1566" t="s">
        <v>271</v>
      </c>
      <c r="D1566" s="9">
        <v>19775</v>
      </c>
      <c r="E1566" s="5" t="s">
        <v>598</v>
      </c>
      <c r="F1566" t="s">
        <v>272</v>
      </c>
      <c r="G1566">
        <v>1500</v>
      </c>
      <c r="H1566">
        <v>680</v>
      </c>
      <c r="I1566" s="8">
        <f t="shared" si="145"/>
        <v>0.45333333333333331</v>
      </c>
      <c r="J1566" s="17">
        <v>0.7</v>
      </c>
      <c r="K1566" s="12">
        <v>13.75</v>
      </c>
      <c r="L1566" s="2">
        <f t="shared" si="147"/>
        <v>370</v>
      </c>
      <c r="M1566" s="15">
        <f t="shared" si="146"/>
        <v>5087.5</v>
      </c>
      <c r="N1566" t="str">
        <f t="shared" si="143"/>
        <v>ES</v>
      </c>
      <c r="O1566" t="str">
        <f t="shared" si="144"/>
        <v>Serra</v>
      </c>
    </row>
    <row r="1567" spans="1:15" x14ac:dyDescent="0.3">
      <c r="A1567" s="10">
        <v>45870</v>
      </c>
      <c r="B1567" s="9" t="s">
        <v>59</v>
      </c>
      <c r="C1567" t="s">
        <v>292</v>
      </c>
      <c r="D1567" s="9">
        <v>19580</v>
      </c>
      <c r="E1567" s="5" t="s">
        <v>599</v>
      </c>
      <c r="F1567" t="s">
        <v>293</v>
      </c>
      <c r="G1567">
        <v>2575</v>
      </c>
      <c r="H1567">
        <v>799</v>
      </c>
      <c r="I1567" s="8">
        <f t="shared" si="145"/>
        <v>0.31029126213592234</v>
      </c>
      <c r="J1567" s="17">
        <v>0.7</v>
      </c>
      <c r="K1567" s="12">
        <v>13.75</v>
      </c>
      <c r="L1567" s="2">
        <f t="shared" si="147"/>
        <v>1003.4999999999998</v>
      </c>
      <c r="M1567" s="15">
        <f t="shared" si="146"/>
        <v>13798.124999999996</v>
      </c>
      <c r="N1567" t="str">
        <f t="shared" si="143"/>
        <v>ES</v>
      </c>
      <c r="O1567" t="str">
        <f t="shared" si="144"/>
        <v>Vitória</v>
      </c>
    </row>
    <row r="1568" spans="1:15" x14ac:dyDescent="0.3">
      <c r="A1568" s="10">
        <v>45870</v>
      </c>
      <c r="B1568" s="9" t="s">
        <v>59</v>
      </c>
      <c r="C1568" t="s">
        <v>292</v>
      </c>
      <c r="D1568" s="9">
        <v>19719</v>
      </c>
      <c r="E1568" s="5" t="s">
        <v>600</v>
      </c>
      <c r="F1568" t="s">
        <v>294</v>
      </c>
      <c r="G1568">
        <v>1901</v>
      </c>
      <c r="H1568">
        <v>657</v>
      </c>
      <c r="I1568" s="8">
        <f t="shared" si="145"/>
        <v>0.34560757496054706</v>
      </c>
      <c r="J1568" s="17">
        <v>0.7</v>
      </c>
      <c r="K1568" s="12">
        <v>13.75</v>
      </c>
      <c r="L1568" s="2">
        <f t="shared" si="147"/>
        <v>673.7</v>
      </c>
      <c r="M1568" s="15">
        <f t="shared" si="146"/>
        <v>9263.375</v>
      </c>
      <c r="N1568" t="str">
        <f t="shared" si="143"/>
        <v>ES</v>
      </c>
      <c r="O1568" t="str">
        <f t="shared" si="144"/>
        <v>Vitória</v>
      </c>
    </row>
    <row r="1569" spans="1:15" x14ac:dyDescent="0.3">
      <c r="A1569" s="10">
        <v>45870</v>
      </c>
      <c r="B1569" s="9" t="s">
        <v>3</v>
      </c>
      <c r="C1569" t="s">
        <v>193</v>
      </c>
      <c r="D1569" s="9">
        <v>19832</v>
      </c>
      <c r="E1569" s="5" t="s">
        <v>601</v>
      </c>
      <c r="F1569" t="s">
        <v>194</v>
      </c>
      <c r="G1569">
        <v>1531</v>
      </c>
      <c r="H1569">
        <v>424</v>
      </c>
      <c r="I1569" s="8">
        <f t="shared" si="145"/>
        <v>0.27694317439581972</v>
      </c>
      <c r="J1569" s="17">
        <v>0.7</v>
      </c>
      <c r="K1569" s="12">
        <v>13.75</v>
      </c>
      <c r="L1569" s="2">
        <f t="shared" si="147"/>
        <v>647.69999999999982</v>
      </c>
      <c r="M1569" s="15">
        <f t="shared" si="146"/>
        <v>8905.8749999999982</v>
      </c>
      <c r="N1569" t="str">
        <f t="shared" si="143"/>
        <v>SP</v>
      </c>
      <c r="O1569" t="str">
        <f t="shared" si="144"/>
        <v>Ribeirão Preto</v>
      </c>
    </row>
    <row r="1570" spans="1:15" x14ac:dyDescent="0.3">
      <c r="A1570" s="10">
        <v>45870</v>
      </c>
      <c r="B1570" s="9" t="s">
        <v>6</v>
      </c>
      <c r="C1570" t="s">
        <v>236</v>
      </c>
      <c r="D1570" s="9">
        <v>19606</v>
      </c>
      <c r="E1570" s="5" t="s">
        <v>602</v>
      </c>
      <c r="F1570" t="s">
        <v>237</v>
      </c>
      <c r="G1570">
        <v>2414</v>
      </c>
      <c r="H1570">
        <v>1285</v>
      </c>
      <c r="I1570" s="8">
        <f t="shared" si="145"/>
        <v>0.53231151615575811</v>
      </c>
      <c r="J1570" s="17">
        <v>0.7</v>
      </c>
      <c r="K1570" s="12">
        <v>13.75</v>
      </c>
      <c r="L1570" s="2">
        <f t="shared" si="147"/>
        <v>404.79999999999973</v>
      </c>
      <c r="M1570" s="15">
        <f t="shared" si="146"/>
        <v>5565.9999999999964</v>
      </c>
      <c r="N1570" t="str">
        <f t="shared" si="143"/>
        <v>PA</v>
      </c>
      <c r="O1570" t="str">
        <f t="shared" si="144"/>
        <v>Santarém</v>
      </c>
    </row>
    <row r="1571" spans="1:15" x14ac:dyDescent="0.3">
      <c r="A1571" s="10">
        <v>45870</v>
      </c>
      <c r="B1571" s="9" t="s">
        <v>14</v>
      </c>
      <c r="C1571" t="s">
        <v>29</v>
      </c>
      <c r="D1571" s="9">
        <v>19759</v>
      </c>
      <c r="E1571" s="5" t="s">
        <v>603</v>
      </c>
      <c r="F1571" t="s">
        <v>38</v>
      </c>
      <c r="G1571">
        <v>2139</v>
      </c>
      <c r="H1571">
        <v>940</v>
      </c>
      <c r="I1571" s="8">
        <f t="shared" si="145"/>
        <v>0.43945769050958394</v>
      </c>
      <c r="J1571" s="17">
        <v>0.7</v>
      </c>
      <c r="K1571" s="12">
        <v>13.75</v>
      </c>
      <c r="L1571" s="2">
        <f t="shared" si="147"/>
        <v>557.29999999999995</v>
      </c>
      <c r="M1571" s="15">
        <f t="shared" si="146"/>
        <v>7662.8749999999991</v>
      </c>
      <c r="N1571" t="str">
        <f t="shared" si="143"/>
        <v>MG</v>
      </c>
      <c r="O1571" t="str">
        <f t="shared" si="144"/>
        <v>Belo Horizonte</v>
      </c>
    </row>
    <row r="1572" spans="1:15" x14ac:dyDescent="0.3">
      <c r="A1572" s="10">
        <v>45870</v>
      </c>
      <c r="B1572" s="9" t="s">
        <v>61</v>
      </c>
      <c r="C1572" t="s">
        <v>328</v>
      </c>
      <c r="D1572" s="9">
        <v>19706</v>
      </c>
      <c r="E1572" s="5" t="s">
        <v>604</v>
      </c>
      <c r="F1572" t="s">
        <v>77</v>
      </c>
      <c r="G1572">
        <v>2294</v>
      </c>
      <c r="H1572">
        <v>1042</v>
      </c>
      <c r="I1572" s="8">
        <f t="shared" si="145"/>
        <v>0.45422842197035745</v>
      </c>
      <c r="J1572" s="17">
        <v>0.7</v>
      </c>
      <c r="K1572" s="12">
        <v>13.75</v>
      </c>
      <c r="L1572" s="2">
        <f t="shared" si="147"/>
        <v>563.79999999999995</v>
      </c>
      <c r="M1572" s="15">
        <f t="shared" si="146"/>
        <v>7752.2499999999991</v>
      </c>
      <c r="N1572" t="str">
        <f t="shared" si="143"/>
        <v>PB</v>
      </c>
      <c r="O1572" t="str">
        <f t="shared" si="144"/>
        <v>João Pessoa</v>
      </c>
    </row>
    <row r="1573" spans="1:15" x14ac:dyDescent="0.3">
      <c r="A1573" s="10">
        <v>45870</v>
      </c>
      <c r="B1573" s="9" t="s">
        <v>15</v>
      </c>
      <c r="C1573" t="s">
        <v>171</v>
      </c>
      <c r="D1573" s="9">
        <v>19520</v>
      </c>
      <c r="E1573" s="5" t="s">
        <v>605</v>
      </c>
      <c r="F1573" t="s">
        <v>172</v>
      </c>
      <c r="G1573">
        <v>1199</v>
      </c>
      <c r="H1573">
        <v>575</v>
      </c>
      <c r="I1573" s="8">
        <f t="shared" si="145"/>
        <v>0.47956630525437866</v>
      </c>
      <c r="J1573" s="17">
        <v>0.7</v>
      </c>
      <c r="K1573" s="12">
        <v>13.75</v>
      </c>
      <c r="L1573" s="2">
        <f t="shared" ref="L1573:L1604" si="148">H1573*J1573/I1573-H1573</f>
        <v>264.29999999999995</v>
      </c>
      <c r="M1573" s="15">
        <f t="shared" si="146"/>
        <v>3634.1249999999995</v>
      </c>
      <c r="N1573" t="str">
        <f t="shared" si="143"/>
        <v>RJ</v>
      </c>
      <c r="O1573" t="str">
        <f t="shared" si="144"/>
        <v>Petrópolis</v>
      </c>
    </row>
    <row r="1574" spans="1:15" x14ac:dyDescent="0.3">
      <c r="A1574" s="10">
        <v>45870</v>
      </c>
      <c r="B1574" s="9" t="s">
        <v>40</v>
      </c>
      <c r="C1574" t="s">
        <v>41</v>
      </c>
      <c r="D1574" s="9">
        <v>19868</v>
      </c>
      <c r="E1574" s="5" t="s">
        <v>606</v>
      </c>
      <c r="F1574" t="s">
        <v>43</v>
      </c>
      <c r="G1574">
        <v>2004</v>
      </c>
      <c r="H1574">
        <v>1365</v>
      </c>
      <c r="I1574" s="8">
        <f t="shared" si="145"/>
        <v>0.68113772455089816</v>
      </c>
      <c r="J1574" s="17">
        <v>0.7</v>
      </c>
      <c r="K1574" s="12">
        <v>13.75</v>
      </c>
      <c r="L1574" s="2">
        <f t="shared" si="148"/>
        <v>37.799999999999955</v>
      </c>
      <c r="M1574" s="15">
        <f t="shared" si="146"/>
        <v>519.74999999999932</v>
      </c>
      <c r="N1574" t="str">
        <f t="shared" si="143"/>
        <v>RR</v>
      </c>
      <c r="O1574" t="str">
        <f t="shared" si="144"/>
        <v>Boa Vista</v>
      </c>
    </row>
    <row r="1575" spans="1:15" x14ac:dyDescent="0.3">
      <c r="A1575" s="10">
        <v>45870</v>
      </c>
      <c r="B1575" s="9" t="s">
        <v>15</v>
      </c>
      <c r="C1575" t="s">
        <v>151</v>
      </c>
      <c r="D1575" s="9">
        <v>19599</v>
      </c>
      <c r="E1575" s="5" t="s">
        <v>607</v>
      </c>
      <c r="F1575" t="s">
        <v>152</v>
      </c>
      <c r="G1575">
        <v>2857</v>
      </c>
      <c r="H1575">
        <v>1260</v>
      </c>
      <c r="I1575" s="8">
        <f t="shared" si="145"/>
        <v>0.4410220511025551</v>
      </c>
      <c r="J1575" s="17">
        <v>0.7</v>
      </c>
      <c r="K1575" s="12">
        <v>13.75</v>
      </c>
      <c r="L1575" s="2">
        <f t="shared" si="148"/>
        <v>739.90000000000009</v>
      </c>
      <c r="M1575" s="15">
        <f t="shared" si="146"/>
        <v>10173.625000000002</v>
      </c>
      <c r="N1575" t="str">
        <f t="shared" si="143"/>
        <v>RJ</v>
      </c>
      <c r="O1575" t="str">
        <f t="shared" si="144"/>
        <v>Nova Iguaçu</v>
      </c>
    </row>
    <row r="1576" spans="1:15" x14ac:dyDescent="0.3">
      <c r="A1576" s="10">
        <v>45870</v>
      </c>
      <c r="B1576" s="9" t="s">
        <v>3</v>
      </c>
      <c r="C1576" t="s">
        <v>248</v>
      </c>
      <c r="D1576" s="9">
        <v>19855</v>
      </c>
      <c r="E1576" s="5" t="s">
        <v>608</v>
      </c>
      <c r="F1576" t="s">
        <v>257</v>
      </c>
      <c r="G1576">
        <v>1401</v>
      </c>
      <c r="H1576">
        <v>524</v>
      </c>
      <c r="I1576" s="8">
        <f t="shared" si="145"/>
        <v>0.37401855817273377</v>
      </c>
      <c r="J1576" s="17">
        <v>0.7</v>
      </c>
      <c r="K1576" s="12">
        <v>13.75</v>
      </c>
      <c r="L1576" s="2">
        <f t="shared" si="148"/>
        <v>456.69999999999982</v>
      </c>
      <c r="M1576" s="15">
        <f t="shared" si="146"/>
        <v>6279.6249999999973</v>
      </c>
      <c r="N1576" t="str">
        <f t="shared" si="143"/>
        <v>SP</v>
      </c>
      <c r="O1576" t="str">
        <f t="shared" si="144"/>
        <v>São Paulo</v>
      </c>
    </row>
    <row r="1577" spans="1:15" x14ac:dyDescent="0.3">
      <c r="A1577" s="10">
        <v>45870</v>
      </c>
      <c r="B1577" s="9" t="s">
        <v>3</v>
      </c>
      <c r="C1577" t="s">
        <v>248</v>
      </c>
      <c r="D1577" s="9">
        <v>19821</v>
      </c>
      <c r="E1577" s="5" t="s">
        <v>609</v>
      </c>
      <c r="F1577" t="s">
        <v>256</v>
      </c>
      <c r="G1577">
        <v>1481</v>
      </c>
      <c r="H1577">
        <v>480</v>
      </c>
      <c r="I1577" s="8">
        <f t="shared" si="145"/>
        <v>0.32410533423362592</v>
      </c>
      <c r="J1577" s="17">
        <v>0.7</v>
      </c>
      <c r="K1577" s="12">
        <v>13.75</v>
      </c>
      <c r="L1577" s="2">
        <f t="shared" si="148"/>
        <v>556.70000000000005</v>
      </c>
      <c r="M1577" s="15">
        <f t="shared" si="146"/>
        <v>7654.6250000000009</v>
      </c>
      <c r="N1577" t="str">
        <f t="shared" si="143"/>
        <v>SP</v>
      </c>
      <c r="O1577" t="str">
        <f t="shared" si="144"/>
        <v>São Paulo</v>
      </c>
    </row>
    <row r="1578" spans="1:15" x14ac:dyDescent="0.3">
      <c r="A1578" s="10">
        <v>45870</v>
      </c>
      <c r="B1578" s="9" t="s">
        <v>14</v>
      </c>
      <c r="C1578" t="s">
        <v>283</v>
      </c>
      <c r="D1578" s="9">
        <v>19912</v>
      </c>
      <c r="E1578" s="5" t="s">
        <v>610</v>
      </c>
      <c r="F1578" t="s">
        <v>284</v>
      </c>
      <c r="G1578">
        <v>1094</v>
      </c>
      <c r="H1578">
        <v>466</v>
      </c>
      <c r="I1578" s="8">
        <f t="shared" si="145"/>
        <v>0.42595978062157219</v>
      </c>
      <c r="J1578" s="17">
        <v>0.7</v>
      </c>
      <c r="K1578" s="12">
        <v>13.75</v>
      </c>
      <c r="L1578" s="2">
        <f t="shared" si="148"/>
        <v>299.79999999999995</v>
      </c>
      <c r="M1578" s="15">
        <f t="shared" si="146"/>
        <v>4122.2499999999991</v>
      </c>
      <c r="N1578" t="str">
        <f t="shared" si="143"/>
        <v>MG</v>
      </c>
      <c r="O1578" t="str">
        <f t="shared" si="144"/>
        <v>Uberaba</v>
      </c>
    </row>
    <row r="1579" spans="1:15" x14ac:dyDescent="0.3">
      <c r="A1579" s="10">
        <v>45870</v>
      </c>
      <c r="B1579" s="9" t="s">
        <v>15</v>
      </c>
      <c r="C1579" t="s">
        <v>358</v>
      </c>
      <c r="D1579" s="9">
        <v>19685</v>
      </c>
      <c r="E1579" s="5" t="s">
        <v>359</v>
      </c>
      <c r="F1579" t="s">
        <v>198</v>
      </c>
      <c r="G1579">
        <v>1543</v>
      </c>
      <c r="H1579">
        <v>605</v>
      </c>
      <c r="I1579" s="8">
        <f t="shared" si="145"/>
        <v>0.39209332469215813</v>
      </c>
      <c r="J1579" s="17">
        <v>0.7</v>
      </c>
      <c r="K1579" s="12">
        <v>13.75</v>
      </c>
      <c r="L1579" s="2">
        <f t="shared" si="148"/>
        <v>475.09999999999991</v>
      </c>
      <c r="M1579" s="15">
        <f t="shared" si="146"/>
        <v>6532.6249999999991</v>
      </c>
      <c r="N1579" t="str">
        <f t="shared" si="143"/>
        <v>RJ</v>
      </c>
      <c r="O1579" t="str">
        <f t="shared" si="144"/>
        <v>Rio De Janeiro</v>
      </c>
    </row>
    <row r="1580" spans="1:15" x14ac:dyDescent="0.3">
      <c r="A1580" s="10">
        <v>45901</v>
      </c>
      <c r="B1580" s="9" t="s">
        <v>71</v>
      </c>
      <c r="C1580" t="s">
        <v>175</v>
      </c>
      <c r="D1580" s="9">
        <v>19540</v>
      </c>
      <c r="E1580" s="5" t="s">
        <v>370</v>
      </c>
      <c r="F1580" t="s">
        <v>176</v>
      </c>
      <c r="G1580">
        <v>4623</v>
      </c>
      <c r="H1580">
        <v>1798</v>
      </c>
      <c r="I1580" s="8">
        <f t="shared" si="145"/>
        <v>0.38892494051481724</v>
      </c>
      <c r="J1580" s="17">
        <v>0.7</v>
      </c>
      <c r="K1580" s="12">
        <v>13.75</v>
      </c>
      <c r="L1580" s="2">
        <f t="shared" si="148"/>
        <v>1438.0999999999995</v>
      </c>
      <c r="M1580" s="15">
        <f t="shared" si="146"/>
        <v>19773.874999999993</v>
      </c>
      <c r="N1580" t="str">
        <f t="shared" si="143"/>
        <v>RS</v>
      </c>
      <c r="O1580" t="str">
        <f t="shared" si="144"/>
        <v>Porto Alegre</v>
      </c>
    </row>
    <row r="1581" spans="1:15" x14ac:dyDescent="0.3">
      <c r="A1581" s="10">
        <v>45901</v>
      </c>
      <c r="B1581" s="9" t="s">
        <v>15</v>
      </c>
      <c r="C1581" t="s">
        <v>358</v>
      </c>
      <c r="D1581" s="9">
        <v>19521</v>
      </c>
      <c r="E1581" s="5" t="s">
        <v>371</v>
      </c>
      <c r="F1581" t="s">
        <v>199</v>
      </c>
      <c r="G1581">
        <v>3195</v>
      </c>
      <c r="H1581">
        <v>1447</v>
      </c>
      <c r="I1581" s="8">
        <f t="shared" si="145"/>
        <v>0.45289514866979658</v>
      </c>
      <c r="J1581" s="17">
        <v>0.7</v>
      </c>
      <c r="K1581" s="12">
        <v>13.75</v>
      </c>
      <c r="L1581" s="2">
        <f t="shared" si="148"/>
        <v>789.5</v>
      </c>
      <c r="M1581" s="15">
        <f t="shared" si="146"/>
        <v>10855.625</v>
      </c>
      <c r="N1581" t="str">
        <f t="shared" si="143"/>
        <v>RJ</v>
      </c>
      <c r="O1581" t="str">
        <f t="shared" si="144"/>
        <v>Rio De Janeiro</v>
      </c>
    </row>
    <row r="1582" spans="1:15" x14ac:dyDescent="0.3">
      <c r="A1582" s="10">
        <v>45901</v>
      </c>
      <c r="B1582" s="9" t="s">
        <v>14</v>
      </c>
      <c r="C1582" t="s">
        <v>285</v>
      </c>
      <c r="D1582" s="9">
        <v>19563</v>
      </c>
      <c r="E1582" s="5" t="s">
        <v>374</v>
      </c>
      <c r="F1582" t="s">
        <v>286</v>
      </c>
      <c r="G1582">
        <v>2631</v>
      </c>
      <c r="H1582">
        <v>888</v>
      </c>
      <c r="I1582" s="8">
        <f t="shared" si="145"/>
        <v>0.33751425313568983</v>
      </c>
      <c r="J1582" s="17">
        <v>0.7</v>
      </c>
      <c r="K1582" s="12">
        <v>13.75</v>
      </c>
      <c r="L1582" s="2">
        <f t="shared" si="148"/>
        <v>953.69999999999982</v>
      </c>
      <c r="M1582" s="15">
        <f t="shared" si="146"/>
        <v>13113.374999999998</v>
      </c>
      <c r="N1582" t="str">
        <f t="shared" si="143"/>
        <v>MG</v>
      </c>
      <c r="O1582" t="str">
        <f t="shared" si="144"/>
        <v>Uberlândia</v>
      </c>
    </row>
    <row r="1583" spans="1:15" x14ac:dyDescent="0.3">
      <c r="A1583" s="10">
        <v>45901</v>
      </c>
      <c r="B1583" s="9" t="s">
        <v>6</v>
      </c>
      <c r="C1583" t="s">
        <v>26</v>
      </c>
      <c r="D1583" s="9">
        <v>19597</v>
      </c>
      <c r="E1583" s="5" t="s">
        <v>375</v>
      </c>
      <c r="F1583" t="s">
        <v>27</v>
      </c>
      <c r="G1583">
        <v>3251</v>
      </c>
      <c r="H1583">
        <v>1833</v>
      </c>
      <c r="I1583" s="8">
        <f t="shared" si="145"/>
        <v>0.56382651491848657</v>
      </c>
      <c r="J1583" s="17">
        <v>0.7</v>
      </c>
      <c r="K1583" s="12">
        <v>13.75</v>
      </c>
      <c r="L1583" s="2">
        <f t="shared" si="148"/>
        <v>442.70000000000027</v>
      </c>
      <c r="M1583" s="15">
        <f t="shared" si="146"/>
        <v>6087.1250000000036</v>
      </c>
      <c r="N1583" t="str">
        <f t="shared" si="143"/>
        <v>PA</v>
      </c>
      <c r="O1583" t="str">
        <f t="shared" si="144"/>
        <v>Belém</v>
      </c>
    </row>
    <row r="1584" spans="1:15" x14ac:dyDescent="0.3">
      <c r="A1584" s="10">
        <v>45901</v>
      </c>
      <c r="B1584" s="9" t="s">
        <v>15</v>
      </c>
      <c r="C1584" t="s">
        <v>296</v>
      </c>
      <c r="D1584" s="9">
        <v>19524</v>
      </c>
      <c r="E1584" s="5" t="s">
        <v>376</v>
      </c>
      <c r="F1584" t="s">
        <v>297</v>
      </c>
      <c r="G1584">
        <v>2036</v>
      </c>
      <c r="H1584">
        <v>817</v>
      </c>
      <c r="I1584" s="8">
        <f t="shared" si="145"/>
        <v>0.40127701375245578</v>
      </c>
      <c r="J1584" s="17">
        <v>0.7</v>
      </c>
      <c r="K1584" s="12">
        <v>13.75</v>
      </c>
      <c r="L1584" s="2">
        <f t="shared" si="148"/>
        <v>608.20000000000005</v>
      </c>
      <c r="M1584" s="15">
        <f t="shared" si="146"/>
        <v>8362.75</v>
      </c>
      <c r="N1584" t="str">
        <f t="shared" si="143"/>
        <v>RJ</v>
      </c>
      <c r="O1584" t="str">
        <f t="shared" si="144"/>
        <v>Volta Redonda</v>
      </c>
    </row>
    <row r="1585" spans="1:15" x14ac:dyDescent="0.3">
      <c r="A1585" s="10">
        <v>45901</v>
      </c>
      <c r="B1585" s="9" t="s">
        <v>160</v>
      </c>
      <c r="C1585" t="s">
        <v>279</v>
      </c>
      <c r="D1585" s="9">
        <v>19564</v>
      </c>
      <c r="E1585" s="5" t="s">
        <v>378</v>
      </c>
      <c r="F1585" t="s">
        <v>280</v>
      </c>
      <c r="G1585">
        <v>1510</v>
      </c>
      <c r="H1585">
        <v>750</v>
      </c>
      <c r="I1585" s="8">
        <f t="shared" si="145"/>
        <v>0.49668874172185429</v>
      </c>
      <c r="J1585" s="17">
        <v>0.7</v>
      </c>
      <c r="K1585" s="12">
        <v>13.75</v>
      </c>
      <c r="L1585" s="2">
        <f t="shared" si="148"/>
        <v>307</v>
      </c>
      <c r="M1585" s="15">
        <f t="shared" si="146"/>
        <v>4221.25</v>
      </c>
      <c r="N1585" t="str">
        <f t="shared" si="143"/>
        <v>PI</v>
      </c>
      <c r="O1585" t="str">
        <f t="shared" si="144"/>
        <v>Teresina</v>
      </c>
    </row>
    <row r="1586" spans="1:15" x14ac:dyDescent="0.3">
      <c r="A1586" s="10">
        <v>45901</v>
      </c>
      <c r="B1586" s="9" t="s">
        <v>15</v>
      </c>
      <c r="C1586" t="s">
        <v>358</v>
      </c>
      <c r="D1586" s="9">
        <v>19536</v>
      </c>
      <c r="E1586" s="5" t="s">
        <v>379</v>
      </c>
      <c r="F1586" t="s">
        <v>200</v>
      </c>
      <c r="G1586">
        <v>2499</v>
      </c>
      <c r="H1586">
        <v>905</v>
      </c>
      <c r="I1586" s="8">
        <f t="shared" si="145"/>
        <v>0.36214485794317725</v>
      </c>
      <c r="J1586" s="17">
        <v>0.7</v>
      </c>
      <c r="K1586" s="12">
        <v>13.75</v>
      </c>
      <c r="L1586" s="2">
        <f t="shared" si="148"/>
        <v>844.30000000000018</v>
      </c>
      <c r="M1586" s="15">
        <f t="shared" si="146"/>
        <v>11609.125000000002</v>
      </c>
      <c r="N1586" t="str">
        <f t="shared" si="143"/>
        <v>RJ</v>
      </c>
      <c r="O1586" t="str">
        <f t="shared" si="144"/>
        <v>Rio De Janeiro</v>
      </c>
    </row>
    <row r="1587" spans="1:15" x14ac:dyDescent="0.3">
      <c r="A1587" s="10">
        <v>45901</v>
      </c>
      <c r="B1587" s="9" t="s">
        <v>15</v>
      </c>
      <c r="C1587" t="s">
        <v>358</v>
      </c>
      <c r="D1587" s="9">
        <v>19727</v>
      </c>
      <c r="E1587" s="5" t="s">
        <v>380</v>
      </c>
      <c r="F1587" t="s">
        <v>201</v>
      </c>
      <c r="G1587">
        <v>1761</v>
      </c>
      <c r="H1587">
        <v>636</v>
      </c>
      <c r="I1587" s="8">
        <f t="shared" si="145"/>
        <v>0.36115843270868825</v>
      </c>
      <c r="J1587" s="17">
        <v>0.7</v>
      </c>
      <c r="K1587" s="12">
        <v>13.75</v>
      </c>
      <c r="L1587" s="2">
        <f t="shared" si="148"/>
        <v>596.70000000000005</v>
      </c>
      <c r="M1587" s="15">
        <f t="shared" si="146"/>
        <v>8204.625</v>
      </c>
      <c r="N1587" t="str">
        <f t="shared" si="143"/>
        <v>RJ</v>
      </c>
      <c r="O1587" t="str">
        <f t="shared" si="144"/>
        <v>Rio De Janeiro</v>
      </c>
    </row>
    <row r="1588" spans="1:15" x14ac:dyDescent="0.3">
      <c r="A1588" s="10">
        <v>45901</v>
      </c>
      <c r="B1588" s="9" t="s">
        <v>3</v>
      </c>
      <c r="C1588" t="s">
        <v>248</v>
      </c>
      <c r="D1588" s="9">
        <v>19572</v>
      </c>
      <c r="E1588" s="5" t="s">
        <v>381</v>
      </c>
      <c r="F1588" t="s">
        <v>249</v>
      </c>
      <c r="G1588">
        <v>4002</v>
      </c>
      <c r="H1588">
        <v>1531</v>
      </c>
      <c r="I1588" s="8">
        <f t="shared" si="145"/>
        <v>0.38255872063968016</v>
      </c>
      <c r="J1588" s="17">
        <v>0.7</v>
      </c>
      <c r="K1588" s="12">
        <v>13.75</v>
      </c>
      <c r="L1588" s="2">
        <f t="shared" si="148"/>
        <v>1270.4000000000001</v>
      </c>
      <c r="M1588" s="15">
        <f t="shared" si="146"/>
        <v>17468</v>
      </c>
      <c r="N1588" t="str">
        <f t="shared" si="143"/>
        <v>SP</v>
      </c>
      <c r="O1588" t="str">
        <f t="shared" si="144"/>
        <v>São Paulo</v>
      </c>
    </row>
    <row r="1589" spans="1:15" x14ac:dyDescent="0.3">
      <c r="A1589" s="10">
        <v>45901</v>
      </c>
      <c r="B1589" s="9" t="s">
        <v>3</v>
      </c>
      <c r="C1589" t="s">
        <v>167</v>
      </c>
      <c r="D1589" s="9">
        <v>19578</v>
      </c>
      <c r="E1589" s="5" t="s">
        <v>382</v>
      </c>
      <c r="F1589" t="s">
        <v>168</v>
      </c>
      <c r="G1589">
        <v>2496</v>
      </c>
      <c r="H1589">
        <v>830</v>
      </c>
      <c r="I1589" s="8">
        <f t="shared" si="145"/>
        <v>0.33253205128205127</v>
      </c>
      <c r="J1589" s="17">
        <v>0.7</v>
      </c>
      <c r="K1589" s="12">
        <v>13.75</v>
      </c>
      <c r="L1589" s="2">
        <f t="shared" si="148"/>
        <v>917.2</v>
      </c>
      <c r="M1589" s="15">
        <f t="shared" si="146"/>
        <v>12611.5</v>
      </c>
      <c r="N1589" t="str">
        <f t="shared" si="143"/>
        <v>SP</v>
      </c>
      <c r="O1589" t="str">
        <f t="shared" si="144"/>
        <v>Perdizes</v>
      </c>
    </row>
    <row r="1590" spans="1:15" x14ac:dyDescent="0.3">
      <c r="A1590" s="10">
        <v>45901</v>
      </c>
      <c r="B1590" s="9" t="s">
        <v>3</v>
      </c>
      <c r="C1590" t="s">
        <v>248</v>
      </c>
      <c r="D1590" s="9">
        <v>19774</v>
      </c>
      <c r="E1590" s="5" t="s">
        <v>383</v>
      </c>
      <c r="F1590" t="s">
        <v>250</v>
      </c>
      <c r="G1590">
        <v>3661</v>
      </c>
      <c r="H1590">
        <v>1187</v>
      </c>
      <c r="I1590" s="8">
        <f t="shared" si="145"/>
        <v>0.32422835290904123</v>
      </c>
      <c r="J1590" s="17">
        <v>0.7</v>
      </c>
      <c r="K1590" s="12">
        <v>13.75</v>
      </c>
      <c r="L1590" s="2">
        <f t="shared" si="148"/>
        <v>1375.7000000000003</v>
      </c>
      <c r="M1590" s="15">
        <f t="shared" si="146"/>
        <v>18915.875000000004</v>
      </c>
      <c r="N1590" t="str">
        <f t="shared" si="143"/>
        <v>SP</v>
      </c>
      <c r="O1590" t="str">
        <f t="shared" si="144"/>
        <v>São Paulo</v>
      </c>
    </row>
    <row r="1591" spans="1:15" x14ac:dyDescent="0.3">
      <c r="A1591" s="10">
        <v>45901</v>
      </c>
      <c r="B1591" s="9" t="s">
        <v>46</v>
      </c>
      <c r="C1591" t="s">
        <v>47</v>
      </c>
      <c r="D1591" s="9">
        <v>19551</v>
      </c>
      <c r="E1591" s="5" t="s">
        <v>384</v>
      </c>
      <c r="F1591" t="s">
        <v>48</v>
      </c>
      <c r="G1591">
        <v>2891</v>
      </c>
      <c r="H1591">
        <v>1068</v>
      </c>
      <c r="I1591" s="8">
        <f t="shared" si="145"/>
        <v>0.36942234520927014</v>
      </c>
      <c r="J1591" s="17">
        <v>0.7</v>
      </c>
      <c r="K1591" s="12">
        <v>13.75</v>
      </c>
      <c r="L1591" s="2">
        <f t="shared" si="148"/>
        <v>955.69999999999982</v>
      </c>
      <c r="M1591" s="15">
        <f t="shared" si="146"/>
        <v>13140.874999999998</v>
      </c>
      <c r="N1591" t="str">
        <f t="shared" si="143"/>
        <v>DF</v>
      </c>
      <c r="O1591" t="str">
        <f t="shared" si="144"/>
        <v>Brasília</v>
      </c>
    </row>
    <row r="1592" spans="1:15" x14ac:dyDescent="0.3">
      <c r="A1592" s="10">
        <v>45901</v>
      </c>
      <c r="B1592" s="9" t="s">
        <v>15</v>
      </c>
      <c r="C1592" t="s">
        <v>358</v>
      </c>
      <c r="D1592" s="9">
        <v>19618</v>
      </c>
      <c r="E1592" s="5" t="s">
        <v>386</v>
      </c>
      <c r="F1592" t="s">
        <v>202</v>
      </c>
      <c r="G1592">
        <v>2636</v>
      </c>
      <c r="H1592">
        <v>917</v>
      </c>
      <c r="I1592" s="8">
        <f t="shared" si="145"/>
        <v>0.34787556904400607</v>
      </c>
      <c r="J1592" s="17">
        <v>0.7</v>
      </c>
      <c r="K1592" s="12">
        <v>13.75</v>
      </c>
      <c r="L1592" s="2">
        <f t="shared" si="148"/>
        <v>928.19999999999982</v>
      </c>
      <c r="M1592" s="15">
        <f t="shared" si="146"/>
        <v>12762.749999999998</v>
      </c>
      <c r="N1592" t="str">
        <f t="shared" si="143"/>
        <v>RJ</v>
      </c>
      <c r="O1592" t="str">
        <f t="shared" si="144"/>
        <v>Rio De Janeiro</v>
      </c>
    </row>
    <row r="1593" spans="1:15" x14ac:dyDescent="0.3">
      <c r="A1593" s="10">
        <v>45901</v>
      </c>
      <c r="B1593" s="9" t="s">
        <v>21</v>
      </c>
      <c r="C1593" t="s">
        <v>22</v>
      </c>
      <c r="D1593" s="9">
        <v>19741</v>
      </c>
      <c r="E1593" s="5" t="s">
        <v>387</v>
      </c>
      <c r="F1593" t="s">
        <v>23</v>
      </c>
      <c r="G1593">
        <v>802</v>
      </c>
      <c r="H1593">
        <v>390</v>
      </c>
      <c r="I1593" s="8">
        <f t="shared" si="145"/>
        <v>0.486284289276808</v>
      </c>
      <c r="J1593" s="17">
        <v>0.7</v>
      </c>
      <c r="K1593" s="12">
        <v>13.75</v>
      </c>
      <c r="L1593" s="2">
        <f t="shared" si="148"/>
        <v>171.39999999999998</v>
      </c>
      <c r="M1593" s="15">
        <f t="shared" si="146"/>
        <v>2356.7499999999995</v>
      </c>
      <c r="N1593" t="str">
        <f t="shared" si="143"/>
        <v>BA</v>
      </c>
      <c r="O1593" t="str">
        <f t="shared" si="144"/>
        <v>Barreiras</v>
      </c>
    </row>
    <row r="1594" spans="1:15" x14ac:dyDescent="0.3">
      <c r="A1594" s="10">
        <v>45901</v>
      </c>
      <c r="B1594" s="9" t="s">
        <v>74</v>
      </c>
      <c r="C1594" t="s">
        <v>169</v>
      </c>
      <c r="D1594" s="9">
        <v>19897</v>
      </c>
      <c r="E1594" s="5" t="s">
        <v>388</v>
      </c>
      <c r="F1594" t="s">
        <v>170</v>
      </c>
      <c r="G1594">
        <v>1694</v>
      </c>
      <c r="H1594">
        <v>660</v>
      </c>
      <c r="I1594" s="8">
        <f t="shared" si="145"/>
        <v>0.38961038961038963</v>
      </c>
      <c r="J1594" s="17">
        <v>0.7</v>
      </c>
      <c r="K1594" s="12">
        <v>13.75</v>
      </c>
      <c r="L1594" s="2">
        <f t="shared" si="148"/>
        <v>525.79999999999973</v>
      </c>
      <c r="M1594" s="15">
        <f t="shared" si="146"/>
        <v>7229.7499999999964</v>
      </c>
      <c r="N1594" t="str">
        <f t="shared" si="143"/>
        <v>PE</v>
      </c>
      <c r="O1594" t="str">
        <f t="shared" si="144"/>
        <v>Petrolina</v>
      </c>
    </row>
    <row r="1595" spans="1:15" x14ac:dyDescent="0.3">
      <c r="A1595" s="10">
        <v>45901</v>
      </c>
      <c r="B1595" s="9" t="s">
        <v>61</v>
      </c>
      <c r="C1595" t="s">
        <v>62</v>
      </c>
      <c r="D1595" s="9">
        <v>19633</v>
      </c>
      <c r="E1595" s="5" t="s">
        <v>389</v>
      </c>
      <c r="F1595" t="s">
        <v>63</v>
      </c>
      <c r="G1595">
        <v>1920</v>
      </c>
      <c r="H1595">
        <v>989</v>
      </c>
      <c r="I1595" s="8">
        <f t="shared" si="145"/>
        <v>0.5151041666666667</v>
      </c>
      <c r="J1595" s="17">
        <v>0.7</v>
      </c>
      <c r="K1595" s="12">
        <v>13.75</v>
      </c>
      <c r="L1595" s="2">
        <f t="shared" si="148"/>
        <v>354.99999999999977</v>
      </c>
      <c r="M1595" s="15">
        <f t="shared" si="146"/>
        <v>4881.2499999999973</v>
      </c>
      <c r="N1595" t="str">
        <f t="shared" si="143"/>
        <v>PB</v>
      </c>
      <c r="O1595" t="str">
        <f t="shared" si="144"/>
        <v>Campina Grande</v>
      </c>
    </row>
    <row r="1596" spans="1:15" x14ac:dyDescent="0.3">
      <c r="A1596" s="10">
        <v>45901</v>
      </c>
      <c r="B1596" s="9" t="s">
        <v>6</v>
      </c>
      <c r="C1596" t="s">
        <v>26</v>
      </c>
      <c r="D1596" s="9">
        <v>19622</v>
      </c>
      <c r="E1596" s="5" t="s">
        <v>390</v>
      </c>
      <c r="F1596" t="s">
        <v>28</v>
      </c>
      <c r="G1596">
        <v>1905</v>
      </c>
      <c r="H1596">
        <v>1083</v>
      </c>
      <c r="I1596" s="8">
        <f t="shared" si="145"/>
        <v>0.56850393700787405</v>
      </c>
      <c r="J1596" s="17">
        <v>0.7</v>
      </c>
      <c r="K1596" s="12">
        <v>13.75</v>
      </c>
      <c r="L1596" s="2">
        <f t="shared" si="148"/>
        <v>250.49999999999977</v>
      </c>
      <c r="M1596" s="15">
        <f t="shared" si="146"/>
        <v>3444.3749999999968</v>
      </c>
      <c r="N1596" t="str">
        <f t="shared" si="143"/>
        <v>PA</v>
      </c>
      <c r="O1596" t="str">
        <f t="shared" si="144"/>
        <v>Belém</v>
      </c>
    </row>
    <row r="1597" spans="1:15" x14ac:dyDescent="0.3">
      <c r="A1597" s="10">
        <v>45901</v>
      </c>
      <c r="B1597" s="9" t="s">
        <v>46</v>
      </c>
      <c r="C1597" t="s">
        <v>47</v>
      </c>
      <c r="D1597" s="9">
        <v>19666</v>
      </c>
      <c r="E1597" s="5" t="s">
        <v>391</v>
      </c>
      <c r="F1597" t="s">
        <v>624</v>
      </c>
      <c r="G1597">
        <v>2357</v>
      </c>
      <c r="H1597">
        <v>792</v>
      </c>
      <c r="I1597" s="8">
        <f t="shared" si="145"/>
        <v>0.33602036487059822</v>
      </c>
      <c r="J1597" s="17">
        <v>0.7</v>
      </c>
      <c r="K1597" s="12">
        <v>13.75</v>
      </c>
      <c r="L1597" s="2">
        <f t="shared" si="148"/>
        <v>857.89999999999986</v>
      </c>
      <c r="M1597" s="15">
        <f t="shared" si="146"/>
        <v>11796.124999999998</v>
      </c>
      <c r="N1597" t="str">
        <f t="shared" si="143"/>
        <v>DF</v>
      </c>
      <c r="O1597" t="str">
        <f t="shared" si="144"/>
        <v>Brasília</v>
      </c>
    </row>
    <row r="1598" spans="1:15" x14ac:dyDescent="0.3">
      <c r="A1598" s="10">
        <v>45901</v>
      </c>
      <c r="B1598" s="9" t="s">
        <v>15</v>
      </c>
      <c r="C1598" t="s">
        <v>358</v>
      </c>
      <c r="D1598" s="9">
        <v>19632</v>
      </c>
      <c r="E1598" s="5" t="s">
        <v>392</v>
      </c>
      <c r="F1598" t="s">
        <v>203</v>
      </c>
      <c r="G1598">
        <v>2182</v>
      </c>
      <c r="H1598">
        <v>948</v>
      </c>
      <c r="I1598" s="8">
        <f t="shared" si="145"/>
        <v>0.43446379468377633</v>
      </c>
      <c r="J1598" s="17">
        <v>0.7</v>
      </c>
      <c r="K1598" s="12">
        <v>13.75</v>
      </c>
      <c r="L1598" s="2">
        <f t="shared" si="148"/>
        <v>579.39999999999986</v>
      </c>
      <c r="M1598" s="15">
        <f t="shared" si="146"/>
        <v>7966.7499999999982</v>
      </c>
      <c r="N1598" t="str">
        <f t="shared" si="143"/>
        <v>RJ</v>
      </c>
      <c r="O1598" t="str">
        <f t="shared" si="144"/>
        <v>Rio De Janeiro</v>
      </c>
    </row>
    <row r="1599" spans="1:15" x14ac:dyDescent="0.3">
      <c r="A1599" s="10">
        <v>45901</v>
      </c>
      <c r="B1599" s="9" t="s">
        <v>46</v>
      </c>
      <c r="C1599" t="s">
        <v>47</v>
      </c>
      <c r="D1599" s="9">
        <v>19552</v>
      </c>
      <c r="E1599" s="5" t="s">
        <v>393</v>
      </c>
      <c r="F1599" t="s">
        <v>50</v>
      </c>
      <c r="G1599">
        <v>4034</v>
      </c>
      <c r="H1599">
        <v>1684</v>
      </c>
      <c r="I1599" s="8">
        <f t="shared" si="145"/>
        <v>0.41745166088249874</v>
      </c>
      <c r="J1599" s="17">
        <v>0.7</v>
      </c>
      <c r="K1599" s="12">
        <v>13.75</v>
      </c>
      <c r="L1599" s="2">
        <f t="shared" si="148"/>
        <v>1139.8000000000002</v>
      </c>
      <c r="M1599" s="15">
        <f t="shared" si="146"/>
        <v>15672.250000000002</v>
      </c>
      <c r="N1599" t="str">
        <f t="shared" si="143"/>
        <v>DF</v>
      </c>
      <c r="O1599" t="str">
        <f t="shared" si="144"/>
        <v>Brasília</v>
      </c>
    </row>
    <row r="1600" spans="1:15" x14ac:dyDescent="0.3">
      <c r="A1600" s="10">
        <v>45901</v>
      </c>
      <c r="B1600" s="9" t="s">
        <v>15</v>
      </c>
      <c r="C1600" t="s">
        <v>191</v>
      </c>
      <c r="D1600" s="9">
        <v>19636</v>
      </c>
      <c r="E1600" s="5" t="s">
        <v>394</v>
      </c>
      <c r="F1600" t="s">
        <v>192</v>
      </c>
      <c r="G1600">
        <v>2345</v>
      </c>
      <c r="H1600">
        <v>860</v>
      </c>
      <c r="I1600" s="8">
        <f t="shared" si="145"/>
        <v>0.36673773987206826</v>
      </c>
      <c r="J1600" s="17">
        <v>0.7</v>
      </c>
      <c r="K1600" s="12">
        <v>13.75</v>
      </c>
      <c r="L1600" s="2">
        <f t="shared" si="148"/>
        <v>781.49999999999977</v>
      </c>
      <c r="M1600" s="15">
        <f t="shared" si="146"/>
        <v>10745.624999999996</v>
      </c>
      <c r="N1600" t="str">
        <f t="shared" si="143"/>
        <v>RJ</v>
      </c>
      <c r="O1600" t="str">
        <f t="shared" si="144"/>
        <v>Resende</v>
      </c>
    </row>
    <row r="1601" spans="1:15" x14ac:dyDescent="0.3">
      <c r="A1601" s="10">
        <v>45901</v>
      </c>
      <c r="B1601" s="9" t="s">
        <v>74</v>
      </c>
      <c r="C1601" t="s">
        <v>186</v>
      </c>
      <c r="D1601" s="9">
        <v>19649</v>
      </c>
      <c r="E1601" s="5" t="s">
        <v>395</v>
      </c>
      <c r="F1601" t="s">
        <v>187</v>
      </c>
      <c r="G1601">
        <v>2910</v>
      </c>
      <c r="H1601">
        <v>1221</v>
      </c>
      <c r="I1601" s="8">
        <f t="shared" si="145"/>
        <v>0.41958762886597939</v>
      </c>
      <c r="J1601" s="17">
        <v>0.7</v>
      </c>
      <c r="K1601" s="12">
        <v>13.75</v>
      </c>
      <c r="L1601" s="2">
        <f t="shared" si="148"/>
        <v>815.99999999999977</v>
      </c>
      <c r="M1601" s="15">
        <f t="shared" si="146"/>
        <v>11219.999999999996</v>
      </c>
      <c r="N1601" t="str">
        <f t="shared" si="143"/>
        <v>PE</v>
      </c>
      <c r="O1601" t="str">
        <f t="shared" si="144"/>
        <v>Recife</v>
      </c>
    </row>
    <row r="1602" spans="1:15" x14ac:dyDescent="0.3">
      <c r="A1602" s="10">
        <v>45901</v>
      </c>
      <c r="B1602" s="9" t="s">
        <v>74</v>
      </c>
      <c r="C1602" t="s">
        <v>186</v>
      </c>
      <c r="D1602" s="9">
        <v>19601</v>
      </c>
      <c r="E1602" s="5" t="s">
        <v>396</v>
      </c>
      <c r="F1602" t="s">
        <v>188</v>
      </c>
      <c r="G1602">
        <v>2770</v>
      </c>
      <c r="H1602">
        <v>1036</v>
      </c>
      <c r="I1602" s="8">
        <f t="shared" si="145"/>
        <v>0.37400722021660648</v>
      </c>
      <c r="J1602" s="17">
        <v>0.7</v>
      </c>
      <c r="K1602" s="12">
        <v>13.75</v>
      </c>
      <c r="L1602" s="2">
        <f t="shared" si="148"/>
        <v>903</v>
      </c>
      <c r="M1602" s="15">
        <f t="shared" si="146"/>
        <v>12416.25</v>
      </c>
      <c r="N1602" t="str">
        <f t="shared" ref="N1602:N1665" si="149">B1602</f>
        <v>PE</v>
      </c>
      <c r="O1602" t="str">
        <f t="shared" ref="O1602:O1665" si="150">C1602</f>
        <v>Recife</v>
      </c>
    </row>
    <row r="1603" spans="1:15" x14ac:dyDescent="0.3">
      <c r="A1603" s="10">
        <v>45901</v>
      </c>
      <c r="B1603" s="9" t="s">
        <v>74</v>
      </c>
      <c r="C1603" t="s">
        <v>186</v>
      </c>
      <c r="D1603" s="9">
        <v>19565</v>
      </c>
      <c r="E1603" s="5" t="s">
        <v>397</v>
      </c>
      <c r="F1603" t="s">
        <v>189</v>
      </c>
      <c r="G1603">
        <v>2615</v>
      </c>
      <c r="H1603">
        <v>794</v>
      </c>
      <c r="I1603" s="8">
        <f t="shared" ref="I1603:I1666" si="151">H1603/G1603</f>
        <v>0.30363288718929254</v>
      </c>
      <c r="J1603" s="17">
        <v>0.7</v>
      </c>
      <c r="K1603" s="12">
        <v>13.75</v>
      </c>
      <c r="L1603" s="2">
        <f t="shared" si="148"/>
        <v>1036.4999999999998</v>
      </c>
      <c r="M1603" s="15">
        <f t="shared" ref="M1603:M1666" si="152">L1603*K1603</f>
        <v>14251.874999999996</v>
      </c>
      <c r="N1603" t="str">
        <f t="shared" si="149"/>
        <v>PE</v>
      </c>
      <c r="O1603" t="str">
        <f t="shared" si="150"/>
        <v>Recife</v>
      </c>
    </row>
    <row r="1604" spans="1:15" x14ac:dyDescent="0.3">
      <c r="A1604" s="10">
        <v>45901</v>
      </c>
      <c r="B1604" s="9" t="s">
        <v>74</v>
      </c>
      <c r="C1604" t="s">
        <v>186</v>
      </c>
      <c r="D1604" s="9">
        <v>19654</v>
      </c>
      <c r="E1604" s="5" t="s">
        <v>398</v>
      </c>
      <c r="F1604" t="s">
        <v>190</v>
      </c>
      <c r="G1604">
        <v>2161</v>
      </c>
      <c r="H1604">
        <v>756</v>
      </c>
      <c r="I1604" s="8">
        <f t="shared" si="151"/>
        <v>0.34983803794539564</v>
      </c>
      <c r="J1604" s="17">
        <v>0.7</v>
      </c>
      <c r="K1604" s="12">
        <v>13.75</v>
      </c>
      <c r="L1604" s="2">
        <f t="shared" si="148"/>
        <v>756.69999999999982</v>
      </c>
      <c r="M1604" s="15">
        <f t="shared" si="152"/>
        <v>10404.624999999998</v>
      </c>
      <c r="N1604" t="str">
        <f t="shared" si="149"/>
        <v>PE</v>
      </c>
      <c r="O1604" t="str">
        <f t="shared" si="150"/>
        <v>Recife</v>
      </c>
    </row>
    <row r="1605" spans="1:15" x14ac:dyDescent="0.3">
      <c r="A1605" s="10">
        <v>45901</v>
      </c>
      <c r="B1605" s="9" t="s">
        <v>74</v>
      </c>
      <c r="C1605" t="s">
        <v>350</v>
      </c>
      <c r="D1605" s="9">
        <v>19624</v>
      </c>
      <c r="E1605" s="5" t="s">
        <v>399</v>
      </c>
      <c r="F1605" t="s">
        <v>116</v>
      </c>
      <c r="G1605">
        <v>1670</v>
      </c>
      <c r="H1605">
        <v>592</v>
      </c>
      <c r="I1605" s="8">
        <f t="shared" si="151"/>
        <v>0.35449101796407184</v>
      </c>
      <c r="J1605" s="17">
        <v>0.7</v>
      </c>
      <c r="K1605" s="12">
        <v>13.75</v>
      </c>
      <c r="L1605" s="2">
        <f t="shared" ref="L1605:L1636" si="153">H1605*J1605/I1605-H1605</f>
        <v>577</v>
      </c>
      <c r="M1605" s="15">
        <f t="shared" si="152"/>
        <v>7933.75</v>
      </c>
      <c r="N1605" t="str">
        <f t="shared" si="149"/>
        <v>PE</v>
      </c>
      <c r="O1605" t="str">
        <f t="shared" si="150"/>
        <v>Jaboatão Dos Guararapes</v>
      </c>
    </row>
    <row r="1606" spans="1:15" x14ac:dyDescent="0.3">
      <c r="A1606" s="10">
        <v>45901</v>
      </c>
      <c r="B1606" s="9" t="s">
        <v>15</v>
      </c>
      <c r="C1606" t="s">
        <v>143</v>
      </c>
      <c r="D1606" s="9">
        <v>19648</v>
      </c>
      <c r="E1606" s="5" t="s">
        <v>400</v>
      </c>
      <c r="F1606" t="s">
        <v>144</v>
      </c>
      <c r="G1606">
        <v>1821</v>
      </c>
      <c r="H1606">
        <v>538</v>
      </c>
      <c r="I1606" s="8">
        <f t="shared" si="151"/>
        <v>0.2954420647995607</v>
      </c>
      <c r="J1606" s="17">
        <v>0.7</v>
      </c>
      <c r="K1606" s="12">
        <v>13.75</v>
      </c>
      <c r="L1606" s="2">
        <f t="shared" si="153"/>
        <v>736.69999999999982</v>
      </c>
      <c r="M1606" s="15">
        <f t="shared" si="152"/>
        <v>10129.624999999998</v>
      </c>
      <c r="N1606" t="str">
        <f t="shared" si="149"/>
        <v>RJ</v>
      </c>
      <c r="O1606" t="str">
        <f t="shared" si="150"/>
        <v>Nilópolis</v>
      </c>
    </row>
    <row r="1607" spans="1:15" x14ac:dyDescent="0.3">
      <c r="A1607" s="10">
        <v>45901</v>
      </c>
      <c r="B1607" s="9" t="s">
        <v>15</v>
      </c>
      <c r="C1607" t="s">
        <v>57</v>
      </c>
      <c r="D1607" s="9">
        <v>19657</v>
      </c>
      <c r="E1607" s="5" t="s">
        <v>401</v>
      </c>
      <c r="F1607" t="s">
        <v>58</v>
      </c>
      <c r="G1607">
        <v>1579</v>
      </c>
      <c r="H1607">
        <v>615</v>
      </c>
      <c r="I1607" s="8">
        <f t="shared" si="151"/>
        <v>0.38948701709943001</v>
      </c>
      <c r="J1607" s="17">
        <v>0.7</v>
      </c>
      <c r="K1607" s="12">
        <v>13.75</v>
      </c>
      <c r="L1607" s="2">
        <f t="shared" si="153"/>
        <v>490.29999999999995</v>
      </c>
      <c r="M1607" s="15">
        <f t="shared" si="152"/>
        <v>6741.6249999999991</v>
      </c>
      <c r="N1607" t="str">
        <f t="shared" si="149"/>
        <v>RJ</v>
      </c>
      <c r="O1607" t="str">
        <f t="shared" si="150"/>
        <v>Cabo Frio</v>
      </c>
    </row>
    <row r="1608" spans="1:15" x14ac:dyDescent="0.3">
      <c r="A1608" s="10">
        <v>45901</v>
      </c>
      <c r="B1608" s="9" t="s">
        <v>82</v>
      </c>
      <c r="C1608" t="s">
        <v>119</v>
      </c>
      <c r="D1608" s="9">
        <v>19661</v>
      </c>
      <c r="E1608" s="5" t="s">
        <v>403</v>
      </c>
      <c r="F1608" t="s">
        <v>120</v>
      </c>
      <c r="G1608">
        <v>3061</v>
      </c>
      <c r="H1608">
        <v>973</v>
      </c>
      <c r="I1608" s="8">
        <f t="shared" si="151"/>
        <v>0.31786997713165632</v>
      </c>
      <c r="J1608" s="17">
        <v>0.7</v>
      </c>
      <c r="K1608" s="12">
        <v>13.75</v>
      </c>
      <c r="L1608" s="2">
        <f t="shared" si="153"/>
        <v>1169.6999999999998</v>
      </c>
      <c r="M1608" s="15">
        <f t="shared" si="152"/>
        <v>16083.374999999998</v>
      </c>
      <c r="N1608" t="str">
        <f t="shared" si="149"/>
        <v>PR</v>
      </c>
      <c r="O1608" t="str">
        <f t="shared" si="150"/>
        <v>Londrina</v>
      </c>
    </row>
    <row r="1609" spans="1:15" x14ac:dyDescent="0.3">
      <c r="A1609" s="10">
        <v>45901</v>
      </c>
      <c r="B1609" s="9" t="s">
        <v>183</v>
      </c>
      <c r="C1609" t="s">
        <v>184</v>
      </c>
      <c r="D1609" s="9">
        <v>19752</v>
      </c>
      <c r="E1609" s="5" t="s">
        <v>404</v>
      </c>
      <c r="F1609" t="s">
        <v>185</v>
      </c>
      <c r="G1609">
        <v>1117</v>
      </c>
      <c r="H1609">
        <v>572</v>
      </c>
      <c r="I1609" s="8">
        <f t="shared" si="151"/>
        <v>0.51208594449418088</v>
      </c>
      <c r="J1609" s="17">
        <v>0.7</v>
      </c>
      <c r="K1609" s="12">
        <v>13.75</v>
      </c>
      <c r="L1609" s="2">
        <f t="shared" si="153"/>
        <v>209.89999999999986</v>
      </c>
      <c r="M1609" s="15">
        <f t="shared" si="152"/>
        <v>2886.1249999999982</v>
      </c>
      <c r="N1609" t="str">
        <f t="shared" si="149"/>
        <v>RO</v>
      </c>
      <c r="O1609" t="str">
        <f t="shared" si="150"/>
        <v>Porto Velho</v>
      </c>
    </row>
    <row r="1610" spans="1:15" x14ac:dyDescent="0.3">
      <c r="A1610" s="10">
        <v>45901</v>
      </c>
      <c r="B1610" s="9" t="s">
        <v>15</v>
      </c>
      <c r="C1610" t="s">
        <v>281</v>
      </c>
      <c r="D1610" s="9">
        <v>19671</v>
      </c>
      <c r="E1610" s="5" t="s">
        <v>405</v>
      </c>
      <c r="F1610" t="s">
        <v>282</v>
      </c>
      <c r="G1610">
        <v>2477</v>
      </c>
      <c r="H1610">
        <v>1024</v>
      </c>
      <c r="I1610" s="8">
        <f t="shared" si="151"/>
        <v>0.41340331045619699</v>
      </c>
      <c r="J1610" s="17">
        <v>0.7</v>
      </c>
      <c r="K1610" s="12">
        <v>13.75</v>
      </c>
      <c r="L1610" s="2">
        <f t="shared" si="153"/>
        <v>709.89999999999986</v>
      </c>
      <c r="M1610" s="15">
        <f t="shared" si="152"/>
        <v>9761.1249999999982</v>
      </c>
      <c r="N1610" t="str">
        <f t="shared" si="149"/>
        <v>RJ</v>
      </c>
      <c r="O1610" t="str">
        <f t="shared" si="150"/>
        <v>Teresópolis</v>
      </c>
    </row>
    <row r="1611" spans="1:15" x14ac:dyDescent="0.3">
      <c r="A1611" s="10">
        <v>45901</v>
      </c>
      <c r="B1611" s="9" t="s">
        <v>3</v>
      </c>
      <c r="C1611" t="s">
        <v>248</v>
      </c>
      <c r="D1611" s="9">
        <v>19674</v>
      </c>
      <c r="E1611" s="5" t="s">
        <v>406</v>
      </c>
      <c r="F1611" t="s">
        <v>251</v>
      </c>
      <c r="G1611">
        <v>2407</v>
      </c>
      <c r="H1611">
        <v>964</v>
      </c>
      <c r="I1611" s="8">
        <f t="shared" si="151"/>
        <v>0.40049854590776901</v>
      </c>
      <c r="J1611" s="17">
        <v>0.7</v>
      </c>
      <c r="K1611" s="12">
        <v>13.75</v>
      </c>
      <c r="L1611" s="2">
        <f t="shared" si="153"/>
        <v>720.89999999999986</v>
      </c>
      <c r="M1611" s="15">
        <f t="shared" si="152"/>
        <v>9912.3749999999982</v>
      </c>
      <c r="N1611" t="str">
        <f t="shared" si="149"/>
        <v>SP</v>
      </c>
      <c r="O1611" t="str">
        <f t="shared" si="150"/>
        <v>São Paulo</v>
      </c>
    </row>
    <row r="1612" spans="1:15" x14ac:dyDescent="0.3">
      <c r="A1612" s="10">
        <v>45901</v>
      </c>
      <c r="B1612" s="9" t="s">
        <v>3</v>
      </c>
      <c r="C1612" t="s">
        <v>248</v>
      </c>
      <c r="D1612" s="9">
        <v>19756</v>
      </c>
      <c r="E1612" s="5" t="s">
        <v>407</v>
      </c>
      <c r="F1612" t="s">
        <v>252</v>
      </c>
      <c r="G1612">
        <v>2195</v>
      </c>
      <c r="H1612">
        <v>805</v>
      </c>
      <c r="I1612" s="8">
        <f t="shared" si="151"/>
        <v>0.36674259681093396</v>
      </c>
      <c r="J1612" s="17">
        <v>0.7</v>
      </c>
      <c r="K1612" s="12">
        <v>13.75</v>
      </c>
      <c r="L1612" s="2">
        <f t="shared" si="153"/>
        <v>731.5</v>
      </c>
      <c r="M1612" s="15">
        <f t="shared" si="152"/>
        <v>10058.125</v>
      </c>
      <c r="N1612" t="str">
        <f t="shared" si="149"/>
        <v>SP</v>
      </c>
      <c r="O1612" t="str">
        <f t="shared" si="150"/>
        <v>São Paulo</v>
      </c>
    </row>
    <row r="1613" spans="1:15" x14ac:dyDescent="0.3">
      <c r="A1613" s="10">
        <v>45901</v>
      </c>
      <c r="B1613" s="9" t="s">
        <v>3</v>
      </c>
      <c r="C1613" t="s">
        <v>248</v>
      </c>
      <c r="D1613" s="9">
        <v>19579</v>
      </c>
      <c r="E1613" s="5" t="s">
        <v>409</v>
      </c>
      <c r="F1613" t="s">
        <v>254</v>
      </c>
      <c r="G1613">
        <v>1939</v>
      </c>
      <c r="H1613">
        <v>615</v>
      </c>
      <c r="I1613" s="8">
        <f t="shared" si="151"/>
        <v>0.31717380092831354</v>
      </c>
      <c r="J1613" s="17">
        <v>0.7</v>
      </c>
      <c r="K1613" s="12">
        <v>13.75</v>
      </c>
      <c r="L1613" s="2">
        <f t="shared" si="153"/>
        <v>742.30000000000018</v>
      </c>
      <c r="M1613" s="15">
        <f t="shared" si="152"/>
        <v>10206.625000000002</v>
      </c>
      <c r="N1613" t="str">
        <f t="shared" si="149"/>
        <v>SP</v>
      </c>
      <c r="O1613" t="str">
        <f t="shared" si="150"/>
        <v>São Paulo</v>
      </c>
    </row>
    <row r="1614" spans="1:15" x14ac:dyDescent="0.3">
      <c r="A1614" s="10">
        <v>45901</v>
      </c>
      <c r="B1614" s="9" t="s">
        <v>126</v>
      </c>
      <c r="C1614" t="s">
        <v>127</v>
      </c>
      <c r="D1614" s="9">
        <v>19623</v>
      </c>
      <c r="E1614" s="5" t="s">
        <v>410</v>
      </c>
      <c r="F1614" t="s">
        <v>128</v>
      </c>
      <c r="G1614">
        <v>1586</v>
      </c>
      <c r="H1614">
        <v>737</v>
      </c>
      <c r="I1614" s="8">
        <f t="shared" si="151"/>
        <v>0.46469104665825978</v>
      </c>
      <c r="J1614" s="17">
        <v>0.7</v>
      </c>
      <c r="K1614" s="12">
        <v>13.75</v>
      </c>
      <c r="L1614" s="2">
        <f t="shared" si="153"/>
        <v>373.20000000000005</v>
      </c>
      <c r="M1614" s="15">
        <f t="shared" si="152"/>
        <v>5131.5000000000009</v>
      </c>
      <c r="N1614" t="str">
        <f t="shared" si="149"/>
        <v>AL</v>
      </c>
      <c r="O1614" t="str">
        <f t="shared" si="150"/>
        <v>Maceió</v>
      </c>
    </row>
    <row r="1615" spans="1:15" x14ac:dyDescent="0.3">
      <c r="A1615" s="10">
        <v>45901</v>
      </c>
      <c r="B1615" s="9" t="s">
        <v>46</v>
      </c>
      <c r="C1615" t="s">
        <v>47</v>
      </c>
      <c r="D1615" s="9">
        <v>19693</v>
      </c>
      <c r="E1615" s="5" t="s">
        <v>411</v>
      </c>
      <c r="F1615" t="s">
        <v>51</v>
      </c>
      <c r="G1615">
        <v>2532</v>
      </c>
      <c r="H1615">
        <v>864</v>
      </c>
      <c r="I1615" s="8">
        <f t="shared" si="151"/>
        <v>0.34123222748815168</v>
      </c>
      <c r="J1615" s="17">
        <v>0.7</v>
      </c>
      <c r="K1615" s="12">
        <v>13.75</v>
      </c>
      <c r="L1615" s="2">
        <f t="shared" si="153"/>
        <v>908.39999999999964</v>
      </c>
      <c r="M1615" s="15">
        <f t="shared" si="152"/>
        <v>12490.499999999995</v>
      </c>
      <c r="N1615" t="str">
        <f t="shared" si="149"/>
        <v>DF</v>
      </c>
      <c r="O1615" t="str">
        <f t="shared" si="150"/>
        <v>Brasília</v>
      </c>
    </row>
    <row r="1616" spans="1:15" x14ac:dyDescent="0.3">
      <c r="A1616" s="10">
        <v>45901</v>
      </c>
      <c r="B1616" s="9" t="s">
        <v>78</v>
      </c>
      <c r="C1616" t="s">
        <v>79</v>
      </c>
      <c r="D1616" s="9">
        <v>19730</v>
      </c>
      <c r="E1616" s="5" t="s">
        <v>413</v>
      </c>
      <c r="F1616" t="s">
        <v>80</v>
      </c>
      <c r="G1616">
        <v>2862</v>
      </c>
      <c r="H1616">
        <v>848</v>
      </c>
      <c r="I1616" s="8">
        <f t="shared" si="151"/>
        <v>0.29629629629629628</v>
      </c>
      <c r="J1616" s="17">
        <v>0.7</v>
      </c>
      <c r="K1616" s="12">
        <v>13.75</v>
      </c>
      <c r="L1616" s="2">
        <f t="shared" si="153"/>
        <v>1155.3999999999999</v>
      </c>
      <c r="M1616" s="15">
        <f t="shared" si="152"/>
        <v>15886.749999999998</v>
      </c>
      <c r="N1616" t="str">
        <f t="shared" si="149"/>
        <v>MT</v>
      </c>
      <c r="O1616" t="str">
        <f t="shared" si="150"/>
        <v>Cuiabá</v>
      </c>
    </row>
    <row r="1617" spans="1:15" x14ac:dyDescent="0.3">
      <c r="A1617" s="10">
        <v>45901</v>
      </c>
      <c r="B1617" s="9" t="s">
        <v>78</v>
      </c>
      <c r="C1617" t="s">
        <v>79</v>
      </c>
      <c r="D1617" s="9">
        <v>19794</v>
      </c>
      <c r="E1617" s="5" t="s">
        <v>414</v>
      </c>
      <c r="F1617" t="s">
        <v>81</v>
      </c>
      <c r="G1617">
        <v>2726</v>
      </c>
      <c r="H1617">
        <v>1019</v>
      </c>
      <c r="I1617" s="8">
        <f t="shared" si="151"/>
        <v>0.37380777696258255</v>
      </c>
      <c r="J1617" s="17">
        <v>0.7</v>
      </c>
      <c r="K1617" s="12">
        <v>13.75</v>
      </c>
      <c r="L1617" s="2">
        <f t="shared" si="153"/>
        <v>889.19999999999982</v>
      </c>
      <c r="M1617" s="15">
        <f t="shared" si="152"/>
        <v>12226.499999999998</v>
      </c>
      <c r="N1617" t="str">
        <f t="shared" si="149"/>
        <v>MT</v>
      </c>
      <c r="O1617" t="str">
        <f t="shared" si="150"/>
        <v>Cuiabá</v>
      </c>
    </row>
    <row r="1618" spans="1:15" x14ac:dyDescent="0.3">
      <c r="A1618" s="10">
        <v>45901</v>
      </c>
      <c r="B1618" s="9" t="s">
        <v>7</v>
      </c>
      <c r="C1618" t="s">
        <v>99</v>
      </c>
      <c r="D1618" s="9">
        <v>19691</v>
      </c>
      <c r="E1618" s="5" t="s">
        <v>415</v>
      </c>
      <c r="F1618" t="s">
        <v>100</v>
      </c>
      <c r="G1618">
        <v>2420</v>
      </c>
      <c r="H1618">
        <v>914</v>
      </c>
      <c r="I1618" s="8">
        <f t="shared" si="151"/>
        <v>0.37768595041322311</v>
      </c>
      <c r="J1618" s="17">
        <v>0.7</v>
      </c>
      <c r="K1618" s="12">
        <v>13.75</v>
      </c>
      <c r="L1618" s="2">
        <f t="shared" si="153"/>
        <v>780</v>
      </c>
      <c r="M1618" s="15">
        <f t="shared" si="152"/>
        <v>10725</v>
      </c>
      <c r="N1618" t="str">
        <f t="shared" si="149"/>
        <v>GO</v>
      </c>
      <c r="O1618" t="str">
        <f t="shared" si="150"/>
        <v>Goiânia</v>
      </c>
    </row>
    <row r="1619" spans="1:15" x14ac:dyDescent="0.3">
      <c r="A1619" s="10">
        <v>45901</v>
      </c>
      <c r="B1619" s="9" t="s">
        <v>15</v>
      </c>
      <c r="C1619" t="s">
        <v>358</v>
      </c>
      <c r="D1619" s="9">
        <v>19505</v>
      </c>
      <c r="E1619" s="5" t="s">
        <v>416</v>
      </c>
      <c r="F1619" t="s">
        <v>204</v>
      </c>
      <c r="G1619">
        <v>2331</v>
      </c>
      <c r="H1619">
        <v>760</v>
      </c>
      <c r="I1619" s="8">
        <f t="shared" si="151"/>
        <v>0.32604032604032607</v>
      </c>
      <c r="J1619" s="17">
        <v>0.7</v>
      </c>
      <c r="K1619" s="12">
        <v>13.75</v>
      </c>
      <c r="L1619" s="2">
        <f t="shared" si="153"/>
        <v>871.69999999999982</v>
      </c>
      <c r="M1619" s="15">
        <f t="shared" si="152"/>
        <v>11985.874999999998</v>
      </c>
      <c r="N1619" t="str">
        <f t="shared" si="149"/>
        <v>RJ</v>
      </c>
      <c r="O1619" t="str">
        <f t="shared" si="150"/>
        <v>Rio De Janeiro</v>
      </c>
    </row>
    <row r="1620" spans="1:15" x14ac:dyDescent="0.3">
      <c r="A1620" s="10">
        <v>45901</v>
      </c>
      <c r="B1620" s="9" t="s">
        <v>15</v>
      </c>
      <c r="C1620" t="s">
        <v>358</v>
      </c>
      <c r="D1620" s="9">
        <v>19515</v>
      </c>
      <c r="E1620" s="5" t="s">
        <v>417</v>
      </c>
      <c r="F1620" t="s">
        <v>205</v>
      </c>
      <c r="G1620">
        <v>3333</v>
      </c>
      <c r="H1620">
        <v>1075</v>
      </c>
      <c r="I1620" s="8">
        <f t="shared" si="151"/>
        <v>0.32253225322532253</v>
      </c>
      <c r="J1620" s="17">
        <v>0.7</v>
      </c>
      <c r="K1620" s="12">
        <v>13.75</v>
      </c>
      <c r="L1620" s="2">
        <f t="shared" si="153"/>
        <v>1258.0999999999999</v>
      </c>
      <c r="M1620" s="15">
        <f t="shared" si="152"/>
        <v>17298.875</v>
      </c>
      <c r="N1620" t="str">
        <f t="shared" si="149"/>
        <v>RJ</v>
      </c>
      <c r="O1620" t="str">
        <f t="shared" si="150"/>
        <v>Rio De Janeiro</v>
      </c>
    </row>
    <row r="1621" spans="1:15" x14ac:dyDescent="0.3">
      <c r="A1621" s="10">
        <v>45901</v>
      </c>
      <c r="B1621" s="9" t="s">
        <v>15</v>
      </c>
      <c r="C1621" t="s">
        <v>358</v>
      </c>
      <c r="D1621" s="9">
        <v>19519</v>
      </c>
      <c r="E1621" s="5" t="s">
        <v>418</v>
      </c>
      <c r="F1621" t="s">
        <v>206</v>
      </c>
      <c r="G1621">
        <v>5333</v>
      </c>
      <c r="H1621">
        <v>1707</v>
      </c>
      <c r="I1621" s="8">
        <f t="shared" si="151"/>
        <v>0.32008250515657227</v>
      </c>
      <c r="J1621" s="17">
        <v>0.7</v>
      </c>
      <c r="K1621" s="12">
        <v>13.75</v>
      </c>
      <c r="L1621" s="2">
        <f t="shared" si="153"/>
        <v>2026.1</v>
      </c>
      <c r="M1621" s="15">
        <f t="shared" si="152"/>
        <v>27858.875</v>
      </c>
      <c r="N1621" t="str">
        <f t="shared" si="149"/>
        <v>RJ</v>
      </c>
      <c r="O1621" t="str">
        <f t="shared" si="150"/>
        <v>Rio De Janeiro</v>
      </c>
    </row>
    <row r="1622" spans="1:15" x14ac:dyDescent="0.3">
      <c r="A1622" s="10">
        <v>45901</v>
      </c>
      <c r="B1622" s="9" t="s">
        <v>15</v>
      </c>
      <c r="C1622" t="s">
        <v>358</v>
      </c>
      <c r="D1622" s="9">
        <v>19518</v>
      </c>
      <c r="E1622" s="5" t="s">
        <v>419</v>
      </c>
      <c r="F1622" t="s">
        <v>207</v>
      </c>
      <c r="G1622">
        <v>4284</v>
      </c>
      <c r="H1622">
        <v>1647</v>
      </c>
      <c r="I1622" s="8">
        <f t="shared" si="151"/>
        <v>0.38445378151260506</v>
      </c>
      <c r="J1622" s="17">
        <v>0.7</v>
      </c>
      <c r="K1622" s="12">
        <v>13.75</v>
      </c>
      <c r="L1622" s="2">
        <f t="shared" si="153"/>
        <v>1351.7999999999993</v>
      </c>
      <c r="M1622" s="15">
        <f t="shared" si="152"/>
        <v>18587.249999999989</v>
      </c>
      <c r="N1622" t="str">
        <f t="shared" si="149"/>
        <v>RJ</v>
      </c>
      <c r="O1622" t="str">
        <f t="shared" si="150"/>
        <v>Rio De Janeiro</v>
      </c>
    </row>
    <row r="1623" spans="1:15" x14ac:dyDescent="0.3">
      <c r="A1623" s="10">
        <v>45901</v>
      </c>
      <c r="B1623" s="9" t="s">
        <v>15</v>
      </c>
      <c r="C1623" t="s">
        <v>358</v>
      </c>
      <c r="D1623" s="9">
        <v>19507</v>
      </c>
      <c r="E1623" s="5" t="s">
        <v>420</v>
      </c>
      <c r="F1623" t="s">
        <v>208</v>
      </c>
      <c r="G1623">
        <v>3129</v>
      </c>
      <c r="H1623">
        <v>1041</v>
      </c>
      <c r="I1623" s="8">
        <f t="shared" si="151"/>
        <v>0.33269415148609782</v>
      </c>
      <c r="J1623" s="17">
        <v>0.7</v>
      </c>
      <c r="K1623" s="12">
        <v>13.75</v>
      </c>
      <c r="L1623" s="2">
        <f t="shared" si="153"/>
        <v>1149.2999999999997</v>
      </c>
      <c r="M1623" s="15">
        <f t="shared" si="152"/>
        <v>15802.874999999996</v>
      </c>
      <c r="N1623" t="str">
        <f t="shared" si="149"/>
        <v>RJ</v>
      </c>
      <c r="O1623" t="str">
        <f t="shared" si="150"/>
        <v>Rio De Janeiro</v>
      </c>
    </row>
    <row r="1624" spans="1:15" x14ac:dyDescent="0.3">
      <c r="A1624" s="10">
        <v>45901</v>
      </c>
      <c r="B1624" s="9" t="s">
        <v>15</v>
      </c>
      <c r="C1624" t="s">
        <v>358</v>
      </c>
      <c r="D1624" s="9">
        <v>19714</v>
      </c>
      <c r="E1624" s="5" t="s">
        <v>421</v>
      </c>
      <c r="F1624" t="s">
        <v>209</v>
      </c>
      <c r="G1624">
        <v>2407</v>
      </c>
      <c r="H1624">
        <v>867</v>
      </c>
      <c r="I1624" s="8">
        <f t="shared" si="151"/>
        <v>0.36019941836310759</v>
      </c>
      <c r="J1624" s="17">
        <v>0.7</v>
      </c>
      <c r="K1624" s="12">
        <v>13.75</v>
      </c>
      <c r="L1624" s="2">
        <f t="shared" si="153"/>
        <v>817.90000000000009</v>
      </c>
      <c r="M1624" s="15">
        <f t="shared" si="152"/>
        <v>11246.125000000002</v>
      </c>
      <c r="N1624" t="str">
        <f t="shared" si="149"/>
        <v>RJ</v>
      </c>
      <c r="O1624" t="str">
        <f t="shared" si="150"/>
        <v>Rio De Janeiro</v>
      </c>
    </row>
    <row r="1625" spans="1:15" x14ac:dyDescent="0.3">
      <c r="A1625" s="10">
        <v>45901</v>
      </c>
      <c r="B1625" s="9" t="s">
        <v>15</v>
      </c>
      <c r="C1625" t="s">
        <v>358</v>
      </c>
      <c r="D1625" s="9">
        <v>19844</v>
      </c>
      <c r="E1625" s="5" t="s">
        <v>428</v>
      </c>
      <c r="F1625" t="s">
        <v>210</v>
      </c>
      <c r="G1625">
        <v>2017</v>
      </c>
      <c r="H1625">
        <v>649</v>
      </c>
      <c r="I1625" s="8">
        <f t="shared" si="151"/>
        <v>0.32176499752107091</v>
      </c>
      <c r="J1625" s="17">
        <v>0.7</v>
      </c>
      <c r="K1625" s="12">
        <v>13.75</v>
      </c>
      <c r="L1625" s="2">
        <f t="shared" si="153"/>
        <v>762.89999999999986</v>
      </c>
      <c r="M1625" s="15">
        <f t="shared" si="152"/>
        <v>10489.874999999998</v>
      </c>
      <c r="N1625" t="str">
        <f t="shared" si="149"/>
        <v>RJ</v>
      </c>
      <c r="O1625" t="str">
        <f t="shared" si="150"/>
        <v>Rio De Janeiro</v>
      </c>
    </row>
    <row r="1626" spans="1:15" x14ac:dyDescent="0.3">
      <c r="A1626" s="10">
        <v>45901</v>
      </c>
      <c r="B1626" s="9" t="s">
        <v>14</v>
      </c>
      <c r="C1626" t="s">
        <v>29</v>
      </c>
      <c r="D1626" s="9">
        <v>19793</v>
      </c>
      <c r="E1626" s="5" t="s">
        <v>611</v>
      </c>
      <c r="F1626" t="s">
        <v>39</v>
      </c>
      <c r="G1626">
        <v>1096</v>
      </c>
      <c r="H1626">
        <v>440</v>
      </c>
      <c r="I1626" s="8">
        <f t="shared" si="151"/>
        <v>0.40145985401459855</v>
      </c>
      <c r="J1626" s="17">
        <v>0.7</v>
      </c>
      <c r="K1626" s="12">
        <v>13.75</v>
      </c>
      <c r="L1626" s="2">
        <f t="shared" si="153"/>
        <v>327.19999999999993</v>
      </c>
      <c r="M1626" s="15">
        <f t="shared" si="152"/>
        <v>4498.9999999999991</v>
      </c>
      <c r="N1626" t="str">
        <f t="shared" si="149"/>
        <v>MG</v>
      </c>
      <c r="O1626" t="str">
        <f t="shared" si="150"/>
        <v>Belo Horizonte</v>
      </c>
    </row>
    <row r="1627" spans="1:15" x14ac:dyDescent="0.3">
      <c r="A1627" s="10">
        <v>45901</v>
      </c>
      <c r="B1627" s="9" t="s">
        <v>14</v>
      </c>
      <c r="C1627" t="s">
        <v>29</v>
      </c>
      <c r="D1627" s="9">
        <v>19704</v>
      </c>
      <c r="E1627" s="5" t="s">
        <v>429</v>
      </c>
      <c r="F1627" t="s">
        <v>30</v>
      </c>
      <c r="G1627">
        <v>2991</v>
      </c>
      <c r="H1627">
        <v>1221</v>
      </c>
      <c r="I1627" s="8">
        <f t="shared" si="151"/>
        <v>0.40822467402206619</v>
      </c>
      <c r="J1627" s="17">
        <v>0.7</v>
      </c>
      <c r="K1627" s="12">
        <v>13.75</v>
      </c>
      <c r="L1627" s="2">
        <f t="shared" si="153"/>
        <v>872.69999999999982</v>
      </c>
      <c r="M1627" s="15">
        <f t="shared" si="152"/>
        <v>11999.624999999998</v>
      </c>
      <c r="N1627" t="str">
        <f t="shared" si="149"/>
        <v>MG</v>
      </c>
      <c r="O1627" t="str">
        <f t="shared" si="150"/>
        <v>Belo Horizonte</v>
      </c>
    </row>
    <row r="1628" spans="1:15" x14ac:dyDescent="0.3">
      <c r="A1628" s="10">
        <v>45901</v>
      </c>
      <c r="B1628" s="9" t="s">
        <v>15</v>
      </c>
      <c r="C1628" t="s">
        <v>358</v>
      </c>
      <c r="D1628" s="9">
        <v>19512</v>
      </c>
      <c r="E1628" s="5" t="s">
        <v>430</v>
      </c>
      <c r="F1628" t="s">
        <v>211</v>
      </c>
      <c r="G1628">
        <v>1807</v>
      </c>
      <c r="H1628">
        <v>631</v>
      </c>
      <c r="I1628" s="8">
        <f t="shared" si="151"/>
        <v>0.34919756502490318</v>
      </c>
      <c r="J1628" s="17">
        <v>0.7</v>
      </c>
      <c r="K1628" s="12">
        <v>13.75</v>
      </c>
      <c r="L1628" s="2">
        <f t="shared" si="153"/>
        <v>633.89999999999986</v>
      </c>
      <c r="M1628" s="15">
        <f t="shared" si="152"/>
        <v>8716.1249999999982</v>
      </c>
      <c r="N1628" t="str">
        <f t="shared" si="149"/>
        <v>RJ</v>
      </c>
      <c r="O1628" t="str">
        <f t="shared" si="150"/>
        <v>Rio De Janeiro</v>
      </c>
    </row>
    <row r="1629" spans="1:15" x14ac:dyDescent="0.3">
      <c r="A1629" s="10">
        <v>45901</v>
      </c>
      <c r="B1629" s="9" t="s">
        <v>14</v>
      </c>
      <c r="C1629" t="s">
        <v>29</v>
      </c>
      <c r="D1629" s="9">
        <v>19562</v>
      </c>
      <c r="E1629" s="5" t="s">
        <v>431</v>
      </c>
      <c r="F1629" t="s">
        <v>31</v>
      </c>
      <c r="G1629">
        <v>1387</v>
      </c>
      <c r="H1629">
        <v>530</v>
      </c>
      <c r="I1629" s="8">
        <f t="shared" si="151"/>
        <v>0.38211968276856523</v>
      </c>
      <c r="J1629" s="17">
        <v>0.7</v>
      </c>
      <c r="K1629" s="12">
        <v>13.75</v>
      </c>
      <c r="L1629" s="2">
        <f t="shared" si="153"/>
        <v>440.90000000000009</v>
      </c>
      <c r="M1629" s="15">
        <f t="shared" si="152"/>
        <v>6062.3750000000009</v>
      </c>
      <c r="N1629" t="str">
        <f t="shared" si="149"/>
        <v>MG</v>
      </c>
      <c r="O1629" t="str">
        <f t="shared" si="150"/>
        <v>Belo Horizonte</v>
      </c>
    </row>
    <row r="1630" spans="1:15" x14ac:dyDescent="0.3">
      <c r="A1630" s="10">
        <v>45901</v>
      </c>
      <c r="B1630" s="9" t="s">
        <v>14</v>
      </c>
      <c r="C1630" t="s">
        <v>29</v>
      </c>
      <c r="D1630" s="9">
        <v>19748</v>
      </c>
      <c r="E1630" s="5" t="s">
        <v>432</v>
      </c>
      <c r="F1630" t="s">
        <v>32</v>
      </c>
      <c r="G1630">
        <v>1848</v>
      </c>
      <c r="H1630">
        <v>768</v>
      </c>
      <c r="I1630" s="8">
        <f t="shared" si="151"/>
        <v>0.41558441558441561</v>
      </c>
      <c r="J1630" s="17">
        <v>0.7</v>
      </c>
      <c r="K1630" s="12">
        <v>13.75</v>
      </c>
      <c r="L1630" s="2">
        <f t="shared" si="153"/>
        <v>525.59999999999968</v>
      </c>
      <c r="M1630" s="15">
        <f t="shared" si="152"/>
        <v>7226.9999999999955</v>
      </c>
      <c r="N1630" t="str">
        <f t="shared" si="149"/>
        <v>MG</v>
      </c>
      <c r="O1630" t="str">
        <f t="shared" si="150"/>
        <v>Belo Horizonte</v>
      </c>
    </row>
    <row r="1631" spans="1:15" x14ac:dyDescent="0.3">
      <c r="A1631" s="10">
        <v>45901</v>
      </c>
      <c r="B1631" s="9" t="s">
        <v>14</v>
      </c>
      <c r="C1631" t="s">
        <v>29</v>
      </c>
      <c r="D1631" s="9">
        <v>19561</v>
      </c>
      <c r="E1631" s="5" t="s">
        <v>433</v>
      </c>
      <c r="F1631" t="s">
        <v>33</v>
      </c>
      <c r="G1631">
        <v>1183</v>
      </c>
      <c r="H1631">
        <v>208</v>
      </c>
      <c r="I1631" s="8">
        <f t="shared" si="151"/>
        <v>0.17582417582417584</v>
      </c>
      <c r="J1631" s="17">
        <v>0.7</v>
      </c>
      <c r="K1631" s="12">
        <v>13.75</v>
      </c>
      <c r="L1631" s="2">
        <f t="shared" si="153"/>
        <v>620.09999999999991</v>
      </c>
      <c r="M1631" s="15">
        <f t="shared" si="152"/>
        <v>8526.3749999999982</v>
      </c>
      <c r="N1631" t="str">
        <f t="shared" si="149"/>
        <v>MG</v>
      </c>
      <c r="O1631" t="str">
        <f t="shared" si="150"/>
        <v>Belo Horizonte</v>
      </c>
    </row>
    <row r="1632" spans="1:15" x14ac:dyDescent="0.3">
      <c r="A1632" s="10">
        <v>45901</v>
      </c>
      <c r="B1632" s="9" t="s">
        <v>14</v>
      </c>
      <c r="C1632" t="s">
        <v>29</v>
      </c>
      <c r="D1632" s="9">
        <v>19560</v>
      </c>
      <c r="E1632" s="5" t="s">
        <v>435</v>
      </c>
      <c r="F1632" t="s">
        <v>34</v>
      </c>
      <c r="G1632">
        <v>3616</v>
      </c>
      <c r="H1632">
        <v>1487</v>
      </c>
      <c r="I1632" s="8">
        <f t="shared" si="151"/>
        <v>0.41122787610619471</v>
      </c>
      <c r="J1632" s="17">
        <v>0.7</v>
      </c>
      <c r="K1632" s="12">
        <v>13.75</v>
      </c>
      <c r="L1632" s="2">
        <f t="shared" si="153"/>
        <v>1044.1999999999994</v>
      </c>
      <c r="M1632" s="15">
        <f t="shared" si="152"/>
        <v>14357.749999999991</v>
      </c>
      <c r="N1632" t="str">
        <f t="shared" si="149"/>
        <v>MG</v>
      </c>
      <c r="O1632" t="str">
        <f t="shared" si="150"/>
        <v>Belo Horizonte</v>
      </c>
    </row>
    <row r="1633" spans="1:15" x14ac:dyDescent="0.3">
      <c r="A1633" s="10">
        <v>45901</v>
      </c>
      <c r="B1633" s="9" t="s">
        <v>15</v>
      </c>
      <c r="C1633" t="s">
        <v>358</v>
      </c>
      <c r="D1633" s="9">
        <v>19508</v>
      </c>
      <c r="E1633" s="5" t="s">
        <v>444</v>
      </c>
      <c r="F1633" t="s">
        <v>212</v>
      </c>
      <c r="G1633">
        <v>2656</v>
      </c>
      <c r="H1633">
        <v>1122</v>
      </c>
      <c r="I1633" s="8">
        <f t="shared" si="151"/>
        <v>0.42243975903614456</v>
      </c>
      <c r="J1633" s="17">
        <v>0.7</v>
      </c>
      <c r="K1633" s="12">
        <v>13.75</v>
      </c>
      <c r="L1633" s="2">
        <f t="shared" si="153"/>
        <v>737.2</v>
      </c>
      <c r="M1633" s="15">
        <f t="shared" si="152"/>
        <v>10136.5</v>
      </c>
      <c r="N1633" t="str">
        <f t="shared" si="149"/>
        <v>RJ</v>
      </c>
      <c r="O1633" t="str">
        <f t="shared" si="150"/>
        <v>Rio De Janeiro</v>
      </c>
    </row>
    <row r="1634" spans="1:15" x14ac:dyDescent="0.3">
      <c r="A1634" s="10">
        <v>45901</v>
      </c>
      <c r="B1634" s="9" t="s">
        <v>15</v>
      </c>
      <c r="C1634" t="s">
        <v>358</v>
      </c>
      <c r="D1634" s="9">
        <v>19894</v>
      </c>
      <c r="E1634" s="5" t="s">
        <v>446</v>
      </c>
      <c r="F1634" t="s">
        <v>213</v>
      </c>
      <c r="G1634">
        <v>2259</v>
      </c>
      <c r="H1634">
        <v>746</v>
      </c>
      <c r="I1634" s="8">
        <f t="shared" si="151"/>
        <v>0.33023461708720675</v>
      </c>
      <c r="J1634" s="17">
        <v>0.7</v>
      </c>
      <c r="K1634" s="12">
        <v>13.75</v>
      </c>
      <c r="L1634" s="2">
        <f t="shared" si="153"/>
        <v>835.29999999999973</v>
      </c>
      <c r="M1634" s="15">
        <f t="shared" si="152"/>
        <v>11485.374999999996</v>
      </c>
      <c r="N1634" t="str">
        <f t="shared" si="149"/>
        <v>RJ</v>
      </c>
      <c r="O1634" t="str">
        <f t="shared" si="150"/>
        <v>Rio De Janeiro</v>
      </c>
    </row>
    <row r="1635" spans="1:15" x14ac:dyDescent="0.3">
      <c r="A1635" s="10">
        <v>45901</v>
      </c>
      <c r="B1635" s="9" t="s">
        <v>15</v>
      </c>
      <c r="C1635" t="s">
        <v>358</v>
      </c>
      <c r="D1635" s="9">
        <v>19526</v>
      </c>
      <c r="E1635" s="5" t="s">
        <v>447</v>
      </c>
      <c r="F1635" t="s">
        <v>214</v>
      </c>
      <c r="G1635">
        <v>1319</v>
      </c>
      <c r="H1635">
        <v>488</v>
      </c>
      <c r="I1635" s="8">
        <f t="shared" si="151"/>
        <v>0.36997725549658833</v>
      </c>
      <c r="J1635" s="17">
        <v>0.7</v>
      </c>
      <c r="K1635" s="12">
        <v>13.75</v>
      </c>
      <c r="L1635" s="2">
        <f t="shared" si="153"/>
        <v>435.29999999999984</v>
      </c>
      <c r="M1635" s="15">
        <f t="shared" si="152"/>
        <v>5985.3749999999982</v>
      </c>
      <c r="N1635" t="str">
        <f t="shared" si="149"/>
        <v>RJ</v>
      </c>
      <c r="O1635" t="str">
        <f t="shared" si="150"/>
        <v>Rio De Janeiro</v>
      </c>
    </row>
    <row r="1636" spans="1:15" x14ac:dyDescent="0.3">
      <c r="A1636" s="10">
        <v>45901</v>
      </c>
      <c r="B1636" s="9" t="s">
        <v>15</v>
      </c>
      <c r="C1636" t="s">
        <v>358</v>
      </c>
      <c r="D1636" s="9">
        <v>19509</v>
      </c>
      <c r="E1636" s="5" t="s">
        <v>448</v>
      </c>
      <c r="F1636" t="s">
        <v>215</v>
      </c>
      <c r="G1636">
        <v>2457</v>
      </c>
      <c r="H1636">
        <v>742</v>
      </c>
      <c r="I1636" s="8">
        <f t="shared" si="151"/>
        <v>0.30199430199430199</v>
      </c>
      <c r="J1636" s="17">
        <v>0.7</v>
      </c>
      <c r="K1636" s="12">
        <v>13.75</v>
      </c>
      <c r="L1636" s="2">
        <f t="shared" si="153"/>
        <v>977.89999999999986</v>
      </c>
      <c r="M1636" s="15">
        <f t="shared" si="152"/>
        <v>13446.124999999998</v>
      </c>
      <c r="N1636" t="str">
        <f t="shared" si="149"/>
        <v>RJ</v>
      </c>
      <c r="O1636" t="str">
        <f t="shared" si="150"/>
        <v>Rio De Janeiro</v>
      </c>
    </row>
    <row r="1637" spans="1:15" x14ac:dyDescent="0.3">
      <c r="A1637" s="10">
        <v>45901</v>
      </c>
      <c r="B1637" s="9" t="s">
        <v>15</v>
      </c>
      <c r="C1637" t="s">
        <v>358</v>
      </c>
      <c r="D1637" s="9">
        <v>19635</v>
      </c>
      <c r="E1637" s="5" t="s">
        <v>452</v>
      </c>
      <c r="F1637" t="s">
        <v>216</v>
      </c>
      <c r="G1637">
        <v>1671</v>
      </c>
      <c r="H1637">
        <v>721</v>
      </c>
      <c r="I1637" s="8">
        <f t="shared" si="151"/>
        <v>0.43147815679233992</v>
      </c>
      <c r="J1637" s="17">
        <v>0.7</v>
      </c>
      <c r="K1637" s="12">
        <v>13.75</v>
      </c>
      <c r="L1637" s="2">
        <f t="shared" ref="L1637:L1666" si="154">H1637*J1637/I1637-H1637</f>
        <v>448.70000000000005</v>
      </c>
      <c r="M1637" s="15">
        <f t="shared" si="152"/>
        <v>6169.6250000000009</v>
      </c>
      <c r="N1637" t="str">
        <f t="shared" si="149"/>
        <v>RJ</v>
      </c>
      <c r="O1637" t="str">
        <f t="shared" si="150"/>
        <v>Rio De Janeiro</v>
      </c>
    </row>
    <row r="1638" spans="1:15" x14ac:dyDescent="0.3">
      <c r="A1638" s="10">
        <v>45901</v>
      </c>
      <c r="B1638" s="9" t="s">
        <v>15</v>
      </c>
      <c r="C1638" t="s">
        <v>358</v>
      </c>
      <c r="D1638" s="9">
        <v>19665</v>
      </c>
      <c r="E1638" s="5" t="s">
        <v>453</v>
      </c>
      <c r="F1638" t="s">
        <v>217</v>
      </c>
      <c r="G1638">
        <v>1749</v>
      </c>
      <c r="H1638">
        <v>647</v>
      </c>
      <c r="I1638" s="8">
        <f t="shared" si="151"/>
        <v>0.36992567181246427</v>
      </c>
      <c r="J1638" s="17">
        <v>0.7</v>
      </c>
      <c r="K1638" s="12">
        <v>13.75</v>
      </c>
      <c r="L1638" s="2">
        <f t="shared" si="154"/>
        <v>577.29999999999995</v>
      </c>
      <c r="M1638" s="15">
        <f t="shared" si="152"/>
        <v>7937.8749999999991</v>
      </c>
      <c r="N1638" t="str">
        <f t="shared" si="149"/>
        <v>RJ</v>
      </c>
      <c r="O1638" t="str">
        <f t="shared" si="150"/>
        <v>Rio De Janeiro</v>
      </c>
    </row>
    <row r="1639" spans="1:15" x14ac:dyDescent="0.3">
      <c r="A1639" s="10">
        <v>45901</v>
      </c>
      <c r="B1639" s="9" t="s">
        <v>15</v>
      </c>
      <c r="C1639" t="s">
        <v>358</v>
      </c>
      <c r="D1639" s="9">
        <v>19504</v>
      </c>
      <c r="E1639" s="5" t="s">
        <v>454</v>
      </c>
      <c r="F1639" t="s">
        <v>218</v>
      </c>
      <c r="G1639">
        <v>2825</v>
      </c>
      <c r="H1639">
        <v>1120</v>
      </c>
      <c r="I1639" s="8">
        <f t="shared" si="151"/>
        <v>0.39646017699115044</v>
      </c>
      <c r="J1639" s="17">
        <v>0.7</v>
      </c>
      <c r="K1639" s="12">
        <v>13.75</v>
      </c>
      <c r="L1639" s="2">
        <f t="shared" si="154"/>
        <v>857.5</v>
      </c>
      <c r="M1639" s="15">
        <f t="shared" si="152"/>
        <v>11790.625</v>
      </c>
      <c r="N1639" t="str">
        <f t="shared" si="149"/>
        <v>RJ</v>
      </c>
      <c r="O1639" t="str">
        <f t="shared" si="150"/>
        <v>Rio De Janeiro</v>
      </c>
    </row>
    <row r="1640" spans="1:15" x14ac:dyDescent="0.3">
      <c r="A1640" s="10">
        <v>45901</v>
      </c>
      <c r="B1640" s="9" t="s">
        <v>15</v>
      </c>
      <c r="C1640" t="s">
        <v>358</v>
      </c>
      <c r="D1640" s="9">
        <v>19511</v>
      </c>
      <c r="E1640" s="5" t="s">
        <v>455</v>
      </c>
      <c r="F1640" t="s">
        <v>219</v>
      </c>
      <c r="G1640">
        <v>2792</v>
      </c>
      <c r="H1640">
        <v>1035</v>
      </c>
      <c r="I1640" s="8">
        <f t="shared" si="151"/>
        <v>0.37070200573065903</v>
      </c>
      <c r="J1640" s="17">
        <v>0.7</v>
      </c>
      <c r="K1640" s="12">
        <v>13.75</v>
      </c>
      <c r="L1640" s="2">
        <f t="shared" si="154"/>
        <v>919.39999999999986</v>
      </c>
      <c r="M1640" s="15">
        <f t="shared" si="152"/>
        <v>12641.749999999998</v>
      </c>
      <c r="N1640" t="str">
        <f t="shared" si="149"/>
        <v>RJ</v>
      </c>
      <c r="O1640" t="str">
        <f t="shared" si="150"/>
        <v>Rio De Janeiro</v>
      </c>
    </row>
    <row r="1641" spans="1:15" x14ac:dyDescent="0.3">
      <c r="A1641" s="10">
        <v>45901</v>
      </c>
      <c r="B1641" s="9" t="s">
        <v>14</v>
      </c>
      <c r="C1641" t="s">
        <v>285</v>
      </c>
      <c r="D1641" s="9">
        <v>19698</v>
      </c>
      <c r="E1641" s="5" t="s">
        <v>456</v>
      </c>
      <c r="F1641" t="s">
        <v>331</v>
      </c>
      <c r="G1641">
        <v>2520</v>
      </c>
      <c r="H1641">
        <v>904</v>
      </c>
      <c r="I1641" s="8">
        <f t="shared" si="151"/>
        <v>0.35873015873015873</v>
      </c>
      <c r="J1641" s="17">
        <v>0.7</v>
      </c>
      <c r="K1641" s="12">
        <v>13.75</v>
      </c>
      <c r="L1641" s="2">
        <f t="shared" si="154"/>
        <v>859.99999999999977</v>
      </c>
      <c r="M1641" s="15">
        <f t="shared" si="152"/>
        <v>11824.999999999996</v>
      </c>
      <c r="N1641" t="str">
        <f t="shared" si="149"/>
        <v>MG</v>
      </c>
      <c r="O1641" t="str">
        <f t="shared" si="150"/>
        <v>Uberlândia</v>
      </c>
    </row>
    <row r="1642" spans="1:15" x14ac:dyDescent="0.3">
      <c r="A1642" s="10">
        <v>45901</v>
      </c>
      <c r="B1642" s="9" t="s">
        <v>15</v>
      </c>
      <c r="C1642" t="s">
        <v>358</v>
      </c>
      <c r="D1642" s="9">
        <v>19506</v>
      </c>
      <c r="E1642" s="5" t="s">
        <v>457</v>
      </c>
      <c r="F1642" t="s">
        <v>220</v>
      </c>
      <c r="G1642">
        <v>2725</v>
      </c>
      <c r="H1642">
        <v>1026</v>
      </c>
      <c r="I1642" s="8">
        <f t="shared" si="151"/>
        <v>0.3765137614678899</v>
      </c>
      <c r="J1642" s="17">
        <v>0.7</v>
      </c>
      <c r="K1642" s="12">
        <v>13.75</v>
      </c>
      <c r="L1642" s="2">
        <f t="shared" si="154"/>
        <v>881.49999999999977</v>
      </c>
      <c r="M1642" s="15">
        <f t="shared" si="152"/>
        <v>12120.624999999996</v>
      </c>
      <c r="N1642" t="str">
        <f t="shared" si="149"/>
        <v>RJ</v>
      </c>
      <c r="O1642" t="str">
        <f t="shared" si="150"/>
        <v>Rio De Janeiro</v>
      </c>
    </row>
    <row r="1643" spans="1:15" x14ac:dyDescent="0.3">
      <c r="A1643" s="10">
        <v>45901</v>
      </c>
      <c r="B1643" s="9" t="s">
        <v>7</v>
      </c>
      <c r="C1643" t="s">
        <v>8</v>
      </c>
      <c r="D1643" s="9">
        <v>19700</v>
      </c>
      <c r="E1643" s="5" t="s">
        <v>458</v>
      </c>
      <c r="F1643" t="s">
        <v>9</v>
      </c>
      <c r="G1643">
        <v>1846</v>
      </c>
      <c r="H1643">
        <v>628</v>
      </c>
      <c r="I1643" s="8">
        <f t="shared" si="151"/>
        <v>0.34019501625135429</v>
      </c>
      <c r="J1643" s="17">
        <v>0.7</v>
      </c>
      <c r="K1643" s="12">
        <v>13.75</v>
      </c>
      <c r="L1643" s="2">
        <f t="shared" si="154"/>
        <v>664.19999999999982</v>
      </c>
      <c r="M1643" s="15">
        <f t="shared" si="152"/>
        <v>9132.7499999999982</v>
      </c>
      <c r="N1643" t="str">
        <f t="shared" si="149"/>
        <v>GO</v>
      </c>
      <c r="O1643" t="str">
        <f t="shared" si="150"/>
        <v>Anápolis</v>
      </c>
    </row>
    <row r="1644" spans="1:15" x14ac:dyDescent="0.3">
      <c r="A1644" s="10">
        <v>45901</v>
      </c>
      <c r="B1644" s="9" t="s">
        <v>14</v>
      </c>
      <c r="C1644" t="s">
        <v>29</v>
      </c>
      <c r="D1644" s="9">
        <v>19697</v>
      </c>
      <c r="E1644" s="5" t="s">
        <v>459</v>
      </c>
      <c r="F1644" t="s">
        <v>37</v>
      </c>
      <c r="G1644">
        <v>2091</v>
      </c>
      <c r="H1644">
        <v>759</v>
      </c>
      <c r="I1644" s="8">
        <f t="shared" si="151"/>
        <v>0.36298421807747488</v>
      </c>
      <c r="J1644" s="17">
        <v>0.7</v>
      </c>
      <c r="K1644" s="12">
        <v>13.75</v>
      </c>
      <c r="L1644" s="2">
        <f t="shared" si="154"/>
        <v>704.69999999999982</v>
      </c>
      <c r="M1644" s="15">
        <f t="shared" si="152"/>
        <v>9689.6249999999982</v>
      </c>
      <c r="N1644" t="str">
        <f t="shared" si="149"/>
        <v>MG</v>
      </c>
      <c r="O1644" t="str">
        <f t="shared" si="150"/>
        <v>Belo Horizonte</v>
      </c>
    </row>
    <row r="1645" spans="1:15" x14ac:dyDescent="0.3">
      <c r="A1645" s="10">
        <v>45901</v>
      </c>
      <c r="B1645" s="9" t="s">
        <v>46</v>
      </c>
      <c r="C1645" t="s">
        <v>47</v>
      </c>
      <c r="D1645" s="9">
        <v>19722</v>
      </c>
      <c r="E1645" s="5" t="s">
        <v>460</v>
      </c>
      <c r="F1645" t="s">
        <v>52</v>
      </c>
      <c r="G1645">
        <v>1460</v>
      </c>
      <c r="H1645">
        <v>436</v>
      </c>
      <c r="I1645" s="8">
        <f t="shared" si="151"/>
        <v>0.29863013698630136</v>
      </c>
      <c r="J1645" s="17">
        <v>0.7</v>
      </c>
      <c r="K1645" s="12">
        <v>13.75</v>
      </c>
      <c r="L1645" s="2">
        <f t="shared" si="154"/>
        <v>586</v>
      </c>
      <c r="M1645" s="15">
        <f t="shared" si="152"/>
        <v>8057.5</v>
      </c>
      <c r="N1645" t="str">
        <f t="shared" si="149"/>
        <v>DF</v>
      </c>
      <c r="O1645" t="str">
        <f t="shared" si="150"/>
        <v>Brasília</v>
      </c>
    </row>
    <row r="1646" spans="1:15" x14ac:dyDescent="0.3">
      <c r="A1646" s="10">
        <v>45901</v>
      </c>
      <c r="B1646" s="9" t="s">
        <v>3</v>
      </c>
      <c r="C1646" t="s">
        <v>248</v>
      </c>
      <c r="D1646" s="9">
        <v>19716</v>
      </c>
      <c r="E1646" s="5" t="s">
        <v>461</v>
      </c>
      <c r="F1646" t="s">
        <v>262</v>
      </c>
      <c r="G1646">
        <v>1872</v>
      </c>
      <c r="H1646">
        <v>695</v>
      </c>
      <c r="I1646" s="8">
        <f t="shared" si="151"/>
        <v>0.37126068376068377</v>
      </c>
      <c r="J1646" s="17">
        <v>0.7</v>
      </c>
      <c r="K1646" s="12">
        <v>13.75</v>
      </c>
      <c r="L1646" s="2">
        <f t="shared" si="154"/>
        <v>615.39999999999986</v>
      </c>
      <c r="M1646" s="15">
        <f t="shared" si="152"/>
        <v>8461.7499999999982</v>
      </c>
      <c r="N1646" t="str">
        <f t="shared" si="149"/>
        <v>SP</v>
      </c>
      <c r="O1646" t="str">
        <f t="shared" si="150"/>
        <v>São Paulo</v>
      </c>
    </row>
    <row r="1647" spans="1:15" x14ac:dyDescent="0.3">
      <c r="A1647" s="10">
        <v>45901</v>
      </c>
      <c r="B1647" s="9" t="s">
        <v>3</v>
      </c>
      <c r="C1647" t="s">
        <v>17</v>
      </c>
      <c r="D1647" s="9">
        <v>19715</v>
      </c>
      <c r="E1647" s="5" t="s">
        <v>462</v>
      </c>
      <c r="F1647" t="s">
        <v>18</v>
      </c>
      <c r="G1647">
        <v>1146</v>
      </c>
      <c r="H1647">
        <v>624</v>
      </c>
      <c r="I1647" s="8">
        <f t="shared" si="151"/>
        <v>0.54450261780104714</v>
      </c>
      <c r="J1647" s="17">
        <v>0.7</v>
      </c>
      <c r="K1647" s="12">
        <v>13.75</v>
      </c>
      <c r="L1647" s="2">
        <f t="shared" si="154"/>
        <v>178.19999999999993</v>
      </c>
      <c r="M1647" s="15">
        <f t="shared" si="152"/>
        <v>2450.2499999999991</v>
      </c>
      <c r="N1647" t="str">
        <f t="shared" si="149"/>
        <v>SP</v>
      </c>
      <c r="O1647" t="str">
        <f t="shared" si="150"/>
        <v>Atibaia</v>
      </c>
    </row>
    <row r="1648" spans="1:15" x14ac:dyDescent="0.3">
      <c r="A1648" s="10">
        <v>45901</v>
      </c>
      <c r="B1648" s="9" t="s">
        <v>21</v>
      </c>
      <c r="C1648" t="s">
        <v>368</v>
      </c>
      <c r="D1648" s="9">
        <v>19736</v>
      </c>
      <c r="E1648" s="5" t="s">
        <v>464</v>
      </c>
      <c r="F1648" t="s">
        <v>295</v>
      </c>
      <c r="G1648">
        <v>3505</v>
      </c>
      <c r="H1648">
        <v>1265</v>
      </c>
      <c r="I1648" s="8">
        <f t="shared" si="151"/>
        <v>0.36091298145506417</v>
      </c>
      <c r="J1648" s="17">
        <v>0.7</v>
      </c>
      <c r="K1648" s="12">
        <v>13.75</v>
      </c>
      <c r="L1648" s="2">
        <f t="shared" si="154"/>
        <v>1188.5</v>
      </c>
      <c r="M1648" s="15">
        <f t="shared" si="152"/>
        <v>16341.875</v>
      </c>
      <c r="N1648" t="str">
        <f t="shared" si="149"/>
        <v>BA</v>
      </c>
      <c r="O1648" t="str">
        <f t="shared" si="150"/>
        <v>Vitória Da Conquista</v>
      </c>
    </row>
    <row r="1649" spans="1:15" x14ac:dyDescent="0.3">
      <c r="A1649" s="10">
        <v>45901</v>
      </c>
      <c r="B1649" s="9" t="s">
        <v>21</v>
      </c>
      <c r="C1649" t="s">
        <v>228</v>
      </c>
      <c r="D1649" s="9">
        <v>19740</v>
      </c>
      <c r="E1649" s="5" t="s">
        <v>465</v>
      </c>
      <c r="F1649" t="s">
        <v>229</v>
      </c>
      <c r="G1649">
        <v>1938</v>
      </c>
      <c r="H1649">
        <v>629</v>
      </c>
      <c r="I1649" s="8">
        <f t="shared" si="151"/>
        <v>0.32456140350877194</v>
      </c>
      <c r="J1649" s="17">
        <v>0.7</v>
      </c>
      <c r="K1649" s="12">
        <v>13.75</v>
      </c>
      <c r="L1649" s="2">
        <f t="shared" si="154"/>
        <v>727.59999999999991</v>
      </c>
      <c r="M1649" s="15">
        <f t="shared" si="152"/>
        <v>10004.499999999998</v>
      </c>
      <c r="N1649" t="str">
        <f t="shared" si="149"/>
        <v>BA</v>
      </c>
      <c r="O1649" t="str">
        <f t="shared" si="150"/>
        <v>Salvador</v>
      </c>
    </row>
    <row r="1650" spans="1:15" x14ac:dyDescent="0.3">
      <c r="A1650" s="10">
        <v>45901</v>
      </c>
      <c r="B1650" s="9" t="s">
        <v>21</v>
      </c>
      <c r="C1650" t="s">
        <v>352</v>
      </c>
      <c r="D1650" s="9">
        <v>19738</v>
      </c>
      <c r="E1650" s="5" t="s">
        <v>466</v>
      </c>
      <c r="F1650" t="s">
        <v>118</v>
      </c>
      <c r="G1650">
        <v>4102</v>
      </c>
      <c r="H1650">
        <v>2076</v>
      </c>
      <c r="I1650" s="8">
        <f t="shared" si="151"/>
        <v>0.50609458800585083</v>
      </c>
      <c r="J1650" s="17">
        <v>0.7</v>
      </c>
      <c r="K1650" s="12">
        <v>13.75</v>
      </c>
      <c r="L1650" s="2">
        <f t="shared" si="154"/>
        <v>795.39999999999964</v>
      </c>
      <c r="M1650" s="15">
        <f t="shared" si="152"/>
        <v>10936.749999999995</v>
      </c>
      <c r="N1650" t="str">
        <f t="shared" si="149"/>
        <v>BA</v>
      </c>
      <c r="O1650" t="str">
        <f t="shared" si="150"/>
        <v>Lauro De Freitas</v>
      </c>
    </row>
    <row r="1651" spans="1:15" x14ac:dyDescent="0.3">
      <c r="A1651" s="10">
        <v>45901</v>
      </c>
      <c r="B1651" s="9" t="s">
        <v>129</v>
      </c>
      <c r="C1651" t="s">
        <v>130</v>
      </c>
      <c r="D1651" s="9">
        <v>19742</v>
      </c>
      <c r="E1651" s="5" t="s">
        <v>467</v>
      </c>
      <c r="F1651" t="s">
        <v>131</v>
      </c>
      <c r="G1651">
        <v>1438</v>
      </c>
      <c r="H1651">
        <v>699</v>
      </c>
      <c r="I1651" s="8">
        <f t="shared" si="151"/>
        <v>0.48609179415855353</v>
      </c>
      <c r="J1651" s="17">
        <v>0.7</v>
      </c>
      <c r="K1651" s="12">
        <v>13.75</v>
      </c>
      <c r="L1651" s="2">
        <f t="shared" si="154"/>
        <v>307.59999999999991</v>
      </c>
      <c r="M1651" s="15">
        <f t="shared" si="152"/>
        <v>4229.4999999999991</v>
      </c>
      <c r="N1651" t="str">
        <f t="shared" si="149"/>
        <v>AM</v>
      </c>
      <c r="O1651" t="str">
        <f t="shared" si="150"/>
        <v>Manaus</v>
      </c>
    </row>
    <row r="1652" spans="1:15" x14ac:dyDescent="0.3">
      <c r="A1652" s="10">
        <v>45901</v>
      </c>
      <c r="B1652" s="9" t="s">
        <v>129</v>
      </c>
      <c r="C1652" t="s">
        <v>130</v>
      </c>
      <c r="D1652" s="9">
        <v>19785</v>
      </c>
      <c r="E1652" s="5" t="s">
        <v>468</v>
      </c>
      <c r="F1652" t="s">
        <v>132</v>
      </c>
      <c r="G1652">
        <v>1626</v>
      </c>
      <c r="H1652">
        <v>689</v>
      </c>
      <c r="I1652" s="8">
        <f t="shared" si="151"/>
        <v>0.4237392373923739</v>
      </c>
      <c r="J1652" s="17">
        <v>0.7</v>
      </c>
      <c r="K1652" s="12">
        <v>13.75</v>
      </c>
      <c r="L1652" s="2">
        <f t="shared" si="154"/>
        <v>449.20000000000005</v>
      </c>
      <c r="M1652" s="15">
        <f t="shared" si="152"/>
        <v>6176.5000000000009</v>
      </c>
      <c r="N1652" t="str">
        <f t="shared" si="149"/>
        <v>AM</v>
      </c>
      <c r="O1652" t="str">
        <f t="shared" si="150"/>
        <v>Manaus</v>
      </c>
    </row>
    <row r="1653" spans="1:15" x14ac:dyDescent="0.3">
      <c r="A1653" s="10">
        <v>45901</v>
      </c>
      <c r="B1653" s="9" t="s">
        <v>129</v>
      </c>
      <c r="C1653" t="s">
        <v>130</v>
      </c>
      <c r="D1653" s="9">
        <v>19843</v>
      </c>
      <c r="E1653" s="5" t="s">
        <v>469</v>
      </c>
      <c r="F1653" t="s">
        <v>133</v>
      </c>
      <c r="G1653">
        <v>1393</v>
      </c>
      <c r="H1653">
        <v>636</v>
      </c>
      <c r="I1653" s="8">
        <f t="shared" si="151"/>
        <v>0.45656855707106964</v>
      </c>
      <c r="J1653" s="17">
        <v>0.7</v>
      </c>
      <c r="K1653" s="12">
        <v>13.75</v>
      </c>
      <c r="L1653" s="2">
        <f t="shared" si="154"/>
        <v>339.1</v>
      </c>
      <c r="M1653" s="15">
        <f t="shared" si="152"/>
        <v>4662.625</v>
      </c>
      <c r="N1653" t="str">
        <f t="shared" si="149"/>
        <v>AM</v>
      </c>
      <c r="O1653" t="str">
        <f t="shared" si="150"/>
        <v>Manaus</v>
      </c>
    </row>
    <row r="1654" spans="1:15" x14ac:dyDescent="0.3">
      <c r="A1654" s="10">
        <v>45901</v>
      </c>
      <c r="B1654" s="9" t="s">
        <v>129</v>
      </c>
      <c r="C1654" t="s">
        <v>130</v>
      </c>
      <c r="D1654" s="9">
        <v>19879</v>
      </c>
      <c r="E1654" s="5" t="s">
        <v>470</v>
      </c>
      <c r="F1654" t="s">
        <v>134</v>
      </c>
      <c r="G1654">
        <v>1451</v>
      </c>
      <c r="H1654">
        <v>771</v>
      </c>
      <c r="I1654" s="8">
        <f t="shared" si="151"/>
        <v>0.53135768435561681</v>
      </c>
      <c r="J1654" s="17">
        <v>0.7</v>
      </c>
      <c r="K1654" s="12">
        <v>13.75</v>
      </c>
      <c r="L1654" s="2">
        <f t="shared" si="154"/>
        <v>244.69999999999993</v>
      </c>
      <c r="M1654" s="15">
        <f t="shared" si="152"/>
        <v>3364.6249999999991</v>
      </c>
      <c r="N1654" t="str">
        <f t="shared" si="149"/>
        <v>AM</v>
      </c>
      <c r="O1654" t="str">
        <f t="shared" si="150"/>
        <v>Manaus</v>
      </c>
    </row>
    <row r="1655" spans="1:15" x14ac:dyDescent="0.3">
      <c r="A1655" s="10">
        <v>45901</v>
      </c>
      <c r="B1655" s="9" t="s">
        <v>89</v>
      </c>
      <c r="C1655" t="s">
        <v>346</v>
      </c>
      <c r="D1655" s="9">
        <v>19735</v>
      </c>
      <c r="E1655" s="5" t="s">
        <v>471</v>
      </c>
      <c r="F1655" t="s">
        <v>90</v>
      </c>
      <c r="G1655">
        <v>1083</v>
      </c>
      <c r="H1655">
        <v>462</v>
      </c>
      <c r="I1655" s="8">
        <f t="shared" si="151"/>
        <v>0.4265927977839335</v>
      </c>
      <c r="J1655" s="17">
        <v>0.7</v>
      </c>
      <c r="K1655" s="12">
        <v>13.75</v>
      </c>
      <c r="L1655" s="2">
        <f t="shared" si="154"/>
        <v>296.10000000000002</v>
      </c>
      <c r="M1655" s="15">
        <f t="shared" si="152"/>
        <v>4071.3750000000005</v>
      </c>
      <c r="N1655" t="str">
        <f t="shared" si="149"/>
        <v>CE</v>
      </c>
      <c r="O1655" t="str">
        <f t="shared" si="150"/>
        <v>Fortaleza</v>
      </c>
    </row>
    <row r="1656" spans="1:15" x14ac:dyDescent="0.3">
      <c r="A1656" s="10">
        <v>45901</v>
      </c>
      <c r="B1656" s="9" t="s">
        <v>89</v>
      </c>
      <c r="C1656" t="s">
        <v>346</v>
      </c>
      <c r="D1656" s="9">
        <v>19607</v>
      </c>
      <c r="E1656" s="5" t="s">
        <v>472</v>
      </c>
      <c r="F1656" t="s">
        <v>91</v>
      </c>
      <c r="G1656">
        <v>1444</v>
      </c>
      <c r="H1656">
        <v>551</v>
      </c>
      <c r="I1656" s="8">
        <f t="shared" si="151"/>
        <v>0.38157894736842107</v>
      </c>
      <c r="J1656" s="17">
        <v>0.7</v>
      </c>
      <c r="K1656" s="12">
        <v>13.75</v>
      </c>
      <c r="L1656" s="2">
        <f t="shared" si="154"/>
        <v>459.79999999999995</v>
      </c>
      <c r="M1656" s="15">
        <f t="shared" si="152"/>
        <v>6322.2499999999991</v>
      </c>
      <c r="N1656" t="str">
        <f t="shared" si="149"/>
        <v>CE</v>
      </c>
      <c r="O1656" t="str">
        <f t="shared" si="150"/>
        <v>Fortaleza</v>
      </c>
    </row>
    <row r="1657" spans="1:15" x14ac:dyDescent="0.3">
      <c r="A1657" s="10">
        <v>45901</v>
      </c>
      <c r="B1657" s="9" t="s">
        <v>89</v>
      </c>
      <c r="C1657" t="s">
        <v>346</v>
      </c>
      <c r="D1657" s="9">
        <v>19642</v>
      </c>
      <c r="E1657" s="5" t="s">
        <v>473</v>
      </c>
      <c r="F1657" t="s">
        <v>92</v>
      </c>
      <c r="G1657">
        <v>1464</v>
      </c>
      <c r="H1657">
        <v>529</v>
      </c>
      <c r="I1657" s="8">
        <f t="shared" si="151"/>
        <v>0.36133879781420764</v>
      </c>
      <c r="J1657" s="17">
        <v>0.7</v>
      </c>
      <c r="K1657" s="12">
        <v>13.75</v>
      </c>
      <c r="L1657" s="2">
        <f t="shared" si="154"/>
        <v>495.79999999999995</v>
      </c>
      <c r="M1657" s="15">
        <f t="shared" si="152"/>
        <v>6817.2499999999991</v>
      </c>
      <c r="N1657" t="str">
        <f t="shared" si="149"/>
        <v>CE</v>
      </c>
      <c r="O1657" t="str">
        <f t="shared" si="150"/>
        <v>Fortaleza</v>
      </c>
    </row>
    <row r="1658" spans="1:15" x14ac:dyDescent="0.3">
      <c r="A1658" s="10">
        <v>45901</v>
      </c>
      <c r="B1658" s="9" t="s">
        <v>89</v>
      </c>
      <c r="C1658" t="s">
        <v>346</v>
      </c>
      <c r="D1658" s="9">
        <v>19725</v>
      </c>
      <c r="E1658" s="5" t="s">
        <v>474</v>
      </c>
      <c r="F1658" t="s">
        <v>93</v>
      </c>
      <c r="G1658">
        <v>984</v>
      </c>
      <c r="H1658">
        <v>368</v>
      </c>
      <c r="I1658" s="8">
        <f t="shared" si="151"/>
        <v>0.37398373983739835</v>
      </c>
      <c r="J1658" s="17">
        <v>0.7</v>
      </c>
      <c r="K1658" s="12">
        <v>13.75</v>
      </c>
      <c r="L1658" s="2">
        <f t="shared" si="154"/>
        <v>320.79999999999995</v>
      </c>
      <c r="M1658" s="15">
        <f t="shared" si="152"/>
        <v>4410.9999999999991</v>
      </c>
      <c r="N1658" t="str">
        <f t="shared" si="149"/>
        <v>CE</v>
      </c>
      <c r="O1658" t="str">
        <f t="shared" si="150"/>
        <v>Fortaleza</v>
      </c>
    </row>
    <row r="1659" spans="1:15" x14ac:dyDescent="0.3">
      <c r="A1659" s="10">
        <v>45901</v>
      </c>
      <c r="B1659" s="9" t="s">
        <v>89</v>
      </c>
      <c r="C1659" t="s">
        <v>346</v>
      </c>
      <c r="D1659" s="9">
        <v>19902</v>
      </c>
      <c r="E1659" s="5" t="s">
        <v>475</v>
      </c>
      <c r="F1659" t="s">
        <v>94</v>
      </c>
      <c r="G1659">
        <v>1332</v>
      </c>
      <c r="H1659">
        <v>512</v>
      </c>
      <c r="I1659" s="8">
        <f t="shared" si="151"/>
        <v>0.38438438438438438</v>
      </c>
      <c r="J1659" s="17">
        <v>0.7</v>
      </c>
      <c r="K1659" s="12">
        <v>13.75</v>
      </c>
      <c r="L1659" s="2">
        <f t="shared" si="154"/>
        <v>420.4</v>
      </c>
      <c r="M1659" s="15">
        <f t="shared" si="152"/>
        <v>5780.5</v>
      </c>
      <c r="N1659" t="str">
        <f t="shared" si="149"/>
        <v>CE</v>
      </c>
      <c r="O1659" t="str">
        <f t="shared" si="150"/>
        <v>Fortaleza</v>
      </c>
    </row>
    <row r="1660" spans="1:15" x14ac:dyDescent="0.3">
      <c r="A1660" s="10">
        <v>45901</v>
      </c>
      <c r="B1660" s="9" t="s">
        <v>89</v>
      </c>
      <c r="C1660" t="s">
        <v>346</v>
      </c>
      <c r="D1660" s="9">
        <v>19903</v>
      </c>
      <c r="E1660" s="5" t="s">
        <v>476</v>
      </c>
      <c r="F1660" t="s">
        <v>95</v>
      </c>
      <c r="G1660">
        <v>1169</v>
      </c>
      <c r="H1660">
        <v>696</v>
      </c>
      <c r="I1660" s="8">
        <f t="shared" si="151"/>
        <v>0.59538066723695471</v>
      </c>
      <c r="J1660" s="17">
        <v>0.7</v>
      </c>
      <c r="K1660" s="12">
        <v>13.75</v>
      </c>
      <c r="L1660" s="2">
        <f t="shared" si="154"/>
        <v>122.29999999999995</v>
      </c>
      <c r="M1660" s="15">
        <f t="shared" si="152"/>
        <v>1681.6249999999993</v>
      </c>
      <c r="N1660" t="str">
        <f t="shared" si="149"/>
        <v>CE</v>
      </c>
      <c r="O1660" t="str">
        <f t="shared" si="150"/>
        <v>Fortaleza</v>
      </c>
    </row>
    <row r="1661" spans="1:15" x14ac:dyDescent="0.3">
      <c r="A1661" s="10">
        <v>45901</v>
      </c>
      <c r="B1661" s="9" t="s">
        <v>82</v>
      </c>
      <c r="C1661" t="s">
        <v>135</v>
      </c>
      <c r="D1661" s="9">
        <v>19749</v>
      </c>
      <c r="E1661" s="5" t="s">
        <v>477</v>
      </c>
      <c r="F1661" t="s">
        <v>136</v>
      </c>
      <c r="G1661">
        <v>1472</v>
      </c>
      <c r="H1661">
        <v>466</v>
      </c>
      <c r="I1661" s="8">
        <f t="shared" si="151"/>
        <v>0.31657608695652173</v>
      </c>
      <c r="J1661" s="17">
        <v>0.7</v>
      </c>
      <c r="K1661" s="12">
        <v>13.75</v>
      </c>
      <c r="L1661" s="2">
        <f t="shared" si="154"/>
        <v>564.40000000000009</v>
      </c>
      <c r="M1661" s="15">
        <f t="shared" si="152"/>
        <v>7760.5000000000009</v>
      </c>
      <c r="N1661" t="str">
        <f t="shared" si="149"/>
        <v>PR</v>
      </c>
      <c r="O1661" t="str">
        <f t="shared" si="150"/>
        <v>Maringá</v>
      </c>
    </row>
    <row r="1662" spans="1:15" x14ac:dyDescent="0.3">
      <c r="A1662" s="10">
        <v>45901</v>
      </c>
      <c r="B1662" s="9" t="s">
        <v>82</v>
      </c>
      <c r="C1662" t="s">
        <v>83</v>
      </c>
      <c r="D1662" s="9">
        <v>19545</v>
      </c>
      <c r="E1662" s="5" t="s">
        <v>478</v>
      </c>
      <c r="F1662" t="s">
        <v>84</v>
      </c>
      <c r="G1662">
        <v>2929</v>
      </c>
      <c r="H1662">
        <v>1047</v>
      </c>
      <c r="I1662" s="8">
        <f t="shared" si="151"/>
        <v>0.3574598839194264</v>
      </c>
      <c r="J1662" s="17">
        <v>0.7</v>
      </c>
      <c r="K1662" s="12">
        <v>13.75</v>
      </c>
      <c r="L1662" s="2">
        <f t="shared" si="154"/>
        <v>1003.3000000000002</v>
      </c>
      <c r="M1662" s="15">
        <f t="shared" si="152"/>
        <v>13795.375000000002</v>
      </c>
      <c r="N1662" t="str">
        <f t="shared" si="149"/>
        <v>PR</v>
      </c>
      <c r="O1662" t="str">
        <f t="shared" si="150"/>
        <v>Curitiba</v>
      </c>
    </row>
    <row r="1663" spans="1:15" x14ac:dyDescent="0.3">
      <c r="A1663" s="10">
        <v>45901</v>
      </c>
      <c r="B1663" s="9" t="s">
        <v>82</v>
      </c>
      <c r="C1663" t="s">
        <v>83</v>
      </c>
      <c r="D1663" s="9">
        <v>19546</v>
      </c>
      <c r="E1663" s="5" t="s">
        <v>479</v>
      </c>
      <c r="F1663" t="s">
        <v>85</v>
      </c>
      <c r="G1663">
        <v>2122</v>
      </c>
      <c r="H1663">
        <v>701</v>
      </c>
      <c r="I1663" s="8">
        <f t="shared" si="151"/>
        <v>0.33034872761545714</v>
      </c>
      <c r="J1663" s="17">
        <v>0.7</v>
      </c>
      <c r="K1663" s="12">
        <v>13.75</v>
      </c>
      <c r="L1663" s="2">
        <f t="shared" si="154"/>
        <v>784.39999999999986</v>
      </c>
      <c r="M1663" s="15">
        <f t="shared" si="152"/>
        <v>10785.499999999998</v>
      </c>
      <c r="N1663" t="str">
        <f t="shared" si="149"/>
        <v>PR</v>
      </c>
      <c r="O1663" t="str">
        <f t="shared" si="150"/>
        <v>Curitiba</v>
      </c>
    </row>
    <row r="1664" spans="1:15" x14ac:dyDescent="0.3">
      <c r="A1664" s="10">
        <v>45901</v>
      </c>
      <c r="B1664" s="9" t="s">
        <v>3</v>
      </c>
      <c r="C1664" t="s">
        <v>248</v>
      </c>
      <c r="D1664" s="9">
        <v>19753</v>
      </c>
      <c r="E1664" s="5" t="s">
        <v>483</v>
      </c>
      <c r="F1664" t="s">
        <v>265</v>
      </c>
      <c r="G1664">
        <v>2210</v>
      </c>
      <c r="H1664">
        <v>785</v>
      </c>
      <c r="I1664" s="8">
        <f t="shared" si="151"/>
        <v>0.35520361990950228</v>
      </c>
      <c r="J1664" s="17">
        <v>0.7</v>
      </c>
      <c r="K1664" s="12">
        <v>13.75</v>
      </c>
      <c r="L1664" s="2">
        <f t="shared" si="154"/>
        <v>762</v>
      </c>
      <c r="M1664" s="15">
        <f t="shared" si="152"/>
        <v>10477.5</v>
      </c>
      <c r="N1664" t="str">
        <f t="shared" si="149"/>
        <v>SP</v>
      </c>
      <c r="O1664" t="str">
        <f t="shared" si="150"/>
        <v>São Paulo</v>
      </c>
    </row>
    <row r="1665" spans="1:15" x14ac:dyDescent="0.3">
      <c r="A1665" s="10">
        <v>45901</v>
      </c>
      <c r="B1665" s="9" t="s">
        <v>7</v>
      </c>
      <c r="C1665" t="s">
        <v>99</v>
      </c>
      <c r="D1665" s="9">
        <v>19754</v>
      </c>
      <c r="E1665" s="5" t="s">
        <v>484</v>
      </c>
      <c r="F1665" t="s">
        <v>101</v>
      </c>
      <c r="G1665">
        <v>2859</v>
      </c>
      <c r="H1665">
        <v>1134</v>
      </c>
      <c r="I1665" s="8">
        <f t="shared" si="151"/>
        <v>0.39664218258132217</v>
      </c>
      <c r="J1665" s="17">
        <v>0.7</v>
      </c>
      <c r="K1665" s="12">
        <v>13.75</v>
      </c>
      <c r="L1665" s="2">
        <f t="shared" si="154"/>
        <v>867.29999999999973</v>
      </c>
      <c r="M1665" s="15">
        <f t="shared" si="152"/>
        <v>11925.374999999996</v>
      </c>
      <c r="N1665" t="str">
        <f t="shared" si="149"/>
        <v>GO</v>
      </c>
      <c r="O1665" t="str">
        <f t="shared" si="150"/>
        <v>Goiânia</v>
      </c>
    </row>
    <row r="1666" spans="1:15" x14ac:dyDescent="0.3">
      <c r="A1666" s="10">
        <v>45901</v>
      </c>
      <c r="B1666" s="9" t="s">
        <v>195</v>
      </c>
      <c r="C1666" t="s">
        <v>196</v>
      </c>
      <c r="D1666" s="9">
        <v>19762</v>
      </c>
      <c r="E1666" s="5" t="s">
        <v>486</v>
      </c>
      <c r="F1666" t="s">
        <v>197</v>
      </c>
      <c r="G1666">
        <v>1357</v>
      </c>
      <c r="H1666">
        <v>671</v>
      </c>
      <c r="I1666" s="8">
        <f t="shared" si="151"/>
        <v>0.49447310243183495</v>
      </c>
      <c r="J1666" s="17">
        <v>0.7</v>
      </c>
      <c r="K1666" s="12">
        <v>13.75</v>
      </c>
      <c r="L1666" s="2">
        <f t="shared" si="154"/>
        <v>278.89999999999998</v>
      </c>
      <c r="M1666" s="15">
        <f t="shared" si="152"/>
        <v>3834.8749999999995</v>
      </c>
      <c r="N1666" t="str">
        <f t="shared" ref="N1666:N1729" si="155">B1666</f>
        <v>AC</v>
      </c>
      <c r="O1666" t="str">
        <f t="shared" ref="O1666:O1729" si="156">C1666</f>
        <v>Rio Branco</v>
      </c>
    </row>
    <row r="1667" spans="1:15" x14ac:dyDescent="0.3">
      <c r="A1667" s="10">
        <v>45901</v>
      </c>
      <c r="B1667" s="9" t="s">
        <v>15</v>
      </c>
      <c r="C1667" t="s">
        <v>345</v>
      </c>
      <c r="D1667" s="9">
        <v>19687</v>
      </c>
      <c r="E1667" s="5" t="s">
        <v>488</v>
      </c>
      <c r="F1667" t="s">
        <v>88</v>
      </c>
      <c r="G1667">
        <v>1575</v>
      </c>
      <c r="H1667">
        <v>1278</v>
      </c>
      <c r="I1667" s="8">
        <f t="shared" ref="I1667:I1730" si="157">H1667/G1667</f>
        <v>0.81142857142857139</v>
      </c>
      <c r="J1667" s="17">
        <v>0.7</v>
      </c>
      <c r="K1667" s="12">
        <v>13.75</v>
      </c>
      <c r="L1667" s="2">
        <f>G1667-H1667</f>
        <v>297</v>
      </c>
      <c r="M1667" s="15">
        <f t="shared" ref="M1667:M1730" si="158">L1667*K1667</f>
        <v>4083.75</v>
      </c>
      <c r="N1667" t="str">
        <f t="shared" si="155"/>
        <v>RJ</v>
      </c>
      <c r="O1667" t="str">
        <f t="shared" si="156"/>
        <v>Duque De Caxias</v>
      </c>
    </row>
    <row r="1668" spans="1:15" x14ac:dyDescent="0.3">
      <c r="A1668" s="10">
        <v>45901</v>
      </c>
      <c r="B1668" s="9" t="s">
        <v>40</v>
      </c>
      <c r="C1668" t="s">
        <v>41</v>
      </c>
      <c r="D1668" s="9">
        <v>19787</v>
      </c>
      <c r="E1668" s="5" t="s">
        <v>492</v>
      </c>
      <c r="F1668" t="s">
        <v>42</v>
      </c>
      <c r="G1668">
        <v>934</v>
      </c>
      <c r="H1668">
        <v>470</v>
      </c>
      <c r="I1668" s="8">
        <f t="shared" si="157"/>
        <v>0.50321199143468953</v>
      </c>
      <c r="J1668" s="17">
        <v>0.7</v>
      </c>
      <c r="K1668" s="12">
        <v>13.75</v>
      </c>
      <c r="L1668" s="2">
        <f t="shared" ref="L1668:L1699" si="159">H1668*J1668/I1668-H1668</f>
        <v>183.79999999999995</v>
      </c>
      <c r="M1668" s="15">
        <f t="shared" si="158"/>
        <v>2527.2499999999995</v>
      </c>
      <c r="N1668" t="str">
        <f t="shared" si="155"/>
        <v>RR</v>
      </c>
      <c r="O1668" t="str">
        <f t="shared" si="156"/>
        <v>Boa Vista</v>
      </c>
    </row>
    <row r="1669" spans="1:15" x14ac:dyDescent="0.3">
      <c r="A1669" s="10">
        <v>45901</v>
      </c>
      <c r="B1669" s="9" t="s">
        <v>71</v>
      </c>
      <c r="C1669" t="s">
        <v>175</v>
      </c>
      <c r="D1669" s="9">
        <v>19788</v>
      </c>
      <c r="E1669" s="5" t="s">
        <v>495</v>
      </c>
      <c r="F1669" t="s">
        <v>177</v>
      </c>
      <c r="G1669">
        <v>4469</v>
      </c>
      <c r="H1669">
        <v>1244</v>
      </c>
      <c r="I1669" s="8">
        <f t="shared" si="157"/>
        <v>0.27836204967554262</v>
      </c>
      <c r="J1669" s="17">
        <v>0.7</v>
      </c>
      <c r="K1669" s="12">
        <v>13.75</v>
      </c>
      <c r="L1669" s="2">
        <f t="shared" si="159"/>
        <v>1884.2999999999997</v>
      </c>
      <c r="M1669" s="15">
        <f t="shared" si="158"/>
        <v>25909.124999999996</v>
      </c>
      <c r="N1669" t="str">
        <f t="shared" si="155"/>
        <v>RS</v>
      </c>
      <c r="O1669" t="str">
        <f t="shared" si="156"/>
        <v>Porto Alegre</v>
      </c>
    </row>
    <row r="1670" spans="1:15" x14ac:dyDescent="0.3">
      <c r="A1670" s="10">
        <v>45901</v>
      </c>
      <c r="B1670" s="9" t="s">
        <v>21</v>
      </c>
      <c r="C1670" t="s">
        <v>228</v>
      </c>
      <c r="D1670" s="9">
        <v>19790</v>
      </c>
      <c r="E1670" s="5" t="s">
        <v>497</v>
      </c>
      <c r="F1670" t="s">
        <v>232</v>
      </c>
      <c r="G1670">
        <v>2826</v>
      </c>
      <c r="H1670">
        <v>1105</v>
      </c>
      <c r="I1670" s="8">
        <f t="shared" si="157"/>
        <v>0.39101203113941968</v>
      </c>
      <c r="J1670" s="17">
        <v>0.7</v>
      </c>
      <c r="K1670" s="12">
        <v>13.75</v>
      </c>
      <c r="L1670" s="2">
        <f t="shared" si="159"/>
        <v>873.2</v>
      </c>
      <c r="M1670" s="15">
        <f t="shared" si="158"/>
        <v>12006.5</v>
      </c>
      <c r="N1670" t="str">
        <f t="shared" si="155"/>
        <v>BA</v>
      </c>
      <c r="O1670" t="str">
        <f t="shared" si="156"/>
        <v>Salvador</v>
      </c>
    </row>
    <row r="1671" spans="1:15" x14ac:dyDescent="0.3">
      <c r="A1671" s="10">
        <v>45901</v>
      </c>
      <c r="B1671" s="9" t="s">
        <v>71</v>
      </c>
      <c r="C1671" t="s">
        <v>175</v>
      </c>
      <c r="D1671" s="9">
        <v>19842</v>
      </c>
      <c r="E1671" s="5" t="s">
        <v>498</v>
      </c>
      <c r="F1671" t="s">
        <v>178</v>
      </c>
      <c r="G1671">
        <v>3398</v>
      </c>
      <c r="H1671">
        <v>1047</v>
      </c>
      <c r="I1671" s="8">
        <f t="shared" si="157"/>
        <v>0.3081224249558564</v>
      </c>
      <c r="J1671" s="17">
        <v>0.7</v>
      </c>
      <c r="K1671" s="12">
        <v>13.75</v>
      </c>
      <c r="L1671" s="2">
        <f t="shared" si="159"/>
        <v>1331.6</v>
      </c>
      <c r="M1671" s="15">
        <f t="shared" si="158"/>
        <v>18309.5</v>
      </c>
      <c r="N1671" t="str">
        <f t="shared" si="155"/>
        <v>RS</v>
      </c>
      <c r="O1671" t="str">
        <f t="shared" si="156"/>
        <v>Porto Alegre</v>
      </c>
    </row>
    <row r="1672" spans="1:15" x14ac:dyDescent="0.3">
      <c r="A1672" s="10">
        <v>45901</v>
      </c>
      <c r="B1672" s="9" t="s">
        <v>59</v>
      </c>
      <c r="C1672" t="s">
        <v>289</v>
      </c>
      <c r="D1672" s="9">
        <v>19581</v>
      </c>
      <c r="E1672" s="5" t="s">
        <v>501</v>
      </c>
      <c r="F1672" t="s">
        <v>290</v>
      </c>
      <c r="G1672">
        <v>2512</v>
      </c>
      <c r="H1672">
        <v>839</v>
      </c>
      <c r="I1672" s="8">
        <f t="shared" si="157"/>
        <v>0.33399681528662423</v>
      </c>
      <c r="J1672" s="17">
        <v>0.7</v>
      </c>
      <c r="K1672" s="12">
        <v>13.75</v>
      </c>
      <c r="L1672" s="2">
        <f t="shared" si="159"/>
        <v>919.39999999999964</v>
      </c>
      <c r="M1672" s="15">
        <f t="shared" si="158"/>
        <v>12641.749999999995</v>
      </c>
      <c r="N1672" t="str">
        <f t="shared" si="155"/>
        <v>ES</v>
      </c>
      <c r="O1672" t="str">
        <f t="shared" si="156"/>
        <v>Vila Velha</v>
      </c>
    </row>
    <row r="1673" spans="1:15" x14ac:dyDescent="0.3">
      <c r="A1673" s="10">
        <v>45901</v>
      </c>
      <c r="B1673" s="9" t="s">
        <v>59</v>
      </c>
      <c r="C1673" t="s">
        <v>289</v>
      </c>
      <c r="D1673" s="9">
        <v>19876</v>
      </c>
      <c r="E1673" s="5" t="s">
        <v>502</v>
      </c>
      <c r="F1673" t="s">
        <v>291</v>
      </c>
      <c r="G1673">
        <v>2630</v>
      </c>
      <c r="H1673">
        <v>901</v>
      </c>
      <c r="I1673" s="8">
        <f t="shared" si="157"/>
        <v>0.34258555133079849</v>
      </c>
      <c r="J1673" s="17">
        <v>0.7</v>
      </c>
      <c r="K1673" s="12">
        <v>13.75</v>
      </c>
      <c r="L1673" s="2">
        <f t="shared" si="159"/>
        <v>939.99999999999977</v>
      </c>
      <c r="M1673" s="15">
        <f t="shared" si="158"/>
        <v>12924.999999999996</v>
      </c>
      <c r="N1673" t="str">
        <f t="shared" si="155"/>
        <v>ES</v>
      </c>
      <c r="O1673" t="str">
        <f t="shared" si="156"/>
        <v>Vila Velha</v>
      </c>
    </row>
    <row r="1674" spans="1:15" x14ac:dyDescent="0.3">
      <c r="A1674" s="10">
        <v>45901</v>
      </c>
      <c r="B1674" s="9" t="s">
        <v>71</v>
      </c>
      <c r="C1674" t="s">
        <v>175</v>
      </c>
      <c r="D1674" s="9">
        <v>19874</v>
      </c>
      <c r="E1674" s="5" t="s">
        <v>504</v>
      </c>
      <c r="F1674" t="s">
        <v>179</v>
      </c>
      <c r="G1674">
        <v>3617</v>
      </c>
      <c r="H1674">
        <v>1180</v>
      </c>
      <c r="I1674" s="8">
        <f t="shared" si="157"/>
        <v>0.32623721316007742</v>
      </c>
      <c r="J1674" s="17">
        <v>0.7</v>
      </c>
      <c r="K1674" s="12">
        <v>13.75</v>
      </c>
      <c r="L1674" s="2">
        <f t="shared" si="159"/>
        <v>1351.9</v>
      </c>
      <c r="M1674" s="15">
        <f t="shared" si="158"/>
        <v>18588.625</v>
      </c>
      <c r="N1674" t="str">
        <f t="shared" si="155"/>
        <v>RS</v>
      </c>
      <c r="O1674" t="str">
        <f t="shared" si="156"/>
        <v>Porto Alegre</v>
      </c>
    </row>
    <row r="1675" spans="1:15" x14ac:dyDescent="0.3">
      <c r="A1675" s="10">
        <v>45901</v>
      </c>
      <c r="B1675" s="9" t="s">
        <v>3</v>
      </c>
      <c r="C1675" t="s">
        <v>165</v>
      </c>
      <c r="D1675" s="9">
        <v>19761</v>
      </c>
      <c r="E1675" s="5" t="s">
        <v>505</v>
      </c>
      <c r="F1675" t="s">
        <v>166</v>
      </c>
      <c r="G1675">
        <v>1393</v>
      </c>
      <c r="H1675">
        <v>557</v>
      </c>
      <c r="I1675" s="8">
        <f t="shared" si="157"/>
        <v>0.39985642498205315</v>
      </c>
      <c r="J1675" s="17">
        <v>0.7</v>
      </c>
      <c r="K1675" s="12">
        <v>13.75</v>
      </c>
      <c r="L1675" s="2">
        <f t="shared" si="159"/>
        <v>418.09999999999991</v>
      </c>
      <c r="M1675" s="15">
        <f t="shared" si="158"/>
        <v>5748.8749999999991</v>
      </c>
      <c r="N1675" t="str">
        <f t="shared" si="155"/>
        <v>SP</v>
      </c>
      <c r="O1675" t="str">
        <f t="shared" si="156"/>
        <v>Paulínia</v>
      </c>
    </row>
    <row r="1676" spans="1:15" x14ac:dyDescent="0.3">
      <c r="A1676" s="10">
        <v>45901</v>
      </c>
      <c r="B1676" s="9" t="s">
        <v>46</v>
      </c>
      <c r="C1676" t="s">
        <v>47</v>
      </c>
      <c r="D1676" s="9">
        <v>19881</v>
      </c>
      <c r="E1676" s="5" t="s">
        <v>507</v>
      </c>
      <c r="F1676" t="s">
        <v>54</v>
      </c>
      <c r="G1676">
        <v>3438</v>
      </c>
      <c r="H1676">
        <v>1247</v>
      </c>
      <c r="I1676" s="8">
        <f t="shared" si="157"/>
        <v>0.36271087841768468</v>
      </c>
      <c r="J1676" s="17">
        <v>0.7</v>
      </c>
      <c r="K1676" s="12">
        <v>13.75</v>
      </c>
      <c r="L1676" s="2">
        <f t="shared" si="159"/>
        <v>1159.5999999999999</v>
      </c>
      <c r="M1676" s="15">
        <f t="shared" si="158"/>
        <v>15944.499999999998</v>
      </c>
      <c r="N1676" t="str">
        <f t="shared" si="155"/>
        <v>DF</v>
      </c>
      <c r="O1676" t="str">
        <f t="shared" si="156"/>
        <v>Brasília</v>
      </c>
    </row>
    <row r="1677" spans="1:15" x14ac:dyDescent="0.3">
      <c r="A1677" s="10">
        <v>45901</v>
      </c>
      <c r="B1677" s="9" t="s">
        <v>3</v>
      </c>
      <c r="C1677" t="s">
        <v>64</v>
      </c>
      <c r="D1677" s="9">
        <v>19696</v>
      </c>
      <c r="E1677" s="5" t="s">
        <v>508</v>
      </c>
      <c r="F1677" t="s">
        <v>65</v>
      </c>
      <c r="G1677">
        <v>1401</v>
      </c>
      <c r="H1677">
        <v>507</v>
      </c>
      <c r="I1677" s="8">
        <f t="shared" si="157"/>
        <v>0.36188436830835119</v>
      </c>
      <c r="J1677" s="17">
        <v>0.7</v>
      </c>
      <c r="K1677" s="12">
        <v>13.75</v>
      </c>
      <c r="L1677" s="2">
        <f t="shared" si="159"/>
        <v>473.69999999999993</v>
      </c>
      <c r="M1677" s="15">
        <f t="shared" si="158"/>
        <v>6513.3749999999991</v>
      </c>
      <c r="N1677" t="str">
        <f t="shared" si="155"/>
        <v>SP</v>
      </c>
      <c r="O1677" t="str">
        <f t="shared" si="156"/>
        <v>Campinas</v>
      </c>
    </row>
    <row r="1678" spans="1:15" x14ac:dyDescent="0.3">
      <c r="A1678" s="10">
        <v>45901</v>
      </c>
      <c r="B1678" s="9" t="s">
        <v>71</v>
      </c>
      <c r="C1678" t="s">
        <v>72</v>
      </c>
      <c r="D1678" s="9">
        <v>19883</v>
      </c>
      <c r="E1678" s="5" t="s">
        <v>509</v>
      </c>
      <c r="F1678" t="s">
        <v>73</v>
      </c>
      <c r="G1678">
        <v>1871</v>
      </c>
      <c r="H1678">
        <v>618</v>
      </c>
      <c r="I1678" s="8">
        <f t="shared" si="157"/>
        <v>0.33030464991982894</v>
      </c>
      <c r="J1678" s="17">
        <v>0.7</v>
      </c>
      <c r="K1678" s="12">
        <v>13.75</v>
      </c>
      <c r="L1678" s="2">
        <f t="shared" si="159"/>
        <v>691.7</v>
      </c>
      <c r="M1678" s="15">
        <f t="shared" si="158"/>
        <v>9510.875</v>
      </c>
      <c r="N1678" t="str">
        <f t="shared" si="155"/>
        <v>RS</v>
      </c>
      <c r="O1678" t="str">
        <f t="shared" si="156"/>
        <v>Canoas</v>
      </c>
    </row>
    <row r="1679" spans="1:15" x14ac:dyDescent="0.3">
      <c r="A1679" s="10">
        <v>45901</v>
      </c>
      <c r="B1679" s="9" t="s">
        <v>15</v>
      </c>
      <c r="C1679" t="s">
        <v>358</v>
      </c>
      <c r="D1679" s="9">
        <v>19514</v>
      </c>
      <c r="E1679" s="5" t="s">
        <v>510</v>
      </c>
      <c r="F1679" t="s">
        <v>221</v>
      </c>
      <c r="G1679">
        <v>2595</v>
      </c>
      <c r="H1679">
        <v>991</v>
      </c>
      <c r="I1679" s="8">
        <f t="shared" si="157"/>
        <v>0.38188824662813103</v>
      </c>
      <c r="J1679" s="17">
        <v>0.7</v>
      </c>
      <c r="K1679" s="12">
        <v>13.75</v>
      </c>
      <c r="L1679" s="2">
        <f t="shared" si="159"/>
        <v>825.49999999999977</v>
      </c>
      <c r="M1679" s="15">
        <f t="shared" si="158"/>
        <v>11350.624999999996</v>
      </c>
      <c r="N1679" t="str">
        <f t="shared" si="155"/>
        <v>RJ</v>
      </c>
      <c r="O1679" t="str">
        <f t="shared" si="156"/>
        <v>Rio De Janeiro</v>
      </c>
    </row>
    <row r="1680" spans="1:15" x14ac:dyDescent="0.3">
      <c r="A1680" s="10">
        <v>45901</v>
      </c>
      <c r="B1680" s="9" t="s">
        <v>15</v>
      </c>
      <c r="C1680" t="s">
        <v>358</v>
      </c>
      <c r="D1680" s="9">
        <v>19600</v>
      </c>
      <c r="E1680" s="5" t="s">
        <v>511</v>
      </c>
      <c r="F1680" t="s">
        <v>222</v>
      </c>
      <c r="G1680">
        <v>2299</v>
      </c>
      <c r="H1680">
        <v>758</v>
      </c>
      <c r="I1680" s="8">
        <f t="shared" si="157"/>
        <v>0.3297085689430187</v>
      </c>
      <c r="J1680" s="17">
        <v>0.7</v>
      </c>
      <c r="K1680" s="12">
        <v>13.75</v>
      </c>
      <c r="L1680" s="2">
        <f t="shared" si="159"/>
        <v>851.30000000000018</v>
      </c>
      <c r="M1680" s="15">
        <f t="shared" si="158"/>
        <v>11705.375000000002</v>
      </c>
      <c r="N1680" t="str">
        <f t="shared" si="155"/>
        <v>RJ</v>
      </c>
      <c r="O1680" t="str">
        <f t="shared" si="156"/>
        <v>Rio De Janeiro</v>
      </c>
    </row>
    <row r="1681" spans="1:15" x14ac:dyDescent="0.3">
      <c r="A1681" s="10">
        <v>45901</v>
      </c>
      <c r="B1681" s="9" t="s">
        <v>78</v>
      </c>
      <c r="C1681" t="s">
        <v>277</v>
      </c>
      <c r="D1681" s="9">
        <v>19896</v>
      </c>
      <c r="E1681" s="5" t="s">
        <v>512</v>
      </c>
      <c r="F1681" t="s">
        <v>278</v>
      </c>
      <c r="G1681">
        <v>1513</v>
      </c>
      <c r="H1681">
        <v>631</v>
      </c>
      <c r="I1681" s="8">
        <f t="shared" si="157"/>
        <v>0.41705221414408461</v>
      </c>
      <c r="J1681" s="17">
        <v>0.7</v>
      </c>
      <c r="K1681" s="12">
        <v>13.75</v>
      </c>
      <c r="L1681" s="2">
        <f t="shared" si="159"/>
        <v>428.09999999999991</v>
      </c>
      <c r="M1681" s="15">
        <f t="shared" si="158"/>
        <v>5886.3749999999991</v>
      </c>
      <c r="N1681" t="str">
        <f t="shared" si="155"/>
        <v>MT</v>
      </c>
      <c r="O1681" t="str">
        <f t="shared" si="156"/>
        <v>Sorriso</v>
      </c>
    </row>
    <row r="1682" spans="1:15" x14ac:dyDescent="0.3">
      <c r="A1682" s="10">
        <v>45901</v>
      </c>
      <c r="B1682" s="9" t="s">
        <v>14</v>
      </c>
      <c r="C1682" t="s">
        <v>287</v>
      </c>
      <c r="D1682" s="9">
        <v>19905</v>
      </c>
      <c r="E1682" s="5" t="s">
        <v>513</v>
      </c>
      <c r="F1682" t="s">
        <v>288</v>
      </c>
      <c r="G1682">
        <v>1030</v>
      </c>
      <c r="H1682">
        <v>386</v>
      </c>
      <c r="I1682" s="8">
        <f t="shared" si="157"/>
        <v>0.37475728155339805</v>
      </c>
      <c r="J1682" s="17">
        <v>0.7</v>
      </c>
      <c r="K1682" s="12">
        <v>13.75</v>
      </c>
      <c r="L1682" s="2">
        <f t="shared" si="159"/>
        <v>335</v>
      </c>
      <c r="M1682" s="15">
        <f t="shared" si="158"/>
        <v>4606.25</v>
      </c>
      <c r="N1682" t="str">
        <f t="shared" si="155"/>
        <v>MG</v>
      </c>
      <c r="O1682" t="str">
        <f t="shared" si="156"/>
        <v>Varginha</v>
      </c>
    </row>
    <row r="1683" spans="1:15" x14ac:dyDescent="0.3">
      <c r="A1683" s="10">
        <v>45901</v>
      </c>
      <c r="B1683" s="9" t="s">
        <v>3</v>
      </c>
      <c r="C1683" t="s">
        <v>12</v>
      </c>
      <c r="D1683" s="9">
        <v>19901</v>
      </c>
      <c r="E1683" s="5" t="s">
        <v>514</v>
      </c>
      <c r="F1683" t="s">
        <v>13</v>
      </c>
      <c r="G1683">
        <v>978</v>
      </c>
      <c r="H1683">
        <v>351</v>
      </c>
      <c r="I1683" s="8">
        <f t="shared" si="157"/>
        <v>0.35889570552147237</v>
      </c>
      <c r="J1683" s="17">
        <v>0.7</v>
      </c>
      <c r="K1683" s="12">
        <v>13.75</v>
      </c>
      <c r="L1683" s="2">
        <f t="shared" si="159"/>
        <v>333.6</v>
      </c>
      <c r="M1683" s="15">
        <f t="shared" si="158"/>
        <v>4587</v>
      </c>
      <c r="N1683" t="str">
        <f t="shared" si="155"/>
        <v>SP</v>
      </c>
      <c r="O1683" t="str">
        <f t="shared" si="156"/>
        <v>Araras</v>
      </c>
    </row>
    <row r="1684" spans="1:15" x14ac:dyDescent="0.3">
      <c r="A1684" s="10">
        <v>45901</v>
      </c>
      <c r="B1684" s="9" t="s">
        <v>14</v>
      </c>
      <c r="C1684" t="s">
        <v>137</v>
      </c>
      <c r="D1684" s="9">
        <v>19796</v>
      </c>
      <c r="E1684" s="5" t="s">
        <v>516</v>
      </c>
      <c r="F1684" t="s">
        <v>139</v>
      </c>
      <c r="G1684">
        <v>2983</v>
      </c>
      <c r="H1684">
        <v>1504</v>
      </c>
      <c r="I1684" s="8">
        <f t="shared" si="157"/>
        <v>0.50419041233657391</v>
      </c>
      <c r="J1684" s="17">
        <v>0.7</v>
      </c>
      <c r="K1684" s="12">
        <v>13.75</v>
      </c>
      <c r="L1684" s="2">
        <f t="shared" si="159"/>
        <v>584.09999999999991</v>
      </c>
      <c r="M1684" s="15">
        <f t="shared" si="158"/>
        <v>8031.3749999999991</v>
      </c>
      <c r="N1684" t="str">
        <f t="shared" si="155"/>
        <v>MG</v>
      </c>
      <c r="O1684" t="str">
        <f t="shared" si="156"/>
        <v>Montes Claros</v>
      </c>
    </row>
    <row r="1685" spans="1:15" x14ac:dyDescent="0.3">
      <c r="A1685" s="10">
        <v>45901</v>
      </c>
      <c r="B1685" s="9" t="s">
        <v>15</v>
      </c>
      <c r="C1685" t="s">
        <v>358</v>
      </c>
      <c r="D1685" s="9">
        <v>19528</v>
      </c>
      <c r="E1685" s="5" t="s">
        <v>517</v>
      </c>
      <c r="F1685" t="s">
        <v>223</v>
      </c>
      <c r="G1685">
        <v>2673</v>
      </c>
      <c r="H1685">
        <v>918</v>
      </c>
      <c r="I1685" s="8">
        <f t="shared" si="157"/>
        <v>0.34343434343434343</v>
      </c>
      <c r="J1685" s="17">
        <v>0.7</v>
      </c>
      <c r="K1685" s="12">
        <v>13.75</v>
      </c>
      <c r="L1685" s="2">
        <f t="shared" si="159"/>
        <v>953.09999999999968</v>
      </c>
      <c r="M1685" s="15">
        <f t="shared" si="158"/>
        <v>13105.124999999996</v>
      </c>
      <c r="N1685" t="str">
        <f t="shared" si="155"/>
        <v>RJ</v>
      </c>
      <c r="O1685" t="str">
        <f t="shared" si="156"/>
        <v>Rio De Janeiro</v>
      </c>
    </row>
    <row r="1686" spans="1:15" x14ac:dyDescent="0.3">
      <c r="A1686" s="10">
        <v>45901</v>
      </c>
      <c r="B1686" s="9" t="s">
        <v>6</v>
      </c>
      <c r="C1686" t="s">
        <v>158</v>
      </c>
      <c r="D1686" s="9">
        <v>19914</v>
      </c>
      <c r="E1686" s="5" t="s">
        <v>519</v>
      </c>
      <c r="F1686" t="s">
        <v>159</v>
      </c>
      <c r="G1686">
        <v>2485</v>
      </c>
      <c r="H1686">
        <v>1471</v>
      </c>
      <c r="I1686" s="8">
        <f t="shared" si="157"/>
        <v>0.59195171026156945</v>
      </c>
      <c r="J1686" s="17">
        <v>0.7</v>
      </c>
      <c r="K1686" s="12">
        <v>13.75</v>
      </c>
      <c r="L1686" s="2">
        <f t="shared" si="159"/>
        <v>268.5</v>
      </c>
      <c r="M1686" s="15">
        <f t="shared" si="158"/>
        <v>3691.875</v>
      </c>
      <c r="N1686" t="str">
        <f t="shared" si="155"/>
        <v>PA</v>
      </c>
      <c r="O1686" t="str">
        <f t="shared" si="156"/>
        <v>Parauapebas</v>
      </c>
    </row>
    <row r="1687" spans="1:15" x14ac:dyDescent="0.3">
      <c r="A1687" s="10">
        <v>45901</v>
      </c>
      <c r="B1687" s="9" t="s">
        <v>155</v>
      </c>
      <c r="C1687" t="s">
        <v>156</v>
      </c>
      <c r="D1687" s="9">
        <v>19916</v>
      </c>
      <c r="E1687" s="5" t="s">
        <v>520</v>
      </c>
      <c r="F1687" t="s">
        <v>157</v>
      </c>
      <c r="G1687">
        <v>2084</v>
      </c>
      <c r="H1687">
        <v>939</v>
      </c>
      <c r="I1687" s="8">
        <f t="shared" si="157"/>
        <v>0.45057581573896355</v>
      </c>
      <c r="J1687" s="17">
        <v>0.7</v>
      </c>
      <c r="K1687" s="12">
        <v>13.75</v>
      </c>
      <c r="L1687" s="2">
        <f t="shared" si="159"/>
        <v>519.79999999999995</v>
      </c>
      <c r="M1687" s="15">
        <f t="shared" si="158"/>
        <v>7147.2499999999991</v>
      </c>
      <c r="N1687" t="str">
        <f t="shared" si="155"/>
        <v>TO</v>
      </c>
      <c r="O1687" t="str">
        <f t="shared" si="156"/>
        <v>Palmas</v>
      </c>
    </row>
    <row r="1688" spans="1:15" x14ac:dyDescent="0.3">
      <c r="A1688" s="10">
        <v>45901</v>
      </c>
      <c r="B1688" s="9" t="s">
        <v>74</v>
      </c>
      <c r="C1688" t="s">
        <v>97</v>
      </c>
      <c r="D1688" s="9">
        <v>19911</v>
      </c>
      <c r="E1688" s="5" t="s">
        <v>522</v>
      </c>
      <c r="F1688" t="s">
        <v>98</v>
      </c>
      <c r="G1688">
        <v>1772</v>
      </c>
      <c r="H1688">
        <v>864</v>
      </c>
      <c r="I1688" s="8">
        <f t="shared" si="157"/>
        <v>0.48758465011286684</v>
      </c>
      <c r="J1688" s="17">
        <v>0.7</v>
      </c>
      <c r="K1688" s="12">
        <v>13.75</v>
      </c>
      <c r="L1688" s="2">
        <f t="shared" si="159"/>
        <v>376.39999999999986</v>
      </c>
      <c r="M1688" s="15">
        <f t="shared" si="158"/>
        <v>5175.4999999999982</v>
      </c>
      <c r="N1688" t="str">
        <f t="shared" si="155"/>
        <v>PE</v>
      </c>
      <c r="O1688" t="str">
        <f t="shared" si="156"/>
        <v>Garanhuns</v>
      </c>
    </row>
    <row r="1689" spans="1:15" x14ac:dyDescent="0.3">
      <c r="A1689" s="10">
        <v>45901</v>
      </c>
      <c r="B1689" s="9" t="s">
        <v>21</v>
      </c>
      <c r="C1689" t="s">
        <v>121</v>
      </c>
      <c r="D1689" s="9">
        <v>19910</v>
      </c>
      <c r="E1689" s="5" t="s">
        <v>524</v>
      </c>
      <c r="F1689" t="s">
        <v>122</v>
      </c>
      <c r="G1689">
        <v>1064</v>
      </c>
      <c r="H1689">
        <v>530</v>
      </c>
      <c r="I1689" s="8">
        <f t="shared" si="157"/>
        <v>0.49812030075187969</v>
      </c>
      <c r="J1689" s="17">
        <v>0.7</v>
      </c>
      <c r="K1689" s="12">
        <v>13.75</v>
      </c>
      <c r="L1689" s="2">
        <f t="shared" si="159"/>
        <v>214.80000000000007</v>
      </c>
      <c r="M1689" s="15">
        <f t="shared" si="158"/>
        <v>2953.5000000000009</v>
      </c>
      <c r="N1689" t="str">
        <f t="shared" si="155"/>
        <v>BA</v>
      </c>
      <c r="O1689" t="str">
        <f t="shared" si="156"/>
        <v>Luís Eduardo Magalhães</v>
      </c>
    </row>
    <row r="1690" spans="1:15" x14ac:dyDescent="0.3">
      <c r="A1690" s="10">
        <v>45901</v>
      </c>
      <c r="B1690" s="9" t="s">
        <v>82</v>
      </c>
      <c r="C1690" t="s">
        <v>173</v>
      </c>
      <c r="D1690" s="9">
        <v>19926</v>
      </c>
      <c r="E1690" s="5" t="s">
        <v>525</v>
      </c>
      <c r="F1690" t="s">
        <v>174</v>
      </c>
      <c r="G1690">
        <v>1341</v>
      </c>
      <c r="H1690">
        <v>470</v>
      </c>
      <c r="I1690" s="8">
        <f t="shared" si="157"/>
        <v>0.35048471290082028</v>
      </c>
      <c r="J1690" s="17">
        <v>0.7</v>
      </c>
      <c r="K1690" s="12">
        <v>13.75</v>
      </c>
      <c r="L1690" s="2">
        <f t="shared" si="159"/>
        <v>468.70000000000005</v>
      </c>
      <c r="M1690" s="15">
        <f t="shared" si="158"/>
        <v>6444.6250000000009</v>
      </c>
      <c r="N1690" t="str">
        <f t="shared" si="155"/>
        <v>PR</v>
      </c>
      <c r="O1690" t="str">
        <f t="shared" si="156"/>
        <v>Ponta Grossa</v>
      </c>
    </row>
    <row r="1691" spans="1:15" x14ac:dyDescent="0.3">
      <c r="A1691" s="10">
        <v>45901</v>
      </c>
      <c r="B1691" s="9" t="s">
        <v>15</v>
      </c>
      <c r="C1691" t="s">
        <v>358</v>
      </c>
      <c r="D1691" s="9">
        <v>19523</v>
      </c>
      <c r="E1691" s="5" t="s">
        <v>526</v>
      </c>
      <c r="F1691" t="s">
        <v>224</v>
      </c>
      <c r="G1691">
        <v>2993</v>
      </c>
      <c r="H1691">
        <v>798</v>
      </c>
      <c r="I1691" s="8">
        <f t="shared" si="157"/>
        <v>0.26662211827597726</v>
      </c>
      <c r="J1691" s="17">
        <v>0.7</v>
      </c>
      <c r="K1691" s="12">
        <v>13.75</v>
      </c>
      <c r="L1691" s="2">
        <f t="shared" si="159"/>
        <v>1297.0999999999999</v>
      </c>
      <c r="M1691" s="15">
        <f t="shared" si="158"/>
        <v>17835.125</v>
      </c>
      <c r="N1691" t="str">
        <f t="shared" si="155"/>
        <v>RJ</v>
      </c>
      <c r="O1691" t="str">
        <f t="shared" si="156"/>
        <v>Rio De Janeiro</v>
      </c>
    </row>
    <row r="1692" spans="1:15" x14ac:dyDescent="0.3">
      <c r="A1692" s="10">
        <v>45901</v>
      </c>
      <c r="B1692" s="9" t="s">
        <v>15</v>
      </c>
      <c r="C1692" t="s">
        <v>358</v>
      </c>
      <c r="D1692" s="9">
        <v>19652</v>
      </c>
      <c r="E1692" s="5" t="s">
        <v>527</v>
      </c>
      <c r="F1692" t="s">
        <v>225</v>
      </c>
      <c r="G1692">
        <v>4395</v>
      </c>
      <c r="H1692">
        <v>1329</v>
      </c>
      <c r="I1692" s="8">
        <f t="shared" si="157"/>
        <v>0.3023890784982935</v>
      </c>
      <c r="J1692" s="17">
        <v>0.7</v>
      </c>
      <c r="K1692" s="12">
        <v>13.75</v>
      </c>
      <c r="L1692" s="2">
        <f t="shared" si="159"/>
        <v>1747.5</v>
      </c>
      <c r="M1692" s="15">
        <f t="shared" si="158"/>
        <v>24028.125</v>
      </c>
      <c r="N1692" t="str">
        <f t="shared" si="155"/>
        <v>RJ</v>
      </c>
      <c r="O1692" t="str">
        <f t="shared" si="156"/>
        <v>Rio De Janeiro</v>
      </c>
    </row>
    <row r="1693" spans="1:15" x14ac:dyDescent="0.3">
      <c r="A1693" s="10">
        <v>45901</v>
      </c>
      <c r="B1693" s="9" t="s">
        <v>15</v>
      </c>
      <c r="C1693" t="s">
        <v>358</v>
      </c>
      <c r="D1693" s="9">
        <v>19529</v>
      </c>
      <c r="E1693" s="5" t="s">
        <v>528</v>
      </c>
      <c r="F1693" t="s">
        <v>226</v>
      </c>
      <c r="G1693">
        <v>4686</v>
      </c>
      <c r="H1693">
        <v>1391</v>
      </c>
      <c r="I1693" s="8">
        <f t="shared" si="157"/>
        <v>0.29684165599658557</v>
      </c>
      <c r="J1693" s="17">
        <v>0.7</v>
      </c>
      <c r="K1693" s="12">
        <v>13.75</v>
      </c>
      <c r="L1693" s="2">
        <f t="shared" si="159"/>
        <v>1889.1999999999998</v>
      </c>
      <c r="M1693" s="15">
        <f t="shared" si="158"/>
        <v>25976.499999999996</v>
      </c>
      <c r="N1693" t="str">
        <f t="shared" si="155"/>
        <v>RJ</v>
      </c>
      <c r="O1693" t="str">
        <f t="shared" si="156"/>
        <v>Rio De Janeiro</v>
      </c>
    </row>
    <row r="1694" spans="1:15" x14ac:dyDescent="0.3">
      <c r="A1694" s="10">
        <v>45901</v>
      </c>
      <c r="B1694" s="9" t="s">
        <v>3</v>
      </c>
      <c r="C1694" t="s">
        <v>248</v>
      </c>
      <c r="D1694" s="9">
        <v>19889</v>
      </c>
      <c r="E1694" s="5" t="s">
        <v>529</v>
      </c>
      <c r="F1694" t="s">
        <v>266</v>
      </c>
      <c r="G1694">
        <v>1887</v>
      </c>
      <c r="H1694">
        <v>586</v>
      </c>
      <c r="I1694" s="8">
        <f t="shared" si="157"/>
        <v>0.31054583995760465</v>
      </c>
      <c r="J1694" s="17">
        <v>0.7</v>
      </c>
      <c r="K1694" s="12">
        <v>13.75</v>
      </c>
      <c r="L1694" s="2">
        <f t="shared" si="159"/>
        <v>734.90000000000009</v>
      </c>
      <c r="M1694" s="15">
        <f t="shared" si="158"/>
        <v>10104.875000000002</v>
      </c>
      <c r="N1694" t="str">
        <f t="shared" si="155"/>
        <v>SP</v>
      </c>
      <c r="O1694" t="str">
        <f t="shared" si="156"/>
        <v>São Paulo</v>
      </c>
    </row>
    <row r="1695" spans="1:15" x14ac:dyDescent="0.3">
      <c r="A1695" s="10">
        <v>45901</v>
      </c>
      <c r="B1695" s="9" t="s">
        <v>3</v>
      </c>
      <c r="C1695" t="s">
        <v>248</v>
      </c>
      <c r="D1695" s="9">
        <v>19888</v>
      </c>
      <c r="E1695" s="5" t="s">
        <v>530</v>
      </c>
      <c r="F1695" t="s">
        <v>267</v>
      </c>
      <c r="G1695">
        <v>1480</v>
      </c>
      <c r="H1695">
        <v>474</v>
      </c>
      <c r="I1695" s="8">
        <f t="shared" si="157"/>
        <v>0.32027027027027027</v>
      </c>
      <c r="J1695" s="17">
        <v>0.7</v>
      </c>
      <c r="K1695" s="12">
        <v>13.75</v>
      </c>
      <c r="L1695" s="2">
        <f t="shared" si="159"/>
        <v>561.99999999999977</v>
      </c>
      <c r="M1695" s="15">
        <f t="shared" si="158"/>
        <v>7727.4999999999973</v>
      </c>
      <c r="N1695" t="str">
        <f t="shared" si="155"/>
        <v>SP</v>
      </c>
      <c r="O1695" t="str">
        <f t="shared" si="156"/>
        <v>São Paulo</v>
      </c>
    </row>
    <row r="1696" spans="1:15" x14ac:dyDescent="0.3">
      <c r="A1696" s="10">
        <v>45901</v>
      </c>
      <c r="B1696" s="9" t="s">
        <v>82</v>
      </c>
      <c r="C1696" t="s">
        <v>106</v>
      </c>
      <c r="D1696" s="9">
        <v>19927</v>
      </c>
      <c r="E1696" s="5" t="s">
        <v>531</v>
      </c>
      <c r="F1696" t="s">
        <v>107</v>
      </c>
      <c r="G1696">
        <v>728</v>
      </c>
      <c r="H1696">
        <v>214</v>
      </c>
      <c r="I1696" s="8">
        <f t="shared" si="157"/>
        <v>0.29395604395604397</v>
      </c>
      <c r="J1696" s="17">
        <v>0.7</v>
      </c>
      <c r="K1696" s="12">
        <v>13.75</v>
      </c>
      <c r="L1696" s="2">
        <f t="shared" si="159"/>
        <v>295.59999999999991</v>
      </c>
      <c r="M1696" s="15">
        <f t="shared" si="158"/>
        <v>4064.4999999999986</v>
      </c>
      <c r="N1696" t="str">
        <f t="shared" si="155"/>
        <v>PR</v>
      </c>
      <c r="O1696" t="str">
        <f t="shared" si="156"/>
        <v>Guarapuava</v>
      </c>
    </row>
    <row r="1697" spans="1:15" x14ac:dyDescent="0.3">
      <c r="A1697" s="10">
        <v>45901</v>
      </c>
      <c r="B1697" s="9" t="s">
        <v>3</v>
      </c>
      <c r="C1697" t="s">
        <v>44</v>
      </c>
      <c r="D1697" s="9">
        <v>19930</v>
      </c>
      <c r="E1697" s="5" t="s">
        <v>533</v>
      </c>
      <c r="F1697" t="s">
        <v>45</v>
      </c>
      <c r="G1697">
        <v>1934</v>
      </c>
      <c r="H1697">
        <v>965</v>
      </c>
      <c r="I1697" s="8">
        <f t="shared" si="157"/>
        <v>0.49896587383660806</v>
      </c>
      <c r="J1697" s="17">
        <v>0.7</v>
      </c>
      <c r="K1697" s="12">
        <v>13.75</v>
      </c>
      <c r="L1697" s="2">
        <f t="shared" si="159"/>
        <v>388.79999999999995</v>
      </c>
      <c r="M1697" s="15">
        <f t="shared" si="158"/>
        <v>5345.9999999999991</v>
      </c>
      <c r="N1697" t="str">
        <f t="shared" si="155"/>
        <v>SP</v>
      </c>
      <c r="O1697" t="str">
        <f t="shared" si="156"/>
        <v>Botucatu</v>
      </c>
    </row>
    <row r="1698" spans="1:15" x14ac:dyDescent="0.3">
      <c r="A1698" s="10">
        <v>45901</v>
      </c>
      <c r="B1698" s="9" t="s">
        <v>3</v>
      </c>
      <c r="C1698" t="s">
        <v>353</v>
      </c>
      <c r="D1698" s="9">
        <v>19675</v>
      </c>
      <c r="E1698" s="5" t="s">
        <v>534</v>
      </c>
      <c r="F1698" t="s">
        <v>354</v>
      </c>
      <c r="G1698">
        <v>853</v>
      </c>
      <c r="H1698">
        <v>228</v>
      </c>
      <c r="I1698" s="8">
        <f t="shared" si="157"/>
        <v>0.26729191090269638</v>
      </c>
      <c r="J1698" s="17">
        <v>0.7</v>
      </c>
      <c r="K1698" s="12">
        <v>13.75</v>
      </c>
      <c r="L1698" s="2">
        <f t="shared" si="159"/>
        <v>369.09999999999991</v>
      </c>
      <c r="M1698" s="15">
        <f t="shared" si="158"/>
        <v>5075.1249999999991</v>
      </c>
      <c r="N1698" t="str">
        <f t="shared" si="155"/>
        <v>SP</v>
      </c>
      <c r="O1698" t="str">
        <f t="shared" si="156"/>
        <v>Limeira</v>
      </c>
    </row>
    <row r="1699" spans="1:15" x14ac:dyDescent="0.3">
      <c r="A1699" s="10">
        <v>45901</v>
      </c>
      <c r="B1699" s="9" t="s">
        <v>15</v>
      </c>
      <c r="C1699" t="s">
        <v>358</v>
      </c>
      <c r="D1699" s="9">
        <v>19609</v>
      </c>
      <c r="E1699" s="5" t="s">
        <v>535</v>
      </c>
      <c r="F1699" t="s">
        <v>227</v>
      </c>
      <c r="G1699">
        <v>2021</v>
      </c>
      <c r="H1699">
        <v>810</v>
      </c>
      <c r="I1699" s="8">
        <f t="shared" si="157"/>
        <v>0.40079168728352299</v>
      </c>
      <c r="J1699" s="17">
        <v>0.7</v>
      </c>
      <c r="K1699" s="12">
        <v>13.75</v>
      </c>
      <c r="L1699" s="2">
        <f t="shared" si="159"/>
        <v>604.70000000000005</v>
      </c>
      <c r="M1699" s="15">
        <f t="shared" si="158"/>
        <v>8314.625</v>
      </c>
      <c r="N1699" t="str">
        <f t="shared" si="155"/>
        <v>RJ</v>
      </c>
      <c r="O1699" t="str">
        <f t="shared" si="156"/>
        <v>Rio De Janeiro</v>
      </c>
    </row>
    <row r="1700" spans="1:15" x14ac:dyDescent="0.3">
      <c r="A1700" s="10">
        <v>45901</v>
      </c>
      <c r="B1700" s="9" t="s">
        <v>3</v>
      </c>
      <c r="C1700" t="s">
        <v>4</v>
      </c>
      <c r="D1700" s="9">
        <v>19928</v>
      </c>
      <c r="E1700" s="5" t="s">
        <v>536</v>
      </c>
      <c r="F1700" t="s">
        <v>5</v>
      </c>
      <c r="G1700">
        <v>1518</v>
      </c>
      <c r="H1700">
        <v>771</v>
      </c>
      <c r="I1700" s="8">
        <f t="shared" si="157"/>
        <v>0.5079051383399209</v>
      </c>
      <c r="J1700" s="17">
        <v>0.7</v>
      </c>
      <c r="K1700" s="12">
        <v>13.75</v>
      </c>
      <c r="L1700" s="2">
        <f t="shared" ref="L1700:L1731" si="160">H1700*J1700/I1700-H1700</f>
        <v>291.59999999999991</v>
      </c>
      <c r="M1700" s="15">
        <f t="shared" si="158"/>
        <v>4009.4999999999986</v>
      </c>
      <c r="N1700" t="str">
        <f t="shared" si="155"/>
        <v>SP</v>
      </c>
      <c r="O1700" t="str">
        <f t="shared" si="156"/>
        <v>Americana</v>
      </c>
    </row>
    <row r="1701" spans="1:15" x14ac:dyDescent="0.3">
      <c r="A1701" s="10">
        <v>45901</v>
      </c>
      <c r="B1701" s="9" t="s">
        <v>71</v>
      </c>
      <c r="C1701" t="s">
        <v>163</v>
      </c>
      <c r="D1701" s="9">
        <v>19933</v>
      </c>
      <c r="E1701" s="5" t="s">
        <v>538</v>
      </c>
      <c r="F1701" t="s">
        <v>164</v>
      </c>
      <c r="G1701">
        <v>593</v>
      </c>
      <c r="H1701">
        <v>140</v>
      </c>
      <c r="I1701" s="8">
        <f t="shared" si="157"/>
        <v>0.23608768971332209</v>
      </c>
      <c r="J1701" s="17">
        <v>0.7</v>
      </c>
      <c r="K1701" s="12">
        <v>13.75</v>
      </c>
      <c r="L1701" s="2">
        <f t="shared" si="160"/>
        <v>275.10000000000002</v>
      </c>
      <c r="M1701" s="15">
        <f t="shared" si="158"/>
        <v>3782.6250000000005</v>
      </c>
      <c r="N1701" t="str">
        <f t="shared" si="155"/>
        <v>RS</v>
      </c>
      <c r="O1701" t="str">
        <f t="shared" si="156"/>
        <v>Passo</v>
      </c>
    </row>
    <row r="1702" spans="1:15" x14ac:dyDescent="0.3">
      <c r="A1702" s="10">
        <v>45901</v>
      </c>
      <c r="B1702" s="9" t="s">
        <v>59</v>
      </c>
      <c r="C1702" t="s">
        <v>343</v>
      </c>
      <c r="D1702" s="9">
        <v>19944</v>
      </c>
      <c r="E1702" s="5" t="s">
        <v>539</v>
      </c>
      <c r="F1702" t="s">
        <v>60</v>
      </c>
      <c r="G1702">
        <v>2349</v>
      </c>
      <c r="H1702">
        <v>926</v>
      </c>
      <c r="I1702" s="8">
        <f t="shared" si="157"/>
        <v>0.39421030225627929</v>
      </c>
      <c r="J1702" s="17">
        <v>0.7</v>
      </c>
      <c r="K1702" s="12">
        <v>13.75</v>
      </c>
      <c r="L1702" s="2">
        <f t="shared" si="160"/>
        <v>718.29999999999973</v>
      </c>
      <c r="M1702" s="15">
        <f t="shared" si="158"/>
        <v>9876.6249999999964</v>
      </c>
      <c r="N1702" t="str">
        <f t="shared" si="155"/>
        <v>ES</v>
      </c>
      <c r="O1702" t="str">
        <f t="shared" si="156"/>
        <v>Cachoeira De Itapemirim</v>
      </c>
    </row>
    <row r="1703" spans="1:15" x14ac:dyDescent="0.3">
      <c r="A1703" s="10">
        <v>45901</v>
      </c>
      <c r="B1703" s="9" t="s">
        <v>21</v>
      </c>
      <c r="C1703" t="s">
        <v>228</v>
      </c>
      <c r="D1703" s="9">
        <v>19931</v>
      </c>
      <c r="E1703" s="5" t="s">
        <v>541</v>
      </c>
      <c r="F1703" t="s">
        <v>233</v>
      </c>
      <c r="G1703">
        <v>1926</v>
      </c>
      <c r="H1703">
        <v>877</v>
      </c>
      <c r="I1703" s="8">
        <f t="shared" si="157"/>
        <v>0.45534787123572168</v>
      </c>
      <c r="J1703" s="17">
        <v>0.7</v>
      </c>
      <c r="K1703" s="12">
        <v>13.75</v>
      </c>
      <c r="L1703" s="2">
        <f t="shared" si="160"/>
        <v>471.20000000000005</v>
      </c>
      <c r="M1703" s="15">
        <f t="shared" si="158"/>
        <v>6479.0000000000009</v>
      </c>
      <c r="N1703" t="str">
        <f t="shared" si="155"/>
        <v>BA</v>
      </c>
      <c r="O1703" t="str">
        <f t="shared" si="156"/>
        <v>Salvador</v>
      </c>
    </row>
    <row r="1704" spans="1:15" x14ac:dyDescent="0.3">
      <c r="A1704" s="10">
        <v>45901</v>
      </c>
      <c r="B1704" s="9" t="s">
        <v>14</v>
      </c>
      <c r="C1704" t="s">
        <v>273</v>
      </c>
      <c r="D1704" s="9">
        <v>19937</v>
      </c>
      <c r="E1704" s="5" t="s">
        <v>542</v>
      </c>
      <c r="F1704" t="s">
        <v>274</v>
      </c>
      <c r="G1704">
        <v>1139</v>
      </c>
      <c r="H1704">
        <v>523</v>
      </c>
      <c r="I1704" s="8">
        <f t="shared" si="157"/>
        <v>0.45917471466198417</v>
      </c>
      <c r="J1704" s="17">
        <v>0.7</v>
      </c>
      <c r="K1704" s="12">
        <v>13.75</v>
      </c>
      <c r="L1704" s="2">
        <f t="shared" si="160"/>
        <v>274.29999999999995</v>
      </c>
      <c r="M1704" s="15">
        <f t="shared" si="158"/>
        <v>3771.6249999999995</v>
      </c>
      <c r="N1704" t="str">
        <f t="shared" si="155"/>
        <v>MG</v>
      </c>
      <c r="O1704" t="str">
        <f t="shared" si="156"/>
        <v>Sete Lagoas</v>
      </c>
    </row>
    <row r="1705" spans="1:15" x14ac:dyDescent="0.3">
      <c r="A1705" s="10">
        <v>45901</v>
      </c>
      <c r="B1705" s="9" t="s">
        <v>46</v>
      </c>
      <c r="C1705" t="s">
        <v>102</v>
      </c>
      <c r="D1705" s="9">
        <v>19553</v>
      </c>
      <c r="E1705" s="5" t="s">
        <v>543</v>
      </c>
      <c r="F1705" t="s">
        <v>103</v>
      </c>
      <c r="G1705">
        <v>2357</v>
      </c>
      <c r="H1705">
        <v>777</v>
      </c>
      <c r="I1705" s="8">
        <f t="shared" si="157"/>
        <v>0.32965634280865508</v>
      </c>
      <c r="J1705" s="17">
        <v>0.7</v>
      </c>
      <c r="K1705" s="12">
        <v>13.75</v>
      </c>
      <c r="L1705" s="2">
        <f t="shared" si="160"/>
        <v>872.89999999999986</v>
      </c>
      <c r="M1705" s="15">
        <f t="shared" si="158"/>
        <v>12002.374999999998</v>
      </c>
      <c r="N1705" t="str">
        <f t="shared" si="155"/>
        <v>DF</v>
      </c>
      <c r="O1705" t="str">
        <f t="shared" si="156"/>
        <v>Guará</v>
      </c>
    </row>
    <row r="1706" spans="1:15" x14ac:dyDescent="0.3">
      <c r="A1706" s="10">
        <v>45901</v>
      </c>
      <c r="B1706" s="9" t="s">
        <v>140</v>
      </c>
      <c r="C1706" t="s">
        <v>141</v>
      </c>
      <c r="D1706" s="9">
        <v>19940</v>
      </c>
      <c r="E1706" s="5" t="s">
        <v>545</v>
      </c>
      <c r="F1706" t="s">
        <v>142</v>
      </c>
      <c r="G1706">
        <v>2020</v>
      </c>
      <c r="H1706">
        <v>1075</v>
      </c>
      <c r="I1706" s="8">
        <f t="shared" si="157"/>
        <v>0.53217821782178221</v>
      </c>
      <c r="J1706" s="17">
        <v>0.7</v>
      </c>
      <c r="K1706" s="12">
        <v>13.75</v>
      </c>
      <c r="L1706" s="2">
        <f t="shared" si="160"/>
        <v>339</v>
      </c>
      <c r="M1706" s="15">
        <f t="shared" si="158"/>
        <v>4661.25</v>
      </c>
      <c r="N1706" t="str">
        <f t="shared" si="155"/>
        <v>RN</v>
      </c>
      <c r="O1706" t="str">
        <f t="shared" si="156"/>
        <v>Natal</v>
      </c>
    </row>
    <row r="1707" spans="1:15" x14ac:dyDescent="0.3">
      <c r="A1707" s="10">
        <v>45901</v>
      </c>
      <c r="B1707" s="9" t="s">
        <v>123</v>
      </c>
      <c r="C1707" t="s">
        <v>124</v>
      </c>
      <c r="D1707" s="9">
        <v>19945</v>
      </c>
      <c r="E1707" s="5" t="s">
        <v>546</v>
      </c>
      <c r="F1707" t="s">
        <v>125</v>
      </c>
      <c r="G1707">
        <v>1524</v>
      </c>
      <c r="H1707">
        <v>931</v>
      </c>
      <c r="I1707" s="8">
        <f t="shared" si="157"/>
        <v>0.61089238845144356</v>
      </c>
      <c r="J1707" s="17">
        <v>0.7</v>
      </c>
      <c r="K1707" s="12">
        <v>13.75</v>
      </c>
      <c r="L1707" s="2">
        <f t="shared" si="160"/>
        <v>135.79999999999995</v>
      </c>
      <c r="M1707" s="15">
        <f t="shared" si="158"/>
        <v>1867.2499999999993</v>
      </c>
      <c r="N1707" t="str">
        <f t="shared" si="155"/>
        <v>AP</v>
      </c>
      <c r="O1707" t="str">
        <f t="shared" si="156"/>
        <v>Macapa</v>
      </c>
    </row>
    <row r="1708" spans="1:15" x14ac:dyDescent="0.3">
      <c r="A1708" s="10">
        <v>45901</v>
      </c>
      <c r="B1708" s="9" t="s">
        <v>21</v>
      </c>
      <c r="C1708" t="s">
        <v>228</v>
      </c>
      <c r="D1708" s="9">
        <v>19907</v>
      </c>
      <c r="E1708" s="5" t="s">
        <v>547</v>
      </c>
      <c r="F1708" t="s">
        <v>234</v>
      </c>
      <c r="G1708">
        <v>957</v>
      </c>
      <c r="H1708">
        <v>367</v>
      </c>
      <c r="I1708" s="8">
        <f t="shared" si="157"/>
        <v>0.38349007314524558</v>
      </c>
      <c r="J1708" s="17">
        <v>0.7</v>
      </c>
      <c r="K1708" s="12">
        <v>13.75</v>
      </c>
      <c r="L1708" s="2">
        <f t="shared" si="160"/>
        <v>302.89999999999986</v>
      </c>
      <c r="M1708" s="15">
        <f t="shared" si="158"/>
        <v>4164.8749999999982</v>
      </c>
      <c r="N1708" t="str">
        <f t="shared" si="155"/>
        <v>BA</v>
      </c>
      <c r="O1708" t="str">
        <f t="shared" si="156"/>
        <v>Salvador</v>
      </c>
    </row>
    <row r="1709" spans="1:15" x14ac:dyDescent="0.3">
      <c r="A1709" s="10">
        <v>45901</v>
      </c>
      <c r="B1709" s="9" t="s">
        <v>15</v>
      </c>
      <c r="C1709" t="s">
        <v>145</v>
      </c>
      <c r="D1709" s="9">
        <v>19538</v>
      </c>
      <c r="E1709" s="5" t="s">
        <v>548</v>
      </c>
      <c r="F1709" t="s">
        <v>146</v>
      </c>
      <c r="G1709">
        <v>2610</v>
      </c>
      <c r="H1709">
        <v>1046</v>
      </c>
      <c r="I1709" s="8">
        <f t="shared" si="157"/>
        <v>0.40076628352490423</v>
      </c>
      <c r="J1709" s="17">
        <v>0.7</v>
      </c>
      <c r="K1709" s="12">
        <v>13.75</v>
      </c>
      <c r="L1709" s="2">
        <f t="shared" si="160"/>
        <v>780.99999999999977</v>
      </c>
      <c r="M1709" s="15">
        <f t="shared" si="158"/>
        <v>10738.749999999996</v>
      </c>
      <c r="N1709" t="str">
        <f t="shared" si="155"/>
        <v>RJ</v>
      </c>
      <c r="O1709" t="str">
        <f t="shared" si="156"/>
        <v>Niterói</v>
      </c>
    </row>
    <row r="1710" spans="1:15" x14ac:dyDescent="0.3">
      <c r="A1710" s="10">
        <v>45901</v>
      </c>
      <c r="B1710" s="9" t="s">
        <v>71</v>
      </c>
      <c r="C1710" t="s">
        <v>175</v>
      </c>
      <c r="D1710" s="9">
        <v>19947</v>
      </c>
      <c r="E1710" s="5" t="s">
        <v>550</v>
      </c>
      <c r="F1710" t="s">
        <v>180</v>
      </c>
      <c r="G1710">
        <v>2942</v>
      </c>
      <c r="H1710">
        <v>831</v>
      </c>
      <c r="I1710" s="8">
        <f t="shared" si="157"/>
        <v>0.28246091094493542</v>
      </c>
      <c r="J1710" s="17">
        <v>0.7</v>
      </c>
      <c r="K1710" s="12">
        <v>13.75</v>
      </c>
      <c r="L1710" s="2">
        <f t="shared" si="160"/>
        <v>1228.3999999999996</v>
      </c>
      <c r="M1710" s="15">
        <f t="shared" si="158"/>
        <v>16890.499999999996</v>
      </c>
      <c r="N1710" t="str">
        <f t="shared" si="155"/>
        <v>RS</v>
      </c>
      <c r="O1710" t="str">
        <f t="shared" si="156"/>
        <v>Porto Alegre</v>
      </c>
    </row>
    <row r="1711" spans="1:15" x14ac:dyDescent="0.3">
      <c r="A1711" s="10">
        <v>45901</v>
      </c>
      <c r="B1711" s="9" t="s">
        <v>14</v>
      </c>
      <c r="C1711" t="s">
        <v>114</v>
      </c>
      <c r="D1711" s="9">
        <v>19943</v>
      </c>
      <c r="E1711" s="5" t="s">
        <v>551</v>
      </c>
      <c r="F1711" t="s">
        <v>115</v>
      </c>
      <c r="G1711">
        <v>1045</v>
      </c>
      <c r="H1711">
        <v>409</v>
      </c>
      <c r="I1711" s="8">
        <f t="shared" si="157"/>
        <v>0.39138755980861245</v>
      </c>
      <c r="J1711" s="17">
        <v>0.7</v>
      </c>
      <c r="K1711" s="12">
        <v>13.75</v>
      </c>
      <c r="L1711" s="2">
        <f t="shared" si="160"/>
        <v>322.49999999999989</v>
      </c>
      <c r="M1711" s="15">
        <f t="shared" si="158"/>
        <v>4434.3749999999982</v>
      </c>
      <c r="N1711" t="str">
        <f t="shared" si="155"/>
        <v>MG</v>
      </c>
      <c r="O1711" t="str">
        <f t="shared" si="156"/>
        <v>Ituiutaba</v>
      </c>
    </row>
    <row r="1712" spans="1:15" x14ac:dyDescent="0.3">
      <c r="A1712" s="10">
        <v>45901</v>
      </c>
      <c r="B1712" s="9" t="s">
        <v>244</v>
      </c>
      <c r="C1712" t="s">
        <v>245</v>
      </c>
      <c r="D1712" s="9">
        <v>19617</v>
      </c>
      <c r="E1712" s="5" t="s">
        <v>552</v>
      </c>
      <c r="F1712" t="s">
        <v>246</v>
      </c>
      <c r="G1712">
        <v>3258</v>
      </c>
      <c r="H1712">
        <v>1385</v>
      </c>
      <c r="I1712" s="8">
        <f t="shared" si="157"/>
        <v>0.42510742786985883</v>
      </c>
      <c r="J1712" s="17">
        <v>0.7</v>
      </c>
      <c r="K1712" s="12">
        <v>13.75</v>
      </c>
      <c r="L1712" s="2">
        <f t="shared" si="160"/>
        <v>895.59999999999945</v>
      </c>
      <c r="M1712" s="15">
        <f t="shared" si="158"/>
        <v>12314.499999999993</v>
      </c>
      <c r="N1712" t="str">
        <f t="shared" si="155"/>
        <v>MA</v>
      </c>
      <c r="O1712" t="str">
        <f t="shared" si="156"/>
        <v>São Luís</v>
      </c>
    </row>
    <row r="1713" spans="1:15" x14ac:dyDescent="0.3">
      <c r="A1713" s="10">
        <v>45901</v>
      </c>
      <c r="B1713" s="9" t="s">
        <v>244</v>
      </c>
      <c r="C1713" t="s">
        <v>245</v>
      </c>
      <c r="D1713" s="9">
        <v>19595</v>
      </c>
      <c r="E1713" s="5" t="s">
        <v>553</v>
      </c>
      <c r="F1713" t="s">
        <v>247</v>
      </c>
      <c r="G1713">
        <v>3507</v>
      </c>
      <c r="H1713">
        <v>1569</v>
      </c>
      <c r="I1713" s="8">
        <f t="shared" si="157"/>
        <v>0.44739093242087252</v>
      </c>
      <c r="J1713" s="17">
        <v>0.7</v>
      </c>
      <c r="K1713" s="12">
        <v>13.75</v>
      </c>
      <c r="L1713" s="2">
        <f t="shared" si="160"/>
        <v>885.90000000000009</v>
      </c>
      <c r="M1713" s="15">
        <f t="shared" si="158"/>
        <v>12181.125000000002</v>
      </c>
      <c r="N1713" t="str">
        <f t="shared" si="155"/>
        <v>MA</v>
      </c>
      <c r="O1713" t="str">
        <f t="shared" si="156"/>
        <v>São Luís</v>
      </c>
    </row>
    <row r="1714" spans="1:15" x14ac:dyDescent="0.3">
      <c r="A1714" s="10">
        <v>45901</v>
      </c>
      <c r="B1714" s="9" t="s">
        <v>3</v>
      </c>
      <c r="C1714" t="s">
        <v>10</v>
      </c>
      <c r="D1714" s="9">
        <v>19948</v>
      </c>
      <c r="E1714" s="5" t="s">
        <v>555</v>
      </c>
      <c r="F1714" t="s">
        <v>11</v>
      </c>
      <c r="G1714">
        <v>1430</v>
      </c>
      <c r="H1714">
        <v>379</v>
      </c>
      <c r="I1714" s="8">
        <f t="shared" si="157"/>
        <v>0.26503496503496504</v>
      </c>
      <c r="J1714" s="17">
        <v>0.7</v>
      </c>
      <c r="K1714" s="12">
        <v>13.75</v>
      </c>
      <c r="L1714" s="2">
        <f t="shared" si="160"/>
        <v>622</v>
      </c>
      <c r="M1714" s="15">
        <f t="shared" si="158"/>
        <v>8552.5</v>
      </c>
      <c r="N1714" t="str">
        <f t="shared" si="155"/>
        <v>SP</v>
      </c>
      <c r="O1714" t="str">
        <f t="shared" si="156"/>
        <v>Araraquara</v>
      </c>
    </row>
    <row r="1715" spans="1:15" x14ac:dyDescent="0.3">
      <c r="A1715" s="10">
        <v>45901</v>
      </c>
      <c r="B1715" s="9" t="s">
        <v>74</v>
      </c>
      <c r="C1715" t="s">
        <v>75</v>
      </c>
      <c r="D1715" s="9">
        <v>19798</v>
      </c>
      <c r="E1715" s="5" t="s">
        <v>556</v>
      </c>
      <c r="F1715" t="s">
        <v>76</v>
      </c>
      <c r="G1715">
        <v>3014</v>
      </c>
      <c r="H1715">
        <v>1339</v>
      </c>
      <c r="I1715" s="8">
        <f t="shared" si="157"/>
        <v>0.44426011944260119</v>
      </c>
      <c r="J1715" s="17">
        <v>0.7</v>
      </c>
      <c r="K1715" s="12">
        <v>13.75</v>
      </c>
      <c r="L1715" s="2">
        <f t="shared" si="160"/>
        <v>770.79999999999973</v>
      </c>
      <c r="M1715" s="15">
        <f t="shared" si="158"/>
        <v>10598.499999999996</v>
      </c>
      <c r="N1715" t="str">
        <f t="shared" si="155"/>
        <v>PE</v>
      </c>
      <c r="O1715" t="str">
        <f t="shared" si="156"/>
        <v>Caruaru</v>
      </c>
    </row>
    <row r="1716" spans="1:15" x14ac:dyDescent="0.3">
      <c r="A1716" s="10">
        <v>45901</v>
      </c>
      <c r="B1716" s="9" t="s">
        <v>15</v>
      </c>
      <c r="C1716" t="s">
        <v>19</v>
      </c>
      <c r="D1716" s="9">
        <v>19694</v>
      </c>
      <c r="E1716" s="5" t="s">
        <v>557</v>
      </c>
      <c r="F1716" t="s">
        <v>20</v>
      </c>
      <c r="G1716">
        <v>1896</v>
      </c>
      <c r="H1716">
        <v>954</v>
      </c>
      <c r="I1716" s="8">
        <f t="shared" si="157"/>
        <v>0.50316455696202533</v>
      </c>
      <c r="J1716" s="17">
        <v>0.7</v>
      </c>
      <c r="K1716" s="12">
        <v>13.75</v>
      </c>
      <c r="L1716" s="2">
        <f t="shared" si="160"/>
        <v>373.19999999999982</v>
      </c>
      <c r="M1716" s="15">
        <f t="shared" si="158"/>
        <v>5131.4999999999973</v>
      </c>
      <c r="N1716" t="str">
        <f t="shared" si="155"/>
        <v>RJ</v>
      </c>
      <c r="O1716" t="str">
        <f t="shared" si="156"/>
        <v>Barra Mansa</v>
      </c>
    </row>
    <row r="1717" spans="1:15" x14ac:dyDescent="0.3">
      <c r="A1717" s="10">
        <v>45901</v>
      </c>
      <c r="B1717" s="9" t="s">
        <v>14</v>
      </c>
      <c r="C1717" t="s">
        <v>112</v>
      </c>
      <c r="D1717" s="9">
        <v>19951</v>
      </c>
      <c r="E1717" s="5" t="s">
        <v>558</v>
      </c>
      <c r="F1717" t="s">
        <v>113</v>
      </c>
      <c r="G1717">
        <v>2163</v>
      </c>
      <c r="H1717">
        <v>728</v>
      </c>
      <c r="I1717" s="8">
        <f t="shared" si="157"/>
        <v>0.33656957928802589</v>
      </c>
      <c r="J1717" s="17">
        <v>0.7</v>
      </c>
      <c r="K1717" s="12">
        <v>13.75</v>
      </c>
      <c r="L1717" s="2">
        <f t="shared" si="160"/>
        <v>786.09999999999991</v>
      </c>
      <c r="M1717" s="15">
        <f t="shared" si="158"/>
        <v>10808.874999999998</v>
      </c>
      <c r="N1717" t="str">
        <f t="shared" si="155"/>
        <v>MG</v>
      </c>
      <c r="O1717" t="str">
        <f t="shared" si="156"/>
        <v>Ipatinga</v>
      </c>
    </row>
    <row r="1718" spans="1:15" x14ac:dyDescent="0.3">
      <c r="A1718" s="10">
        <v>45901</v>
      </c>
      <c r="B1718" s="9" t="s">
        <v>160</v>
      </c>
      <c r="C1718" t="s">
        <v>161</v>
      </c>
      <c r="D1718" s="9">
        <v>19954</v>
      </c>
      <c r="E1718" s="5" t="s">
        <v>559</v>
      </c>
      <c r="F1718" t="s">
        <v>162</v>
      </c>
      <c r="G1718">
        <v>881</v>
      </c>
      <c r="H1718">
        <v>438</v>
      </c>
      <c r="I1718" s="8">
        <f t="shared" si="157"/>
        <v>0.49716231555051077</v>
      </c>
      <c r="J1718" s="17">
        <v>0.7</v>
      </c>
      <c r="K1718" s="12">
        <v>13.75</v>
      </c>
      <c r="L1718" s="2">
        <f t="shared" si="160"/>
        <v>178.69999999999993</v>
      </c>
      <c r="M1718" s="15">
        <f t="shared" si="158"/>
        <v>2457.1249999999991</v>
      </c>
      <c r="N1718" t="str">
        <f t="shared" si="155"/>
        <v>PI</v>
      </c>
      <c r="O1718" t="str">
        <f t="shared" si="156"/>
        <v>Parnaíba</v>
      </c>
    </row>
    <row r="1719" spans="1:15" x14ac:dyDescent="0.3">
      <c r="A1719" s="10">
        <v>45901</v>
      </c>
      <c r="B1719" s="9" t="s">
        <v>14</v>
      </c>
      <c r="C1719" t="s">
        <v>351</v>
      </c>
      <c r="D1719" s="9">
        <v>19615</v>
      </c>
      <c r="E1719" s="5" t="s">
        <v>560</v>
      </c>
      <c r="F1719" t="s">
        <v>117</v>
      </c>
      <c r="G1719">
        <v>2132</v>
      </c>
      <c r="H1719">
        <v>702</v>
      </c>
      <c r="I1719" s="8">
        <f t="shared" si="157"/>
        <v>0.32926829268292684</v>
      </c>
      <c r="J1719" s="17">
        <v>0.7</v>
      </c>
      <c r="K1719" s="12">
        <v>13.75</v>
      </c>
      <c r="L1719" s="2">
        <f t="shared" si="160"/>
        <v>790.39999999999986</v>
      </c>
      <c r="M1719" s="15">
        <f t="shared" si="158"/>
        <v>10867.999999999998</v>
      </c>
      <c r="N1719" t="str">
        <f t="shared" si="155"/>
        <v>MG</v>
      </c>
      <c r="O1719" t="str">
        <f t="shared" si="156"/>
        <v>Juiz De Fora</v>
      </c>
    </row>
    <row r="1720" spans="1:15" x14ac:dyDescent="0.3">
      <c r="A1720" s="10">
        <v>45901</v>
      </c>
      <c r="B1720" s="9" t="s">
        <v>46</v>
      </c>
      <c r="C1720" t="s">
        <v>47</v>
      </c>
      <c r="D1720" s="9">
        <v>19647</v>
      </c>
      <c r="E1720" s="5" t="s">
        <v>561</v>
      </c>
      <c r="F1720" t="s">
        <v>55</v>
      </c>
      <c r="G1720">
        <v>2004</v>
      </c>
      <c r="H1720">
        <v>636</v>
      </c>
      <c r="I1720" s="8">
        <f t="shared" si="157"/>
        <v>0.31736526946107785</v>
      </c>
      <c r="J1720" s="17">
        <v>0.7</v>
      </c>
      <c r="K1720" s="12">
        <v>13.75</v>
      </c>
      <c r="L1720" s="2">
        <f t="shared" si="160"/>
        <v>766.8</v>
      </c>
      <c r="M1720" s="15">
        <f t="shared" si="158"/>
        <v>10543.5</v>
      </c>
      <c r="N1720" t="str">
        <f t="shared" si="155"/>
        <v>DF</v>
      </c>
      <c r="O1720" t="str">
        <f t="shared" si="156"/>
        <v>Brasília</v>
      </c>
    </row>
    <row r="1721" spans="1:15" x14ac:dyDescent="0.3">
      <c r="A1721" s="10">
        <v>45901</v>
      </c>
      <c r="B1721" s="9" t="s">
        <v>46</v>
      </c>
      <c r="C1721" t="s">
        <v>47</v>
      </c>
      <c r="D1721" s="9">
        <v>19898</v>
      </c>
      <c r="E1721" s="5" t="s">
        <v>562</v>
      </c>
      <c r="F1721" t="s">
        <v>56</v>
      </c>
      <c r="G1721">
        <v>1418</v>
      </c>
      <c r="H1721">
        <v>440</v>
      </c>
      <c r="I1721" s="8">
        <f t="shared" si="157"/>
        <v>0.31029619181946405</v>
      </c>
      <c r="J1721" s="17">
        <v>0.7</v>
      </c>
      <c r="K1721" s="12">
        <v>13.75</v>
      </c>
      <c r="L1721" s="2">
        <f t="shared" si="160"/>
        <v>552.59999999999991</v>
      </c>
      <c r="M1721" s="15">
        <f t="shared" si="158"/>
        <v>7598.2499999999991</v>
      </c>
      <c r="N1721" t="str">
        <f t="shared" si="155"/>
        <v>DF</v>
      </c>
      <c r="O1721" t="str">
        <f t="shared" si="156"/>
        <v>Brasília</v>
      </c>
    </row>
    <row r="1722" spans="1:15" x14ac:dyDescent="0.3">
      <c r="A1722" s="10">
        <v>45901</v>
      </c>
      <c r="B1722" s="9" t="s">
        <v>3</v>
      </c>
      <c r="C1722" t="s">
        <v>64</v>
      </c>
      <c r="D1722" s="9">
        <v>19616</v>
      </c>
      <c r="E1722" s="5" t="s">
        <v>563</v>
      </c>
      <c r="F1722" t="s">
        <v>66</v>
      </c>
      <c r="G1722">
        <v>3313</v>
      </c>
      <c r="H1722">
        <v>1255</v>
      </c>
      <c r="I1722" s="8">
        <f t="shared" si="157"/>
        <v>0.37881074554784183</v>
      </c>
      <c r="J1722" s="17">
        <v>0.7</v>
      </c>
      <c r="K1722" s="12">
        <v>13.75</v>
      </c>
      <c r="L1722" s="2">
        <f t="shared" si="160"/>
        <v>1064.0999999999999</v>
      </c>
      <c r="M1722" s="15">
        <f t="shared" si="158"/>
        <v>14631.374999999998</v>
      </c>
      <c r="N1722" t="str">
        <f t="shared" si="155"/>
        <v>SP</v>
      </c>
      <c r="O1722" t="str">
        <f t="shared" si="156"/>
        <v>Campinas</v>
      </c>
    </row>
    <row r="1723" spans="1:15" x14ac:dyDescent="0.3">
      <c r="A1723" s="10">
        <v>45901</v>
      </c>
      <c r="B1723" s="9" t="s">
        <v>3</v>
      </c>
      <c r="C1723" t="s">
        <v>64</v>
      </c>
      <c r="D1723" s="9">
        <v>19688</v>
      </c>
      <c r="E1723" s="5" t="s">
        <v>564</v>
      </c>
      <c r="F1723" t="s">
        <v>67</v>
      </c>
      <c r="G1723">
        <v>1849</v>
      </c>
      <c r="H1723">
        <v>645</v>
      </c>
      <c r="I1723" s="8">
        <f t="shared" si="157"/>
        <v>0.34883720930232559</v>
      </c>
      <c r="J1723" s="17">
        <v>0.7</v>
      </c>
      <c r="K1723" s="12">
        <v>13.75</v>
      </c>
      <c r="L1723" s="2">
        <f t="shared" si="160"/>
        <v>649.29999999999973</v>
      </c>
      <c r="M1723" s="15">
        <f t="shared" si="158"/>
        <v>8927.8749999999964</v>
      </c>
      <c r="N1723" t="str">
        <f t="shared" si="155"/>
        <v>SP</v>
      </c>
      <c r="O1723" t="str">
        <f t="shared" si="156"/>
        <v>Campinas</v>
      </c>
    </row>
    <row r="1724" spans="1:15" x14ac:dyDescent="0.3">
      <c r="A1724" s="10">
        <v>45901</v>
      </c>
      <c r="B1724" s="9" t="s">
        <v>3</v>
      </c>
      <c r="C1724" t="s">
        <v>248</v>
      </c>
      <c r="D1724" s="9">
        <v>19863</v>
      </c>
      <c r="E1724" s="5" t="s">
        <v>566</v>
      </c>
      <c r="F1724" t="s">
        <v>268</v>
      </c>
      <c r="G1724">
        <v>2709</v>
      </c>
      <c r="H1724">
        <v>924</v>
      </c>
      <c r="I1724" s="8">
        <f t="shared" si="157"/>
        <v>0.34108527131782945</v>
      </c>
      <c r="J1724" s="17">
        <v>0.7</v>
      </c>
      <c r="K1724" s="12">
        <v>13.75</v>
      </c>
      <c r="L1724" s="2">
        <f t="shared" si="160"/>
        <v>972.3</v>
      </c>
      <c r="M1724" s="15">
        <f t="shared" si="158"/>
        <v>13369.125</v>
      </c>
      <c r="N1724" t="str">
        <f t="shared" si="155"/>
        <v>SP</v>
      </c>
      <c r="O1724" t="str">
        <f t="shared" si="156"/>
        <v>São Paulo</v>
      </c>
    </row>
    <row r="1725" spans="1:15" x14ac:dyDescent="0.3">
      <c r="A1725" s="10">
        <v>45901</v>
      </c>
      <c r="B1725" s="9" t="s">
        <v>3</v>
      </c>
      <c r="C1725" t="s">
        <v>248</v>
      </c>
      <c r="D1725" s="9">
        <v>19817</v>
      </c>
      <c r="E1725" s="5" t="s">
        <v>567</v>
      </c>
      <c r="F1725" t="s">
        <v>269</v>
      </c>
      <c r="G1725">
        <v>1669</v>
      </c>
      <c r="H1725">
        <v>560</v>
      </c>
      <c r="I1725" s="8">
        <f t="shared" si="157"/>
        <v>0.335530257639305</v>
      </c>
      <c r="J1725" s="17">
        <v>0.7</v>
      </c>
      <c r="K1725" s="12">
        <v>13.75</v>
      </c>
      <c r="L1725" s="2">
        <f t="shared" si="160"/>
        <v>608.29999999999995</v>
      </c>
      <c r="M1725" s="15">
        <f t="shared" si="158"/>
        <v>8364.125</v>
      </c>
      <c r="N1725" t="str">
        <f t="shared" si="155"/>
        <v>SP</v>
      </c>
      <c r="O1725" t="str">
        <f t="shared" si="156"/>
        <v>São Paulo</v>
      </c>
    </row>
    <row r="1726" spans="1:15" x14ac:dyDescent="0.3">
      <c r="A1726" s="10">
        <v>45901</v>
      </c>
      <c r="B1726" s="9" t="s">
        <v>3</v>
      </c>
      <c r="C1726" t="s">
        <v>248</v>
      </c>
      <c r="D1726" s="9">
        <v>19866</v>
      </c>
      <c r="E1726" s="5" t="s">
        <v>568</v>
      </c>
      <c r="F1726" t="s">
        <v>270</v>
      </c>
      <c r="G1726">
        <v>1818</v>
      </c>
      <c r="H1726">
        <v>690</v>
      </c>
      <c r="I1726" s="8">
        <f t="shared" si="157"/>
        <v>0.37953795379537952</v>
      </c>
      <c r="J1726" s="17">
        <v>0.7</v>
      </c>
      <c r="K1726" s="12">
        <v>13.75</v>
      </c>
      <c r="L1726" s="2">
        <f t="shared" si="160"/>
        <v>582.59999999999991</v>
      </c>
      <c r="M1726" s="15">
        <f t="shared" si="158"/>
        <v>8010.7499999999991</v>
      </c>
      <c r="N1726" t="str">
        <f t="shared" si="155"/>
        <v>SP</v>
      </c>
      <c r="O1726" t="str">
        <f t="shared" si="156"/>
        <v>São Paulo</v>
      </c>
    </row>
    <row r="1727" spans="1:15" x14ac:dyDescent="0.3">
      <c r="A1727" s="10">
        <v>45901</v>
      </c>
      <c r="B1727" s="9" t="s">
        <v>3</v>
      </c>
      <c r="C1727" t="s">
        <v>110</v>
      </c>
      <c r="D1727" s="9">
        <v>19884</v>
      </c>
      <c r="E1727" s="5" t="s">
        <v>577</v>
      </c>
      <c r="F1727" t="s">
        <v>111</v>
      </c>
      <c r="G1727">
        <v>1941</v>
      </c>
      <c r="H1727">
        <v>574</v>
      </c>
      <c r="I1727" s="8">
        <f t="shared" si="157"/>
        <v>0.29572385368366821</v>
      </c>
      <c r="J1727" s="17">
        <v>0.7</v>
      </c>
      <c r="K1727" s="12">
        <v>13.75</v>
      </c>
      <c r="L1727" s="2">
        <f t="shared" si="160"/>
        <v>784.69999999999982</v>
      </c>
      <c r="M1727" s="15">
        <f t="shared" si="158"/>
        <v>10789.624999999998</v>
      </c>
      <c r="N1727" t="str">
        <f t="shared" si="155"/>
        <v>SP</v>
      </c>
      <c r="O1727" t="str">
        <f t="shared" si="156"/>
        <v>Guarulhos</v>
      </c>
    </row>
    <row r="1728" spans="1:15" x14ac:dyDescent="0.3">
      <c r="A1728" s="10">
        <v>45901</v>
      </c>
      <c r="B1728" s="9" t="s">
        <v>3</v>
      </c>
      <c r="C1728" t="s">
        <v>248</v>
      </c>
      <c r="D1728" s="9">
        <v>19859</v>
      </c>
      <c r="E1728" s="5" t="s">
        <v>578</v>
      </c>
      <c r="F1728" t="s">
        <v>258</v>
      </c>
      <c r="G1728">
        <v>1817</v>
      </c>
      <c r="H1728">
        <v>517</v>
      </c>
      <c r="I1728" s="8">
        <f t="shared" si="157"/>
        <v>0.2845349477160154</v>
      </c>
      <c r="J1728" s="17">
        <v>0.7</v>
      </c>
      <c r="K1728" s="12">
        <v>13.75</v>
      </c>
      <c r="L1728" s="2">
        <f t="shared" si="160"/>
        <v>754.90000000000009</v>
      </c>
      <c r="M1728" s="15">
        <f t="shared" si="158"/>
        <v>10379.875000000002</v>
      </c>
      <c r="N1728" t="str">
        <f t="shared" si="155"/>
        <v>SP</v>
      </c>
      <c r="O1728" t="str">
        <f t="shared" si="156"/>
        <v>São Paulo</v>
      </c>
    </row>
    <row r="1729" spans="1:15" x14ac:dyDescent="0.3">
      <c r="A1729" s="10">
        <v>45901</v>
      </c>
      <c r="B1729" s="9" t="s">
        <v>3</v>
      </c>
      <c r="C1729" t="s">
        <v>248</v>
      </c>
      <c r="D1729" s="9">
        <v>19711</v>
      </c>
      <c r="E1729" s="5" t="s">
        <v>579</v>
      </c>
      <c r="F1729" t="s">
        <v>264</v>
      </c>
      <c r="G1729">
        <v>1424</v>
      </c>
      <c r="H1729">
        <v>469</v>
      </c>
      <c r="I1729" s="8">
        <f t="shared" si="157"/>
        <v>0.32935393258426965</v>
      </c>
      <c r="J1729" s="17">
        <v>0.7</v>
      </c>
      <c r="K1729" s="12">
        <v>13.75</v>
      </c>
      <c r="L1729" s="2">
        <f t="shared" si="160"/>
        <v>527.79999999999995</v>
      </c>
      <c r="M1729" s="15">
        <f t="shared" si="158"/>
        <v>7257.2499999999991</v>
      </c>
      <c r="N1729" t="str">
        <f t="shared" si="155"/>
        <v>SP</v>
      </c>
      <c r="O1729" t="str">
        <f t="shared" si="156"/>
        <v>São Paulo</v>
      </c>
    </row>
    <row r="1730" spans="1:15" x14ac:dyDescent="0.3">
      <c r="A1730" s="10">
        <v>45901</v>
      </c>
      <c r="B1730" s="9" t="s">
        <v>3</v>
      </c>
      <c r="C1730" t="s">
        <v>248</v>
      </c>
      <c r="D1730" s="9">
        <v>19763</v>
      </c>
      <c r="E1730" s="5" t="s">
        <v>580</v>
      </c>
      <c r="F1730" t="s">
        <v>263</v>
      </c>
      <c r="G1730">
        <v>1343</v>
      </c>
      <c r="H1730">
        <v>462</v>
      </c>
      <c r="I1730" s="8">
        <f t="shared" si="157"/>
        <v>0.34400595681310497</v>
      </c>
      <c r="J1730" s="17">
        <v>0.7</v>
      </c>
      <c r="K1730" s="12">
        <v>13.75</v>
      </c>
      <c r="L1730" s="2">
        <f t="shared" si="160"/>
        <v>478.1</v>
      </c>
      <c r="M1730" s="15">
        <f t="shared" si="158"/>
        <v>6573.875</v>
      </c>
      <c r="N1730" t="str">
        <f t="shared" ref="N1730:N1793" si="161">B1730</f>
        <v>SP</v>
      </c>
      <c r="O1730" t="str">
        <f t="shared" ref="O1730:O1793" si="162">C1730</f>
        <v>São Paulo</v>
      </c>
    </row>
    <row r="1731" spans="1:15" x14ac:dyDescent="0.3">
      <c r="A1731" s="10">
        <v>45901</v>
      </c>
      <c r="B1731" s="9" t="s">
        <v>68</v>
      </c>
      <c r="C1731" t="s">
        <v>69</v>
      </c>
      <c r="D1731" s="9">
        <v>19602</v>
      </c>
      <c r="E1731" s="5" t="s">
        <v>570</v>
      </c>
      <c r="F1731" t="s">
        <v>70</v>
      </c>
      <c r="G1731">
        <v>382</v>
      </c>
      <c r="H1731">
        <v>77</v>
      </c>
      <c r="I1731" s="8">
        <f t="shared" ref="I1731:I1794" si="163">H1731/G1731</f>
        <v>0.20157068062827224</v>
      </c>
      <c r="J1731" s="17">
        <v>0.7</v>
      </c>
      <c r="K1731" s="12">
        <v>13.75</v>
      </c>
      <c r="L1731" s="2">
        <f t="shared" si="160"/>
        <v>190.39999999999998</v>
      </c>
      <c r="M1731" s="15">
        <f t="shared" ref="M1731:M1794" si="164">L1731*K1731</f>
        <v>2617.9999999999995</v>
      </c>
      <c r="N1731" t="str">
        <f t="shared" si="161"/>
        <v>MS</v>
      </c>
      <c r="O1731" t="str">
        <f t="shared" si="162"/>
        <v>Campo Grande</v>
      </c>
    </row>
    <row r="1732" spans="1:15" x14ac:dyDescent="0.3">
      <c r="A1732" s="10">
        <v>45901</v>
      </c>
      <c r="B1732" s="9" t="s">
        <v>46</v>
      </c>
      <c r="C1732" t="s">
        <v>47</v>
      </c>
      <c r="D1732" s="9">
        <v>19755</v>
      </c>
      <c r="E1732" s="5" t="s">
        <v>581</v>
      </c>
      <c r="F1732" t="s">
        <v>53</v>
      </c>
      <c r="G1732">
        <v>1170</v>
      </c>
      <c r="H1732">
        <v>490</v>
      </c>
      <c r="I1732" s="8">
        <f t="shared" si="163"/>
        <v>0.41880341880341881</v>
      </c>
      <c r="J1732" s="17">
        <v>0.7</v>
      </c>
      <c r="K1732" s="12">
        <v>13.75</v>
      </c>
      <c r="L1732" s="2">
        <f t="shared" ref="L1732:L1763" si="165">H1732*J1732/I1732-H1732</f>
        <v>329</v>
      </c>
      <c r="M1732" s="15">
        <f t="shared" si="164"/>
        <v>4523.75</v>
      </c>
      <c r="N1732" t="str">
        <f t="shared" si="161"/>
        <v>DF</v>
      </c>
      <c r="O1732" t="str">
        <f t="shared" si="162"/>
        <v>Brasília</v>
      </c>
    </row>
    <row r="1733" spans="1:15" x14ac:dyDescent="0.3">
      <c r="A1733" s="10">
        <v>45901</v>
      </c>
      <c r="B1733" s="9" t="s">
        <v>14</v>
      </c>
      <c r="C1733" t="s">
        <v>29</v>
      </c>
      <c r="D1733" s="9">
        <v>19780</v>
      </c>
      <c r="E1733" s="5" t="s">
        <v>582</v>
      </c>
      <c r="F1733" t="s">
        <v>35</v>
      </c>
      <c r="G1733">
        <v>1391</v>
      </c>
      <c r="H1733">
        <v>699</v>
      </c>
      <c r="I1733" s="8">
        <f t="shared" si="163"/>
        <v>0.50251617541337168</v>
      </c>
      <c r="J1733" s="17">
        <v>0.7</v>
      </c>
      <c r="K1733" s="12">
        <v>13.75</v>
      </c>
      <c r="L1733" s="2">
        <f t="shared" si="165"/>
        <v>274.69999999999993</v>
      </c>
      <c r="M1733" s="15">
        <f t="shared" si="164"/>
        <v>3777.1249999999991</v>
      </c>
      <c r="N1733" t="str">
        <f t="shared" si="161"/>
        <v>MG</v>
      </c>
      <c r="O1733" t="str">
        <f t="shared" si="162"/>
        <v>Belo Horizonte</v>
      </c>
    </row>
    <row r="1734" spans="1:15" x14ac:dyDescent="0.3">
      <c r="A1734" s="10">
        <v>45901</v>
      </c>
      <c r="B1734" s="9" t="s">
        <v>3</v>
      </c>
      <c r="C1734" t="s">
        <v>362</v>
      </c>
      <c r="D1734" s="9">
        <v>19825</v>
      </c>
      <c r="E1734" s="5" t="s">
        <v>583</v>
      </c>
      <c r="F1734" t="s">
        <v>241</v>
      </c>
      <c r="G1734">
        <v>1583</v>
      </c>
      <c r="H1734">
        <v>471</v>
      </c>
      <c r="I1734" s="8">
        <f t="shared" si="163"/>
        <v>0.29753632343651293</v>
      </c>
      <c r="J1734" s="17">
        <v>0.7</v>
      </c>
      <c r="K1734" s="12">
        <v>13.75</v>
      </c>
      <c r="L1734" s="2">
        <f t="shared" si="165"/>
        <v>637.10000000000014</v>
      </c>
      <c r="M1734" s="15">
        <f t="shared" si="164"/>
        <v>8760.1250000000018</v>
      </c>
      <c r="N1734" t="str">
        <f t="shared" si="161"/>
        <v>SP</v>
      </c>
      <c r="O1734" t="str">
        <f t="shared" si="162"/>
        <v>São Bernardo Do Campo</v>
      </c>
    </row>
    <row r="1735" spans="1:15" x14ac:dyDescent="0.3">
      <c r="A1735" s="10">
        <v>45901</v>
      </c>
      <c r="B1735" s="9" t="s">
        <v>3</v>
      </c>
      <c r="C1735" t="s">
        <v>361</v>
      </c>
      <c r="D1735" s="9">
        <v>19847</v>
      </c>
      <c r="E1735" s="5" t="s">
        <v>584</v>
      </c>
      <c r="F1735" t="s">
        <v>238</v>
      </c>
      <c r="G1735">
        <v>1538</v>
      </c>
      <c r="H1735">
        <v>428</v>
      </c>
      <c r="I1735" s="8">
        <f t="shared" si="163"/>
        <v>0.27828348504551365</v>
      </c>
      <c r="J1735" s="17">
        <v>0.7</v>
      </c>
      <c r="K1735" s="12">
        <v>13.75</v>
      </c>
      <c r="L1735" s="2">
        <f t="shared" si="165"/>
        <v>648.59999999999991</v>
      </c>
      <c r="M1735" s="15">
        <f t="shared" si="164"/>
        <v>8918.2499999999982</v>
      </c>
      <c r="N1735" t="str">
        <f t="shared" si="161"/>
        <v>SP</v>
      </c>
      <c r="O1735" t="str">
        <f t="shared" si="162"/>
        <v>Santo André</v>
      </c>
    </row>
    <row r="1736" spans="1:15" x14ac:dyDescent="0.3">
      <c r="A1736" s="10">
        <v>45901</v>
      </c>
      <c r="B1736" s="9" t="s">
        <v>3</v>
      </c>
      <c r="C1736" t="s">
        <v>248</v>
      </c>
      <c r="D1736" s="9">
        <v>19890</v>
      </c>
      <c r="E1736" s="5" t="s">
        <v>585</v>
      </c>
      <c r="F1736" t="s">
        <v>259</v>
      </c>
      <c r="G1736">
        <v>1044</v>
      </c>
      <c r="H1736">
        <v>294</v>
      </c>
      <c r="I1736" s="8">
        <f t="shared" si="163"/>
        <v>0.28160919540229884</v>
      </c>
      <c r="J1736" s="17">
        <v>0.7</v>
      </c>
      <c r="K1736" s="12">
        <v>13.75</v>
      </c>
      <c r="L1736" s="2">
        <f t="shared" si="165"/>
        <v>436.79999999999995</v>
      </c>
      <c r="M1736" s="15">
        <f t="shared" si="164"/>
        <v>6005.9999999999991</v>
      </c>
      <c r="N1736" t="str">
        <f t="shared" si="161"/>
        <v>SP</v>
      </c>
      <c r="O1736" t="str">
        <f t="shared" si="162"/>
        <v>São Paulo</v>
      </c>
    </row>
    <row r="1737" spans="1:15" x14ac:dyDescent="0.3">
      <c r="A1737" s="10">
        <v>45901</v>
      </c>
      <c r="B1737" s="9" t="s">
        <v>3</v>
      </c>
      <c r="C1737" t="s">
        <v>239</v>
      </c>
      <c r="D1737" s="9">
        <v>19708</v>
      </c>
      <c r="E1737" s="5" t="s">
        <v>586</v>
      </c>
      <c r="F1737" t="s">
        <v>240</v>
      </c>
      <c r="G1737">
        <v>2148</v>
      </c>
      <c r="H1737">
        <v>828</v>
      </c>
      <c r="I1737" s="8">
        <f t="shared" si="163"/>
        <v>0.38547486033519551</v>
      </c>
      <c r="J1737" s="17">
        <v>0.7</v>
      </c>
      <c r="K1737" s="12">
        <v>13.75</v>
      </c>
      <c r="L1737" s="2">
        <f t="shared" si="165"/>
        <v>675.59999999999991</v>
      </c>
      <c r="M1737" s="15">
        <f t="shared" si="164"/>
        <v>9289.4999999999982</v>
      </c>
      <c r="N1737" t="str">
        <f t="shared" si="161"/>
        <v>SP</v>
      </c>
      <c r="O1737" t="str">
        <f t="shared" si="162"/>
        <v>Santos</v>
      </c>
    </row>
    <row r="1738" spans="1:15" x14ac:dyDescent="0.3">
      <c r="A1738" s="10">
        <v>45901</v>
      </c>
      <c r="B1738" s="9" t="s">
        <v>3</v>
      </c>
      <c r="C1738" t="s">
        <v>356</v>
      </c>
      <c r="D1738" s="9">
        <v>19745</v>
      </c>
      <c r="E1738" s="5" t="s">
        <v>587</v>
      </c>
      <c r="F1738" t="s">
        <v>154</v>
      </c>
      <c r="G1738">
        <v>1781</v>
      </c>
      <c r="H1738">
        <v>634</v>
      </c>
      <c r="I1738" s="8">
        <f t="shared" si="163"/>
        <v>0.35597978663672092</v>
      </c>
      <c r="J1738" s="17">
        <v>0.7</v>
      </c>
      <c r="K1738" s="12">
        <v>13.75</v>
      </c>
      <c r="L1738" s="2">
        <f t="shared" si="165"/>
        <v>612.70000000000005</v>
      </c>
      <c r="M1738" s="15">
        <f t="shared" si="164"/>
        <v>8424.625</v>
      </c>
      <c r="N1738" t="str">
        <f t="shared" si="161"/>
        <v>SP</v>
      </c>
      <c r="O1738" t="str">
        <f t="shared" si="162"/>
        <v>Osasco</v>
      </c>
    </row>
    <row r="1739" spans="1:15" x14ac:dyDescent="0.3">
      <c r="A1739" s="10">
        <v>45901</v>
      </c>
      <c r="B1739" s="9" t="s">
        <v>3</v>
      </c>
      <c r="C1739" t="s">
        <v>248</v>
      </c>
      <c r="D1739" s="9">
        <v>19710</v>
      </c>
      <c r="E1739" s="5" t="s">
        <v>588</v>
      </c>
      <c r="F1739" t="s">
        <v>261</v>
      </c>
      <c r="G1739">
        <v>1739</v>
      </c>
      <c r="H1739">
        <v>856</v>
      </c>
      <c r="I1739" s="8">
        <f t="shared" si="163"/>
        <v>0.49223691776883266</v>
      </c>
      <c r="J1739" s="17">
        <v>0.7</v>
      </c>
      <c r="K1739" s="12">
        <v>13.75</v>
      </c>
      <c r="L1739" s="2">
        <f t="shared" si="165"/>
        <v>361.29999999999995</v>
      </c>
      <c r="M1739" s="15">
        <f t="shared" si="164"/>
        <v>4967.8749999999991</v>
      </c>
      <c r="N1739" t="str">
        <f t="shared" si="161"/>
        <v>SP</v>
      </c>
      <c r="O1739" t="str">
        <f t="shared" si="162"/>
        <v>São Paulo</v>
      </c>
    </row>
    <row r="1740" spans="1:15" x14ac:dyDescent="0.3">
      <c r="A1740" s="10">
        <v>45901</v>
      </c>
      <c r="B1740" s="9" t="s">
        <v>3</v>
      </c>
      <c r="C1740" t="s">
        <v>248</v>
      </c>
      <c r="D1740" s="9">
        <v>19891</v>
      </c>
      <c r="E1740" s="5" t="s">
        <v>612</v>
      </c>
      <c r="F1740" t="s">
        <v>260</v>
      </c>
      <c r="G1740">
        <v>1243</v>
      </c>
      <c r="H1740">
        <v>559</v>
      </c>
      <c r="I1740" s="8">
        <f t="shared" si="163"/>
        <v>0.44971842316975058</v>
      </c>
      <c r="J1740" s="17">
        <v>0.7</v>
      </c>
      <c r="K1740" s="12">
        <v>13.75</v>
      </c>
      <c r="L1740" s="2">
        <f t="shared" si="165"/>
        <v>311.09999999999991</v>
      </c>
      <c r="M1740" s="15">
        <f t="shared" si="164"/>
        <v>4277.6249999999991</v>
      </c>
      <c r="N1740" t="str">
        <f t="shared" si="161"/>
        <v>SP</v>
      </c>
      <c r="O1740" t="str">
        <f t="shared" si="162"/>
        <v>São Paulo</v>
      </c>
    </row>
    <row r="1741" spans="1:15" x14ac:dyDescent="0.3">
      <c r="A1741" s="10">
        <v>45901</v>
      </c>
      <c r="B1741" s="9" t="s">
        <v>3</v>
      </c>
      <c r="C1741" t="s">
        <v>363</v>
      </c>
      <c r="D1741" s="9">
        <v>19808</v>
      </c>
      <c r="E1741" s="5" t="s">
        <v>589</v>
      </c>
      <c r="F1741" t="s">
        <v>243</v>
      </c>
      <c r="G1741">
        <v>1570</v>
      </c>
      <c r="H1741">
        <v>377</v>
      </c>
      <c r="I1741" s="8">
        <f t="shared" si="163"/>
        <v>0.24012738853503185</v>
      </c>
      <c r="J1741" s="17">
        <v>0.7</v>
      </c>
      <c r="K1741" s="12">
        <v>13.75</v>
      </c>
      <c r="L1741" s="2">
        <f t="shared" si="165"/>
        <v>722</v>
      </c>
      <c r="M1741" s="15">
        <f t="shared" si="164"/>
        <v>9927.5</v>
      </c>
      <c r="N1741" t="str">
        <f t="shared" si="161"/>
        <v>SP</v>
      </c>
      <c r="O1741" t="str">
        <f t="shared" si="162"/>
        <v>São Caetano Do Sul</v>
      </c>
    </row>
    <row r="1742" spans="1:15" x14ac:dyDescent="0.3">
      <c r="A1742" s="10">
        <v>45901</v>
      </c>
      <c r="B1742" s="9" t="s">
        <v>3</v>
      </c>
      <c r="C1742" t="s">
        <v>248</v>
      </c>
      <c r="D1742" s="9">
        <v>19804</v>
      </c>
      <c r="E1742" s="5" t="s">
        <v>590</v>
      </c>
      <c r="F1742" t="s">
        <v>255</v>
      </c>
      <c r="G1742">
        <v>1496</v>
      </c>
      <c r="H1742">
        <v>427</v>
      </c>
      <c r="I1742" s="8">
        <f t="shared" si="163"/>
        <v>0.28542780748663099</v>
      </c>
      <c r="J1742" s="17">
        <v>0.7</v>
      </c>
      <c r="K1742" s="12">
        <v>13.75</v>
      </c>
      <c r="L1742" s="2">
        <f t="shared" si="165"/>
        <v>620.20000000000005</v>
      </c>
      <c r="M1742" s="15">
        <f t="shared" si="164"/>
        <v>8527.75</v>
      </c>
      <c r="N1742" t="str">
        <f t="shared" si="161"/>
        <v>SP</v>
      </c>
      <c r="O1742" t="str">
        <f t="shared" si="162"/>
        <v>São Paulo</v>
      </c>
    </row>
    <row r="1743" spans="1:15" x14ac:dyDescent="0.3">
      <c r="A1743" s="10">
        <v>45901</v>
      </c>
      <c r="B1743" s="9" t="s">
        <v>3</v>
      </c>
      <c r="C1743" t="s">
        <v>362</v>
      </c>
      <c r="D1743" s="9">
        <v>19820</v>
      </c>
      <c r="E1743" s="5" t="s">
        <v>591</v>
      </c>
      <c r="F1743" t="s">
        <v>242</v>
      </c>
      <c r="G1743">
        <v>1346</v>
      </c>
      <c r="H1743">
        <v>358</v>
      </c>
      <c r="I1743" s="8">
        <f t="shared" si="163"/>
        <v>0.26597325408618128</v>
      </c>
      <c r="J1743" s="17">
        <v>0.7</v>
      </c>
      <c r="K1743" s="12">
        <v>13.75</v>
      </c>
      <c r="L1743" s="2">
        <f t="shared" si="165"/>
        <v>584.19999999999993</v>
      </c>
      <c r="M1743" s="15">
        <f t="shared" si="164"/>
        <v>8032.7499999999991</v>
      </c>
      <c r="N1743" t="str">
        <f t="shared" si="161"/>
        <v>SP</v>
      </c>
      <c r="O1743" t="str">
        <f t="shared" si="162"/>
        <v>São Bernardo Do Campo</v>
      </c>
    </row>
    <row r="1744" spans="1:15" x14ac:dyDescent="0.3">
      <c r="A1744" s="10">
        <v>45901</v>
      </c>
      <c r="B1744" s="9" t="s">
        <v>3</v>
      </c>
      <c r="C1744" t="s">
        <v>24</v>
      </c>
      <c r="D1744" s="9">
        <v>19805</v>
      </c>
      <c r="E1744" s="5" t="s">
        <v>592</v>
      </c>
      <c r="F1744" t="s">
        <v>25</v>
      </c>
      <c r="G1744">
        <v>1398</v>
      </c>
      <c r="H1744">
        <v>576</v>
      </c>
      <c r="I1744" s="8">
        <f t="shared" si="163"/>
        <v>0.41201716738197425</v>
      </c>
      <c r="J1744" s="17">
        <v>0.7</v>
      </c>
      <c r="K1744" s="12">
        <v>13.75</v>
      </c>
      <c r="L1744" s="2">
        <f t="shared" si="165"/>
        <v>402.6</v>
      </c>
      <c r="M1744" s="15">
        <f t="shared" si="164"/>
        <v>5535.75</v>
      </c>
      <c r="N1744" t="str">
        <f t="shared" si="161"/>
        <v>SP</v>
      </c>
      <c r="O1744" t="str">
        <f t="shared" si="162"/>
        <v>Barueri</v>
      </c>
    </row>
    <row r="1745" spans="1:15" x14ac:dyDescent="0.3">
      <c r="A1745" s="10">
        <v>45901</v>
      </c>
      <c r="B1745" s="9" t="s">
        <v>14</v>
      </c>
      <c r="C1745" t="s">
        <v>29</v>
      </c>
      <c r="D1745" s="9">
        <v>19720</v>
      </c>
      <c r="E1745" s="5" t="s">
        <v>593</v>
      </c>
      <c r="F1745" t="s">
        <v>36</v>
      </c>
      <c r="G1745">
        <v>1598</v>
      </c>
      <c r="H1745">
        <v>582</v>
      </c>
      <c r="I1745" s="8">
        <f t="shared" si="163"/>
        <v>0.3642052565707134</v>
      </c>
      <c r="J1745" s="17">
        <v>0.7</v>
      </c>
      <c r="K1745" s="12">
        <v>13.75</v>
      </c>
      <c r="L1745" s="2">
        <f t="shared" si="165"/>
        <v>536.59999999999991</v>
      </c>
      <c r="M1745" s="15">
        <f t="shared" si="164"/>
        <v>7378.2499999999991</v>
      </c>
      <c r="N1745" t="str">
        <f t="shared" si="161"/>
        <v>MG</v>
      </c>
      <c r="O1745" t="str">
        <f t="shared" si="162"/>
        <v>Belo Horizonte</v>
      </c>
    </row>
    <row r="1746" spans="1:15" x14ac:dyDescent="0.3">
      <c r="A1746" s="10">
        <v>45901</v>
      </c>
      <c r="B1746" s="9" t="s">
        <v>3</v>
      </c>
      <c r="C1746" t="s">
        <v>108</v>
      </c>
      <c r="D1746" s="9">
        <v>19877</v>
      </c>
      <c r="E1746" s="5" t="s">
        <v>594</v>
      </c>
      <c r="F1746" t="s">
        <v>109</v>
      </c>
      <c r="G1746">
        <v>2085</v>
      </c>
      <c r="H1746">
        <v>698</v>
      </c>
      <c r="I1746" s="8">
        <f t="shared" si="163"/>
        <v>0.33477218225419664</v>
      </c>
      <c r="J1746" s="17">
        <v>0.7</v>
      </c>
      <c r="K1746" s="12">
        <v>13.75</v>
      </c>
      <c r="L1746" s="2">
        <f t="shared" si="165"/>
        <v>761.5</v>
      </c>
      <c r="M1746" s="15">
        <f t="shared" si="164"/>
        <v>10470.625</v>
      </c>
      <c r="N1746" t="str">
        <f t="shared" si="161"/>
        <v>SP</v>
      </c>
      <c r="O1746" t="str">
        <f t="shared" si="162"/>
        <v>Guarujá</v>
      </c>
    </row>
    <row r="1747" spans="1:15" x14ac:dyDescent="0.3">
      <c r="A1747" s="10">
        <v>45901</v>
      </c>
      <c r="B1747" s="9" t="s">
        <v>15</v>
      </c>
      <c r="C1747" t="s">
        <v>332</v>
      </c>
      <c r="D1747" s="9">
        <v>19679</v>
      </c>
      <c r="E1747" s="5" t="s">
        <v>571</v>
      </c>
      <c r="F1747" t="s">
        <v>333</v>
      </c>
      <c r="G1747">
        <v>2179</v>
      </c>
      <c r="H1747">
        <v>948</v>
      </c>
      <c r="I1747" s="8">
        <f t="shared" si="163"/>
        <v>0.43506195502524092</v>
      </c>
      <c r="J1747" s="17">
        <v>0.7</v>
      </c>
      <c r="K1747" s="12">
        <v>13.75</v>
      </c>
      <c r="L1747" s="2">
        <f t="shared" si="165"/>
        <v>577.29999999999995</v>
      </c>
      <c r="M1747" s="15">
        <f t="shared" si="164"/>
        <v>7937.8749999999991</v>
      </c>
      <c r="N1747" t="str">
        <f t="shared" si="161"/>
        <v>RJ</v>
      </c>
      <c r="O1747" t="str">
        <f t="shared" si="162"/>
        <v>Macaé</v>
      </c>
    </row>
    <row r="1748" spans="1:15" x14ac:dyDescent="0.3">
      <c r="A1748" s="10">
        <v>45901</v>
      </c>
      <c r="B1748" s="9" t="s">
        <v>59</v>
      </c>
      <c r="C1748" t="s">
        <v>104</v>
      </c>
      <c r="D1748" s="9">
        <v>19872</v>
      </c>
      <c r="E1748" s="5" t="s">
        <v>572</v>
      </c>
      <c r="F1748" t="s">
        <v>105</v>
      </c>
      <c r="G1748">
        <v>2215</v>
      </c>
      <c r="H1748">
        <v>968</v>
      </c>
      <c r="I1748" s="8">
        <f t="shared" si="163"/>
        <v>0.43702031602708802</v>
      </c>
      <c r="J1748" s="17">
        <v>0.7</v>
      </c>
      <c r="K1748" s="12">
        <v>13.75</v>
      </c>
      <c r="L1748" s="2">
        <f t="shared" si="165"/>
        <v>582.49999999999977</v>
      </c>
      <c r="M1748" s="15">
        <f t="shared" si="164"/>
        <v>8009.3749999999973</v>
      </c>
      <c r="N1748" t="str">
        <f t="shared" si="161"/>
        <v>ES</v>
      </c>
      <c r="O1748" t="str">
        <f t="shared" si="162"/>
        <v>Guarapari</v>
      </c>
    </row>
    <row r="1749" spans="1:15" x14ac:dyDescent="0.3">
      <c r="A1749" s="10">
        <v>45901</v>
      </c>
      <c r="B1749" s="9" t="s">
        <v>82</v>
      </c>
      <c r="C1749" t="s">
        <v>83</v>
      </c>
      <c r="D1749" s="9">
        <v>19547</v>
      </c>
      <c r="E1749" s="5" t="s">
        <v>573</v>
      </c>
      <c r="F1749" t="s">
        <v>87</v>
      </c>
      <c r="G1749">
        <v>2333</v>
      </c>
      <c r="H1749">
        <v>616</v>
      </c>
      <c r="I1749" s="8">
        <f t="shared" si="163"/>
        <v>0.26403771967423917</v>
      </c>
      <c r="J1749" s="17">
        <v>0.7</v>
      </c>
      <c r="K1749" s="12">
        <v>13.75</v>
      </c>
      <c r="L1749" s="2">
        <f t="shared" si="165"/>
        <v>1017.0999999999999</v>
      </c>
      <c r="M1749" s="15">
        <f t="shared" si="164"/>
        <v>13985.124999999998</v>
      </c>
      <c r="N1749" t="str">
        <f t="shared" si="161"/>
        <v>PR</v>
      </c>
      <c r="O1749" t="str">
        <f t="shared" si="162"/>
        <v>Curitiba</v>
      </c>
    </row>
    <row r="1750" spans="1:15" x14ac:dyDescent="0.3">
      <c r="A1750" s="10">
        <v>45901</v>
      </c>
      <c r="B1750" s="9" t="s">
        <v>15</v>
      </c>
      <c r="C1750" t="s">
        <v>145</v>
      </c>
      <c r="D1750" s="9">
        <v>19513</v>
      </c>
      <c r="E1750" s="5" t="s">
        <v>574</v>
      </c>
      <c r="F1750" t="s">
        <v>147</v>
      </c>
      <c r="G1750">
        <v>2771</v>
      </c>
      <c r="H1750">
        <v>847</v>
      </c>
      <c r="I1750" s="8">
        <f t="shared" si="163"/>
        <v>0.30566582461205338</v>
      </c>
      <c r="J1750" s="17">
        <v>0.7</v>
      </c>
      <c r="K1750" s="12">
        <v>13.75</v>
      </c>
      <c r="L1750" s="2">
        <f t="shared" si="165"/>
        <v>1092.7</v>
      </c>
      <c r="M1750" s="15">
        <f t="shared" si="164"/>
        <v>15024.625</v>
      </c>
      <c r="N1750" t="str">
        <f t="shared" si="161"/>
        <v>RJ</v>
      </c>
      <c r="O1750" t="str">
        <f t="shared" si="162"/>
        <v>Niterói</v>
      </c>
    </row>
    <row r="1751" spans="1:15" x14ac:dyDescent="0.3">
      <c r="A1751" s="10">
        <v>45901</v>
      </c>
      <c r="B1751" s="9" t="s">
        <v>15</v>
      </c>
      <c r="C1751" t="s">
        <v>145</v>
      </c>
      <c r="D1751" s="9">
        <v>19525</v>
      </c>
      <c r="E1751" s="5" t="s">
        <v>575</v>
      </c>
      <c r="F1751" t="s">
        <v>148</v>
      </c>
      <c r="G1751">
        <v>3340</v>
      </c>
      <c r="H1751">
        <v>1123</v>
      </c>
      <c r="I1751" s="8">
        <f t="shared" si="163"/>
        <v>0.33622754491017964</v>
      </c>
      <c r="J1751" s="17">
        <v>0.7</v>
      </c>
      <c r="K1751" s="12">
        <v>13.75</v>
      </c>
      <c r="L1751" s="2">
        <f t="shared" si="165"/>
        <v>1214.9999999999995</v>
      </c>
      <c r="M1751" s="15">
        <f t="shared" si="164"/>
        <v>16706.249999999993</v>
      </c>
      <c r="N1751" t="str">
        <f t="shared" si="161"/>
        <v>RJ</v>
      </c>
      <c r="O1751" t="str">
        <f t="shared" si="162"/>
        <v>Niterói</v>
      </c>
    </row>
    <row r="1752" spans="1:15" x14ac:dyDescent="0.3">
      <c r="A1752" s="10">
        <v>45901</v>
      </c>
      <c r="B1752" s="9" t="s">
        <v>15</v>
      </c>
      <c r="C1752" t="s">
        <v>341</v>
      </c>
      <c r="D1752" s="9">
        <v>19908</v>
      </c>
      <c r="E1752" s="5" t="s">
        <v>595</v>
      </c>
      <c r="F1752" t="s">
        <v>16</v>
      </c>
      <c r="G1752">
        <v>1491</v>
      </c>
      <c r="H1752">
        <v>703</v>
      </c>
      <c r="I1752" s="8">
        <f t="shared" si="163"/>
        <v>0.47149564050972503</v>
      </c>
      <c r="J1752" s="17">
        <v>0.7</v>
      </c>
      <c r="K1752" s="12">
        <v>13.75</v>
      </c>
      <c r="L1752" s="2">
        <f t="shared" si="165"/>
        <v>340.69999999999982</v>
      </c>
      <c r="M1752" s="15">
        <f t="shared" si="164"/>
        <v>4684.6249999999973</v>
      </c>
      <c r="N1752" t="str">
        <f t="shared" si="161"/>
        <v>RJ</v>
      </c>
      <c r="O1752" t="str">
        <f t="shared" si="162"/>
        <v>Armação Dos Búzios</v>
      </c>
    </row>
    <row r="1753" spans="1:15" x14ac:dyDescent="0.3">
      <c r="A1753" s="10">
        <v>45901</v>
      </c>
      <c r="B1753" s="9" t="s">
        <v>21</v>
      </c>
      <c r="C1753" t="s">
        <v>228</v>
      </c>
      <c r="D1753" s="9">
        <v>19625</v>
      </c>
      <c r="E1753" s="5" t="s">
        <v>596</v>
      </c>
      <c r="F1753" t="s">
        <v>231</v>
      </c>
      <c r="G1753">
        <v>2924</v>
      </c>
      <c r="H1753">
        <v>1267</v>
      </c>
      <c r="I1753" s="8">
        <f t="shared" si="163"/>
        <v>0.4333105335157319</v>
      </c>
      <c r="J1753" s="17">
        <v>0.7</v>
      </c>
      <c r="K1753" s="12">
        <v>13.75</v>
      </c>
      <c r="L1753" s="2">
        <f t="shared" si="165"/>
        <v>779.79999999999973</v>
      </c>
      <c r="M1753" s="15">
        <f t="shared" si="164"/>
        <v>10722.249999999996</v>
      </c>
      <c r="N1753" t="str">
        <f t="shared" si="161"/>
        <v>BA</v>
      </c>
      <c r="O1753" t="str">
        <f t="shared" si="162"/>
        <v>Salvador</v>
      </c>
    </row>
    <row r="1754" spans="1:15" x14ac:dyDescent="0.3">
      <c r="A1754" s="10">
        <v>45901</v>
      </c>
      <c r="B1754" s="9" t="s">
        <v>21</v>
      </c>
      <c r="C1754" t="s">
        <v>228</v>
      </c>
      <c r="D1754" s="9">
        <v>19771</v>
      </c>
      <c r="E1754" s="5" t="s">
        <v>576</v>
      </c>
      <c r="F1754" t="s">
        <v>235</v>
      </c>
      <c r="G1754">
        <v>1815</v>
      </c>
      <c r="H1754">
        <v>748</v>
      </c>
      <c r="I1754" s="8">
        <f t="shared" si="163"/>
        <v>0.41212121212121211</v>
      </c>
      <c r="J1754" s="17">
        <v>0.7</v>
      </c>
      <c r="K1754" s="12">
        <v>13.75</v>
      </c>
      <c r="L1754" s="2">
        <f t="shared" si="165"/>
        <v>522.5</v>
      </c>
      <c r="M1754" s="15">
        <f t="shared" si="164"/>
        <v>7184.375</v>
      </c>
      <c r="N1754" t="str">
        <f t="shared" si="161"/>
        <v>BA</v>
      </c>
      <c r="O1754" t="str">
        <f t="shared" si="162"/>
        <v>Salvador</v>
      </c>
    </row>
    <row r="1755" spans="1:15" x14ac:dyDescent="0.3">
      <c r="A1755" s="10">
        <v>45901</v>
      </c>
      <c r="B1755" s="9" t="s">
        <v>21</v>
      </c>
      <c r="C1755" t="s">
        <v>228</v>
      </c>
      <c r="D1755" s="9">
        <v>19689</v>
      </c>
      <c r="E1755" s="5" t="s">
        <v>597</v>
      </c>
      <c r="F1755" t="s">
        <v>230</v>
      </c>
      <c r="G1755">
        <v>2128</v>
      </c>
      <c r="H1755">
        <v>996</v>
      </c>
      <c r="I1755" s="8">
        <f t="shared" si="163"/>
        <v>0.46804511278195488</v>
      </c>
      <c r="J1755" s="17">
        <v>0.7</v>
      </c>
      <c r="K1755" s="12">
        <v>13.75</v>
      </c>
      <c r="L1755" s="2">
        <f t="shared" si="165"/>
        <v>493.59999999999991</v>
      </c>
      <c r="M1755" s="15">
        <f t="shared" si="164"/>
        <v>6786.9999999999991</v>
      </c>
      <c r="N1755" t="str">
        <f t="shared" si="161"/>
        <v>BA</v>
      </c>
      <c r="O1755" t="str">
        <f t="shared" si="162"/>
        <v>Salvador</v>
      </c>
    </row>
    <row r="1756" spans="1:15" x14ac:dyDescent="0.3">
      <c r="A1756" s="10">
        <v>45901</v>
      </c>
      <c r="B1756" s="9" t="s">
        <v>59</v>
      </c>
      <c r="C1756" t="s">
        <v>271</v>
      </c>
      <c r="D1756" s="9">
        <v>19775</v>
      </c>
      <c r="E1756" s="5" t="s">
        <v>598</v>
      </c>
      <c r="F1756" t="s">
        <v>272</v>
      </c>
      <c r="G1756">
        <v>1499</v>
      </c>
      <c r="H1756">
        <v>664</v>
      </c>
      <c r="I1756" s="8">
        <f t="shared" si="163"/>
        <v>0.4429619746497665</v>
      </c>
      <c r="J1756" s="17">
        <v>0.7</v>
      </c>
      <c r="K1756" s="12">
        <v>13.75</v>
      </c>
      <c r="L1756" s="2">
        <f t="shared" si="165"/>
        <v>385.29999999999995</v>
      </c>
      <c r="M1756" s="15">
        <f t="shared" si="164"/>
        <v>5297.8749999999991</v>
      </c>
      <c r="N1756" t="str">
        <f t="shared" si="161"/>
        <v>ES</v>
      </c>
      <c r="O1756" t="str">
        <f t="shared" si="162"/>
        <v>Serra</v>
      </c>
    </row>
    <row r="1757" spans="1:15" x14ac:dyDescent="0.3">
      <c r="A1757" s="10">
        <v>45901</v>
      </c>
      <c r="B1757" s="9" t="s">
        <v>59</v>
      </c>
      <c r="C1757" t="s">
        <v>292</v>
      </c>
      <c r="D1757" s="9">
        <v>19580</v>
      </c>
      <c r="E1757" s="5" t="s">
        <v>599</v>
      </c>
      <c r="F1757" t="s">
        <v>293</v>
      </c>
      <c r="G1757">
        <v>2352</v>
      </c>
      <c r="H1757">
        <v>725</v>
      </c>
      <c r="I1757" s="8">
        <f t="shared" si="163"/>
        <v>0.30824829931972791</v>
      </c>
      <c r="J1757" s="17">
        <v>0.7</v>
      </c>
      <c r="K1757" s="12">
        <v>13.75</v>
      </c>
      <c r="L1757" s="2">
        <f t="shared" si="165"/>
        <v>921.39999999999964</v>
      </c>
      <c r="M1757" s="15">
        <f t="shared" si="164"/>
        <v>12669.249999999995</v>
      </c>
      <c r="N1757" t="str">
        <f t="shared" si="161"/>
        <v>ES</v>
      </c>
      <c r="O1757" t="str">
        <f t="shared" si="162"/>
        <v>Vitória</v>
      </c>
    </row>
    <row r="1758" spans="1:15" x14ac:dyDescent="0.3">
      <c r="A1758" s="10">
        <v>45901</v>
      </c>
      <c r="B1758" s="9" t="s">
        <v>59</v>
      </c>
      <c r="C1758" t="s">
        <v>292</v>
      </c>
      <c r="D1758" s="9">
        <v>19719</v>
      </c>
      <c r="E1758" s="5" t="s">
        <v>600</v>
      </c>
      <c r="F1758" t="s">
        <v>294</v>
      </c>
      <c r="G1758">
        <v>1721</v>
      </c>
      <c r="H1758">
        <v>601</v>
      </c>
      <c r="I1758" s="8">
        <f t="shared" si="163"/>
        <v>0.34921557234166184</v>
      </c>
      <c r="J1758" s="17">
        <v>0.7</v>
      </c>
      <c r="K1758" s="12">
        <v>13.75</v>
      </c>
      <c r="L1758" s="2">
        <f t="shared" si="165"/>
        <v>603.69999999999982</v>
      </c>
      <c r="M1758" s="15">
        <f t="shared" si="164"/>
        <v>8300.8749999999982</v>
      </c>
      <c r="N1758" t="str">
        <f t="shared" si="161"/>
        <v>ES</v>
      </c>
      <c r="O1758" t="str">
        <f t="shared" si="162"/>
        <v>Vitória</v>
      </c>
    </row>
    <row r="1759" spans="1:15" x14ac:dyDescent="0.3">
      <c r="A1759" s="10">
        <v>45901</v>
      </c>
      <c r="B1759" s="9" t="s">
        <v>3</v>
      </c>
      <c r="C1759" t="s">
        <v>193</v>
      </c>
      <c r="D1759" s="9">
        <v>19832</v>
      </c>
      <c r="E1759" s="5" t="s">
        <v>601</v>
      </c>
      <c r="F1759" t="s">
        <v>194</v>
      </c>
      <c r="G1759">
        <v>1406</v>
      </c>
      <c r="H1759">
        <v>386</v>
      </c>
      <c r="I1759" s="8">
        <f t="shared" si="163"/>
        <v>0.27453769559032715</v>
      </c>
      <c r="J1759" s="17">
        <v>0.7</v>
      </c>
      <c r="K1759" s="12">
        <v>13.75</v>
      </c>
      <c r="L1759" s="2">
        <f t="shared" si="165"/>
        <v>598.20000000000005</v>
      </c>
      <c r="M1759" s="15">
        <f t="shared" si="164"/>
        <v>8225.25</v>
      </c>
      <c r="N1759" t="str">
        <f t="shared" si="161"/>
        <v>SP</v>
      </c>
      <c r="O1759" t="str">
        <f t="shared" si="162"/>
        <v>Ribeirão Preto</v>
      </c>
    </row>
    <row r="1760" spans="1:15" x14ac:dyDescent="0.3">
      <c r="A1760" s="10">
        <v>45901</v>
      </c>
      <c r="B1760" s="9" t="s">
        <v>6</v>
      </c>
      <c r="C1760" t="s">
        <v>236</v>
      </c>
      <c r="D1760" s="9">
        <v>19606</v>
      </c>
      <c r="E1760" s="5" t="s">
        <v>602</v>
      </c>
      <c r="F1760" t="s">
        <v>237</v>
      </c>
      <c r="G1760">
        <v>2495</v>
      </c>
      <c r="H1760">
        <v>1245</v>
      </c>
      <c r="I1760" s="8">
        <f t="shared" si="163"/>
        <v>0.49899799599198397</v>
      </c>
      <c r="J1760" s="17">
        <v>0.7</v>
      </c>
      <c r="K1760" s="12">
        <v>13.75</v>
      </c>
      <c r="L1760" s="2">
        <f t="shared" si="165"/>
        <v>501.5</v>
      </c>
      <c r="M1760" s="15">
        <f t="shared" si="164"/>
        <v>6895.625</v>
      </c>
      <c r="N1760" t="str">
        <f t="shared" si="161"/>
        <v>PA</v>
      </c>
      <c r="O1760" t="str">
        <f t="shared" si="162"/>
        <v>Santarém</v>
      </c>
    </row>
    <row r="1761" spans="1:15" x14ac:dyDescent="0.3">
      <c r="A1761" s="10">
        <v>45901</v>
      </c>
      <c r="B1761" s="9" t="s">
        <v>14</v>
      </c>
      <c r="C1761" t="s">
        <v>29</v>
      </c>
      <c r="D1761" s="9">
        <v>19759</v>
      </c>
      <c r="E1761" s="5" t="s">
        <v>603</v>
      </c>
      <c r="F1761" t="s">
        <v>38</v>
      </c>
      <c r="G1761">
        <v>2116</v>
      </c>
      <c r="H1761">
        <v>1067</v>
      </c>
      <c r="I1761" s="8">
        <f t="shared" si="163"/>
        <v>0.50425330812854441</v>
      </c>
      <c r="J1761" s="17">
        <v>0.7</v>
      </c>
      <c r="K1761" s="12">
        <v>13.75</v>
      </c>
      <c r="L1761" s="2">
        <f t="shared" si="165"/>
        <v>414.20000000000005</v>
      </c>
      <c r="M1761" s="15">
        <f t="shared" si="164"/>
        <v>5695.2500000000009</v>
      </c>
      <c r="N1761" t="str">
        <f t="shared" si="161"/>
        <v>MG</v>
      </c>
      <c r="O1761" t="str">
        <f t="shared" si="162"/>
        <v>Belo Horizonte</v>
      </c>
    </row>
    <row r="1762" spans="1:15" x14ac:dyDescent="0.3">
      <c r="A1762" s="10">
        <v>45901</v>
      </c>
      <c r="B1762" s="9" t="s">
        <v>61</v>
      </c>
      <c r="C1762" t="s">
        <v>328</v>
      </c>
      <c r="D1762" s="9">
        <v>19706</v>
      </c>
      <c r="E1762" s="5" t="s">
        <v>604</v>
      </c>
      <c r="F1762" t="s">
        <v>77</v>
      </c>
      <c r="G1762">
        <v>2179</v>
      </c>
      <c r="H1762">
        <v>977</v>
      </c>
      <c r="I1762" s="8">
        <f t="shared" si="163"/>
        <v>0.44837081229921982</v>
      </c>
      <c r="J1762" s="17">
        <v>0.7</v>
      </c>
      <c r="K1762" s="12">
        <v>13.75</v>
      </c>
      <c r="L1762" s="2">
        <f t="shared" si="165"/>
        <v>548.29999999999995</v>
      </c>
      <c r="M1762" s="15">
        <f t="shared" si="164"/>
        <v>7539.1249999999991</v>
      </c>
      <c r="N1762" t="str">
        <f t="shared" si="161"/>
        <v>PB</v>
      </c>
      <c r="O1762" t="str">
        <f t="shared" si="162"/>
        <v>João Pessoa</v>
      </c>
    </row>
    <row r="1763" spans="1:15" x14ac:dyDescent="0.3">
      <c r="A1763" s="10">
        <v>45901</v>
      </c>
      <c r="B1763" s="9" t="s">
        <v>15</v>
      </c>
      <c r="C1763" t="s">
        <v>171</v>
      </c>
      <c r="D1763" s="9">
        <v>19520</v>
      </c>
      <c r="E1763" s="5" t="s">
        <v>605</v>
      </c>
      <c r="F1763" t="s">
        <v>172</v>
      </c>
      <c r="G1763">
        <v>1159</v>
      </c>
      <c r="H1763">
        <v>498</v>
      </c>
      <c r="I1763" s="8">
        <f t="shared" si="163"/>
        <v>0.4296807592752373</v>
      </c>
      <c r="J1763" s="17">
        <v>0.7</v>
      </c>
      <c r="K1763" s="12">
        <v>13.75</v>
      </c>
      <c r="L1763" s="2">
        <f t="shared" si="165"/>
        <v>313.29999999999984</v>
      </c>
      <c r="M1763" s="15">
        <f t="shared" si="164"/>
        <v>4307.8749999999982</v>
      </c>
      <c r="N1763" t="str">
        <f t="shared" si="161"/>
        <v>RJ</v>
      </c>
      <c r="O1763" t="str">
        <f t="shared" si="162"/>
        <v>Petrópolis</v>
      </c>
    </row>
    <row r="1764" spans="1:15" x14ac:dyDescent="0.3">
      <c r="A1764" s="10">
        <v>45901</v>
      </c>
      <c r="B1764" s="9" t="s">
        <v>40</v>
      </c>
      <c r="C1764" t="s">
        <v>41</v>
      </c>
      <c r="D1764" s="9">
        <v>19868</v>
      </c>
      <c r="E1764" s="5" t="s">
        <v>606</v>
      </c>
      <c r="F1764" t="s">
        <v>43</v>
      </c>
      <c r="G1764">
        <v>1836</v>
      </c>
      <c r="H1764">
        <v>1153</v>
      </c>
      <c r="I1764" s="8">
        <f t="shared" si="163"/>
        <v>0.62799564270152508</v>
      </c>
      <c r="J1764" s="17">
        <v>0.7</v>
      </c>
      <c r="K1764" s="12">
        <v>13.75</v>
      </c>
      <c r="L1764" s="2">
        <f t="shared" ref="L1764:L1795" si="166">H1764*J1764/I1764-H1764</f>
        <v>132.19999999999982</v>
      </c>
      <c r="M1764" s="15">
        <f t="shared" si="164"/>
        <v>1817.7499999999975</v>
      </c>
      <c r="N1764" t="str">
        <f t="shared" si="161"/>
        <v>RR</v>
      </c>
      <c r="O1764" t="str">
        <f t="shared" si="162"/>
        <v>Boa Vista</v>
      </c>
    </row>
    <row r="1765" spans="1:15" x14ac:dyDescent="0.3">
      <c r="A1765" s="10">
        <v>45901</v>
      </c>
      <c r="B1765" s="9" t="s">
        <v>15</v>
      </c>
      <c r="C1765" t="s">
        <v>151</v>
      </c>
      <c r="D1765" s="9">
        <v>19599</v>
      </c>
      <c r="E1765" s="5" t="s">
        <v>607</v>
      </c>
      <c r="F1765" t="s">
        <v>152</v>
      </c>
      <c r="G1765">
        <v>2648</v>
      </c>
      <c r="H1765">
        <v>1191</v>
      </c>
      <c r="I1765" s="8">
        <f t="shared" si="163"/>
        <v>0.44977341389728098</v>
      </c>
      <c r="J1765" s="17">
        <v>0.7</v>
      </c>
      <c r="K1765" s="12">
        <v>13.75</v>
      </c>
      <c r="L1765" s="2">
        <f t="shared" si="166"/>
        <v>662.59999999999968</v>
      </c>
      <c r="M1765" s="15">
        <f t="shared" si="164"/>
        <v>9110.7499999999964</v>
      </c>
      <c r="N1765" t="str">
        <f t="shared" si="161"/>
        <v>RJ</v>
      </c>
      <c r="O1765" t="str">
        <f t="shared" si="162"/>
        <v>Nova Iguaçu</v>
      </c>
    </row>
    <row r="1766" spans="1:15" x14ac:dyDescent="0.3">
      <c r="A1766" s="10">
        <v>45901</v>
      </c>
      <c r="B1766" s="9" t="s">
        <v>3</v>
      </c>
      <c r="C1766" t="s">
        <v>248</v>
      </c>
      <c r="D1766" s="9">
        <v>19855</v>
      </c>
      <c r="E1766" s="5" t="s">
        <v>608</v>
      </c>
      <c r="F1766" t="s">
        <v>257</v>
      </c>
      <c r="G1766">
        <v>1296</v>
      </c>
      <c r="H1766">
        <v>494</v>
      </c>
      <c r="I1766" s="8">
        <f t="shared" si="163"/>
        <v>0.38117283950617287</v>
      </c>
      <c r="J1766" s="17">
        <v>0.7</v>
      </c>
      <c r="K1766" s="12">
        <v>13.75</v>
      </c>
      <c r="L1766" s="2">
        <f t="shared" si="166"/>
        <v>413.19999999999982</v>
      </c>
      <c r="M1766" s="15">
        <f t="shared" si="164"/>
        <v>5681.4999999999973</v>
      </c>
      <c r="N1766" t="str">
        <f t="shared" si="161"/>
        <v>SP</v>
      </c>
      <c r="O1766" t="str">
        <f t="shared" si="162"/>
        <v>São Paulo</v>
      </c>
    </row>
    <row r="1767" spans="1:15" x14ac:dyDescent="0.3">
      <c r="A1767" s="10">
        <v>45901</v>
      </c>
      <c r="B1767" s="9" t="s">
        <v>3</v>
      </c>
      <c r="C1767" t="s">
        <v>248</v>
      </c>
      <c r="D1767" s="9">
        <v>19821</v>
      </c>
      <c r="E1767" s="5" t="s">
        <v>609</v>
      </c>
      <c r="F1767" t="s">
        <v>256</v>
      </c>
      <c r="G1767">
        <v>1800</v>
      </c>
      <c r="H1767">
        <v>580</v>
      </c>
      <c r="I1767" s="8">
        <f t="shared" si="163"/>
        <v>0.32222222222222224</v>
      </c>
      <c r="J1767" s="17">
        <v>0.7</v>
      </c>
      <c r="K1767" s="12">
        <v>13.75</v>
      </c>
      <c r="L1767" s="2">
        <f t="shared" si="166"/>
        <v>680</v>
      </c>
      <c r="M1767" s="15">
        <f t="shared" si="164"/>
        <v>9350</v>
      </c>
      <c r="N1767" t="str">
        <f t="shared" si="161"/>
        <v>SP</v>
      </c>
      <c r="O1767" t="str">
        <f t="shared" si="162"/>
        <v>São Paulo</v>
      </c>
    </row>
    <row r="1768" spans="1:15" x14ac:dyDescent="0.3">
      <c r="A1768" s="10">
        <v>45901</v>
      </c>
      <c r="B1768" s="9" t="s">
        <v>14</v>
      </c>
      <c r="C1768" t="s">
        <v>283</v>
      </c>
      <c r="D1768" s="9">
        <v>19912</v>
      </c>
      <c r="E1768" s="5" t="s">
        <v>610</v>
      </c>
      <c r="F1768" t="s">
        <v>284</v>
      </c>
      <c r="G1768">
        <v>1153</v>
      </c>
      <c r="H1768">
        <v>547</v>
      </c>
      <c r="I1768" s="8">
        <f t="shared" si="163"/>
        <v>0.47441457068516912</v>
      </c>
      <c r="J1768" s="17">
        <v>0.7</v>
      </c>
      <c r="K1768" s="12">
        <v>13.75</v>
      </c>
      <c r="L1768" s="2">
        <f t="shared" si="166"/>
        <v>260.09999999999991</v>
      </c>
      <c r="M1768" s="15">
        <f t="shared" si="164"/>
        <v>3576.3749999999986</v>
      </c>
      <c r="N1768" t="str">
        <f t="shared" si="161"/>
        <v>MG</v>
      </c>
      <c r="O1768" t="str">
        <f t="shared" si="162"/>
        <v>Uberaba</v>
      </c>
    </row>
    <row r="1769" spans="1:15" x14ac:dyDescent="0.3">
      <c r="A1769" s="10">
        <v>45901</v>
      </c>
      <c r="B1769" s="9" t="s">
        <v>82</v>
      </c>
      <c r="C1769" t="s">
        <v>349</v>
      </c>
      <c r="D1769" s="9">
        <v>19772</v>
      </c>
      <c r="E1769" s="5" t="s">
        <v>613</v>
      </c>
      <c r="F1769" t="s">
        <v>96</v>
      </c>
      <c r="G1769">
        <v>1345</v>
      </c>
      <c r="H1769">
        <v>694</v>
      </c>
      <c r="I1769" s="8">
        <f t="shared" si="163"/>
        <v>0.51598513011152414</v>
      </c>
      <c r="J1769" s="17">
        <v>0.7</v>
      </c>
      <c r="K1769" s="12">
        <v>13.75</v>
      </c>
      <c r="L1769" s="2">
        <f t="shared" si="166"/>
        <v>247.5</v>
      </c>
      <c r="M1769" s="15">
        <f t="shared" si="164"/>
        <v>3403.125</v>
      </c>
      <c r="N1769" t="str">
        <f t="shared" si="161"/>
        <v>PR</v>
      </c>
      <c r="O1769" t="str">
        <f t="shared" si="162"/>
        <v>Foz Do Iguaçu</v>
      </c>
    </row>
    <row r="1770" spans="1:15" x14ac:dyDescent="0.3">
      <c r="A1770" s="10">
        <v>45901</v>
      </c>
      <c r="B1770" s="9" t="s">
        <v>15</v>
      </c>
      <c r="C1770" t="s">
        <v>358</v>
      </c>
      <c r="D1770" s="9">
        <v>19685</v>
      </c>
      <c r="E1770" s="5" t="s">
        <v>359</v>
      </c>
      <c r="F1770" t="s">
        <v>198</v>
      </c>
      <c r="G1770">
        <v>1382</v>
      </c>
      <c r="H1770">
        <v>561</v>
      </c>
      <c r="I1770" s="8">
        <f t="shared" si="163"/>
        <v>0.40593342981186686</v>
      </c>
      <c r="J1770" s="17">
        <v>0.7</v>
      </c>
      <c r="K1770" s="12">
        <v>13.75</v>
      </c>
      <c r="L1770" s="2">
        <f t="shared" si="166"/>
        <v>406.4</v>
      </c>
      <c r="M1770" s="15">
        <f t="shared" si="164"/>
        <v>5588</v>
      </c>
      <c r="N1770" t="str">
        <f t="shared" si="161"/>
        <v>RJ</v>
      </c>
      <c r="O1770" t="str">
        <f t="shared" si="162"/>
        <v>Rio De Janeiro</v>
      </c>
    </row>
    <row r="1771" spans="1:15" x14ac:dyDescent="0.3">
      <c r="A1771" s="10">
        <v>45931</v>
      </c>
      <c r="B1771" s="9" t="s">
        <v>71</v>
      </c>
      <c r="C1771" t="s">
        <v>175</v>
      </c>
      <c r="D1771" s="9">
        <v>19540</v>
      </c>
      <c r="E1771" s="5" t="s">
        <v>370</v>
      </c>
      <c r="F1771" t="s">
        <v>176</v>
      </c>
      <c r="G1771">
        <v>4842</v>
      </c>
      <c r="H1771">
        <v>1911</v>
      </c>
      <c r="I1771" s="8">
        <f t="shared" si="163"/>
        <v>0.39467162329615862</v>
      </c>
      <c r="J1771" s="17">
        <v>0.7</v>
      </c>
      <c r="K1771" s="12">
        <v>13.75</v>
      </c>
      <c r="L1771" s="2">
        <f t="shared" si="166"/>
        <v>1478.3999999999996</v>
      </c>
      <c r="M1771" s="15">
        <f t="shared" si="164"/>
        <v>20327.999999999996</v>
      </c>
      <c r="N1771" t="str">
        <f t="shared" si="161"/>
        <v>RS</v>
      </c>
      <c r="O1771" t="str">
        <f t="shared" si="162"/>
        <v>Porto Alegre</v>
      </c>
    </row>
    <row r="1772" spans="1:15" x14ac:dyDescent="0.3">
      <c r="A1772" s="10">
        <v>45931</v>
      </c>
      <c r="B1772" s="9" t="s">
        <v>15</v>
      </c>
      <c r="C1772" t="s">
        <v>358</v>
      </c>
      <c r="D1772" s="9">
        <v>19521</v>
      </c>
      <c r="E1772" s="5" t="s">
        <v>371</v>
      </c>
      <c r="F1772" t="s">
        <v>199</v>
      </c>
      <c r="G1772">
        <v>3430</v>
      </c>
      <c r="H1772">
        <v>1619</v>
      </c>
      <c r="I1772" s="8">
        <f t="shared" si="163"/>
        <v>0.4720116618075802</v>
      </c>
      <c r="J1772" s="17">
        <v>0.7</v>
      </c>
      <c r="K1772" s="12">
        <v>13.75</v>
      </c>
      <c r="L1772" s="2">
        <f t="shared" si="166"/>
        <v>782</v>
      </c>
      <c r="M1772" s="15">
        <f t="shared" si="164"/>
        <v>10752.5</v>
      </c>
      <c r="N1772" t="str">
        <f t="shared" si="161"/>
        <v>RJ</v>
      </c>
      <c r="O1772" t="str">
        <f t="shared" si="162"/>
        <v>Rio De Janeiro</v>
      </c>
    </row>
    <row r="1773" spans="1:15" x14ac:dyDescent="0.3">
      <c r="A1773" s="10">
        <v>45931</v>
      </c>
      <c r="B1773" s="9" t="s">
        <v>14</v>
      </c>
      <c r="C1773" t="s">
        <v>285</v>
      </c>
      <c r="D1773" s="9">
        <v>19563</v>
      </c>
      <c r="E1773" s="5" t="s">
        <v>374</v>
      </c>
      <c r="F1773" t="s">
        <v>286</v>
      </c>
      <c r="G1773">
        <v>2825</v>
      </c>
      <c r="H1773">
        <v>990</v>
      </c>
      <c r="I1773" s="8">
        <f t="shared" si="163"/>
        <v>0.35044247787610622</v>
      </c>
      <c r="J1773" s="17">
        <v>0.7</v>
      </c>
      <c r="K1773" s="12">
        <v>13.75</v>
      </c>
      <c r="L1773" s="2">
        <f t="shared" si="166"/>
        <v>987.49999999999977</v>
      </c>
      <c r="M1773" s="15">
        <f t="shared" si="164"/>
        <v>13578.124999999996</v>
      </c>
      <c r="N1773" t="str">
        <f t="shared" si="161"/>
        <v>MG</v>
      </c>
      <c r="O1773" t="str">
        <f t="shared" si="162"/>
        <v>Uberlândia</v>
      </c>
    </row>
    <row r="1774" spans="1:15" x14ac:dyDescent="0.3">
      <c r="A1774" s="10">
        <v>45931</v>
      </c>
      <c r="B1774" s="9" t="s">
        <v>6</v>
      </c>
      <c r="C1774" t="s">
        <v>26</v>
      </c>
      <c r="D1774" s="9">
        <v>19597</v>
      </c>
      <c r="E1774" s="5" t="s">
        <v>375</v>
      </c>
      <c r="F1774" t="s">
        <v>27</v>
      </c>
      <c r="G1774">
        <v>3472</v>
      </c>
      <c r="H1774">
        <v>2019</v>
      </c>
      <c r="I1774" s="8">
        <f t="shared" si="163"/>
        <v>0.58150921658986177</v>
      </c>
      <c r="J1774" s="17">
        <v>0.7</v>
      </c>
      <c r="K1774" s="12">
        <v>13.75</v>
      </c>
      <c r="L1774" s="2">
        <f t="shared" si="166"/>
        <v>411.39999999999964</v>
      </c>
      <c r="M1774" s="15">
        <f t="shared" si="164"/>
        <v>5656.7499999999945</v>
      </c>
      <c r="N1774" t="str">
        <f t="shared" si="161"/>
        <v>PA</v>
      </c>
      <c r="O1774" t="str">
        <f t="shared" si="162"/>
        <v>Belém</v>
      </c>
    </row>
    <row r="1775" spans="1:15" x14ac:dyDescent="0.3">
      <c r="A1775" s="10">
        <v>45931</v>
      </c>
      <c r="B1775" s="9" t="s">
        <v>15</v>
      </c>
      <c r="C1775" t="s">
        <v>296</v>
      </c>
      <c r="D1775" s="9">
        <v>19524</v>
      </c>
      <c r="E1775" s="5" t="s">
        <v>376</v>
      </c>
      <c r="F1775" t="s">
        <v>297</v>
      </c>
      <c r="G1775">
        <v>2174</v>
      </c>
      <c r="H1775">
        <v>902</v>
      </c>
      <c r="I1775" s="8">
        <f t="shared" si="163"/>
        <v>0.41490340386384544</v>
      </c>
      <c r="J1775" s="17">
        <v>0.7</v>
      </c>
      <c r="K1775" s="12">
        <v>13.75</v>
      </c>
      <c r="L1775" s="2">
        <f t="shared" si="166"/>
        <v>619.79999999999995</v>
      </c>
      <c r="M1775" s="15">
        <f t="shared" si="164"/>
        <v>8522.25</v>
      </c>
      <c r="N1775" t="str">
        <f t="shared" si="161"/>
        <v>RJ</v>
      </c>
      <c r="O1775" t="str">
        <f t="shared" si="162"/>
        <v>Volta Redonda</v>
      </c>
    </row>
    <row r="1776" spans="1:15" x14ac:dyDescent="0.3">
      <c r="A1776" s="10">
        <v>45931</v>
      </c>
      <c r="B1776" s="9" t="s">
        <v>160</v>
      </c>
      <c r="C1776" t="s">
        <v>279</v>
      </c>
      <c r="D1776" s="9">
        <v>19564</v>
      </c>
      <c r="E1776" s="5" t="s">
        <v>378</v>
      </c>
      <c r="F1776" t="s">
        <v>280</v>
      </c>
      <c r="G1776">
        <v>1478</v>
      </c>
      <c r="H1776">
        <v>714</v>
      </c>
      <c r="I1776" s="8">
        <f t="shared" si="163"/>
        <v>0.48308525033829497</v>
      </c>
      <c r="J1776" s="17">
        <v>0.7</v>
      </c>
      <c r="K1776" s="12">
        <v>13.75</v>
      </c>
      <c r="L1776" s="2">
        <f t="shared" si="166"/>
        <v>320.59999999999991</v>
      </c>
      <c r="M1776" s="15">
        <f t="shared" si="164"/>
        <v>4408.2499999999991</v>
      </c>
      <c r="N1776" t="str">
        <f t="shared" si="161"/>
        <v>PI</v>
      </c>
      <c r="O1776" t="str">
        <f t="shared" si="162"/>
        <v>Teresina</v>
      </c>
    </row>
    <row r="1777" spans="1:15" x14ac:dyDescent="0.3">
      <c r="A1777" s="10">
        <v>45931</v>
      </c>
      <c r="B1777" s="9" t="s">
        <v>15</v>
      </c>
      <c r="C1777" t="s">
        <v>358</v>
      </c>
      <c r="D1777" s="9">
        <v>19536</v>
      </c>
      <c r="E1777" s="5" t="s">
        <v>379</v>
      </c>
      <c r="F1777" t="s">
        <v>200</v>
      </c>
      <c r="G1777">
        <v>2618</v>
      </c>
      <c r="H1777">
        <v>1009</v>
      </c>
      <c r="I1777" s="8">
        <f t="shared" si="163"/>
        <v>0.38540870893812068</v>
      </c>
      <c r="J1777" s="17">
        <v>0.7</v>
      </c>
      <c r="K1777" s="12">
        <v>13.75</v>
      </c>
      <c r="L1777" s="2">
        <f t="shared" si="166"/>
        <v>823.59999999999991</v>
      </c>
      <c r="M1777" s="15">
        <f t="shared" si="164"/>
        <v>11324.499999999998</v>
      </c>
      <c r="N1777" t="str">
        <f t="shared" si="161"/>
        <v>RJ</v>
      </c>
      <c r="O1777" t="str">
        <f t="shared" si="162"/>
        <v>Rio De Janeiro</v>
      </c>
    </row>
    <row r="1778" spans="1:15" x14ac:dyDescent="0.3">
      <c r="A1778" s="10">
        <v>45931</v>
      </c>
      <c r="B1778" s="9" t="s">
        <v>15</v>
      </c>
      <c r="C1778" t="s">
        <v>358</v>
      </c>
      <c r="D1778" s="9">
        <v>19727</v>
      </c>
      <c r="E1778" s="5" t="s">
        <v>380</v>
      </c>
      <c r="F1778" t="s">
        <v>201</v>
      </c>
      <c r="G1778">
        <v>1661</v>
      </c>
      <c r="H1778">
        <v>703</v>
      </c>
      <c r="I1778" s="8">
        <f t="shared" si="163"/>
        <v>0.42323901264298613</v>
      </c>
      <c r="J1778" s="17">
        <v>0.7</v>
      </c>
      <c r="K1778" s="12">
        <v>13.75</v>
      </c>
      <c r="L1778" s="2">
        <f t="shared" si="166"/>
        <v>459.70000000000005</v>
      </c>
      <c r="M1778" s="15">
        <f t="shared" si="164"/>
        <v>6320.8750000000009</v>
      </c>
      <c r="N1778" t="str">
        <f t="shared" si="161"/>
        <v>RJ</v>
      </c>
      <c r="O1778" t="str">
        <f t="shared" si="162"/>
        <v>Rio De Janeiro</v>
      </c>
    </row>
    <row r="1779" spans="1:15" x14ac:dyDescent="0.3">
      <c r="A1779" s="10">
        <v>45931</v>
      </c>
      <c r="B1779" s="9" t="s">
        <v>3</v>
      </c>
      <c r="C1779" t="s">
        <v>248</v>
      </c>
      <c r="D1779" s="9">
        <v>19572</v>
      </c>
      <c r="E1779" s="5" t="s">
        <v>381</v>
      </c>
      <c r="F1779" t="s">
        <v>249</v>
      </c>
      <c r="G1779">
        <v>4437</v>
      </c>
      <c r="H1779">
        <v>1688</v>
      </c>
      <c r="I1779" s="8">
        <f t="shared" si="163"/>
        <v>0.38043723236421007</v>
      </c>
      <c r="J1779" s="17">
        <v>0.7</v>
      </c>
      <c r="K1779" s="12">
        <v>13.75</v>
      </c>
      <c r="L1779" s="2">
        <f t="shared" si="166"/>
        <v>1417.8999999999996</v>
      </c>
      <c r="M1779" s="15">
        <f t="shared" si="164"/>
        <v>19496.124999999996</v>
      </c>
      <c r="N1779" t="str">
        <f t="shared" si="161"/>
        <v>SP</v>
      </c>
      <c r="O1779" t="str">
        <f t="shared" si="162"/>
        <v>São Paulo</v>
      </c>
    </row>
    <row r="1780" spans="1:15" x14ac:dyDescent="0.3">
      <c r="A1780" s="10">
        <v>45931</v>
      </c>
      <c r="B1780" s="9" t="s">
        <v>3</v>
      </c>
      <c r="C1780" t="s">
        <v>167</v>
      </c>
      <c r="D1780" s="9">
        <v>19578</v>
      </c>
      <c r="E1780" s="5" t="s">
        <v>382</v>
      </c>
      <c r="F1780" t="s">
        <v>168</v>
      </c>
      <c r="G1780">
        <v>2537</v>
      </c>
      <c r="H1780">
        <v>791</v>
      </c>
      <c r="I1780" s="8">
        <f t="shared" si="163"/>
        <v>0.31178557351202207</v>
      </c>
      <c r="J1780" s="17">
        <v>0.7</v>
      </c>
      <c r="K1780" s="12">
        <v>13.75</v>
      </c>
      <c r="L1780" s="2">
        <f t="shared" si="166"/>
        <v>984.89999999999986</v>
      </c>
      <c r="M1780" s="15">
        <f t="shared" si="164"/>
        <v>13542.374999999998</v>
      </c>
      <c r="N1780" t="str">
        <f t="shared" si="161"/>
        <v>SP</v>
      </c>
      <c r="O1780" t="str">
        <f t="shared" si="162"/>
        <v>Perdizes</v>
      </c>
    </row>
    <row r="1781" spans="1:15" x14ac:dyDescent="0.3">
      <c r="A1781" s="10">
        <v>45931</v>
      </c>
      <c r="B1781" s="9" t="s">
        <v>3</v>
      </c>
      <c r="C1781" t="s">
        <v>248</v>
      </c>
      <c r="D1781" s="9">
        <v>19774</v>
      </c>
      <c r="E1781" s="5" t="s">
        <v>383</v>
      </c>
      <c r="F1781" t="s">
        <v>250</v>
      </c>
      <c r="G1781">
        <v>3543</v>
      </c>
      <c r="H1781">
        <v>1153</v>
      </c>
      <c r="I1781" s="8">
        <f t="shared" si="163"/>
        <v>0.32543042619249224</v>
      </c>
      <c r="J1781" s="17">
        <v>0.7</v>
      </c>
      <c r="K1781" s="12">
        <v>13.75</v>
      </c>
      <c r="L1781" s="2">
        <f t="shared" si="166"/>
        <v>1327.1</v>
      </c>
      <c r="M1781" s="15">
        <f t="shared" si="164"/>
        <v>18247.625</v>
      </c>
      <c r="N1781" t="str">
        <f t="shared" si="161"/>
        <v>SP</v>
      </c>
      <c r="O1781" t="str">
        <f t="shared" si="162"/>
        <v>São Paulo</v>
      </c>
    </row>
    <row r="1782" spans="1:15" x14ac:dyDescent="0.3">
      <c r="A1782" s="10">
        <v>45931</v>
      </c>
      <c r="B1782" s="9" t="s">
        <v>46</v>
      </c>
      <c r="C1782" t="s">
        <v>47</v>
      </c>
      <c r="D1782" s="9">
        <v>19551</v>
      </c>
      <c r="E1782" s="5" t="s">
        <v>384</v>
      </c>
      <c r="F1782" t="s">
        <v>48</v>
      </c>
      <c r="G1782">
        <v>2716</v>
      </c>
      <c r="H1782">
        <v>1098</v>
      </c>
      <c r="I1782" s="8">
        <f t="shared" si="163"/>
        <v>0.40427098674521356</v>
      </c>
      <c r="J1782" s="17">
        <v>0.7</v>
      </c>
      <c r="K1782" s="12">
        <v>13.75</v>
      </c>
      <c r="L1782" s="2">
        <f t="shared" si="166"/>
        <v>803.19999999999982</v>
      </c>
      <c r="M1782" s="15">
        <f t="shared" si="164"/>
        <v>11043.999999999998</v>
      </c>
      <c r="N1782" t="str">
        <f t="shared" si="161"/>
        <v>DF</v>
      </c>
      <c r="O1782" t="str">
        <f t="shared" si="162"/>
        <v>Brasília</v>
      </c>
    </row>
    <row r="1783" spans="1:15" x14ac:dyDescent="0.3">
      <c r="A1783" s="10">
        <v>45931</v>
      </c>
      <c r="B1783" s="9" t="s">
        <v>15</v>
      </c>
      <c r="C1783" t="s">
        <v>151</v>
      </c>
      <c r="D1783" s="9">
        <v>19596</v>
      </c>
      <c r="E1783" s="5" t="s">
        <v>385</v>
      </c>
      <c r="F1783" t="s">
        <v>153</v>
      </c>
      <c r="G1783">
        <v>2387</v>
      </c>
      <c r="H1783">
        <v>902</v>
      </c>
      <c r="I1783" s="8">
        <f t="shared" si="163"/>
        <v>0.37788018433179721</v>
      </c>
      <c r="J1783" s="17">
        <v>0.7</v>
      </c>
      <c r="K1783" s="12">
        <v>13.75</v>
      </c>
      <c r="L1783" s="2">
        <f t="shared" si="166"/>
        <v>768.90000000000009</v>
      </c>
      <c r="M1783" s="15">
        <f t="shared" si="164"/>
        <v>10572.375000000002</v>
      </c>
      <c r="N1783" t="str">
        <f t="shared" si="161"/>
        <v>RJ</v>
      </c>
      <c r="O1783" t="str">
        <f t="shared" si="162"/>
        <v>Nova Iguaçu</v>
      </c>
    </row>
    <row r="1784" spans="1:15" x14ac:dyDescent="0.3">
      <c r="A1784" s="10">
        <v>45931</v>
      </c>
      <c r="B1784" s="9" t="s">
        <v>15</v>
      </c>
      <c r="C1784" t="s">
        <v>358</v>
      </c>
      <c r="D1784" s="9">
        <v>19618</v>
      </c>
      <c r="E1784" s="5" t="s">
        <v>386</v>
      </c>
      <c r="F1784" t="s">
        <v>202</v>
      </c>
      <c r="G1784">
        <v>2606</v>
      </c>
      <c r="H1784">
        <v>1004</v>
      </c>
      <c r="I1784" s="8">
        <f t="shared" si="163"/>
        <v>0.38526477359938605</v>
      </c>
      <c r="J1784" s="17">
        <v>0.7</v>
      </c>
      <c r="K1784" s="12">
        <v>13.75</v>
      </c>
      <c r="L1784" s="2">
        <f t="shared" si="166"/>
        <v>820.19999999999982</v>
      </c>
      <c r="M1784" s="15">
        <f t="shared" si="164"/>
        <v>11277.749999999998</v>
      </c>
      <c r="N1784" t="str">
        <f t="shared" si="161"/>
        <v>RJ</v>
      </c>
      <c r="O1784" t="str">
        <f t="shared" si="162"/>
        <v>Rio De Janeiro</v>
      </c>
    </row>
    <row r="1785" spans="1:15" x14ac:dyDescent="0.3">
      <c r="A1785" s="10">
        <v>45931</v>
      </c>
      <c r="B1785" s="9" t="s">
        <v>21</v>
      </c>
      <c r="C1785" t="s">
        <v>22</v>
      </c>
      <c r="D1785" s="9">
        <v>19741</v>
      </c>
      <c r="E1785" s="5" t="s">
        <v>387</v>
      </c>
      <c r="F1785" t="s">
        <v>23</v>
      </c>
      <c r="G1785">
        <v>1610</v>
      </c>
      <c r="H1785">
        <v>838</v>
      </c>
      <c r="I1785" s="8">
        <f t="shared" si="163"/>
        <v>0.52049689440993785</v>
      </c>
      <c r="J1785" s="17">
        <v>0.7</v>
      </c>
      <c r="K1785" s="12">
        <v>13.75</v>
      </c>
      <c r="L1785" s="2">
        <f t="shared" si="166"/>
        <v>289</v>
      </c>
      <c r="M1785" s="15">
        <f t="shared" si="164"/>
        <v>3973.75</v>
      </c>
      <c r="N1785" t="str">
        <f t="shared" si="161"/>
        <v>BA</v>
      </c>
      <c r="O1785" t="str">
        <f t="shared" si="162"/>
        <v>Barreiras</v>
      </c>
    </row>
    <row r="1786" spans="1:15" x14ac:dyDescent="0.3">
      <c r="A1786" s="10">
        <v>45931</v>
      </c>
      <c r="B1786" s="9" t="s">
        <v>74</v>
      </c>
      <c r="C1786" t="s">
        <v>169</v>
      </c>
      <c r="D1786" s="9">
        <v>19897</v>
      </c>
      <c r="E1786" s="5" t="s">
        <v>388</v>
      </c>
      <c r="F1786" t="s">
        <v>170</v>
      </c>
      <c r="G1786">
        <v>1772</v>
      </c>
      <c r="H1786">
        <v>696</v>
      </c>
      <c r="I1786" s="8">
        <f t="shared" si="163"/>
        <v>0.39277652370203159</v>
      </c>
      <c r="J1786" s="17">
        <v>0.7</v>
      </c>
      <c r="K1786" s="12">
        <v>13.75</v>
      </c>
      <c r="L1786" s="2">
        <f t="shared" si="166"/>
        <v>544.40000000000009</v>
      </c>
      <c r="M1786" s="15">
        <f t="shared" si="164"/>
        <v>7485.5000000000009</v>
      </c>
      <c r="N1786" t="str">
        <f t="shared" si="161"/>
        <v>PE</v>
      </c>
      <c r="O1786" t="str">
        <f t="shared" si="162"/>
        <v>Petrolina</v>
      </c>
    </row>
    <row r="1787" spans="1:15" x14ac:dyDescent="0.3">
      <c r="A1787" s="10">
        <v>45931</v>
      </c>
      <c r="B1787" s="9" t="s">
        <v>61</v>
      </c>
      <c r="C1787" t="s">
        <v>62</v>
      </c>
      <c r="D1787" s="9">
        <v>19633</v>
      </c>
      <c r="E1787" s="5" t="s">
        <v>389</v>
      </c>
      <c r="F1787" t="s">
        <v>63</v>
      </c>
      <c r="G1787">
        <v>1955</v>
      </c>
      <c r="H1787">
        <v>1133</v>
      </c>
      <c r="I1787" s="8">
        <f t="shared" si="163"/>
        <v>0.57953964194373397</v>
      </c>
      <c r="J1787" s="17">
        <v>0.7</v>
      </c>
      <c r="K1787" s="12">
        <v>13.75</v>
      </c>
      <c r="L1787" s="2">
        <f t="shared" si="166"/>
        <v>235.5</v>
      </c>
      <c r="M1787" s="15">
        <f t="shared" si="164"/>
        <v>3238.125</v>
      </c>
      <c r="N1787" t="str">
        <f t="shared" si="161"/>
        <v>PB</v>
      </c>
      <c r="O1787" t="str">
        <f t="shared" si="162"/>
        <v>Campina Grande</v>
      </c>
    </row>
    <row r="1788" spans="1:15" x14ac:dyDescent="0.3">
      <c r="A1788" s="10">
        <v>45931</v>
      </c>
      <c r="B1788" s="9" t="s">
        <v>6</v>
      </c>
      <c r="C1788" t="s">
        <v>26</v>
      </c>
      <c r="D1788" s="9">
        <v>19622</v>
      </c>
      <c r="E1788" s="5" t="s">
        <v>390</v>
      </c>
      <c r="F1788" t="s">
        <v>28</v>
      </c>
      <c r="G1788">
        <v>2144</v>
      </c>
      <c r="H1788">
        <v>1223</v>
      </c>
      <c r="I1788" s="8">
        <f t="shared" si="163"/>
        <v>0.57042910447761197</v>
      </c>
      <c r="J1788" s="17">
        <v>0.7</v>
      </c>
      <c r="K1788" s="12">
        <v>13.75</v>
      </c>
      <c r="L1788" s="2">
        <f t="shared" si="166"/>
        <v>277.79999999999973</v>
      </c>
      <c r="M1788" s="15">
        <f t="shared" si="164"/>
        <v>3819.7499999999964</v>
      </c>
      <c r="N1788" t="str">
        <f t="shared" si="161"/>
        <v>PA</v>
      </c>
      <c r="O1788" t="str">
        <f t="shared" si="162"/>
        <v>Belém</v>
      </c>
    </row>
    <row r="1789" spans="1:15" x14ac:dyDescent="0.3">
      <c r="A1789" s="10">
        <v>45931</v>
      </c>
      <c r="B1789" s="9" t="s">
        <v>46</v>
      </c>
      <c r="C1789" t="s">
        <v>47</v>
      </c>
      <c r="D1789" s="9">
        <v>19666</v>
      </c>
      <c r="E1789" s="5" t="s">
        <v>391</v>
      </c>
      <c r="F1789" t="s">
        <v>624</v>
      </c>
      <c r="G1789">
        <v>2654</v>
      </c>
      <c r="H1789">
        <v>1032</v>
      </c>
      <c r="I1789" s="8">
        <f t="shared" si="163"/>
        <v>0.38884702336096461</v>
      </c>
      <c r="J1789" s="17">
        <v>0.7</v>
      </c>
      <c r="K1789" s="12">
        <v>13.75</v>
      </c>
      <c r="L1789" s="2">
        <f t="shared" si="166"/>
        <v>825.79999999999973</v>
      </c>
      <c r="M1789" s="15">
        <f t="shared" si="164"/>
        <v>11354.749999999996</v>
      </c>
      <c r="N1789" t="str">
        <f t="shared" si="161"/>
        <v>DF</v>
      </c>
      <c r="O1789" t="str">
        <f t="shared" si="162"/>
        <v>Brasília</v>
      </c>
    </row>
    <row r="1790" spans="1:15" x14ac:dyDescent="0.3">
      <c r="A1790" s="10">
        <v>45931</v>
      </c>
      <c r="B1790" s="9" t="s">
        <v>15</v>
      </c>
      <c r="C1790" t="s">
        <v>358</v>
      </c>
      <c r="D1790" s="9">
        <v>19632</v>
      </c>
      <c r="E1790" s="5" t="s">
        <v>392</v>
      </c>
      <c r="F1790" t="s">
        <v>203</v>
      </c>
      <c r="G1790">
        <v>2467</v>
      </c>
      <c r="H1790">
        <v>1073</v>
      </c>
      <c r="I1790" s="8">
        <f t="shared" si="163"/>
        <v>0.43494122415889747</v>
      </c>
      <c r="J1790" s="17">
        <v>0.7</v>
      </c>
      <c r="K1790" s="12">
        <v>13.75</v>
      </c>
      <c r="L1790" s="2">
        <f t="shared" si="166"/>
        <v>653.89999999999964</v>
      </c>
      <c r="M1790" s="15">
        <f t="shared" si="164"/>
        <v>8991.1249999999945</v>
      </c>
      <c r="N1790" t="str">
        <f t="shared" si="161"/>
        <v>RJ</v>
      </c>
      <c r="O1790" t="str">
        <f t="shared" si="162"/>
        <v>Rio De Janeiro</v>
      </c>
    </row>
    <row r="1791" spans="1:15" x14ac:dyDescent="0.3">
      <c r="A1791" s="10">
        <v>45931</v>
      </c>
      <c r="B1791" s="9" t="s">
        <v>46</v>
      </c>
      <c r="C1791" t="s">
        <v>47</v>
      </c>
      <c r="D1791" s="9">
        <v>19552</v>
      </c>
      <c r="E1791" s="5" t="s">
        <v>393</v>
      </c>
      <c r="F1791" t="s">
        <v>50</v>
      </c>
      <c r="G1791">
        <v>4142</v>
      </c>
      <c r="H1791">
        <v>1849</v>
      </c>
      <c r="I1791" s="8">
        <f t="shared" si="163"/>
        <v>0.44640270400772575</v>
      </c>
      <c r="J1791" s="17">
        <v>0.7</v>
      </c>
      <c r="K1791" s="12">
        <v>13.75</v>
      </c>
      <c r="L1791" s="2">
        <f t="shared" si="166"/>
        <v>1050.3999999999996</v>
      </c>
      <c r="M1791" s="15">
        <f t="shared" si="164"/>
        <v>14442.999999999995</v>
      </c>
      <c r="N1791" t="str">
        <f t="shared" si="161"/>
        <v>DF</v>
      </c>
      <c r="O1791" t="str">
        <f t="shared" si="162"/>
        <v>Brasília</v>
      </c>
    </row>
    <row r="1792" spans="1:15" x14ac:dyDescent="0.3">
      <c r="A1792" s="10">
        <v>45931</v>
      </c>
      <c r="B1792" s="9" t="s">
        <v>15</v>
      </c>
      <c r="C1792" t="s">
        <v>191</v>
      </c>
      <c r="D1792" s="9">
        <v>19636</v>
      </c>
      <c r="E1792" s="5" t="s">
        <v>394</v>
      </c>
      <c r="F1792" t="s">
        <v>192</v>
      </c>
      <c r="G1792">
        <v>2301</v>
      </c>
      <c r="H1792">
        <v>897</v>
      </c>
      <c r="I1792" s="8">
        <f t="shared" si="163"/>
        <v>0.38983050847457629</v>
      </c>
      <c r="J1792" s="17">
        <v>0.7</v>
      </c>
      <c r="K1792" s="12">
        <v>13.75</v>
      </c>
      <c r="L1792" s="2">
        <f t="shared" si="166"/>
        <v>713.69999999999982</v>
      </c>
      <c r="M1792" s="15">
        <f t="shared" si="164"/>
        <v>9813.3749999999982</v>
      </c>
      <c r="N1792" t="str">
        <f t="shared" si="161"/>
        <v>RJ</v>
      </c>
      <c r="O1792" t="str">
        <f t="shared" si="162"/>
        <v>Resende</v>
      </c>
    </row>
    <row r="1793" spans="1:15" x14ac:dyDescent="0.3">
      <c r="A1793" s="10">
        <v>45931</v>
      </c>
      <c r="B1793" s="9" t="s">
        <v>74</v>
      </c>
      <c r="C1793" t="s">
        <v>186</v>
      </c>
      <c r="D1793" s="9">
        <v>19649</v>
      </c>
      <c r="E1793" s="5" t="s">
        <v>395</v>
      </c>
      <c r="F1793" t="s">
        <v>187</v>
      </c>
      <c r="G1793">
        <v>2867</v>
      </c>
      <c r="H1793">
        <v>1204</v>
      </c>
      <c r="I1793" s="8">
        <f t="shared" si="163"/>
        <v>0.41995116846878272</v>
      </c>
      <c r="J1793" s="17">
        <v>0.7</v>
      </c>
      <c r="K1793" s="12">
        <v>13.75</v>
      </c>
      <c r="L1793" s="2">
        <f t="shared" si="166"/>
        <v>802.89999999999986</v>
      </c>
      <c r="M1793" s="15">
        <f t="shared" si="164"/>
        <v>11039.874999999998</v>
      </c>
      <c r="N1793" t="str">
        <f t="shared" si="161"/>
        <v>PE</v>
      </c>
      <c r="O1793" t="str">
        <f t="shared" si="162"/>
        <v>Recife</v>
      </c>
    </row>
    <row r="1794" spans="1:15" x14ac:dyDescent="0.3">
      <c r="A1794" s="10">
        <v>45931</v>
      </c>
      <c r="B1794" s="9" t="s">
        <v>74</v>
      </c>
      <c r="C1794" t="s">
        <v>186</v>
      </c>
      <c r="D1794" s="9">
        <v>19601</v>
      </c>
      <c r="E1794" s="5" t="s">
        <v>396</v>
      </c>
      <c r="F1794" t="s">
        <v>188</v>
      </c>
      <c r="G1794">
        <v>2547</v>
      </c>
      <c r="H1794">
        <v>1077</v>
      </c>
      <c r="I1794" s="8">
        <f t="shared" si="163"/>
        <v>0.42285041224970554</v>
      </c>
      <c r="J1794" s="17">
        <v>0.7</v>
      </c>
      <c r="K1794" s="12">
        <v>13.75</v>
      </c>
      <c r="L1794" s="2">
        <f t="shared" si="166"/>
        <v>705.89999999999986</v>
      </c>
      <c r="M1794" s="15">
        <f t="shared" si="164"/>
        <v>9706.1249999999982</v>
      </c>
      <c r="N1794" t="str">
        <f t="shared" ref="N1794:N1857" si="167">B1794</f>
        <v>PE</v>
      </c>
      <c r="O1794" t="str">
        <f t="shared" ref="O1794:O1857" si="168">C1794</f>
        <v>Recife</v>
      </c>
    </row>
    <row r="1795" spans="1:15" x14ac:dyDescent="0.3">
      <c r="A1795" s="10">
        <v>45931</v>
      </c>
      <c r="B1795" s="9" t="s">
        <v>74</v>
      </c>
      <c r="C1795" t="s">
        <v>186</v>
      </c>
      <c r="D1795" s="9">
        <v>19565</v>
      </c>
      <c r="E1795" s="5" t="s">
        <v>397</v>
      </c>
      <c r="F1795" t="s">
        <v>189</v>
      </c>
      <c r="G1795">
        <v>2464</v>
      </c>
      <c r="H1795">
        <v>869</v>
      </c>
      <c r="I1795" s="8">
        <f t="shared" ref="I1795:I1858" si="169">H1795/G1795</f>
        <v>0.35267857142857145</v>
      </c>
      <c r="J1795" s="17">
        <v>0.7</v>
      </c>
      <c r="K1795" s="12">
        <v>13.75</v>
      </c>
      <c r="L1795" s="2">
        <f t="shared" si="166"/>
        <v>855.79999999999973</v>
      </c>
      <c r="M1795" s="15">
        <f t="shared" ref="M1795:M1858" si="170">L1795*K1795</f>
        <v>11767.249999999996</v>
      </c>
      <c r="N1795" t="str">
        <f t="shared" si="167"/>
        <v>PE</v>
      </c>
      <c r="O1795" t="str">
        <f t="shared" si="168"/>
        <v>Recife</v>
      </c>
    </row>
    <row r="1796" spans="1:15" x14ac:dyDescent="0.3">
      <c r="A1796" s="10">
        <v>45931</v>
      </c>
      <c r="B1796" s="9" t="s">
        <v>74</v>
      </c>
      <c r="C1796" t="s">
        <v>186</v>
      </c>
      <c r="D1796" s="9">
        <v>19654</v>
      </c>
      <c r="E1796" s="5" t="s">
        <v>398</v>
      </c>
      <c r="F1796" t="s">
        <v>190</v>
      </c>
      <c r="G1796">
        <v>2125</v>
      </c>
      <c r="H1796">
        <v>796</v>
      </c>
      <c r="I1796" s="8">
        <f t="shared" si="169"/>
        <v>0.37458823529411767</v>
      </c>
      <c r="J1796" s="17">
        <v>0.7</v>
      </c>
      <c r="K1796" s="12">
        <v>13.75</v>
      </c>
      <c r="L1796" s="2">
        <f t="shared" ref="L1796:L1827" si="171">H1796*J1796/I1796-H1796</f>
        <v>691.49999999999977</v>
      </c>
      <c r="M1796" s="15">
        <f t="shared" si="170"/>
        <v>9508.1249999999964</v>
      </c>
      <c r="N1796" t="str">
        <f t="shared" si="167"/>
        <v>PE</v>
      </c>
      <c r="O1796" t="str">
        <f t="shared" si="168"/>
        <v>Recife</v>
      </c>
    </row>
    <row r="1797" spans="1:15" x14ac:dyDescent="0.3">
      <c r="A1797" s="10">
        <v>45931</v>
      </c>
      <c r="B1797" s="9" t="s">
        <v>74</v>
      </c>
      <c r="C1797" t="s">
        <v>350</v>
      </c>
      <c r="D1797" s="9">
        <v>19624</v>
      </c>
      <c r="E1797" s="5" t="s">
        <v>399</v>
      </c>
      <c r="F1797" t="s">
        <v>116</v>
      </c>
      <c r="G1797">
        <v>1619</v>
      </c>
      <c r="H1797">
        <v>603</v>
      </c>
      <c r="I1797" s="8">
        <f t="shared" si="169"/>
        <v>0.37245213094502777</v>
      </c>
      <c r="J1797" s="17">
        <v>0.7</v>
      </c>
      <c r="K1797" s="12">
        <v>13.75</v>
      </c>
      <c r="L1797" s="2">
        <f t="shared" si="171"/>
        <v>530.29999999999995</v>
      </c>
      <c r="M1797" s="15">
        <f t="shared" si="170"/>
        <v>7291.6249999999991</v>
      </c>
      <c r="N1797" t="str">
        <f t="shared" si="167"/>
        <v>PE</v>
      </c>
      <c r="O1797" t="str">
        <f t="shared" si="168"/>
        <v>Jaboatão Dos Guararapes</v>
      </c>
    </row>
    <row r="1798" spans="1:15" x14ac:dyDescent="0.3">
      <c r="A1798" s="10">
        <v>45931</v>
      </c>
      <c r="B1798" s="9" t="s">
        <v>15</v>
      </c>
      <c r="C1798" t="s">
        <v>143</v>
      </c>
      <c r="D1798" s="9">
        <v>19648</v>
      </c>
      <c r="E1798" s="5" t="s">
        <v>400</v>
      </c>
      <c r="F1798" t="s">
        <v>144</v>
      </c>
      <c r="G1798">
        <v>1879</v>
      </c>
      <c r="H1798">
        <v>541</v>
      </c>
      <c r="I1798" s="8">
        <f t="shared" si="169"/>
        <v>0.28791910590739755</v>
      </c>
      <c r="J1798" s="17">
        <v>0.7</v>
      </c>
      <c r="K1798" s="12">
        <v>13.75</v>
      </c>
      <c r="L1798" s="2">
        <f t="shared" si="171"/>
        <v>774.3</v>
      </c>
      <c r="M1798" s="15">
        <f t="shared" si="170"/>
        <v>10646.625</v>
      </c>
      <c r="N1798" t="str">
        <f t="shared" si="167"/>
        <v>RJ</v>
      </c>
      <c r="O1798" t="str">
        <f t="shared" si="168"/>
        <v>Nilópolis</v>
      </c>
    </row>
    <row r="1799" spans="1:15" x14ac:dyDescent="0.3">
      <c r="A1799" s="10">
        <v>45931</v>
      </c>
      <c r="B1799" s="9" t="s">
        <v>15</v>
      </c>
      <c r="C1799" t="s">
        <v>57</v>
      </c>
      <c r="D1799" s="9">
        <v>19657</v>
      </c>
      <c r="E1799" s="5" t="s">
        <v>401</v>
      </c>
      <c r="F1799" t="s">
        <v>58</v>
      </c>
      <c r="G1799">
        <v>1758</v>
      </c>
      <c r="H1799">
        <v>754</v>
      </c>
      <c r="I1799" s="8">
        <f t="shared" si="169"/>
        <v>0.42889647326507396</v>
      </c>
      <c r="J1799" s="17">
        <v>0.7</v>
      </c>
      <c r="K1799" s="12">
        <v>13.75</v>
      </c>
      <c r="L1799" s="2">
        <f t="shared" si="171"/>
        <v>476.59999999999991</v>
      </c>
      <c r="M1799" s="15">
        <f t="shared" si="170"/>
        <v>6553.2499999999991</v>
      </c>
      <c r="N1799" t="str">
        <f t="shared" si="167"/>
        <v>RJ</v>
      </c>
      <c r="O1799" t="str">
        <f t="shared" si="168"/>
        <v>Cabo Frio</v>
      </c>
    </row>
    <row r="1800" spans="1:15" x14ac:dyDescent="0.3">
      <c r="A1800" s="10">
        <v>45931</v>
      </c>
      <c r="B1800" s="9" t="s">
        <v>82</v>
      </c>
      <c r="C1800" t="s">
        <v>119</v>
      </c>
      <c r="D1800" s="9">
        <v>19661</v>
      </c>
      <c r="E1800" s="5" t="s">
        <v>403</v>
      </c>
      <c r="F1800" t="s">
        <v>120</v>
      </c>
      <c r="G1800">
        <v>3161</v>
      </c>
      <c r="H1800">
        <v>1058</v>
      </c>
      <c r="I1800" s="8">
        <f t="shared" si="169"/>
        <v>0.33470420752926289</v>
      </c>
      <c r="J1800" s="17">
        <v>0.7</v>
      </c>
      <c r="K1800" s="12">
        <v>13.75</v>
      </c>
      <c r="L1800" s="2">
        <f t="shared" si="171"/>
        <v>1154.6999999999998</v>
      </c>
      <c r="M1800" s="15">
        <f t="shared" si="170"/>
        <v>15877.124999999998</v>
      </c>
      <c r="N1800" t="str">
        <f t="shared" si="167"/>
        <v>PR</v>
      </c>
      <c r="O1800" t="str">
        <f t="shared" si="168"/>
        <v>Londrina</v>
      </c>
    </row>
    <row r="1801" spans="1:15" x14ac:dyDescent="0.3">
      <c r="A1801" s="10">
        <v>45931</v>
      </c>
      <c r="B1801" s="9" t="s">
        <v>183</v>
      </c>
      <c r="C1801" t="s">
        <v>184</v>
      </c>
      <c r="D1801" s="9">
        <v>19752</v>
      </c>
      <c r="E1801" s="5" t="s">
        <v>404</v>
      </c>
      <c r="F1801" t="s">
        <v>185</v>
      </c>
      <c r="G1801">
        <v>1076</v>
      </c>
      <c r="H1801">
        <v>501</v>
      </c>
      <c r="I1801" s="8">
        <f t="shared" si="169"/>
        <v>0.46561338289962823</v>
      </c>
      <c r="J1801" s="17">
        <v>0.7</v>
      </c>
      <c r="K1801" s="12">
        <v>13.75</v>
      </c>
      <c r="L1801" s="2">
        <f t="shared" si="171"/>
        <v>252.20000000000005</v>
      </c>
      <c r="M1801" s="15">
        <f t="shared" si="170"/>
        <v>3467.7500000000005</v>
      </c>
      <c r="N1801" t="str">
        <f t="shared" si="167"/>
        <v>RO</v>
      </c>
      <c r="O1801" t="str">
        <f t="shared" si="168"/>
        <v>Porto Velho</v>
      </c>
    </row>
    <row r="1802" spans="1:15" x14ac:dyDescent="0.3">
      <c r="A1802" s="10">
        <v>45931</v>
      </c>
      <c r="B1802" s="9" t="s">
        <v>15</v>
      </c>
      <c r="C1802" t="s">
        <v>281</v>
      </c>
      <c r="D1802" s="9">
        <v>19671</v>
      </c>
      <c r="E1802" s="5" t="s">
        <v>405</v>
      </c>
      <c r="F1802" t="s">
        <v>282</v>
      </c>
      <c r="G1802">
        <v>2475</v>
      </c>
      <c r="H1802">
        <v>1015</v>
      </c>
      <c r="I1802" s="8">
        <f t="shared" si="169"/>
        <v>0.41010101010101008</v>
      </c>
      <c r="J1802" s="17">
        <v>0.7</v>
      </c>
      <c r="K1802" s="12">
        <v>13.75</v>
      </c>
      <c r="L1802" s="2">
        <f t="shared" si="171"/>
        <v>717.5</v>
      </c>
      <c r="M1802" s="15">
        <f t="shared" si="170"/>
        <v>9865.625</v>
      </c>
      <c r="N1802" t="str">
        <f t="shared" si="167"/>
        <v>RJ</v>
      </c>
      <c r="O1802" t="str">
        <f t="shared" si="168"/>
        <v>Teresópolis</v>
      </c>
    </row>
    <row r="1803" spans="1:15" x14ac:dyDescent="0.3">
      <c r="A1803" s="10">
        <v>45931</v>
      </c>
      <c r="B1803" s="9" t="s">
        <v>3</v>
      </c>
      <c r="C1803" t="s">
        <v>248</v>
      </c>
      <c r="D1803" s="9">
        <v>19674</v>
      </c>
      <c r="E1803" s="5" t="s">
        <v>406</v>
      </c>
      <c r="F1803" t="s">
        <v>251</v>
      </c>
      <c r="G1803">
        <v>2559</v>
      </c>
      <c r="H1803">
        <v>988</v>
      </c>
      <c r="I1803" s="8">
        <f t="shared" si="169"/>
        <v>0.38608831574833918</v>
      </c>
      <c r="J1803" s="17">
        <v>0.7</v>
      </c>
      <c r="K1803" s="12">
        <v>13.75</v>
      </c>
      <c r="L1803" s="2">
        <f t="shared" si="171"/>
        <v>803.29999999999973</v>
      </c>
      <c r="M1803" s="15">
        <f t="shared" si="170"/>
        <v>11045.374999999996</v>
      </c>
      <c r="N1803" t="str">
        <f t="shared" si="167"/>
        <v>SP</v>
      </c>
      <c r="O1803" t="str">
        <f t="shared" si="168"/>
        <v>São Paulo</v>
      </c>
    </row>
    <row r="1804" spans="1:15" x14ac:dyDescent="0.3">
      <c r="A1804" s="10">
        <v>45931</v>
      </c>
      <c r="B1804" s="9" t="s">
        <v>3</v>
      </c>
      <c r="C1804" t="s">
        <v>248</v>
      </c>
      <c r="D1804" s="9">
        <v>19756</v>
      </c>
      <c r="E1804" s="5" t="s">
        <v>407</v>
      </c>
      <c r="F1804" t="s">
        <v>252</v>
      </c>
      <c r="G1804">
        <v>2228</v>
      </c>
      <c r="H1804">
        <v>817</v>
      </c>
      <c r="I1804" s="8">
        <f t="shared" si="169"/>
        <v>0.36669658886894074</v>
      </c>
      <c r="J1804" s="17">
        <v>0.7</v>
      </c>
      <c r="K1804" s="12">
        <v>13.75</v>
      </c>
      <c r="L1804" s="2">
        <f t="shared" si="171"/>
        <v>742.59999999999991</v>
      </c>
      <c r="M1804" s="15">
        <f t="shared" si="170"/>
        <v>10210.749999999998</v>
      </c>
      <c r="N1804" t="str">
        <f t="shared" si="167"/>
        <v>SP</v>
      </c>
      <c r="O1804" t="str">
        <f t="shared" si="168"/>
        <v>São Paulo</v>
      </c>
    </row>
    <row r="1805" spans="1:15" x14ac:dyDescent="0.3">
      <c r="A1805" s="10">
        <v>45931</v>
      </c>
      <c r="B1805" s="9" t="s">
        <v>3</v>
      </c>
      <c r="C1805" t="s">
        <v>248</v>
      </c>
      <c r="D1805" s="9">
        <v>19809</v>
      </c>
      <c r="E1805" s="5" t="s">
        <v>408</v>
      </c>
      <c r="F1805" t="s">
        <v>253</v>
      </c>
      <c r="G1805">
        <v>3021</v>
      </c>
      <c r="H1805">
        <v>925</v>
      </c>
      <c r="I1805" s="8">
        <f t="shared" si="169"/>
        <v>0.30619000331016222</v>
      </c>
      <c r="J1805" s="17">
        <v>0.7</v>
      </c>
      <c r="K1805" s="12">
        <v>13.75</v>
      </c>
      <c r="L1805" s="2">
        <f t="shared" si="171"/>
        <v>1189.6999999999998</v>
      </c>
      <c r="M1805" s="15">
        <f t="shared" si="170"/>
        <v>16358.374999999998</v>
      </c>
      <c r="N1805" t="str">
        <f t="shared" si="167"/>
        <v>SP</v>
      </c>
      <c r="O1805" t="str">
        <f t="shared" si="168"/>
        <v>São Paulo</v>
      </c>
    </row>
    <row r="1806" spans="1:15" x14ac:dyDescent="0.3">
      <c r="A1806" s="10">
        <v>45931</v>
      </c>
      <c r="B1806" s="9" t="s">
        <v>3</v>
      </c>
      <c r="C1806" t="s">
        <v>248</v>
      </c>
      <c r="D1806" s="9">
        <v>19579</v>
      </c>
      <c r="E1806" s="5" t="s">
        <v>409</v>
      </c>
      <c r="F1806" t="s">
        <v>254</v>
      </c>
      <c r="G1806">
        <v>2084</v>
      </c>
      <c r="H1806">
        <v>648</v>
      </c>
      <c r="I1806" s="8">
        <f t="shared" si="169"/>
        <v>0.31094049904030713</v>
      </c>
      <c r="J1806" s="17">
        <v>0.7</v>
      </c>
      <c r="K1806" s="12">
        <v>13.75</v>
      </c>
      <c r="L1806" s="2">
        <f t="shared" si="171"/>
        <v>810.79999999999973</v>
      </c>
      <c r="M1806" s="15">
        <f t="shared" si="170"/>
        <v>11148.499999999996</v>
      </c>
      <c r="N1806" t="str">
        <f t="shared" si="167"/>
        <v>SP</v>
      </c>
      <c r="O1806" t="str">
        <f t="shared" si="168"/>
        <v>São Paulo</v>
      </c>
    </row>
    <row r="1807" spans="1:15" x14ac:dyDescent="0.3">
      <c r="A1807" s="10">
        <v>45931</v>
      </c>
      <c r="B1807" s="9" t="s">
        <v>126</v>
      </c>
      <c r="C1807" t="s">
        <v>127</v>
      </c>
      <c r="D1807" s="9">
        <v>19623</v>
      </c>
      <c r="E1807" s="5" t="s">
        <v>410</v>
      </c>
      <c r="F1807" t="s">
        <v>128</v>
      </c>
      <c r="G1807">
        <v>1293</v>
      </c>
      <c r="H1807">
        <v>637</v>
      </c>
      <c r="I1807" s="8">
        <f t="shared" si="169"/>
        <v>0.49265274555297756</v>
      </c>
      <c r="J1807" s="17">
        <v>0.7</v>
      </c>
      <c r="K1807" s="12">
        <v>13.75</v>
      </c>
      <c r="L1807" s="2">
        <f t="shared" si="171"/>
        <v>268.10000000000002</v>
      </c>
      <c r="M1807" s="15">
        <f t="shared" si="170"/>
        <v>3686.3750000000005</v>
      </c>
      <c r="N1807" t="str">
        <f t="shared" si="167"/>
        <v>AL</v>
      </c>
      <c r="O1807" t="str">
        <f t="shared" si="168"/>
        <v>Maceió</v>
      </c>
    </row>
    <row r="1808" spans="1:15" x14ac:dyDescent="0.3">
      <c r="A1808" s="10">
        <v>45931</v>
      </c>
      <c r="B1808" s="9" t="s">
        <v>46</v>
      </c>
      <c r="C1808" t="s">
        <v>47</v>
      </c>
      <c r="D1808" s="9">
        <v>19693</v>
      </c>
      <c r="E1808" s="5" t="s">
        <v>411</v>
      </c>
      <c r="F1808" t="s">
        <v>51</v>
      </c>
      <c r="G1808">
        <v>2544</v>
      </c>
      <c r="H1808">
        <v>786</v>
      </c>
      <c r="I1808" s="8">
        <f t="shared" si="169"/>
        <v>0.30896226415094341</v>
      </c>
      <c r="J1808" s="17">
        <v>0.7</v>
      </c>
      <c r="K1808" s="12">
        <v>13.75</v>
      </c>
      <c r="L1808" s="2">
        <f t="shared" si="171"/>
        <v>994.79999999999973</v>
      </c>
      <c r="M1808" s="15">
        <f t="shared" si="170"/>
        <v>13678.499999999996</v>
      </c>
      <c r="N1808" t="str">
        <f t="shared" si="167"/>
        <v>DF</v>
      </c>
      <c r="O1808" t="str">
        <f t="shared" si="168"/>
        <v>Brasília</v>
      </c>
    </row>
    <row r="1809" spans="1:15" x14ac:dyDescent="0.3">
      <c r="A1809" s="10">
        <v>45931</v>
      </c>
      <c r="B1809" s="9" t="s">
        <v>78</v>
      </c>
      <c r="C1809" t="s">
        <v>79</v>
      </c>
      <c r="D1809" s="9">
        <v>19730</v>
      </c>
      <c r="E1809" s="5" t="s">
        <v>413</v>
      </c>
      <c r="F1809" t="s">
        <v>80</v>
      </c>
      <c r="G1809">
        <v>2902</v>
      </c>
      <c r="H1809">
        <v>909</v>
      </c>
      <c r="I1809" s="8">
        <f t="shared" si="169"/>
        <v>0.31323225361819435</v>
      </c>
      <c r="J1809" s="17">
        <v>0.7</v>
      </c>
      <c r="K1809" s="12">
        <v>13.75</v>
      </c>
      <c r="L1809" s="2">
        <f t="shared" si="171"/>
        <v>1122.3999999999999</v>
      </c>
      <c r="M1809" s="15">
        <f t="shared" si="170"/>
        <v>15432.999999999998</v>
      </c>
      <c r="N1809" t="str">
        <f t="shared" si="167"/>
        <v>MT</v>
      </c>
      <c r="O1809" t="str">
        <f t="shared" si="168"/>
        <v>Cuiabá</v>
      </c>
    </row>
    <row r="1810" spans="1:15" x14ac:dyDescent="0.3">
      <c r="A1810" s="10">
        <v>45931</v>
      </c>
      <c r="B1810" s="9" t="s">
        <v>78</v>
      </c>
      <c r="C1810" t="s">
        <v>79</v>
      </c>
      <c r="D1810" s="9">
        <v>19794</v>
      </c>
      <c r="E1810" s="5" t="s">
        <v>414</v>
      </c>
      <c r="F1810" t="s">
        <v>81</v>
      </c>
      <c r="G1810">
        <v>2837</v>
      </c>
      <c r="H1810">
        <v>1084</v>
      </c>
      <c r="I1810" s="8">
        <f t="shared" si="169"/>
        <v>0.38209376101515685</v>
      </c>
      <c r="J1810" s="17">
        <v>0.7</v>
      </c>
      <c r="K1810" s="12">
        <v>13.75</v>
      </c>
      <c r="L1810" s="2">
        <f t="shared" si="171"/>
        <v>901.89999999999986</v>
      </c>
      <c r="M1810" s="15">
        <f t="shared" si="170"/>
        <v>12401.124999999998</v>
      </c>
      <c r="N1810" t="str">
        <f t="shared" si="167"/>
        <v>MT</v>
      </c>
      <c r="O1810" t="str">
        <f t="shared" si="168"/>
        <v>Cuiabá</v>
      </c>
    </row>
    <row r="1811" spans="1:15" x14ac:dyDescent="0.3">
      <c r="A1811" s="10">
        <v>45931</v>
      </c>
      <c r="B1811" s="9" t="s">
        <v>7</v>
      </c>
      <c r="C1811" t="s">
        <v>99</v>
      </c>
      <c r="D1811" s="9">
        <v>19691</v>
      </c>
      <c r="E1811" s="5" t="s">
        <v>415</v>
      </c>
      <c r="F1811" t="s">
        <v>100</v>
      </c>
      <c r="G1811">
        <v>2517</v>
      </c>
      <c r="H1811">
        <v>1008</v>
      </c>
      <c r="I1811" s="8">
        <f t="shared" si="169"/>
        <v>0.40047675804529204</v>
      </c>
      <c r="J1811" s="17">
        <v>0.7</v>
      </c>
      <c r="K1811" s="12">
        <v>13.75</v>
      </c>
      <c r="L1811" s="2">
        <f t="shared" si="171"/>
        <v>753.89999999999964</v>
      </c>
      <c r="M1811" s="15">
        <f t="shared" si="170"/>
        <v>10366.124999999995</v>
      </c>
      <c r="N1811" t="str">
        <f t="shared" si="167"/>
        <v>GO</v>
      </c>
      <c r="O1811" t="str">
        <f t="shared" si="168"/>
        <v>Goiânia</v>
      </c>
    </row>
    <row r="1812" spans="1:15" x14ac:dyDescent="0.3">
      <c r="A1812" s="10">
        <v>45931</v>
      </c>
      <c r="B1812" s="9" t="s">
        <v>15</v>
      </c>
      <c r="C1812" t="s">
        <v>358</v>
      </c>
      <c r="D1812" s="9">
        <v>19505</v>
      </c>
      <c r="E1812" s="5" t="s">
        <v>416</v>
      </c>
      <c r="F1812" t="s">
        <v>204</v>
      </c>
      <c r="G1812">
        <v>2240</v>
      </c>
      <c r="H1812">
        <v>820</v>
      </c>
      <c r="I1812" s="8">
        <f t="shared" si="169"/>
        <v>0.36607142857142855</v>
      </c>
      <c r="J1812" s="17">
        <v>0.7</v>
      </c>
      <c r="K1812" s="12">
        <v>13.75</v>
      </c>
      <c r="L1812" s="2">
        <f t="shared" si="171"/>
        <v>748</v>
      </c>
      <c r="M1812" s="15">
        <f t="shared" si="170"/>
        <v>10285</v>
      </c>
      <c r="N1812" t="str">
        <f t="shared" si="167"/>
        <v>RJ</v>
      </c>
      <c r="O1812" t="str">
        <f t="shared" si="168"/>
        <v>Rio De Janeiro</v>
      </c>
    </row>
    <row r="1813" spans="1:15" x14ac:dyDescent="0.3">
      <c r="A1813" s="10">
        <v>45931</v>
      </c>
      <c r="B1813" s="9" t="s">
        <v>15</v>
      </c>
      <c r="C1813" t="s">
        <v>358</v>
      </c>
      <c r="D1813" s="9">
        <v>19515</v>
      </c>
      <c r="E1813" s="5" t="s">
        <v>417</v>
      </c>
      <c r="F1813" t="s">
        <v>205</v>
      </c>
      <c r="G1813">
        <v>3435</v>
      </c>
      <c r="H1813">
        <v>1299</v>
      </c>
      <c r="I1813" s="8">
        <f t="shared" si="169"/>
        <v>0.37816593886462885</v>
      </c>
      <c r="J1813" s="17">
        <v>0.7</v>
      </c>
      <c r="K1813" s="12">
        <v>13.75</v>
      </c>
      <c r="L1813" s="2">
        <f t="shared" si="171"/>
        <v>1105.4999999999995</v>
      </c>
      <c r="M1813" s="15">
        <f t="shared" si="170"/>
        <v>15200.624999999995</v>
      </c>
      <c r="N1813" t="str">
        <f t="shared" si="167"/>
        <v>RJ</v>
      </c>
      <c r="O1813" t="str">
        <f t="shared" si="168"/>
        <v>Rio De Janeiro</v>
      </c>
    </row>
    <row r="1814" spans="1:15" x14ac:dyDescent="0.3">
      <c r="A1814" s="10">
        <v>45931</v>
      </c>
      <c r="B1814" s="9" t="s">
        <v>15</v>
      </c>
      <c r="C1814" t="s">
        <v>358</v>
      </c>
      <c r="D1814" s="9">
        <v>19519</v>
      </c>
      <c r="E1814" s="5" t="s">
        <v>418</v>
      </c>
      <c r="F1814" t="s">
        <v>206</v>
      </c>
      <c r="G1814">
        <v>5819</v>
      </c>
      <c r="H1814">
        <v>2295</v>
      </c>
      <c r="I1814" s="8">
        <f t="shared" si="169"/>
        <v>0.39439766282866473</v>
      </c>
      <c r="J1814" s="17">
        <v>0.7</v>
      </c>
      <c r="K1814" s="12">
        <v>13.75</v>
      </c>
      <c r="L1814" s="2">
        <f t="shared" si="171"/>
        <v>1778.2999999999997</v>
      </c>
      <c r="M1814" s="15">
        <f t="shared" si="170"/>
        <v>24451.624999999996</v>
      </c>
      <c r="N1814" t="str">
        <f t="shared" si="167"/>
        <v>RJ</v>
      </c>
      <c r="O1814" t="str">
        <f t="shared" si="168"/>
        <v>Rio De Janeiro</v>
      </c>
    </row>
    <row r="1815" spans="1:15" x14ac:dyDescent="0.3">
      <c r="A1815" s="10">
        <v>45931</v>
      </c>
      <c r="B1815" s="9" t="s">
        <v>15</v>
      </c>
      <c r="C1815" t="s">
        <v>358</v>
      </c>
      <c r="D1815" s="9">
        <v>19518</v>
      </c>
      <c r="E1815" s="5" t="s">
        <v>419</v>
      </c>
      <c r="F1815" t="s">
        <v>207</v>
      </c>
      <c r="G1815">
        <v>4167</v>
      </c>
      <c r="H1815">
        <v>1677</v>
      </c>
      <c r="I1815" s="8">
        <f t="shared" si="169"/>
        <v>0.40244780417566595</v>
      </c>
      <c r="J1815" s="17">
        <v>0.7</v>
      </c>
      <c r="K1815" s="12">
        <v>13.75</v>
      </c>
      <c r="L1815" s="2">
        <f t="shared" si="171"/>
        <v>1239.8999999999996</v>
      </c>
      <c r="M1815" s="15">
        <f t="shared" si="170"/>
        <v>17048.624999999996</v>
      </c>
      <c r="N1815" t="str">
        <f t="shared" si="167"/>
        <v>RJ</v>
      </c>
      <c r="O1815" t="str">
        <f t="shared" si="168"/>
        <v>Rio De Janeiro</v>
      </c>
    </row>
    <row r="1816" spans="1:15" x14ac:dyDescent="0.3">
      <c r="A1816" s="10">
        <v>45931</v>
      </c>
      <c r="B1816" s="9" t="s">
        <v>15</v>
      </c>
      <c r="C1816" t="s">
        <v>358</v>
      </c>
      <c r="D1816" s="9">
        <v>19507</v>
      </c>
      <c r="E1816" s="5" t="s">
        <v>420</v>
      </c>
      <c r="F1816" t="s">
        <v>208</v>
      </c>
      <c r="G1816">
        <v>3110</v>
      </c>
      <c r="H1816">
        <v>1082</v>
      </c>
      <c r="I1816" s="8">
        <f t="shared" si="169"/>
        <v>0.34790996784565914</v>
      </c>
      <c r="J1816" s="17">
        <v>0.7</v>
      </c>
      <c r="K1816" s="12">
        <v>13.75</v>
      </c>
      <c r="L1816" s="2">
        <f t="shared" si="171"/>
        <v>1095</v>
      </c>
      <c r="M1816" s="15">
        <f t="shared" si="170"/>
        <v>15056.25</v>
      </c>
      <c r="N1816" t="str">
        <f t="shared" si="167"/>
        <v>RJ</v>
      </c>
      <c r="O1816" t="str">
        <f t="shared" si="168"/>
        <v>Rio De Janeiro</v>
      </c>
    </row>
    <row r="1817" spans="1:15" x14ac:dyDescent="0.3">
      <c r="A1817" s="10">
        <v>45931</v>
      </c>
      <c r="B1817" s="9" t="s">
        <v>15</v>
      </c>
      <c r="C1817" t="s">
        <v>358</v>
      </c>
      <c r="D1817" s="9">
        <v>19714</v>
      </c>
      <c r="E1817" s="5" t="s">
        <v>421</v>
      </c>
      <c r="F1817" t="s">
        <v>209</v>
      </c>
      <c r="G1817">
        <v>2484</v>
      </c>
      <c r="H1817">
        <v>872</v>
      </c>
      <c r="I1817" s="8">
        <f t="shared" si="169"/>
        <v>0.35104669887278583</v>
      </c>
      <c r="J1817" s="17">
        <v>0.7</v>
      </c>
      <c r="K1817" s="12">
        <v>13.75</v>
      </c>
      <c r="L1817" s="2">
        <f t="shared" si="171"/>
        <v>866.8</v>
      </c>
      <c r="M1817" s="15">
        <f t="shared" si="170"/>
        <v>11918.5</v>
      </c>
      <c r="N1817" t="str">
        <f t="shared" si="167"/>
        <v>RJ</v>
      </c>
      <c r="O1817" t="str">
        <f t="shared" si="168"/>
        <v>Rio De Janeiro</v>
      </c>
    </row>
    <row r="1818" spans="1:15" x14ac:dyDescent="0.3">
      <c r="A1818" s="10">
        <v>45931</v>
      </c>
      <c r="B1818" s="9" t="s">
        <v>15</v>
      </c>
      <c r="C1818" t="s">
        <v>358</v>
      </c>
      <c r="D1818" s="9">
        <v>19844</v>
      </c>
      <c r="E1818" s="5" t="s">
        <v>428</v>
      </c>
      <c r="F1818" t="s">
        <v>210</v>
      </c>
      <c r="G1818">
        <v>2152</v>
      </c>
      <c r="H1818">
        <v>760</v>
      </c>
      <c r="I1818" s="8">
        <f t="shared" si="169"/>
        <v>0.35315985130111527</v>
      </c>
      <c r="J1818" s="17">
        <v>0.7</v>
      </c>
      <c r="K1818" s="12">
        <v>13.75</v>
      </c>
      <c r="L1818" s="2">
        <f t="shared" si="171"/>
        <v>746.39999999999986</v>
      </c>
      <c r="M1818" s="15">
        <f t="shared" si="170"/>
        <v>10262.999999999998</v>
      </c>
      <c r="N1818" t="str">
        <f t="shared" si="167"/>
        <v>RJ</v>
      </c>
      <c r="O1818" t="str">
        <f t="shared" si="168"/>
        <v>Rio De Janeiro</v>
      </c>
    </row>
    <row r="1819" spans="1:15" x14ac:dyDescent="0.3">
      <c r="A1819" s="10">
        <v>45931</v>
      </c>
      <c r="B1819" s="9" t="s">
        <v>14</v>
      </c>
      <c r="C1819" t="s">
        <v>29</v>
      </c>
      <c r="D1819" s="9">
        <v>19793</v>
      </c>
      <c r="E1819" s="5" t="s">
        <v>611</v>
      </c>
      <c r="F1819" t="s">
        <v>39</v>
      </c>
      <c r="G1819">
        <v>1131</v>
      </c>
      <c r="H1819">
        <v>447</v>
      </c>
      <c r="I1819" s="8">
        <f t="shared" si="169"/>
        <v>0.39522546419098142</v>
      </c>
      <c r="J1819" s="17">
        <v>0.7</v>
      </c>
      <c r="K1819" s="12">
        <v>13.75</v>
      </c>
      <c r="L1819" s="2">
        <f t="shared" si="171"/>
        <v>344.69999999999993</v>
      </c>
      <c r="M1819" s="15">
        <f t="shared" si="170"/>
        <v>4739.6249999999991</v>
      </c>
      <c r="N1819" t="str">
        <f t="shared" si="167"/>
        <v>MG</v>
      </c>
      <c r="O1819" t="str">
        <f t="shared" si="168"/>
        <v>Belo Horizonte</v>
      </c>
    </row>
    <row r="1820" spans="1:15" x14ac:dyDescent="0.3">
      <c r="A1820" s="10">
        <v>45931</v>
      </c>
      <c r="B1820" s="9" t="s">
        <v>14</v>
      </c>
      <c r="C1820" t="s">
        <v>29</v>
      </c>
      <c r="D1820" s="9">
        <v>19704</v>
      </c>
      <c r="E1820" s="5" t="s">
        <v>429</v>
      </c>
      <c r="F1820" t="s">
        <v>30</v>
      </c>
      <c r="G1820">
        <v>2740</v>
      </c>
      <c r="H1820">
        <v>1287</v>
      </c>
      <c r="I1820" s="8">
        <f t="shared" si="169"/>
        <v>0.46970802919708027</v>
      </c>
      <c r="J1820" s="17">
        <v>0.7</v>
      </c>
      <c r="K1820" s="12">
        <v>13.75</v>
      </c>
      <c r="L1820" s="2">
        <f t="shared" si="171"/>
        <v>631</v>
      </c>
      <c r="M1820" s="15">
        <f t="shared" si="170"/>
        <v>8676.25</v>
      </c>
      <c r="N1820" t="str">
        <f t="shared" si="167"/>
        <v>MG</v>
      </c>
      <c r="O1820" t="str">
        <f t="shared" si="168"/>
        <v>Belo Horizonte</v>
      </c>
    </row>
    <row r="1821" spans="1:15" x14ac:dyDescent="0.3">
      <c r="A1821" s="10">
        <v>45931</v>
      </c>
      <c r="B1821" s="9" t="s">
        <v>15</v>
      </c>
      <c r="C1821" t="s">
        <v>358</v>
      </c>
      <c r="D1821" s="9">
        <v>19512</v>
      </c>
      <c r="E1821" s="5" t="s">
        <v>430</v>
      </c>
      <c r="F1821" t="s">
        <v>211</v>
      </c>
      <c r="G1821">
        <v>1859</v>
      </c>
      <c r="H1821">
        <v>691</v>
      </c>
      <c r="I1821" s="8">
        <f t="shared" si="169"/>
        <v>0.37170521785906402</v>
      </c>
      <c r="J1821" s="17">
        <v>0.7</v>
      </c>
      <c r="K1821" s="12">
        <v>13.75</v>
      </c>
      <c r="L1821" s="2">
        <f t="shared" si="171"/>
        <v>610.29999999999995</v>
      </c>
      <c r="M1821" s="15">
        <f t="shared" si="170"/>
        <v>8391.625</v>
      </c>
      <c r="N1821" t="str">
        <f t="shared" si="167"/>
        <v>RJ</v>
      </c>
      <c r="O1821" t="str">
        <f t="shared" si="168"/>
        <v>Rio De Janeiro</v>
      </c>
    </row>
    <row r="1822" spans="1:15" x14ac:dyDescent="0.3">
      <c r="A1822" s="10">
        <v>45931</v>
      </c>
      <c r="B1822" s="9" t="s">
        <v>14</v>
      </c>
      <c r="C1822" t="s">
        <v>29</v>
      </c>
      <c r="D1822" s="9">
        <v>19562</v>
      </c>
      <c r="E1822" s="5" t="s">
        <v>431</v>
      </c>
      <c r="F1822" t="s">
        <v>31</v>
      </c>
      <c r="G1822">
        <v>1505</v>
      </c>
      <c r="H1822">
        <v>708</v>
      </c>
      <c r="I1822" s="8">
        <f t="shared" si="169"/>
        <v>0.47043189368770766</v>
      </c>
      <c r="J1822" s="17">
        <v>0.7</v>
      </c>
      <c r="K1822" s="12">
        <v>13.75</v>
      </c>
      <c r="L1822" s="2">
        <f t="shared" si="171"/>
        <v>345.5</v>
      </c>
      <c r="M1822" s="15">
        <f t="shared" si="170"/>
        <v>4750.625</v>
      </c>
      <c r="N1822" t="str">
        <f t="shared" si="167"/>
        <v>MG</v>
      </c>
      <c r="O1822" t="str">
        <f t="shared" si="168"/>
        <v>Belo Horizonte</v>
      </c>
    </row>
    <row r="1823" spans="1:15" x14ac:dyDescent="0.3">
      <c r="A1823" s="10">
        <v>45931</v>
      </c>
      <c r="B1823" s="9" t="s">
        <v>14</v>
      </c>
      <c r="C1823" t="s">
        <v>29</v>
      </c>
      <c r="D1823" s="9">
        <v>19748</v>
      </c>
      <c r="E1823" s="5" t="s">
        <v>432</v>
      </c>
      <c r="F1823" t="s">
        <v>32</v>
      </c>
      <c r="G1823">
        <v>1797</v>
      </c>
      <c r="H1823">
        <v>770</v>
      </c>
      <c r="I1823" s="8">
        <f t="shared" si="169"/>
        <v>0.42849193099610461</v>
      </c>
      <c r="J1823" s="17">
        <v>0.7</v>
      </c>
      <c r="K1823" s="12">
        <v>13.75</v>
      </c>
      <c r="L1823" s="2">
        <f t="shared" si="171"/>
        <v>487.90000000000009</v>
      </c>
      <c r="M1823" s="15">
        <f t="shared" si="170"/>
        <v>6708.6250000000009</v>
      </c>
      <c r="N1823" t="str">
        <f t="shared" si="167"/>
        <v>MG</v>
      </c>
      <c r="O1823" t="str">
        <f t="shared" si="168"/>
        <v>Belo Horizonte</v>
      </c>
    </row>
    <row r="1824" spans="1:15" x14ac:dyDescent="0.3">
      <c r="A1824" s="10">
        <v>45931</v>
      </c>
      <c r="B1824" s="9" t="s">
        <v>14</v>
      </c>
      <c r="C1824" t="s">
        <v>29</v>
      </c>
      <c r="D1824" s="9">
        <v>19561</v>
      </c>
      <c r="E1824" s="5" t="s">
        <v>433</v>
      </c>
      <c r="F1824" t="s">
        <v>33</v>
      </c>
      <c r="G1824">
        <v>1219</v>
      </c>
      <c r="H1824">
        <v>430</v>
      </c>
      <c r="I1824" s="8">
        <f t="shared" si="169"/>
        <v>0.3527481542247744</v>
      </c>
      <c r="J1824" s="17">
        <v>0.7</v>
      </c>
      <c r="K1824" s="12">
        <v>13.75</v>
      </c>
      <c r="L1824" s="2">
        <f t="shared" si="171"/>
        <v>423.29999999999995</v>
      </c>
      <c r="M1824" s="15">
        <f t="shared" si="170"/>
        <v>5820.3749999999991</v>
      </c>
      <c r="N1824" t="str">
        <f t="shared" si="167"/>
        <v>MG</v>
      </c>
      <c r="O1824" t="str">
        <f t="shared" si="168"/>
        <v>Belo Horizonte</v>
      </c>
    </row>
    <row r="1825" spans="1:15" x14ac:dyDescent="0.3">
      <c r="A1825" s="10">
        <v>45931</v>
      </c>
      <c r="B1825" s="9" t="s">
        <v>14</v>
      </c>
      <c r="C1825" t="s">
        <v>29</v>
      </c>
      <c r="D1825" s="9">
        <v>19560</v>
      </c>
      <c r="E1825" s="5" t="s">
        <v>435</v>
      </c>
      <c r="F1825" t="s">
        <v>34</v>
      </c>
      <c r="G1825">
        <v>4076</v>
      </c>
      <c r="H1825">
        <v>1860</v>
      </c>
      <c r="I1825" s="8">
        <f t="shared" si="169"/>
        <v>0.45632973503434737</v>
      </c>
      <c r="J1825" s="17">
        <v>0.7</v>
      </c>
      <c r="K1825" s="12">
        <v>13.75</v>
      </c>
      <c r="L1825" s="2">
        <f t="shared" si="171"/>
        <v>993.20000000000027</v>
      </c>
      <c r="M1825" s="15">
        <f t="shared" si="170"/>
        <v>13656.500000000004</v>
      </c>
      <c r="N1825" t="str">
        <f t="shared" si="167"/>
        <v>MG</v>
      </c>
      <c r="O1825" t="str">
        <f t="shared" si="168"/>
        <v>Belo Horizonte</v>
      </c>
    </row>
    <row r="1826" spans="1:15" x14ac:dyDescent="0.3">
      <c r="A1826" s="10">
        <v>45931</v>
      </c>
      <c r="B1826" s="9" t="s">
        <v>15</v>
      </c>
      <c r="C1826" t="s">
        <v>358</v>
      </c>
      <c r="D1826" s="9">
        <v>19508</v>
      </c>
      <c r="E1826" s="5" t="s">
        <v>444</v>
      </c>
      <c r="F1826" t="s">
        <v>212</v>
      </c>
      <c r="G1826">
        <v>2717</v>
      </c>
      <c r="H1826">
        <v>1235</v>
      </c>
      <c r="I1826" s="8">
        <f t="shared" si="169"/>
        <v>0.45454545454545453</v>
      </c>
      <c r="J1826" s="17">
        <v>0.7</v>
      </c>
      <c r="K1826" s="12">
        <v>13.75</v>
      </c>
      <c r="L1826" s="2">
        <f t="shared" si="171"/>
        <v>666.90000000000009</v>
      </c>
      <c r="M1826" s="15">
        <f t="shared" si="170"/>
        <v>9169.8750000000018</v>
      </c>
      <c r="N1826" t="str">
        <f t="shared" si="167"/>
        <v>RJ</v>
      </c>
      <c r="O1826" t="str">
        <f t="shared" si="168"/>
        <v>Rio De Janeiro</v>
      </c>
    </row>
    <row r="1827" spans="1:15" x14ac:dyDescent="0.3">
      <c r="A1827" s="10">
        <v>45931</v>
      </c>
      <c r="B1827" s="9" t="s">
        <v>15</v>
      </c>
      <c r="C1827" t="s">
        <v>358</v>
      </c>
      <c r="D1827" s="9">
        <v>19894</v>
      </c>
      <c r="E1827" s="5" t="s">
        <v>446</v>
      </c>
      <c r="F1827" t="s">
        <v>213</v>
      </c>
      <c r="G1827">
        <v>2343</v>
      </c>
      <c r="H1827">
        <v>842</v>
      </c>
      <c r="I1827" s="8">
        <f t="shared" si="169"/>
        <v>0.3593683311993171</v>
      </c>
      <c r="J1827" s="17">
        <v>0.7</v>
      </c>
      <c r="K1827" s="12">
        <v>13.75</v>
      </c>
      <c r="L1827" s="2">
        <f t="shared" si="171"/>
        <v>798.09999999999991</v>
      </c>
      <c r="M1827" s="15">
        <f t="shared" si="170"/>
        <v>10973.874999999998</v>
      </c>
      <c r="N1827" t="str">
        <f t="shared" si="167"/>
        <v>RJ</v>
      </c>
      <c r="O1827" t="str">
        <f t="shared" si="168"/>
        <v>Rio De Janeiro</v>
      </c>
    </row>
    <row r="1828" spans="1:15" x14ac:dyDescent="0.3">
      <c r="A1828" s="10">
        <v>45931</v>
      </c>
      <c r="B1828" s="9" t="s">
        <v>15</v>
      </c>
      <c r="C1828" t="s">
        <v>358</v>
      </c>
      <c r="D1828" s="9">
        <v>19526</v>
      </c>
      <c r="E1828" s="5" t="s">
        <v>447</v>
      </c>
      <c r="F1828" t="s">
        <v>214</v>
      </c>
      <c r="G1828">
        <v>1475</v>
      </c>
      <c r="H1828">
        <v>539</v>
      </c>
      <c r="I1828" s="8">
        <f t="shared" si="169"/>
        <v>0.36542372881355933</v>
      </c>
      <c r="J1828" s="17">
        <v>0.7</v>
      </c>
      <c r="K1828" s="12">
        <v>13.75</v>
      </c>
      <c r="L1828" s="2">
        <f t="shared" ref="L1828:L1859" si="172">H1828*J1828/I1828-H1828</f>
        <v>493.49999999999977</v>
      </c>
      <c r="M1828" s="15">
        <f t="shared" si="170"/>
        <v>6785.6249999999973</v>
      </c>
      <c r="N1828" t="str">
        <f t="shared" si="167"/>
        <v>RJ</v>
      </c>
      <c r="O1828" t="str">
        <f t="shared" si="168"/>
        <v>Rio De Janeiro</v>
      </c>
    </row>
    <row r="1829" spans="1:15" x14ac:dyDescent="0.3">
      <c r="A1829" s="10">
        <v>45931</v>
      </c>
      <c r="B1829" s="9" t="s">
        <v>15</v>
      </c>
      <c r="C1829" t="s">
        <v>358</v>
      </c>
      <c r="D1829" s="9">
        <v>19509</v>
      </c>
      <c r="E1829" s="5" t="s">
        <v>448</v>
      </c>
      <c r="F1829" t="s">
        <v>215</v>
      </c>
      <c r="G1829">
        <v>2561</v>
      </c>
      <c r="H1829">
        <v>797</v>
      </c>
      <c r="I1829" s="8">
        <f t="shared" si="169"/>
        <v>0.31120655993752439</v>
      </c>
      <c r="J1829" s="17">
        <v>0.7</v>
      </c>
      <c r="K1829" s="12">
        <v>13.75</v>
      </c>
      <c r="L1829" s="2">
        <f t="shared" si="172"/>
        <v>995.7</v>
      </c>
      <c r="M1829" s="15">
        <f t="shared" si="170"/>
        <v>13690.875</v>
      </c>
      <c r="N1829" t="str">
        <f t="shared" si="167"/>
        <v>RJ</v>
      </c>
      <c r="O1829" t="str">
        <f t="shared" si="168"/>
        <v>Rio De Janeiro</v>
      </c>
    </row>
    <row r="1830" spans="1:15" x14ac:dyDescent="0.3">
      <c r="A1830" s="10">
        <v>45931</v>
      </c>
      <c r="B1830" s="9" t="s">
        <v>15</v>
      </c>
      <c r="C1830" t="s">
        <v>358</v>
      </c>
      <c r="D1830" s="9">
        <v>19635</v>
      </c>
      <c r="E1830" s="5" t="s">
        <v>452</v>
      </c>
      <c r="F1830" t="s">
        <v>216</v>
      </c>
      <c r="G1830">
        <v>1819</v>
      </c>
      <c r="H1830">
        <v>809</v>
      </c>
      <c r="I1830" s="8">
        <f t="shared" si="169"/>
        <v>0.44474986256184718</v>
      </c>
      <c r="J1830" s="17">
        <v>0.7</v>
      </c>
      <c r="K1830" s="12">
        <v>13.75</v>
      </c>
      <c r="L1830" s="2">
        <f t="shared" si="172"/>
        <v>464.29999999999995</v>
      </c>
      <c r="M1830" s="15">
        <f t="shared" si="170"/>
        <v>6384.1249999999991</v>
      </c>
      <c r="N1830" t="str">
        <f t="shared" si="167"/>
        <v>RJ</v>
      </c>
      <c r="O1830" t="str">
        <f t="shared" si="168"/>
        <v>Rio De Janeiro</v>
      </c>
    </row>
    <row r="1831" spans="1:15" x14ac:dyDescent="0.3">
      <c r="A1831" s="10">
        <v>45931</v>
      </c>
      <c r="B1831" s="9" t="s">
        <v>15</v>
      </c>
      <c r="C1831" t="s">
        <v>358</v>
      </c>
      <c r="D1831" s="9">
        <v>19665</v>
      </c>
      <c r="E1831" s="5" t="s">
        <v>453</v>
      </c>
      <c r="F1831" t="s">
        <v>217</v>
      </c>
      <c r="G1831">
        <v>1823</v>
      </c>
      <c r="H1831">
        <v>666</v>
      </c>
      <c r="I1831" s="8">
        <f t="shared" si="169"/>
        <v>0.36533187054306088</v>
      </c>
      <c r="J1831" s="17">
        <v>0.7</v>
      </c>
      <c r="K1831" s="12">
        <v>13.75</v>
      </c>
      <c r="L1831" s="2">
        <f t="shared" si="172"/>
        <v>610.09999999999991</v>
      </c>
      <c r="M1831" s="15">
        <f t="shared" si="170"/>
        <v>8388.8749999999982</v>
      </c>
      <c r="N1831" t="str">
        <f t="shared" si="167"/>
        <v>RJ</v>
      </c>
      <c r="O1831" t="str">
        <f t="shared" si="168"/>
        <v>Rio De Janeiro</v>
      </c>
    </row>
    <row r="1832" spans="1:15" x14ac:dyDescent="0.3">
      <c r="A1832" s="10">
        <v>45931</v>
      </c>
      <c r="B1832" s="9" t="s">
        <v>15</v>
      </c>
      <c r="C1832" t="s">
        <v>358</v>
      </c>
      <c r="D1832" s="9">
        <v>19504</v>
      </c>
      <c r="E1832" s="5" t="s">
        <v>454</v>
      </c>
      <c r="F1832" t="s">
        <v>218</v>
      </c>
      <c r="G1832">
        <v>2948</v>
      </c>
      <c r="H1832">
        <v>1210</v>
      </c>
      <c r="I1832" s="8">
        <f t="shared" si="169"/>
        <v>0.41044776119402987</v>
      </c>
      <c r="J1832" s="17">
        <v>0.7</v>
      </c>
      <c r="K1832" s="12">
        <v>13.75</v>
      </c>
      <c r="L1832" s="2">
        <f t="shared" si="172"/>
        <v>853.59999999999991</v>
      </c>
      <c r="M1832" s="15">
        <f t="shared" si="170"/>
        <v>11736.999999999998</v>
      </c>
      <c r="N1832" t="str">
        <f t="shared" si="167"/>
        <v>RJ</v>
      </c>
      <c r="O1832" t="str">
        <f t="shared" si="168"/>
        <v>Rio De Janeiro</v>
      </c>
    </row>
    <row r="1833" spans="1:15" x14ac:dyDescent="0.3">
      <c r="A1833" s="10">
        <v>45931</v>
      </c>
      <c r="B1833" s="9" t="s">
        <v>15</v>
      </c>
      <c r="C1833" t="s">
        <v>358</v>
      </c>
      <c r="D1833" s="9">
        <v>19511</v>
      </c>
      <c r="E1833" s="5" t="s">
        <v>455</v>
      </c>
      <c r="F1833" t="s">
        <v>219</v>
      </c>
      <c r="G1833">
        <v>2822</v>
      </c>
      <c r="H1833">
        <v>1077</v>
      </c>
      <c r="I1833" s="8">
        <f t="shared" si="169"/>
        <v>0.38164422395464209</v>
      </c>
      <c r="J1833" s="17">
        <v>0.7</v>
      </c>
      <c r="K1833" s="12">
        <v>13.75</v>
      </c>
      <c r="L1833" s="2">
        <f t="shared" si="172"/>
        <v>898.39999999999986</v>
      </c>
      <c r="M1833" s="15">
        <f t="shared" si="170"/>
        <v>12352.999999999998</v>
      </c>
      <c r="N1833" t="str">
        <f t="shared" si="167"/>
        <v>RJ</v>
      </c>
      <c r="O1833" t="str">
        <f t="shared" si="168"/>
        <v>Rio De Janeiro</v>
      </c>
    </row>
    <row r="1834" spans="1:15" x14ac:dyDescent="0.3">
      <c r="A1834" s="10">
        <v>45931</v>
      </c>
      <c r="B1834" s="9" t="s">
        <v>14</v>
      </c>
      <c r="C1834" t="s">
        <v>285</v>
      </c>
      <c r="D1834" s="9">
        <v>19698</v>
      </c>
      <c r="E1834" s="5" t="s">
        <v>456</v>
      </c>
      <c r="F1834" t="s">
        <v>331</v>
      </c>
      <c r="G1834">
        <v>2493</v>
      </c>
      <c r="H1834">
        <v>924</v>
      </c>
      <c r="I1834" s="8">
        <f t="shared" si="169"/>
        <v>0.37063778580024065</v>
      </c>
      <c r="J1834" s="17">
        <v>0.7</v>
      </c>
      <c r="K1834" s="12">
        <v>13.75</v>
      </c>
      <c r="L1834" s="2">
        <f t="shared" si="172"/>
        <v>821.09999999999991</v>
      </c>
      <c r="M1834" s="15">
        <f t="shared" si="170"/>
        <v>11290.124999999998</v>
      </c>
      <c r="N1834" t="str">
        <f t="shared" si="167"/>
        <v>MG</v>
      </c>
      <c r="O1834" t="str">
        <f t="shared" si="168"/>
        <v>Uberlândia</v>
      </c>
    </row>
    <row r="1835" spans="1:15" x14ac:dyDescent="0.3">
      <c r="A1835" s="10">
        <v>45931</v>
      </c>
      <c r="B1835" s="9" t="s">
        <v>15</v>
      </c>
      <c r="C1835" t="s">
        <v>358</v>
      </c>
      <c r="D1835" s="9">
        <v>19506</v>
      </c>
      <c r="E1835" s="5" t="s">
        <v>457</v>
      </c>
      <c r="F1835" t="s">
        <v>220</v>
      </c>
      <c r="G1835">
        <v>2803</v>
      </c>
      <c r="H1835">
        <v>1128</v>
      </c>
      <c r="I1835" s="8">
        <f t="shared" si="169"/>
        <v>0.40242597217267212</v>
      </c>
      <c r="J1835" s="17">
        <v>0.7</v>
      </c>
      <c r="K1835" s="12">
        <v>13.75</v>
      </c>
      <c r="L1835" s="2">
        <f t="shared" si="172"/>
        <v>834.09999999999991</v>
      </c>
      <c r="M1835" s="15">
        <f t="shared" si="170"/>
        <v>11468.874999999998</v>
      </c>
      <c r="N1835" t="str">
        <f t="shared" si="167"/>
        <v>RJ</v>
      </c>
      <c r="O1835" t="str">
        <f t="shared" si="168"/>
        <v>Rio De Janeiro</v>
      </c>
    </row>
    <row r="1836" spans="1:15" x14ac:dyDescent="0.3">
      <c r="A1836" s="10">
        <v>45931</v>
      </c>
      <c r="B1836" s="9" t="s">
        <v>7</v>
      </c>
      <c r="C1836" t="s">
        <v>8</v>
      </c>
      <c r="D1836" s="9">
        <v>19700</v>
      </c>
      <c r="E1836" s="5" t="s">
        <v>458</v>
      </c>
      <c r="F1836" t="s">
        <v>9</v>
      </c>
      <c r="G1836">
        <v>1958</v>
      </c>
      <c r="H1836">
        <v>728</v>
      </c>
      <c r="I1836" s="8">
        <f t="shared" si="169"/>
        <v>0.37180796731358529</v>
      </c>
      <c r="J1836" s="17">
        <v>0.7</v>
      </c>
      <c r="K1836" s="12">
        <v>13.75</v>
      </c>
      <c r="L1836" s="2">
        <f t="shared" si="172"/>
        <v>642.59999999999991</v>
      </c>
      <c r="M1836" s="15">
        <f t="shared" si="170"/>
        <v>8835.7499999999982</v>
      </c>
      <c r="N1836" t="str">
        <f t="shared" si="167"/>
        <v>GO</v>
      </c>
      <c r="O1836" t="str">
        <f t="shared" si="168"/>
        <v>Anápolis</v>
      </c>
    </row>
    <row r="1837" spans="1:15" x14ac:dyDescent="0.3">
      <c r="A1837" s="10">
        <v>45931</v>
      </c>
      <c r="B1837" s="9" t="s">
        <v>14</v>
      </c>
      <c r="C1837" t="s">
        <v>29</v>
      </c>
      <c r="D1837" s="9">
        <v>19697</v>
      </c>
      <c r="E1837" s="5" t="s">
        <v>459</v>
      </c>
      <c r="F1837" t="s">
        <v>37</v>
      </c>
      <c r="G1837">
        <v>2078</v>
      </c>
      <c r="H1837">
        <v>811</v>
      </c>
      <c r="I1837" s="8">
        <f t="shared" si="169"/>
        <v>0.39027911453320502</v>
      </c>
      <c r="J1837" s="17">
        <v>0.7</v>
      </c>
      <c r="K1837" s="12">
        <v>13.75</v>
      </c>
      <c r="L1837" s="2">
        <f t="shared" si="172"/>
        <v>643.59999999999968</v>
      </c>
      <c r="M1837" s="15">
        <f t="shared" si="170"/>
        <v>8849.4999999999964</v>
      </c>
      <c r="N1837" t="str">
        <f t="shared" si="167"/>
        <v>MG</v>
      </c>
      <c r="O1837" t="str">
        <f t="shared" si="168"/>
        <v>Belo Horizonte</v>
      </c>
    </row>
    <row r="1838" spans="1:15" x14ac:dyDescent="0.3">
      <c r="A1838" s="10">
        <v>45931</v>
      </c>
      <c r="B1838" s="9" t="s">
        <v>46</v>
      </c>
      <c r="C1838" t="s">
        <v>47</v>
      </c>
      <c r="D1838" s="9">
        <v>19722</v>
      </c>
      <c r="E1838" s="5" t="s">
        <v>460</v>
      </c>
      <c r="F1838" t="s">
        <v>52</v>
      </c>
      <c r="G1838">
        <v>1474</v>
      </c>
      <c r="H1838">
        <v>482</v>
      </c>
      <c r="I1838" s="8">
        <f t="shared" si="169"/>
        <v>0.32700135685210313</v>
      </c>
      <c r="J1838" s="17">
        <v>0.7</v>
      </c>
      <c r="K1838" s="12">
        <v>13.75</v>
      </c>
      <c r="L1838" s="2">
        <f t="shared" si="172"/>
        <v>549.79999999999995</v>
      </c>
      <c r="M1838" s="15">
        <f t="shared" si="170"/>
        <v>7559.7499999999991</v>
      </c>
      <c r="N1838" t="str">
        <f t="shared" si="167"/>
        <v>DF</v>
      </c>
      <c r="O1838" t="str">
        <f t="shared" si="168"/>
        <v>Brasília</v>
      </c>
    </row>
    <row r="1839" spans="1:15" x14ac:dyDescent="0.3">
      <c r="A1839" s="10">
        <v>45931</v>
      </c>
      <c r="B1839" s="9" t="s">
        <v>3</v>
      </c>
      <c r="C1839" t="s">
        <v>248</v>
      </c>
      <c r="D1839" s="9">
        <v>19716</v>
      </c>
      <c r="E1839" s="5" t="s">
        <v>461</v>
      </c>
      <c r="F1839" t="s">
        <v>262</v>
      </c>
      <c r="G1839">
        <v>1906</v>
      </c>
      <c r="H1839">
        <v>803</v>
      </c>
      <c r="I1839" s="8">
        <f t="shared" si="169"/>
        <v>0.42130115424973769</v>
      </c>
      <c r="J1839" s="17">
        <v>0.7</v>
      </c>
      <c r="K1839" s="12">
        <v>13.75</v>
      </c>
      <c r="L1839" s="2">
        <f t="shared" si="172"/>
        <v>531.19999999999982</v>
      </c>
      <c r="M1839" s="15">
        <f t="shared" si="170"/>
        <v>7303.9999999999973</v>
      </c>
      <c r="N1839" t="str">
        <f t="shared" si="167"/>
        <v>SP</v>
      </c>
      <c r="O1839" t="str">
        <f t="shared" si="168"/>
        <v>São Paulo</v>
      </c>
    </row>
    <row r="1840" spans="1:15" x14ac:dyDescent="0.3">
      <c r="A1840" s="10">
        <v>45931</v>
      </c>
      <c r="B1840" s="9" t="s">
        <v>3</v>
      </c>
      <c r="C1840" t="s">
        <v>17</v>
      </c>
      <c r="D1840" s="9">
        <v>19715</v>
      </c>
      <c r="E1840" s="5" t="s">
        <v>462</v>
      </c>
      <c r="F1840" t="s">
        <v>18</v>
      </c>
      <c r="G1840">
        <v>1601</v>
      </c>
      <c r="H1840">
        <v>879</v>
      </c>
      <c r="I1840" s="8">
        <f t="shared" si="169"/>
        <v>0.5490318550905684</v>
      </c>
      <c r="J1840" s="17">
        <v>0.7</v>
      </c>
      <c r="K1840" s="12">
        <v>13.75</v>
      </c>
      <c r="L1840" s="2">
        <f t="shared" si="172"/>
        <v>241.69999999999982</v>
      </c>
      <c r="M1840" s="15">
        <f t="shared" si="170"/>
        <v>3323.3749999999973</v>
      </c>
      <c r="N1840" t="str">
        <f t="shared" si="167"/>
        <v>SP</v>
      </c>
      <c r="O1840" t="str">
        <f t="shared" si="168"/>
        <v>Atibaia</v>
      </c>
    </row>
    <row r="1841" spans="1:15" x14ac:dyDescent="0.3">
      <c r="A1841" s="10">
        <v>45931</v>
      </c>
      <c r="B1841" s="9" t="s">
        <v>21</v>
      </c>
      <c r="C1841" t="s">
        <v>368</v>
      </c>
      <c r="D1841" s="9">
        <v>19736</v>
      </c>
      <c r="E1841" s="5" t="s">
        <v>464</v>
      </c>
      <c r="F1841" t="s">
        <v>295</v>
      </c>
      <c r="G1841">
        <v>3630</v>
      </c>
      <c r="H1841">
        <v>1401</v>
      </c>
      <c r="I1841" s="8">
        <f t="shared" si="169"/>
        <v>0.3859504132231405</v>
      </c>
      <c r="J1841" s="17">
        <v>0.7</v>
      </c>
      <c r="K1841" s="12">
        <v>13.75</v>
      </c>
      <c r="L1841" s="2">
        <f t="shared" si="172"/>
        <v>1140</v>
      </c>
      <c r="M1841" s="15">
        <f t="shared" si="170"/>
        <v>15675</v>
      </c>
      <c r="N1841" t="str">
        <f t="shared" si="167"/>
        <v>BA</v>
      </c>
      <c r="O1841" t="str">
        <f t="shared" si="168"/>
        <v>Vitória Da Conquista</v>
      </c>
    </row>
    <row r="1842" spans="1:15" x14ac:dyDescent="0.3">
      <c r="A1842" s="10">
        <v>45931</v>
      </c>
      <c r="B1842" s="9" t="s">
        <v>21</v>
      </c>
      <c r="C1842" t="s">
        <v>228</v>
      </c>
      <c r="D1842" s="9">
        <v>19740</v>
      </c>
      <c r="E1842" s="5" t="s">
        <v>465</v>
      </c>
      <c r="F1842" t="s">
        <v>229</v>
      </c>
      <c r="G1842">
        <v>2122</v>
      </c>
      <c r="H1842">
        <v>684</v>
      </c>
      <c r="I1842" s="8">
        <f t="shared" si="169"/>
        <v>0.3223374175306315</v>
      </c>
      <c r="J1842" s="17">
        <v>0.7</v>
      </c>
      <c r="K1842" s="12">
        <v>13.75</v>
      </c>
      <c r="L1842" s="2">
        <f t="shared" si="172"/>
        <v>801.39999999999986</v>
      </c>
      <c r="M1842" s="15">
        <f t="shared" si="170"/>
        <v>11019.249999999998</v>
      </c>
      <c r="N1842" t="str">
        <f t="shared" si="167"/>
        <v>BA</v>
      </c>
      <c r="O1842" t="str">
        <f t="shared" si="168"/>
        <v>Salvador</v>
      </c>
    </row>
    <row r="1843" spans="1:15" x14ac:dyDescent="0.3">
      <c r="A1843" s="10">
        <v>45931</v>
      </c>
      <c r="B1843" s="9" t="s">
        <v>21</v>
      </c>
      <c r="C1843" t="s">
        <v>352</v>
      </c>
      <c r="D1843" s="9">
        <v>19738</v>
      </c>
      <c r="E1843" s="5" t="s">
        <v>466</v>
      </c>
      <c r="F1843" t="s">
        <v>118</v>
      </c>
      <c r="G1843">
        <v>4427</v>
      </c>
      <c r="H1843">
        <v>2319</v>
      </c>
      <c r="I1843" s="8">
        <f t="shared" si="169"/>
        <v>0.52383103681951659</v>
      </c>
      <c r="J1843" s="17">
        <v>0.7</v>
      </c>
      <c r="K1843" s="12">
        <v>13.75</v>
      </c>
      <c r="L1843" s="2">
        <f t="shared" si="172"/>
        <v>779.90000000000009</v>
      </c>
      <c r="M1843" s="15">
        <f t="shared" si="170"/>
        <v>10723.625000000002</v>
      </c>
      <c r="N1843" t="str">
        <f t="shared" si="167"/>
        <v>BA</v>
      </c>
      <c r="O1843" t="str">
        <f t="shared" si="168"/>
        <v>Lauro De Freitas</v>
      </c>
    </row>
    <row r="1844" spans="1:15" x14ac:dyDescent="0.3">
      <c r="A1844" s="10">
        <v>45931</v>
      </c>
      <c r="B1844" s="9" t="s">
        <v>129</v>
      </c>
      <c r="C1844" t="s">
        <v>130</v>
      </c>
      <c r="D1844" s="9">
        <v>19742</v>
      </c>
      <c r="E1844" s="5" t="s">
        <v>467</v>
      </c>
      <c r="F1844" t="s">
        <v>131</v>
      </c>
      <c r="G1844">
        <v>1588</v>
      </c>
      <c r="H1844">
        <v>720</v>
      </c>
      <c r="I1844" s="8">
        <f t="shared" si="169"/>
        <v>0.45340050377833752</v>
      </c>
      <c r="J1844" s="17">
        <v>0.7</v>
      </c>
      <c r="K1844" s="12">
        <v>13.75</v>
      </c>
      <c r="L1844" s="2">
        <f t="shared" si="172"/>
        <v>391.59999999999991</v>
      </c>
      <c r="M1844" s="15">
        <f t="shared" si="170"/>
        <v>5384.4999999999991</v>
      </c>
      <c r="N1844" t="str">
        <f t="shared" si="167"/>
        <v>AM</v>
      </c>
      <c r="O1844" t="str">
        <f t="shared" si="168"/>
        <v>Manaus</v>
      </c>
    </row>
    <row r="1845" spans="1:15" x14ac:dyDescent="0.3">
      <c r="A1845" s="10">
        <v>45931</v>
      </c>
      <c r="B1845" s="9" t="s">
        <v>129</v>
      </c>
      <c r="C1845" t="s">
        <v>130</v>
      </c>
      <c r="D1845" s="9">
        <v>19785</v>
      </c>
      <c r="E1845" s="5" t="s">
        <v>468</v>
      </c>
      <c r="F1845" t="s">
        <v>132</v>
      </c>
      <c r="G1845">
        <v>1724</v>
      </c>
      <c r="H1845">
        <v>799</v>
      </c>
      <c r="I1845" s="8">
        <f t="shared" si="169"/>
        <v>0.46345707656612528</v>
      </c>
      <c r="J1845" s="17">
        <v>0.7</v>
      </c>
      <c r="K1845" s="12">
        <v>13.75</v>
      </c>
      <c r="L1845" s="2">
        <f t="shared" si="172"/>
        <v>407.79999999999995</v>
      </c>
      <c r="M1845" s="15">
        <f t="shared" si="170"/>
        <v>5607.2499999999991</v>
      </c>
      <c r="N1845" t="str">
        <f t="shared" si="167"/>
        <v>AM</v>
      </c>
      <c r="O1845" t="str">
        <f t="shared" si="168"/>
        <v>Manaus</v>
      </c>
    </row>
    <row r="1846" spans="1:15" x14ac:dyDescent="0.3">
      <c r="A1846" s="10">
        <v>45931</v>
      </c>
      <c r="B1846" s="9" t="s">
        <v>129</v>
      </c>
      <c r="C1846" t="s">
        <v>130</v>
      </c>
      <c r="D1846" s="9">
        <v>19843</v>
      </c>
      <c r="E1846" s="5" t="s">
        <v>469</v>
      </c>
      <c r="F1846" t="s">
        <v>133</v>
      </c>
      <c r="G1846">
        <v>1401</v>
      </c>
      <c r="H1846">
        <v>598</v>
      </c>
      <c r="I1846" s="8">
        <f t="shared" si="169"/>
        <v>0.42683797287651676</v>
      </c>
      <c r="J1846" s="17">
        <v>0.7</v>
      </c>
      <c r="K1846" s="12">
        <v>13.75</v>
      </c>
      <c r="L1846" s="2">
        <f t="shared" si="172"/>
        <v>382.69999999999993</v>
      </c>
      <c r="M1846" s="15">
        <f t="shared" si="170"/>
        <v>5262.1249999999991</v>
      </c>
      <c r="N1846" t="str">
        <f t="shared" si="167"/>
        <v>AM</v>
      </c>
      <c r="O1846" t="str">
        <f t="shared" si="168"/>
        <v>Manaus</v>
      </c>
    </row>
    <row r="1847" spans="1:15" x14ac:dyDescent="0.3">
      <c r="A1847" s="10">
        <v>45931</v>
      </c>
      <c r="B1847" s="9" t="s">
        <v>129</v>
      </c>
      <c r="C1847" t="s">
        <v>130</v>
      </c>
      <c r="D1847" s="9">
        <v>19879</v>
      </c>
      <c r="E1847" s="5" t="s">
        <v>470</v>
      </c>
      <c r="F1847" t="s">
        <v>134</v>
      </c>
      <c r="G1847">
        <v>1522</v>
      </c>
      <c r="H1847">
        <v>819</v>
      </c>
      <c r="I1847" s="8">
        <f t="shared" si="169"/>
        <v>0.53810775295663604</v>
      </c>
      <c r="J1847" s="17">
        <v>0.7</v>
      </c>
      <c r="K1847" s="12">
        <v>13.75</v>
      </c>
      <c r="L1847" s="2">
        <f t="shared" si="172"/>
        <v>246.39999999999986</v>
      </c>
      <c r="M1847" s="15">
        <f t="shared" si="170"/>
        <v>3387.9999999999982</v>
      </c>
      <c r="N1847" t="str">
        <f t="shared" si="167"/>
        <v>AM</v>
      </c>
      <c r="O1847" t="str">
        <f t="shared" si="168"/>
        <v>Manaus</v>
      </c>
    </row>
    <row r="1848" spans="1:15" x14ac:dyDescent="0.3">
      <c r="A1848" s="10">
        <v>45931</v>
      </c>
      <c r="B1848" s="9" t="s">
        <v>89</v>
      </c>
      <c r="C1848" t="s">
        <v>346</v>
      </c>
      <c r="D1848" s="9">
        <v>19735</v>
      </c>
      <c r="E1848" s="5" t="s">
        <v>471</v>
      </c>
      <c r="F1848" t="s">
        <v>90</v>
      </c>
      <c r="G1848">
        <v>1135</v>
      </c>
      <c r="H1848">
        <v>510</v>
      </c>
      <c r="I1848" s="8">
        <f t="shared" si="169"/>
        <v>0.44933920704845814</v>
      </c>
      <c r="J1848" s="17">
        <v>0.7</v>
      </c>
      <c r="K1848" s="12">
        <v>13.75</v>
      </c>
      <c r="L1848" s="2">
        <f t="shared" si="172"/>
        <v>284.5</v>
      </c>
      <c r="M1848" s="15">
        <f t="shared" si="170"/>
        <v>3911.875</v>
      </c>
      <c r="N1848" t="str">
        <f t="shared" si="167"/>
        <v>CE</v>
      </c>
      <c r="O1848" t="str">
        <f t="shared" si="168"/>
        <v>Fortaleza</v>
      </c>
    </row>
    <row r="1849" spans="1:15" x14ac:dyDescent="0.3">
      <c r="A1849" s="10">
        <v>45931</v>
      </c>
      <c r="B1849" s="9" t="s">
        <v>89</v>
      </c>
      <c r="C1849" t="s">
        <v>346</v>
      </c>
      <c r="D1849" s="9">
        <v>19607</v>
      </c>
      <c r="E1849" s="5" t="s">
        <v>472</v>
      </c>
      <c r="F1849" t="s">
        <v>91</v>
      </c>
      <c r="G1849">
        <v>1520</v>
      </c>
      <c r="H1849">
        <v>630</v>
      </c>
      <c r="I1849" s="8">
        <f t="shared" si="169"/>
        <v>0.41447368421052633</v>
      </c>
      <c r="J1849" s="17">
        <v>0.7</v>
      </c>
      <c r="K1849" s="12">
        <v>13.75</v>
      </c>
      <c r="L1849" s="2">
        <f t="shared" si="172"/>
        <v>434</v>
      </c>
      <c r="M1849" s="15">
        <f t="shared" si="170"/>
        <v>5967.5</v>
      </c>
      <c r="N1849" t="str">
        <f t="shared" si="167"/>
        <v>CE</v>
      </c>
      <c r="O1849" t="str">
        <f t="shared" si="168"/>
        <v>Fortaleza</v>
      </c>
    </row>
    <row r="1850" spans="1:15" x14ac:dyDescent="0.3">
      <c r="A1850" s="10">
        <v>45931</v>
      </c>
      <c r="B1850" s="9" t="s">
        <v>89</v>
      </c>
      <c r="C1850" t="s">
        <v>346</v>
      </c>
      <c r="D1850" s="9">
        <v>19642</v>
      </c>
      <c r="E1850" s="5" t="s">
        <v>473</v>
      </c>
      <c r="F1850" t="s">
        <v>92</v>
      </c>
      <c r="G1850">
        <v>1606</v>
      </c>
      <c r="H1850">
        <v>633</v>
      </c>
      <c r="I1850" s="8">
        <f t="shared" si="169"/>
        <v>0.39414694894146951</v>
      </c>
      <c r="J1850" s="17">
        <v>0.7</v>
      </c>
      <c r="K1850" s="12">
        <v>13.75</v>
      </c>
      <c r="L1850" s="2">
        <f t="shared" si="172"/>
        <v>491.19999999999982</v>
      </c>
      <c r="M1850" s="15">
        <f t="shared" si="170"/>
        <v>6753.9999999999973</v>
      </c>
      <c r="N1850" t="str">
        <f t="shared" si="167"/>
        <v>CE</v>
      </c>
      <c r="O1850" t="str">
        <f t="shared" si="168"/>
        <v>Fortaleza</v>
      </c>
    </row>
    <row r="1851" spans="1:15" x14ac:dyDescent="0.3">
      <c r="A1851" s="10">
        <v>45931</v>
      </c>
      <c r="B1851" s="9" t="s">
        <v>89</v>
      </c>
      <c r="C1851" t="s">
        <v>346</v>
      </c>
      <c r="D1851" s="9">
        <v>19725</v>
      </c>
      <c r="E1851" s="5" t="s">
        <v>474</v>
      </c>
      <c r="F1851" t="s">
        <v>93</v>
      </c>
      <c r="G1851">
        <v>1006</v>
      </c>
      <c r="H1851">
        <v>409</v>
      </c>
      <c r="I1851" s="8">
        <f t="shared" si="169"/>
        <v>0.40656063618290256</v>
      </c>
      <c r="J1851" s="17">
        <v>0.7</v>
      </c>
      <c r="K1851" s="12">
        <v>13.75</v>
      </c>
      <c r="L1851" s="2">
        <f t="shared" si="172"/>
        <v>295.19999999999993</v>
      </c>
      <c r="M1851" s="15">
        <f t="shared" si="170"/>
        <v>4058.9999999999991</v>
      </c>
      <c r="N1851" t="str">
        <f t="shared" si="167"/>
        <v>CE</v>
      </c>
      <c r="O1851" t="str">
        <f t="shared" si="168"/>
        <v>Fortaleza</v>
      </c>
    </row>
    <row r="1852" spans="1:15" x14ac:dyDescent="0.3">
      <c r="A1852" s="10">
        <v>45931</v>
      </c>
      <c r="B1852" s="9" t="s">
        <v>89</v>
      </c>
      <c r="C1852" t="s">
        <v>346</v>
      </c>
      <c r="D1852" s="9">
        <v>19902</v>
      </c>
      <c r="E1852" s="5" t="s">
        <v>475</v>
      </c>
      <c r="F1852" t="s">
        <v>94</v>
      </c>
      <c r="G1852">
        <v>1375</v>
      </c>
      <c r="H1852">
        <v>628</v>
      </c>
      <c r="I1852" s="8">
        <f t="shared" si="169"/>
        <v>0.4567272727272727</v>
      </c>
      <c r="J1852" s="17">
        <v>0.7</v>
      </c>
      <c r="K1852" s="12">
        <v>13.75</v>
      </c>
      <c r="L1852" s="2">
        <f t="shared" si="172"/>
        <v>334.5</v>
      </c>
      <c r="M1852" s="15">
        <f t="shared" si="170"/>
        <v>4599.375</v>
      </c>
      <c r="N1852" t="str">
        <f t="shared" si="167"/>
        <v>CE</v>
      </c>
      <c r="O1852" t="str">
        <f t="shared" si="168"/>
        <v>Fortaleza</v>
      </c>
    </row>
    <row r="1853" spans="1:15" x14ac:dyDescent="0.3">
      <c r="A1853" s="10">
        <v>45931</v>
      </c>
      <c r="B1853" s="9" t="s">
        <v>89</v>
      </c>
      <c r="C1853" t="s">
        <v>346</v>
      </c>
      <c r="D1853" s="9">
        <v>19903</v>
      </c>
      <c r="E1853" s="5" t="s">
        <v>476</v>
      </c>
      <c r="F1853" t="s">
        <v>95</v>
      </c>
      <c r="G1853">
        <v>1189</v>
      </c>
      <c r="H1853">
        <v>741</v>
      </c>
      <c r="I1853" s="8">
        <f t="shared" si="169"/>
        <v>0.62321278385197643</v>
      </c>
      <c r="J1853" s="17">
        <v>0.7</v>
      </c>
      <c r="K1853" s="12">
        <v>13.75</v>
      </c>
      <c r="L1853" s="2">
        <f t="shared" si="172"/>
        <v>91.299999999999955</v>
      </c>
      <c r="M1853" s="15">
        <f t="shared" si="170"/>
        <v>1255.3749999999993</v>
      </c>
      <c r="N1853" t="str">
        <f t="shared" si="167"/>
        <v>CE</v>
      </c>
      <c r="O1853" t="str">
        <f t="shared" si="168"/>
        <v>Fortaleza</v>
      </c>
    </row>
    <row r="1854" spans="1:15" x14ac:dyDescent="0.3">
      <c r="A1854" s="10">
        <v>45931</v>
      </c>
      <c r="B1854" s="9" t="s">
        <v>82</v>
      </c>
      <c r="C1854" t="s">
        <v>135</v>
      </c>
      <c r="D1854" s="9">
        <v>19749</v>
      </c>
      <c r="E1854" s="5" t="s">
        <v>477</v>
      </c>
      <c r="F1854" t="s">
        <v>136</v>
      </c>
      <c r="G1854">
        <v>1505</v>
      </c>
      <c r="H1854">
        <v>561</v>
      </c>
      <c r="I1854" s="8">
        <f t="shared" si="169"/>
        <v>0.37275747508305646</v>
      </c>
      <c r="J1854" s="17">
        <v>0.7</v>
      </c>
      <c r="K1854" s="12">
        <v>13.75</v>
      </c>
      <c r="L1854" s="2">
        <f t="shared" si="172"/>
        <v>492.5</v>
      </c>
      <c r="M1854" s="15">
        <f t="shared" si="170"/>
        <v>6771.875</v>
      </c>
      <c r="N1854" t="str">
        <f t="shared" si="167"/>
        <v>PR</v>
      </c>
      <c r="O1854" t="str">
        <f t="shared" si="168"/>
        <v>Maringá</v>
      </c>
    </row>
    <row r="1855" spans="1:15" x14ac:dyDescent="0.3">
      <c r="A1855" s="10">
        <v>45931</v>
      </c>
      <c r="B1855" s="9" t="s">
        <v>82</v>
      </c>
      <c r="C1855" t="s">
        <v>83</v>
      </c>
      <c r="D1855" s="9">
        <v>19545</v>
      </c>
      <c r="E1855" s="5" t="s">
        <v>478</v>
      </c>
      <c r="F1855" t="s">
        <v>84</v>
      </c>
      <c r="G1855">
        <v>3151</v>
      </c>
      <c r="H1855">
        <v>1300</v>
      </c>
      <c r="I1855" s="8">
        <f t="shared" si="169"/>
        <v>0.41256743890828307</v>
      </c>
      <c r="J1855" s="17">
        <v>0.7</v>
      </c>
      <c r="K1855" s="12">
        <v>13.75</v>
      </c>
      <c r="L1855" s="2">
        <f t="shared" si="172"/>
        <v>905.69999999999982</v>
      </c>
      <c r="M1855" s="15">
        <f t="shared" si="170"/>
        <v>12453.374999999998</v>
      </c>
      <c r="N1855" t="str">
        <f t="shared" si="167"/>
        <v>PR</v>
      </c>
      <c r="O1855" t="str">
        <f t="shared" si="168"/>
        <v>Curitiba</v>
      </c>
    </row>
    <row r="1856" spans="1:15" x14ac:dyDescent="0.3">
      <c r="A1856" s="10">
        <v>45931</v>
      </c>
      <c r="B1856" s="9" t="s">
        <v>82</v>
      </c>
      <c r="C1856" t="s">
        <v>83</v>
      </c>
      <c r="D1856" s="9">
        <v>19546</v>
      </c>
      <c r="E1856" s="5" t="s">
        <v>479</v>
      </c>
      <c r="F1856" t="s">
        <v>85</v>
      </c>
      <c r="G1856">
        <v>2198</v>
      </c>
      <c r="H1856">
        <v>847</v>
      </c>
      <c r="I1856" s="8">
        <f t="shared" si="169"/>
        <v>0.38535031847133761</v>
      </c>
      <c r="J1856" s="17">
        <v>0.7</v>
      </c>
      <c r="K1856" s="12">
        <v>13.75</v>
      </c>
      <c r="L1856" s="2">
        <f t="shared" si="172"/>
        <v>691.59999999999991</v>
      </c>
      <c r="M1856" s="15">
        <f t="shared" si="170"/>
        <v>9509.4999999999982</v>
      </c>
      <c r="N1856" t="str">
        <f t="shared" si="167"/>
        <v>PR</v>
      </c>
      <c r="O1856" t="str">
        <f t="shared" si="168"/>
        <v>Curitiba</v>
      </c>
    </row>
    <row r="1857" spans="1:15" x14ac:dyDescent="0.3">
      <c r="A1857" s="10">
        <v>45931</v>
      </c>
      <c r="B1857" s="9" t="s">
        <v>3</v>
      </c>
      <c r="C1857" t="s">
        <v>248</v>
      </c>
      <c r="D1857" s="9">
        <v>19753</v>
      </c>
      <c r="E1857" s="5" t="s">
        <v>483</v>
      </c>
      <c r="F1857" t="s">
        <v>265</v>
      </c>
      <c r="G1857">
        <v>2485</v>
      </c>
      <c r="H1857">
        <v>976</v>
      </c>
      <c r="I1857" s="8">
        <f t="shared" si="169"/>
        <v>0.39275653923541248</v>
      </c>
      <c r="J1857" s="17">
        <v>0.7</v>
      </c>
      <c r="K1857" s="12">
        <v>13.75</v>
      </c>
      <c r="L1857" s="2">
        <f t="shared" si="172"/>
        <v>763.49999999999977</v>
      </c>
      <c r="M1857" s="15">
        <f t="shared" si="170"/>
        <v>10498.124999999996</v>
      </c>
      <c r="N1857" t="str">
        <f t="shared" si="167"/>
        <v>SP</v>
      </c>
      <c r="O1857" t="str">
        <f t="shared" si="168"/>
        <v>São Paulo</v>
      </c>
    </row>
    <row r="1858" spans="1:15" x14ac:dyDescent="0.3">
      <c r="A1858" s="10">
        <v>45931</v>
      </c>
      <c r="B1858" s="9" t="s">
        <v>7</v>
      </c>
      <c r="C1858" t="s">
        <v>99</v>
      </c>
      <c r="D1858" s="9">
        <v>19754</v>
      </c>
      <c r="E1858" s="5" t="s">
        <v>484</v>
      </c>
      <c r="F1858" t="s">
        <v>101</v>
      </c>
      <c r="G1858">
        <v>2858</v>
      </c>
      <c r="H1858">
        <v>1256</v>
      </c>
      <c r="I1858" s="8">
        <f t="shared" si="169"/>
        <v>0.43946815955213436</v>
      </c>
      <c r="J1858" s="17">
        <v>0.7</v>
      </c>
      <c r="K1858" s="12">
        <v>13.75</v>
      </c>
      <c r="L1858" s="2">
        <f t="shared" si="172"/>
        <v>744.59999999999991</v>
      </c>
      <c r="M1858" s="15">
        <f t="shared" si="170"/>
        <v>10238.249999999998</v>
      </c>
      <c r="N1858" t="str">
        <f t="shared" ref="N1858:N1921" si="173">B1858</f>
        <v>GO</v>
      </c>
      <c r="O1858" t="str">
        <f t="shared" ref="O1858:O1921" si="174">C1858</f>
        <v>Goiânia</v>
      </c>
    </row>
    <row r="1859" spans="1:15" x14ac:dyDescent="0.3">
      <c r="A1859" s="10">
        <v>45931</v>
      </c>
      <c r="B1859" s="9" t="s">
        <v>195</v>
      </c>
      <c r="C1859" t="s">
        <v>196</v>
      </c>
      <c r="D1859" s="9">
        <v>19762</v>
      </c>
      <c r="E1859" s="5" t="s">
        <v>486</v>
      </c>
      <c r="F1859" t="s">
        <v>197</v>
      </c>
      <c r="G1859">
        <v>1265</v>
      </c>
      <c r="H1859">
        <v>641</v>
      </c>
      <c r="I1859" s="8">
        <f t="shared" ref="I1859:I1922" si="175">H1859/G1859</f>
        <v>0.50671936758893277</v>
      </c>
      <c r="J1859" s="17">
        <v>0.7</v>
      </c>
      <c r="K1859" s="12">
        <v>13.75</v>
      </c>
      <c r="L1859" s="2">
        <f t="shared" si="172"/>
        <v>244.5</v>
      </c>
      <c r="M1859" s="15">
        <f t="shared" ref="M1859:M1922" si="176">L1859*K1859</f>
        <v>3361.875</v>
      </c>
      <c r="N1859" t="str">
        <f t="shared" si="173"/>
        <v>AC</v>
      </c>
      <c r="O1859" t="str">
        <f t="shared" si="174"/>
        <v>Rio Branco</v>
      </c>
    </row>
    <row r="1860" spans="1:15" x14ac:dyDescent="0.3">
      <c r="A1860" s="10">
        <v>45931</v>
      </c>
      <c r="B1860" s="9" t="s">
        <v>15</v>
      </c>
      <c r="C1860" t="s">
        <v>345</v>
      </c>
      <c r="D1860" s="9">
        <v>19687</v>
      </c>
      <c r="E1860" s="5" t="s">
        <v>488</v>
      </c>
      <c r="F1860" t="s">
        <v>88</v>
      </c>
      <c r="G1860">
        <v>1556</v>
      </c>
      <c r="H1860">
        <v>1252</v>
      </c>
      <c r="I1860" s="8">
        <f t="shared" si="175"/>
        <v>0.80462724935732644</v>
      </c>
      <c r="J1860" s="17">
        <v>0.7</v>
      </c>
      <c r="K1860" s="12">
        <v>13.75</v>
      </c>
      <c r="L1860" s="2">
        <f>G1860-H1860</f>
        <v>304</v>
      </c>
      <c r="M1860" s="15">
        <f t="shared" si="176"/>
        <v>4180</v>
      </c>
      <c r="N1860" t="str">
        <f t="shared" si="173"/>
        <v>RJ</v>
      </c>
      <c r="O1860" t="str">
        <f t="shared" si="174"/>
        <v>Duque De Caxias</v>
      </c>
    </row>
    <row r="1861" spans="1:15" x14ac:dyDescent="0.3">
      <c r="A1861" s="10">
        <v>45931</v>
      </c>
      <c r="B1861" s="9" t="s">
        <v>21</v>
      </c>
      <c r="C1861" t="s">
        <v>181</v>
      </c>
      <c r="D1861" s="9">
        <v>19778</v>
      </c>
      <c r="E1861" s="5" t="s">
        <v>489</v>
      </c>
      <c r="F1861" t="s">
        <v>182</v>
      </c>
      <c r="G1861">
        <v>1441</v>
      </c>
      <c r="H1861">
        <v>838</v>
      </c>
      <c r="I1861" s="8">
        <f t="shared" si="175"/>
        <v>0.58154059680777237</v>
      </c>
      <c r="J1861" s="17">
        <v>0.7</v>
      </c>
      <c r="K1861" s="12">
        <v>13.75</v>
      </c>
      <c r="L1861" s="2">
        <f t="shared" ref="L1861:L1892" si="177">H1861*J1861/I1861-H1861</f>
        <v>170.69999999999982</v>
      </c>
      <c r="M1861" s="15">
        <f t="shared" si="176"/>
        <v>2347.1249999999973</v>
      </c>
      <c r="N1861" t="str">
        <f t="shared" si="173"/>
        <v>BA</v>
      </c>
      <c r="O1861" t="str">
        <f t="shared" si="174"/>
        <v>Porto Seguro</v>
      </c>
    </row>
    <row r="1862" spans="1:15" x14ac:dyDescent="0.3">
      <c r="A1862" s="10">
        <v>45931</v>
      </c>
      <c r="B1862" s="9" t="s">
        <v>40</v>
      </c>
      <c r="C1862" t="s">
        <v>41</v>
      </c>
      <c r="D1862" s="9">
        <v>19787</v>
      </c>
      <c r="E1862" s="5" t="s">
        <v>492</v>
      </c>
      <c r="F1862" t="s">
        <v>42</v>
      </c>
      <c r="G1862">
        <v>1020</v>
      </c>
      <c r="H1862">
        <v>554</v>
      </c>
      <c r="I1862" s="8">
        <f t="shared" si="175"/>
        <v>0.54313725490196074</v>
      </c>
      <c r="J1862" s="17">
        <v>0.7</v>
      </c>
      <c r="K1862" s="12">
        <v>13.75</v>
      </c>
      <c r="L1862" s="2">
        <f t="shared" si="177"/>
        <v>160</v>
      </c>
      <c r="M1862" s="15">
        <f t="shared" si="176"/>
        <v>2200</v>
      </c>
      <c r="N1862" t="str">
        <f t="shared" si="173"/>
        <v>RR</v>
      </c>
      <c r="O1862" t="str">
        <f t="shared" si="174"/>
        <v>Boa Vista</v>
      </c>
    </row>
    <row r="1863" spans="1:15" x14ac:dyDescent="0.3">
      <c r="A1863" s="10">
        <v>45931</v>
      </c>
      <c r="B1863" s="9" t="s">
        <v>71</v>
      </c>
      <c r="C1863" t="s">
        <v>175</v>
      </c>
      <c r="D1863" s="9">
        <v>19788</v>
      </c>
      <c r="E1863" s="5" t="s">
        <v>495</v>
      </c>
      <c r="F1863" t="s">
        <v>177</v>
      </c>
      <c r="G1863">
        <v>4490</v>
      </c>
      <c r="H1863">
        <v>1407</v>
      </c>
      <c r="I1863" s="8">
        <f t="shared" si="175"/>
        <v>0.31336302895322937</v>
      </c>
      <c r="J1863" s="17">
        <v>0.7</v>
      </c>
      <c r="K1863" s="12">
        <v>13.75</v>
      </c>
      <c r="L1863" s="2">
        <f t="shared" si="177"/>
        <v>1736</v>
      </c>
      <c r="M1863" s="15">
        <f t="shared" si="176"/>
        <v>23870</v>
      </c>
      <c r="N1863" t="str">
        <f t="shared" si="173"/>
        <v>RS</v>
      </c>
      <c r="O1863" t="str">
        <f t="shared" si="174"/>
        <v>Porto Alegre</v>
      </c>
    </row>
    <row r="1864" spans="1:15" x14ac:dyDescent="0.3">
      <c r="A1864" s="10">
        <v>45931</v>
      </c>
      <c r="B1864" s="9" t="s">
        <v>21</v>
      </c>
      <c r="C1864" t="s">
        <v>228</v>
      </c>
      <c r="D1864" s="9">
        <v>19790</v>
      </c>
      <c r="E1864" s="5" t="s">
        <v>497</v>
      </c>
      <c r="F1864" t="s">
        <v>232</v>
      </c>
      <c r="G1864">
        <v>2863</v>
      </c>
      <c r="H1864">
        <v>1233</v>
      </c>
      <c r="I1864" s="8">
        <f t="shared" si="175"/>
        <v>0.43066713237862381</v>
      </c>
      <c r="J1864" s="17">
        <v>0.7</v>
      </c>
      <c r="K1864" s="12">
        <v>13.75</v>
      </c>
      <c r="L1864" s="2">
        <f t="shared" si="177"/>
        <v>771.09999999999991</v>
      </c>
      <c r="M1864" s="15">
        <f t="shared" si="176"/>
        <v>10602.624999999998</v>
      </c>
      <c r="N1864" t="str">
        <f t="shared" si="173"/>
        <v>BA</v>
      </c>
      <c r="O1864" t="str">
        <f t="shared" si="174"/>
        <v>Salvador</v>
      </c>
    </row>
    <row r="1865" spans="1:15" x14ac:dyDescent="0.3">
      <c r="A1865" s="10">
        <v>45931</v>
      </c>
      <c r="B1865" s="9" t="s">
        <v>71</v>
      </c>
      <c r="C1865" t="s">
        <v>175</v>
      </c>
      <c r="D1865" s="9">
        <v>19842</v>
      </c>
      <c r="E1865" s="5" t="s">
        <v>498</v>
      </c>
      <c r="F1865" t="s">
        <v>178</v>
      </c>
      <c r="G1865">
        <v>3437</v>
      </c>
      <c r="H1865">
        <v>1091</v>
      </c>
      <c r="I1865" s="8">
        <f t="shared" si="175"/>
        <v>0.31742798952574919</v>
      </c>
      <c r="J1865" s="17">
        <v>0.7</v>
      </c>
      <c r="K1865" s="12">
        <v>13.75</v>
      </c>
      <c r="L1865" s="2">
        <f t="shared" si="177"/>
        <v>1314.9</v>
      </c>
      <c r="M1865" s="15">
        <f t="shared" si="176"/>
        <v>18079.875</v>
      </c>
      <c r="N1865" t="str">
        <f t="shared" si="173"/>
        <v>RS</v>
      </c>
      <c r="O1865" t="str">
        <f t="shared" si="174"/>
        <v>Porto Alegre</v>
      </c>
    </row>
    <row r="1866" spans="1:15" x14ac:dyDescent="0.3">
      <c r="A1866" s="10">
        <v>45931</v>
      </c>
      <c r="B1866" s="9" t="s">
        <v>59</v>
      </c>
      <c r="C1866" t="s">
        <v>289</v>
      </c>
      <c r="D1866" s="9">
        <v>19581</v>
      </c>
      <c r="E1866" s="5" t="s">
        <v>501</v>
      </c>
      <c r="F1866" t="s">
        <v>290</v>
      </c>
      <c r="G1866">
        <v>1767</v>
      </c>
      <c r="H1866">
        <v>608</v>
      </c>
      <c r="I1866" s="8">
        <f t="shared" si="175"/>
        <v>0.34408602150537637</v>
      </c>
      <c r="J1866" s="17">
        <v>0.7</v>
      </c>
      <c r="K1866" s="12">
        <v>13.75</v>
      </c>
      <c r="L1866" s="2">
        <f t="shared" si="177"/>
        <v>628.89999999999986</v>
      </c>
      <c r="M1866" s="15">
        <f t="shared" si="176"/>
        <v>8647.3749999999982</v>
      </c>
      <c r="N1866" t="str">
        <f t="shared" si="173"/>
        <v>ES</v>
      </c>
      <c r="O1866" t="str">
        <f t="shared" si="174"/>
        <v>Vila Velha</v>
      </c>
    </row>
    <row r="1867" spans="1:15" x14ac:dyDescent="0.3">
      <c r="A1867" s="10">
        <v>45931</v>
      </c>
      <c r="B1867" s="9" t="s">
        <v>59</v>
      </c>
      <c r="C1867" t="s">
        <v>289</v>
      </c>
      <c r="D1867" s="9">
        <v>19876</v>
      </c>
      <c r="E1867" s="5" t="s">
        <v>502</v>
      </c>
      <c r="F1867" t="s">
        <v>291</v>
      </c>
      <c r="G1867">
        <v>2764</v>
      </c>
      <c r="H1867">
        <v>969</v>
      </c>
      <c r="I1867" s="8">
        <f t="shared" si="175"/>
        <v>0.35057887120115772</v>
      </c>
      <c r="J1867" s="17">
        <v>0.7</v>
      </c>
      <c r="K1867" s="12">
        <v>13.75</v>
      </c>
      <c r="L1867" s="2">
        <f t="shared" si="177"/>
        <v>965.8</v>
      </c>
      <c r="M1867" s="15">
        <f t="shared" si="176"/>
        <v>13279.75</v>
      </c>
      <c r="N1867" t="str">
        <f t="shared" si="173"/>
        <v>ES</v>
      </c>
      <c r="O1867" t="str">
        <f t="shared" si="174"/>
        <v>Vila Velha</v>
      </c>
    </row>
    <row r="1868" spans="1:15" x14ac:dyDescent="0.3">
      <c r="A1868" s="10">
        <v>45931</v>
      </c>
      <c r="B1868" s="9" t="s">
        <v>71</v>
      </c>
      <c r="C1868" t="s">
        <v>175</v>
      </c>
      <c r="D1868" s="9">
        <v>19874</v>
      </c>
      <c r="E1868" s="5" t="s">
        <v>504</v>
      </c>
      <c r="F1868" t="s">
        <v>179</v>
      </c>
      <c r="G1868">
        <v>3811</v>
      </c>
      <c r="H1868">
        <v>1405</v>
      </c>
      <c r="I1868" s="8">
        <f t="shared" si="175"/>
        <v>0.36866964051430073</v>
      </c>
      <c r="J1868" s="17">
        <v>0.7</v>
      </c>
      <c r="K1868" s="12">
        <v>13.75</v>
      </c>
      <c r="L1868" s="2">
        <f t="shared" si="177"/>
        <v>1262.6999999999994</v>
      </c>
      <c r="M1868" s="15">
        <f t="shared" si="176"/>
        <v>17362.124999999993</v>
      </c>
      <c r="N1868" t="str">
        <f t="shared" si="173"/>
        <v>RS</v>
      </c>
      <c r="O1868" t="str">
        <f t="shared" si="174"/>
        <v>Porto Alegre</v>
      </c>
    </row>
    <row r="1869" spans="1:15" x14ac:dyDescent="0.3">
      <c r="A1869" s="10">
        <v>45931</v>
      </c>
      <c r="B1869" s="9" t="s">
        <v>3</v>
      </c>
      <c r="C1869" t="s">
        <v>165</v>
      </c>
      <c r="D1869" s="9">
        <v>19761</v>
      </c>
      <c r="E1869" s="5" t="s">
        <v>505</v>
      </c>
      <c r="F1869" t="s">
        <v>166</v>
      </c>
      <c r="G1869">
        <v>1567</v>
      </c>
      <c r="H1869">
        <v>619</v>
      </c>
      <c r="I1869" s="8">
        <f t="shared" si="175"/>
        <v>0.395022335673261</v>
      </c>
      <c r="J1869" s="17">
        <v>0.7</v>
      </c>
      <c r="K1869" s="12">
        <v>13.75</v>
      </c>
      <c r="L1869" s="2">
        <f t="shared" si="177"/>
        <v>477.89999999999986</v>
      </c>
      <c r="M1869" s="15">
        <f t="shared" si="176"/>
        <v>6571.1249999999982</v>
      </c>
      <c r="N1869" t="str">
        <f t="shared" si="173"/>
        <v>SP</v>
      </c>
      <c r="O1869" t="str">
        <f t="shared" si="174"/>
        <v>Paulínia</v>
      </c>
    </row>
    <row r="1870" spans="1:15" x14ac:dyDescent="0.3">
      <c r="A1870" s="10">
        <v>45931</v>
      </c>
      <c r="B1870" s="9" t="s">
        <v>46</v>
      </c>
      <c r="C1870" t="s">
        <v>47</v>
      </c>
      <c r="D1870" s="9">
        <v>19881</v>
      </c>
      <c r="E1870" s="5" t="s">
        <v>507</v>
      </c>
      <c r="F1870" t="s">
        <v>54</v>
      </c>
      <c r="G1870">
        <v>3373</v>
      </c>
      <c r="H1870">
        <v>1398</v>
      </c>
      <c r="I1870" s="8">
        <f t="shared" si="175"/>
        <v>0.41446783278980137</v>
      </c>
      <c r="J1870" s="17">
        <v>0.7</v>
      </c>
      <c r="K1870" s="12">
        <v>13.75</v>
      </c>
      <c r="L1870" s="2">
        <f t="shared" si="177"/>
        <v>963.09999999999991</v>
      </c>
      <c r="M1870" s="15">
        <f t="shared" si="176"/>
        <v>13242.624999999998</v>
      </c>
      <c r="N1870" t="str">
        <f t="shared" si="173"/>
        <v>DF</v>
      </c>
      <c r="O1870" t="str">
        <f t="shared" si="174"/>
        <v>Brasília</v>
      </c>
    </row>
    <row r="1871" spans="1:15" x14ac:dyDescent="0.3">
      <c r="A1871" s="10">
        <v>45931</v>
      </c>
      <c r="B1871" s="9" t="s">
        <v>3</v>
      </c>
      <c r="C1871" t="s">
        <v>64</v>
      </c>
      <c r="D1871" s="9">
        <v>19696</v>
      </c>
      <c r="E1871" s="5" t="s">
        <v>508</v>
      </c>
      <c r="F1871" t="s">
        <v>65</v>
      </c>
      <c r="G1871">
        <v>1284</v>
      </c>
      <c r="H1871">
        <v>469</v>
      </c>
      <c r="I1871" s="8">
        <f t="shared" si="175"/>
        <v>0.36526479750778817</v>
      </c>
      <c r="J1871" s="17">
        <v>0.7</v>
      </c>
      <c r="K1871" s="12">
        <v>13.75</v>
      </c>
      <c r="L1871" s="2">
        <f t="shared" si="177"/>
        <v>429.79999999999984</v>
      </c>
      <c r="M1871" s="15">
        <f t="shared" si="176"/>
        <v>5909.7499999999982</v>
      </c>
      <c r="N1871" t="str">
        <f t="shared" si="173"/>
        <v>SP</v>
      </c>
      <c r="O1871" t="str">
        <f t="shared" si="174"/>
        <v>Campinas</v>
      </c>
    </row>
    <row r="1872" spans="1:15" x14ac:dyDescent="0.3">
      <c r="A1872" s="10">
        <v>45931</v>
      </c>
      <c r="B1872" s="9" t="s">
        <v>71</v>
      </c>
      <c r="C1872" t="s">
        <v>72</v>
      </c>
      <c r="D1872" s="9">
        <v>19883</v>
      </c>
      <c r="E1872" s="5" t="s">
        <v>509</v>
      </c>
      <c r="F1872" t="s">
        <v>73</v>
      </c>
      <c r="G1872">
        <v>1812</v>
      </c>
      <c r="H1872">
        <v>655</v>
      </c>
      <c r="I1872" s="8">
        <f t="shared" si="175"/>
        <v>0.36147902869757176</v>
      </c>
      <c r="J1872" s="17">
        <v>0.7</v>
      </c>
      <c r="K1872" s="12">
        <v>13.75</v>
      </c>
      <c r="L1872" s="2">
        <f t="shared" si="177"/>
        <v>613.39999999999986</v>
      </c>
      <c r="M1872" s="15">
        <f t="shared" si="176"/>
        <v>8434.2499999999982</v>
      </c>
      <c r="N1872" t="str">
        <f t="shared" si="173"/>
        <v>RS</v>
      </c>
      <c r="O1872" t="str">
        <f t="shared" si="174"/>
        <v>Canoas</v>
      </c>
    </row>
    <row r="1873" spans="1:15" x14ac:dyDescent="0.3">
      <c r="A1873" s="10">
        <v>45931</v>
      </c>
      <c r="B1873" s="9" t="s">
        <v>15</v>
      </c>
      <c r="C1873" t="s">
        <v>358</v>
      </c>
      <c r="D1873" s="9">
        <v>19514</v>
      </c>
      <c r="E1873" s="5" t="s">
        <v>510</v>
      </c>
      <c r="F1873" t="s">
        <v>221</v>
      </c>
      <c r="G1873">
        <v>3002</v>
      </c>
      <c r="H1873">
        <v>1078</v>
      </c>
      <c r="I1873" s="8">
        <f t="shared" si="175"/>
        <v>0.35909393737508327</v>
      </c>
      <c r="J1873" s="17">
        <v>0.7</v>
      </c>
      <c r="K1873" s="12">
        <v>13.75</v>
      </c>
      <c r="L1873" s="2">
        <f t="shared" si="177"/>
        <v>1023.3999999999996</v>
      </c>
      <c r="M1873" s="15">
        <f t="shared" si="176"/>
        <v>14071.749999999995</v>
      </c>
      <c r="N1873" t="str">
        <f t="shared" si="173"/>
        <v>RJ</v>
      </c>
      <c r="O1873" t="str">
        <f t="shared" si="174"/>
        <v>Rio De Janeiro</v>
      </c>
    </row>
    <row r="1874" spans="1:15" x14ac:dyDescent="0.3">
      <c r="A1874" s="10">
        <v>45931</v>
      </c>
      <c r="B1874" s="9" t="s">
        <v>15</v>
      </c>
      <c r="C1874" t="s">
        <v>358</v>
      </c>
      <c r="D1874" s="9">
        <v>19600</v>
      </c>
      <c r="E1874" s="5" t="s">
        <v>511</v>
      </c>
      <c r="F1874" t="s">
        <v>222</v>
      </c>
      <c r="G1874">
        <v>2378</v>
      </c>
      <c r="H1874">
        <v>890</v>
      </c>
      <c r="I1874" s="8">
        <f t="shared" si="175"/>
        <v>0.3742640874684609</v>
      </c>
      <c r="J1874" s="17">
        <v>0.7</v>
      </c>
      <c r="K1874" s="12">
        <v>13.75</v>
      </c>
      <c r="L1874" s="2">
        <f t="shared" si="177"/>
        <v>774.59999999999991</v>
      </c>
      <c r="M1874" s="15">
        <f t="shared" si="176"/>
        <v>10650.749999999998</v>
      </c>
      <c r="N1874" t="str">
        <f t="shared" si="173"/>
        <v>RJ</v>
      </c>
      <c r="O1874" t="str">
        <f t="shared" si="174"/>
        <v>Rio De Janeiro</v>
      </c>
    </row>
    <row r="1875" spans="1:15" x14ac:dyDescent="0.3">
      <c r="A1875" s="10">
        <v>45931</v>
      </c>
      <c r="B1875" s="9" t="s">
        <v>78</v>
      </c>
      <c r="C1875" t="s">
        <v>277</v>
      </c>
      <c r="D1875" s="9">
        <v>19896</v>
      </c>
      <c r="E1875" s="5" t="s">
        <v>512</v>
      </c>
      <c r="F1875" t="s">
        <v>278</v>
      </c>
      <c r="G1875">
        <v>1488</v>
      </c>
      <c r="H1875">
        <v>670</v>
      </c>
      <c r="I1875" s="8">
        <f t="shared" si="175"/>
        <v>0.45026881720430106</v>
      </c>
      <c r="J1875" s="17">
        <v>0.7</v>
      </c>
      <c r="K1875" s="12">
        <v>13.75</v>
      </c>
      <c r="L1875" s="2">
        <f t="shared" si="177"/>
        <v>371.59999999999991</v>
      </c>
      <c r="M1875" s="15">
        <f t="shared" si="176"/>
        <v>5109.4999999999991</v>
      </c>
      <c r="N1875" t="str">
        <f t="shared" si="173"/>
        <v>MT</v>
      </c>
      <c r="O1875" t="str">
        <f t="shared" si="174"/>
        <v>Sorriso</v>
      </c>
    </row>
    <row r="1876" spans="1:15" x14ac:dyDescent="0.3">
      <c r="A1876" s="10">
        <v>45931</v>
      </c>
      <c r="B1876" s="9" t="s">
        <v>14</v>
      </c>
      <c r="C1876" t="s">
        <v>287</v>
      </c>
      <c r="D1876" s="9">
        <v>19905</v>
      </c>
      <c r="E1876" s="5" t="s">
        <v>513</v>
      </c>
      <c r="F1876" t="s">
        <v>288</v>
      </c>
      <c r="G1876">
        <v>1159</v>
      </c>
      <c r="H1876">
        <v>469</v>
      </c>
      <c r="I1876" s="8">
        <f t="shared" si="175"/>
        <v>0.40465918895599656</v>
      </c>
      <c r="J1876" s="17">
        <v>0.7</v>
      </c>
      <c r="K1876" s="12">
        <v>13.75</v>
      </c>
      <c r="L1876" s="2">
        <f t="shared" si="177"/>
        <v>342.29999999999984</v>
      </c>
      <c r="M1876" s="15">
        <f t="shared" si="176"/>
        <v>4706.6249999999982</v>
      </c>
      <c r="N1876" t="str">
        <f t="shared" si="173"/>
        <v>MG</v>
      </c>
      <c r="O1876" t="str">
        <f t="shared" si="174"/>
        <v>Varginha</v>
      </c>
    </row>
    <row r="1877" spans="1:15" x14ac:dyDescent="0.3">
      <c r="A1877" s="10">
        <v>45931</v>
      </c>
      <c r="B1877" s="9" t="s">
        <v>3</v>
      </c>
      <c r="C1877" t="s">
        <v>12</v>
      </c>
      <c r="D1877" s="9">
        <v>19901</v>
      </c>
      <c r="E1877" s="5" t="s">
        <v>514</v>
      </c>
      <c r="F1877" t="s">
        <v>13</v>
      </c>
      <c r="G1877">
        <v>769</v>
      </c>
      <c r="H1877">
        <v>277</v>
      </c>
      <c r="I1877" s="8">
        <f t="shared" si="175"/>
        <v>0.36020806241872561</v>
      </c>
      <c r="J1877" s="17">
        <v>0.7</v>
      </c>
      <c r="K1877" s="12">
        <v>13.75</v>
      </c>
      <c r="L1877" s="2">
        <f t="shared" si="177"/>
        <v>261.29999999999995</v>
      </c>
      <c r="M1877" s="15">
        <f t="shared" si="176"/>
        <v>3592.8749999999995</v>
      </c>
      <c r="N1877" t="str">
        <f t="shared" si="173"/>
        <v>SP</v>
      </c>
      <c r="O1877" t="str">
        <f t="shared" si="174"/>
        <v>Araras</v>
      </c>
    </row>
    <row r="1878" spans="1:15" x14ac:dyDescent="0.3">
      <c r="A1878" s="10">
        <v>45931</v>
      </c>
      <c r="B1878" s="9" t="s">
        <v>14</v>
      </c>
      <c r="C1878" t="s">
        <v>137</v>
      </c>
      <c r="D1878" s="9">
        <v>19899</v>
      </c>
      <c r="E1878" s="5" t="s">
        <v>515</v>
      </c>
      <c r="F1878" t="s">
        <v>138</v>
      </c>
      <c r="G1878">
        <v>1425</v>
      </c>
      <c r="H1878">
        <v>602</v>
      </c>
      <c r="I1878" s="8">
        <f t="shared" si="175"/>
        <v>0.4224561403508772</v>
      </c>
      <c r="J1878" s="17">
        <v>0.7</v>
      </c>
      <c r="K1878" s="12">
        <v>13.75</v>
      </c>
      <c r="L1878" s="2">
        <f t="shared" si="177"/>
        <v>395.49999999999989</v>
      </c>
      <c r="M1878" s="15">
        <f t="shared" si="176"/>
        <v>5438.1249999999982</v>
      </c>
      <c r="N1878" t="str">
        <f t="shared" si="173"/>
        <v>MG</v>
      </c>
      <c r="O1878" t="str">
        <f t="shared" si="174"/>
        <v>Montes Claros</v>
      </c>
    </row>
    <row r="1879" spans="1:15" x14ac:dyDescent="0.3">
      <c r="A1879" s="10">
        <v>45931</v>
      </c>
      <c r="B1879" s="9" t="s">
        <v>14</v>
      </c>
      <c r="C1879" t="s">
        <v>137</v>
      </c>
      <c r="D1879" s="9">
        <v>19796</v>
      </c>
      <c r="E1879" s="5" t="s">
        <v>516</v>
      </c>
      <c r="F1879" t="s">
        <v>139</v>
      </c>
      <c r="G1879">
        <v>2802</v>
      </c>
      <c r="H1879">
        <v>1478</v>
      </c>
      <c r="I1879" s="8">
        <f t="shared" si="175"/>
        <v>0.5274803711634547</v>
      </c>
      <c r="J1879" s="17">
        <v>0.7</v>
      </c>
      <c r="K1879" s="12">
        <v>13.75</v>
      </c>
      <c r="L1879" s="2">
        <f t="shared" si="177"/>
        <v>483.39999999999964</v>
      </c>
      <c r="M1879" s="15">
        <f t="shared" si="176"/>
        <v>6646.7499999999945</v>
      </c>
      <c r="N1879" t="str">
        <f t="shared" si="173"/>
        <v>MG</v>
      </c>
      <c r="O1879" t="str">
        <f t="shared" si="174"/>
        <v>Montes Claros</v>
      </c>
    </row>
    <row r="1880" spans="1:15" x14ac:dyDescent="0.3">
      <c r="A1880" s="10">
        <v>45931</v>
      </c>
      <c r="B1880" s="9" t="s">
        <v>15</v>
      </c>
      <c r="C1880" t="s">
        <v>358</v>
      </c>
      <c r="D1880" s="9">
        <v>19528</v>
      </c>
      <c r="E1880" s="5" t="s">
        <v>517</v>
      </c>
      <c r="F1880" t="s">
        <v>223</v>
      </c>
      <c r="G1880">
        <v>2504</v>
      </c>
      <c r="H1880">
        <v>884</v>
      </c>
      <c r="I1880" s="8">
        <f t="shared" si="175"/>
        <v>0.35303514376996803</v>
      </c>
      <c r="J1880" s="17">
        <v>0.7</v>
      </c>
      <c r="K1880" s="12">
        <v>13.75</v>
      </c>
      <c r="L1880" s="2">
        <f t="shared" si="177"/>
        <v>868.8</v>
      </c>
      <c r="M1880" s="15">
        <f t="shared" si="176"/>
        <v>11946</v>
      </c>
      <c r="N1880" t="str">
        <f t="shared" si="173"/>
        <v>RJ</v>
      </c>
      <c r="O1880" t="str">
        <f t="shared" si="174"/>
        <v>Rio De Janeiro</v>
      </c>
    </row>
    <row r="1881" spans="1:15" x14ac:dyDescent="0.3">
      <c r="A1881" s="10">
        <v>45931</v>
      </c>
      <c r="B1881" s="9" t="s">
        <v>6</v>
      </c>
      <c r="C1881" t="s">
        <v>158</v>
      </c>
      <c r="D1881" s="9">
        <v>19914</v>
      </c>
      <c r="E1881" s="5" t="s">
        <v>519</v>
      </c>
      <c r="F1881" t="s">
        <v>159</v>
      </c>
      <c r="G1881">
        <v>2363</v>
      </c>
      <c r="H1881">
        <v>1453</v>
      </c>
      <c r="I1881" s="8">
        <f t="shared" si="175"/>
        <v>0.61489631823952606</v>
      </c>
      <c r="J1881" s="17">
        <v>0.7</v>
      </c>
      <c r="K1881" s="12">
        <v>13.75</v>
      </c>
      <c r="L1881" s="2">
        <f t="shared" si="177"/>
        <v>201.09999999999968</v>
      </c>
      <c r="M1881" s="15">
        <f t="shared" si="176"/>
        <v>2765.1249999999955</v>
      </c>
      <c r="N1881" t="str">
        <f t="shared" si="173"/>
        <v>PA</v>
      </c>
      <c r="O1881" t="str">
        <f t="shared" si="174"/>
        <v>Parauapebas</v>
      </c>
    </row>
    <row r="1882" spans="1:15" x14ac:dyDescent="0.3">
      <c r="A1882" s="10">
        <v>45931</v>
      </c>
      <c r="B1882" s="9" t="s">
        <v>155</v>
      </c>
      <c r="C1882" t="s">
        <v>156</v>
      </c>
      <c r="D1882" s="9">
        <v>19916</v>
      </c>
      <c r="E1882" s="5" t="s">
        <v>520</v>
      </c>
      <c r="F1882" t="s">
        <v>157</v>
      </c>
      <c r="G1882">
        <v>2175</v>
      </c>
      <c r="H1882">
        <v>1069</v>
      </c>
      <c r="I1882" s="8">
        <f t="shared" si="175"/>
        <v>0.49149425287356324</v>
      </c>
      <c r="J1882" s="17">
        <v>0.7</v>
      </c>
      <c r="K1882" s="12">
        <v>13.75</v>
      </c>
      <c r="L1882" s="2">
        <f t="shared" si="177"/>
        <v>453.49999999999977</v>
      </c>
      <c r="M1882" s="15">
        <f t="shared" si="176"/>
        <v>6235.6249999999973</v>
      </c>
      <c r="N1882" t="str">
        <f t="shared" si="173"/>
        <v>TO</v>
      </c>
      <c r="O1882" t="str">
        <f t="shared" si="174"/>
        <v>Palmas</v>
      </c>
    </row>
    <row r="1883" spans="1:15" x14ac:dyDescent="0.3">
      <c r="A1883" s="10">
        <v>45931</v>
      </c>
      <c r="B1883" s="9" t="s">
        <v>74</v>
      </c>
      <c r="C1883" t="s">
        <v>97</v>
      </c>
      <c r="D1883" s="9">
        <v>19911</v>
      </c>
      <c r="E1883" s="5" t="s">
        <v>522</v>
      </c>
      <c r="F1883" t="s">
        <v>98</v>
      </c>
      <c r="G1883">
        <v>1846</v>
      </c>
      <c r="H1883">
        <v>1012</v>
      </c>
      <c r="I1883" s="8">
        <f t="shared" si="175"/>
        <v>0.54821235102925248</v>
      </c>
      <c r="J1883" s="17">
        <v>0.7</v>
      </c>
      <c r="K1883" s="12">
        <v>13.75</v>
      </c>
      <c r="L1883" s="2">
        <f t="shared" si="177"/>
        <v>280.19999999999982</v>
      </c>
      <c r="M1883" s="15">
        <f t="shared" si="176"/>
        <v>3852.7499999999973</v>
      </c>
      <c r="N1883" t="str">
        <f t="shared" si="173"/>
        <v>PE</v>
      </c>
      <c r="O1883" t="str">
        <f t="shared" si="174"/>
        <v>Garanhuns</v>
      </c>
    </row>
    <row r="1884" spans="1:15" x14ac:dyDescent="0.3">
      <c r="A1884" s="10">
        <v>45931</v>
      </c>
      <c r="B1884" s="9" t="s">
        <v>21</v>
      </c>
      <c r="C1884" t="s">
        <v>121</v>
      </c>
      <c r="D1884" s="9">
        <v>19910</v>
      </c>
      <c r="E1884" s="5" t="s">
        <v>524</v>
      </c>
      <c r="F1884" t="s">
        <v>122</v>
      </c>
      <c r="G1884">
        <v>1064</v>
      </c>
      <c r="H1884">
        <v>584</v>
      </c>
      <c r="I1884" s="8">
        <f t="shared" si="175"/>
        <v>0.54887218045112784</v>
      </c>
      <c r="J1884" s="17">
        <v>0.7</v>
      </c>
      <c r="K1884" s="12">
        <v>13.75</v>
      </c>
      <c r="L1884" s="2">
        <f t="shared" si="177"/>
        <v>160.79999999999984</v>
      </c>
      <c r="M1884" s="15">
        <f t="shared" si="176"/>
        <v>2210.9999999999977</v>
      </c>
      <c r="N1884" t="str">
        <f t="shared" si="173"/>
        <v>BA</v>
      </c>
      <c r="O1884" t="str">
        <f t="shared" si="174"/>
        <v>Luís Eduardo Magalhães</v>
      </c>
    </row>
    <row r="1885" spans="1:15" x14ac:dyDescent="0.3">
      <c r="A1885" s="10">
        <v>45931</v>
      </c>
      <c r="B1885" s="9" t="s">
        <v>82</v>
      </c>
      <c r="C1885" t="s">
        <v>173</v>
      </c>
      <c r="D1885" s="9">
        <v>19926</v>
      </c>
      <c r="E1885" s="5" t="s">
        <v>525</v>
      </c>
      <c r="F1885" t="s">
        <v>174</v>
      </c>
      <c r="G1885">
        <v>1370</v>
      </c>
      <c r="H1885">
        <v>572</v>
      </c>
      <c r="I1885" s="8">
        <f t="shared" si="175"/>
        <v>0.41751824817518246</v>
      </c>
      <c r="J1885" s="17">
        <v>0.7</v>
      </c>
      <c r="K1885" s="12">
        <v>13.75</v>
      </c>
      <c r="L1885" s="2">
        <f t="shared" si="177"/>
        <v>387</v>
      </c>
      <c r="M1885" s="15">
        <f t="shared" si="176"/>
        <v>5321.25</v>
      </c>
      <c r="N1885" t="str">
        <f t="shared" si="173"/>
        <v>PR</v>
      </c>
      <c r="O1885" t="str">
        <f t="shared" si="174"/>
        <v>Ponta Grossa</v>
      </c>
    </row>
    <row r="1886" spans="1:15" x14ac:dyDescent="0.3">
      <c r="A1886" s="10">
        <v>45931</v>
      </c>
      <c r="B1886" s="9" t="s">
        <v>15</v>
      </c>
      <c r="C1886" t="s">
        <v>358</v>
      </c>
      <c r="D1886" s="9">
        <v>19523</v>
      </c>
      <c r="E1886" s="5" t="s">
        <v>526</v>
      </c>
      <c r="F1886" t="s">
        <v>224</v>
      </c>
      <c r="G1886">
        <v>3060</v>
      </c>
      <c r="H1886">
        <v>862</v>
      </c>
      <c r="I1886" s="8">
        <f t="shared" si="175"/>
        <v>0.28169934640522876</v>
      </c>
      <c r="J1886" s="17">
        <v>0.7</v>
      </c>
      <c r="K1886" s="12">
        <v>13.75</v>
      </c>
      <c r="L1886" s="2">
        <f t="shared" si="177"/>
        <v>1280</v>
      </c>
      <c r="M1886" s="15">
        <f t="shared" si="176"/>
        <v>17600</v>
      </c>
      <c r="N1886" t="str">
        <f t="shared" si="173"/>
        <v>RJ</v>
      </c>
      <c r="O1886" t="str">
        <f t="shared" si="174"/>
        <v>Rio De Janeiro</v>
      </c>
    </row>
    <row r="1887" spans="1:15" x14ac:dyDescent="0.3">
      <c r="A1887" s="10">
        <v>45931</v>
      </c>
      <c r="B1887" s="9" t="s">
        <v>15</v>
      </c>
      <c r="C1887" t="s">
        <v>358</v>
      </c>
      <c r="D1887" s="9">
        <v>19652</v>
      </c>
      <c r="E1887" s="5" t="s">
        <v>527</v>
      </c>
      <c r="F1887" t="s">
        <v>225</v>
      </c>
      <c r="G1887">
        <v>4485</v>
      </c>
      <c r="H1887">
        <v>1386</v>
      </c>
      <c r="I1887" s="8">
        <f t="shared" si="175"/>
        <v>0.30903010033444817</v>
      </c>
      <c r="J1887" s="17">
        <v>0.7</v>
      </c>
      <c r="K1887" s="12">
        <v>13.75</v>
      </c>
      <c r="L1887" s="2">
        <f t="shared" si="177"/>
        <v>1753.4999999999995</v>
      </c>
      <c r="M1887" s="15">
        <f t="shared" si="176"/>
        <v>24110.624999999993</v>
      </c>
      <c r="N1887" t="str">
        <f t="shared" si="173"/>
        <v>RJ</v>
      </c>
      <c r="O1887" t="str">
        <f t="shared" si="174"/>
        <v>Rio De Janeiro</v>
      </c>
    </row>
    <row r="1888" spans="1:15" x14ac:dyDescent="0.3">
      <c r="A1888" s="10">
        <v>45931</v>
      </c>
      <c r="B1888" s="9" t="s">
        <v>15</v>
      </c>
      <c r="C1888" t="s">
        <v>358</v>
      </c>
      <c r="D1888" s="9">
        <v>19529</v>
      </c>
      <c r="E1888" s="5" t="s">
        <v>528</v>
      </c>
      <c r="F1888" t="s">
        <v>226</v>
      </c>
      <c r="G1888">
        <v>4810</v>
      </c>
      <c r="H1888">
        <v>1505</v>
      </c>
      <c r="I1888" s="8">
        <f t="shared" si="175"/>
        <v>0.31288981288981288</v>
      </c>
      <c r="J1888" s="17">
        <v>0.7</v>
      </c>
      <c r="K1888" s="12">
        <v>13.75</v>
      </c>
      <c r="L1888" s="2">
        <f t="shared" si="177"/>
        <v>1862</v>
      </c>
      <c r="M1888" s="15">
        <f t="shared" si="176"/>
        <v>25602.5</v>
      </c>
      <c r="N1888" t="str">
        <f t="shared" si="173"/>
        <v>RJ</v>
      </c>
      <c r="O1888" t="str">
        <f t="shared" si="174"/>
        <v>Rio De Janeiro</v>
      </c>
    </row>
    <row r="1889" spans="1:15" x14ac:dyDescent="0.3">
      <c r="A1889" s="10">
        <v>45931</v>
      </c>
      <c r="B1889" s="9" t="s">
        <v>3</v>
      </c>
      <c r="C1889" t="s">
        <v>248</v>
      </c>
      <c r="D1889" s="9">
        <v>19889</v>
      </c>
      <c r="E1889" s="5" t="s">
        <v>529</v>
      </c>
      <c r="F1889" t="s">
        <v>266</v>
      </c>
      <c r="G1889">
        <v>1724</v>
      </c>
      <c r="H1889">
        <v>536</v>
      </c>
      <c r="I1889" s="8">
        <f t="shared" si="175"/>
        <v>0.3109048723897912</v>
      </c>
      <c r="J1889" s="17">
        <v>0.7</v>
      </c>
      <c r="K1889" s="12">
        <v>13.75</v>
      </c>
      <c r="L1889" s="2">
        <f t="shared" si="177"/>
        <v>670.8</v>
      </c>
      <c r="M1889" s="15">
        <f t="shared" si="176"/>
        <v>9223.5</v>
      </c>
      <c r="N1889" t="str">
        <f t="shared" si="173"/>
        <v>SP</v>
      </c>
      <c r="O1889" t="str">
        <f t="shared" si="174"/>
        <v>São Paulo</v>
      </c>
    </row>
    <row r="1890" spans="1:15" x14ac:dyDescent="0.3">
      <c r="A1890" s="10">
        <v>45931</v>
      </c>
      <c r="B1890" s="9" t="s">
        <v>3</v>
      </c>
      <c r="C1890" t="s">
        <v>248</v>
      </c>
      <c r="D1890" s="9">
        <v>19888</v>
      </c>
      <c r="E1890" s="5" t="s">
        <v>530</v>
      </c>
      <c r="F1890" t="s">
        <v>267</v>
      </c>
      <c r="G1890">
        <v>1455</v>
      </c>
      <c r="H1890">
        <v>503</v>
      </c>
      <c r="I1890" s="8">
        <f t="shared" si="175"/>
        <v>0.34570446735395188</v>
      </c>
      <c r="J1890" s="17">
        <v>0.7</v>
      </c>
      <c r="K1890" s="12">
        <v>13.75</v>
      </c>
      <c r="L1890" s="2">
        <f t="shared" si="177"/>
        <v>515.49999999999989</v>
      </c>
      <c r="M1890" s="15">
        <f t="shared" si="176"/>
        <v>7088.1249999999982</v>
      </c>
      <c r="N1890" t="str">
        <f t="shared" si="173"/>
        <v>SP</v>
      </c>
      <c r="O1890" t="str">
        <f t="shared" si="174"/>
        <v>São Paulo</v>
      </c>
    </row>
    <row r="1891" spans="1:15" x14ac:dyDescent="0.3">
      <c r="A1891" s="10">
        <v>45931</v>
      </c>
      <c r="B1891" s="9" t="s">
        <v>82</v>
      </c>
      <c r="C1891" t="s">
        <v>106</v>
      </c>
      <c r="D1891" s="9">
        <v>19927</v>
      </c>
      <c r="E1891" s="5" t="s">
        <v>531</v>
      </c>
      <c r="F1891" t="s">
        <v>107</v>
      </c>
      <c r="G1891">
        <v>782</v>
      </c>
      <c r="H1891">
        <v>258</v>
      </c>
      <c r="I1891" s="8">
        <f t="shared" si="175"/>
        <v>0.32992327365728902</v>
      </c>
      <c r="J1891" s="17">
        <v>0.7</v>
      </c>
      <c r="K1891" s="12">
        <v>13.75</v>
      </c>
      <c r="L1891" s="2">
        <f t="shared" si="177"/>
        <v>289.39999999999998</v>
      </c>
      <c r="M1891" s="15">
        <f t="shared" si="176"/>
        <v>3979.2499999999995</v>
      </c>
      <c r="N1891" t="str">
        <f t="shared" si="173"/>
        <v>PR</v>
      </c>
      <c r="O1891" t="str">
        <f t="shared" si="174"/>
        <v>Guarapuava</v>
      </c>
    </row>
    <row r="1892" spans="1:15" x14ac:dyDescent="0.3">
      <c r="A1892" s="10">
        <v>45931</v>
      </c>
      <c r="B1892" s="9" t="s">
        <v>3</v>
      </c>
      <c r="C1892" t="s">
        <v>44</v>
      </c>
      <c r="D1892" s="9">
        <v>19930</v>
      </c>
      <c r="E1892" s="5" t="s">
        <v>533</v>
      </c>
      <c r="F1892" t="s">
        <v>45</v>
      </c>
      <c r="G1892">
        <v>1783</v>
      </c>
      <c r="H1892">
        <v>874</v>
      </c>
      <c r="I1892" s="8">
        <f t="shared" si="175"/>
        <v>0.49018508132361188</v>
      </c>
      <c r="J1892" s="17">
        <v>0.7</v>
      </c>
      <c r="K1892" s="12">
        <v>13.75</v>
      </c>
      <c r="L1892" s="2">
        <f t="shared" si="177"/>
        <v>374.09999999999991</v>
      </c>
      <c r="M1892" s="15">
        <f t="shared" si="176"/>
        <v>5143.8749999999991</v>
      </c>
      <c r="N1892" t="str">
        <f t="shared" si="173"/>
        <v>SP</v>
      </c>
      <c r="O1892" t="str">
        <f t="shared" si="174"/>
        <v>Botucatu</v>
      </c>
    </row>
    <row r="1893" spans="1:15" x14ac:dyDescent="0.3">
      <c r="A1893" s="10">
        <v>45931</v>
      </c>
      <c r="B1893" s="9" t="s">
        <v>15</v>
      </c>
      <c r="C1893" t="s">
        <v>358</v>
      </c>
      <c r="D1893" s="9">
        <v>19609</v>
      </c>
      <c r="E1893" s="5" t="s">
        <v>535</v>
      </c>
      <c r="F1893" t="s">
        <v>227</v>
      </c>
      <c r="G1893">
        <v>2044</v>
      </c>
      <c r="H1893">
        <v>869</v>
      </c>
      <c r="I1893" s="8">
        <f t="shared" si="175"/>
        <v>0.42514677103718201</v>
      </c>
      <c r="J1893" s="17">
        <v>0.7</v>
      </c>
      <c r="K1893" s="12">
        <v>13.75</v>
      </c>
      <c r="L1893" s="2">
        <f t="shared" ref="L1893:L1924" si="178">H1893*J1893/I1893-H1893</f>
        <v>561.79999999999973</v>
      </c>
      <c r="M1893" s="15">
        <f t="shared" si="176"/>
        <v>7724.7499999999964</v>
      </c>
      <c r="N1893" t="str">
        <f t="shared" si="173"/>
        <v>RJ</v>
      </c>
      <c r="O1893" t="str">
        <f t="shared" si="174"/>
        <v>Rio De Janeiro</v>
      </c>
    </row>
    <row r="1894" spans="1:15" x14ac:dyDescent="0.3">
      <c r="A1894" s="10">
        <v>45931</v>
      </c>
      <c r="B1894" s="9" t="s">
        <v>3</v>
      </c>
      <c r="C1894" t="s">
        <v>4</v>
      </c>
      <c r="D1894" s="9">
        <v>19928</v>
      </c>
      <c r="E1894" s="5" t="s">
        <v>536</v>
      </c>
      <c r="F1894" t="s">
        <v>5</v>
      </c>
      <c r="G1894">
        <v>1728</v>
      </c>
      <c r="H1894">
        <v>915</v>
      </c>
      <c r="I1894" s="8">
        <f t="shared" si="175"/>
        <v>0.52951388888888884</v>
      </c>
      <c r="J1894" s="17">
        <v>0.7</v>
      </c>
      <c r="K1894" s="12">
        <v>13.75</v>
      </c>
      <c r="L1894" s="2">
        <f t="shared" si="178"/>
        <v>294.60000000000014</v>
      </c>
      <c r="M1894" s="15">
        <f t="shared" si="176"/>
        <v>4050.7500000000018</v>
      </c>
      <c r="N1894" t="str">
        <f t="shared" si="173"/>
        <v>SP</v>
      </c>
      <c r="O1894" t="str">
        <f t="shared" si="174"/>
        <v>Americana</v>
      </c>
    </row>
    <row r="1895" spans="1:15" x14ac:dyDescent="0.3">
      <c r="A1895" s="10">
        <v>45931</v>
      </c>
      <c r="B1895" s="9" t="s">
        <v>15</v>
      </c>
      <c r="C1895" t="s">
        <v>149</v>
      </c>
      <c r="D1895" s="9">
        <v>19746</v>
      </c>
      <c r="E1895" s="5" t="s">
        <v>537</v>
      </c>
      <c r="F1895" t="s">
        <v>150</v>
      </c>
      <c r="G1895">
        <v>2478</v>
      </c>
      <c r="H1895">
        <v>1491</v>
      </c>
      <c r="I1895" s="8">
        <f t="shared" si="175"/>
        <v>0.60169491525423724</v>
      </c>
      <c r="J1895" s="17">
        <v>0.7</v>
      </c>
      <c r="K1895" s="12">
        <v>13.75</v>
      </c>
      <c r="L1895" s="2">
        <f t="shared" si="178"/>
        <v>243.60000000000014</v>
      </c>
      <c r="M1895" s="15">
        <f t="shared" si="176"/>
        <v>3349.5000000000018</v>
      </c>
      <c r="N1895" t="str">
        <f t="shared" si="173"/>
        <v>RJ</v>
      </c>
      <c r="O1895" t="str">
        <f t="shared" si="174"/>
        <v>Nova Friburgo</v>
      </c>
    </row>
    <row r="1896" spans="1:15" x14ac:dyDescent="0.3">
      <c r="A1896" s="10">
        <v>45931</v>
      </c>
      <c r="B1896" s="9" t="s">
        <v>71</v>
      </c>
      <c r="C1896" t="s">
        <v>163</v>
      </c>
      <c r="D1896" s="9">
        <v>19933</v>
      </c>
      <c r="E1896" s="5" t="s">
        <v>538</v>
      </c>
      <c r="F1896" t="s">
        <v>164</v>
      </c>
      <c r="G1896">
        <v>503</v>
      </c>
      <c r="H1896">
        <v>118</v>
      </c>
      <c r="I1896" s="8">
        <f t="shared" si="175"/>
        <v>0.23459244532803181</v>
      </c>
      <c r="J1896" s="17">
        <v>0.7</v>
      </c>
      <c r="K1896" s="12">
        <v>13.75</v>
      </c>
      <c r="L1896" s="2">
        <f t="shared" si="178"/>
        <v>234.09999999999997</v>
      </c>
      <c r="M1896" s="15">
        <f t="shared" si="176"/>
        <v>3218.8749999999995</v>
      </c>
      <c r="N1896" t="str">
        <f t="shared" si="173"/>
        <v>RS</v>
      </c>
      <c r="O1896" t="str">
        <f t="shared" si="174"/>
        <v>Passo</v>
      </c>
    </row>
    <row r="1897" spans="1:15" x14ac:dyDescent="0.3">
      <c r="A1897" s="10">
        <v>45931</v>
      </c>
      <c r="B1897" s="9" t="s">
        <v>59</v>
      </c>
      <c r="C1897" t="s">
        <v>343</v>
      </c>
      <c r="D1897" s="9">
        <v>19944</v>
      </c>
      <c r="E1897" s="5" t="s">
        <v>539</v>
      </c>
      <c r="F1897" t="s">
        <v>60</v>
      </c>
      <c r="G1897">
        <v>2292</v>
      </c>
      <c r="H1897">
        <v>949</v>
      </c>
      <c r="I1897" s="8">
        <f t="shared" si="175"/>
        <v>0.41404886561954624</v>
      </c>
      <c r="J1897" s="17">
        <v>0.7</v>
      </c>
      <c r="K1897" s="12">
        <v>13.75</v>
      </c>
      <c r="L1897" s="2">
        <f t="shared" si="178"/>
        <v>655.39999999999986</v>
      </c>
      <c r="M1897" s="15">
        <f t="shared" si="176"/>
        <v>9011.7499999999982</v>
      </c>
      <c r="N1897" t="str">
        <f t="shared" si="173"/>
        <v>ES</v>
      </c>
      <c r="O1897" t="str">
        <f t="shared" si="174"/>
        <v>Cachoeira De Itapemirim</v>
      </c>
    </row>
    <row r="1898" spans="1:15" x14ac:dyDescent="0.3">
      <c r="A1898" s="10">
        <v>45931</v>
      </c>
      <c r="B1898" s="9" t="s">
        <v>82</v>
      </c>
      <c r="C1898" t="s">
        <v>83</v>
      </c>
      <c r="D1898" s="9">
        <v>19936</v>
      </c>
      <c r="E1898" s="5" t="s">
        <v>540</v>
      </c>
      <c r="F1898" t="s">
        <v>86</v>
      </c>
      <c r="G1898">
        <v>1785</v>
      </c>
      <c r="H1898">
        <v>528</v>
      </c>
      <c r="I1898" s="8">
        <f t="shared" si="175"/>
        <v>0.2957983193277311</v>
      </c>
      <c r="J1898" s="17">
        <v>0.7</v>
      </c>
      <c r="K1898" s="12">
        <v>13.75</v>
      </c>
      <c r="L1898" s="2">
        <f t="shared" si="178"/>
        <v>721.49999999999977</v>
      </c>
      <c r="M1898" s="15">
        <f t="shared" si="176"/>
        <v>9920.6249999999964</v>
      </c>
      <c r="N1898" t="str">
        <f t="shared" si="173"/>
        <v>PR</v>
      </c>
      <c r="O1898" t="str">
        <f t="shared" si="174"/>
        <v>Curitiba</v>
      </c>
    </row>
    <row r="1899" spans="1:15" x14ac:dyDescent="0.3">
      <c r="A1899" s="10">
        <v>45931</v>
      </c>
      <c r="B1899" s="9" t="s">
        <v>21</v>
      </c>
      <c r="C1899" t="s">
        <v>228</v>
      </c>
      <c r="D1899" s="9">
        <v>19931</v>
      </c>
      <c r="E1899" s="5" t="s">
        <v>541</v>
      </c>
      <c r="F1899" t="s">
        <v>233</v>
      </c>
      <c r="G1899">
        <v>2068</v>
      </c>
      <c r="H1899">
        <v>1040</v>
      </c>
      <c r="I1899" s="8">
        <f t="shared" si="175"/>
        <v>0.50290135396518376</v>
      </c>
      <c r="J1899" s="17">
        <v>0.7</v>
      </c>
      <c r="K1899" s="12">
        <v>13.75</v>
      </c>
      <c r="L1899" s="2">
        <f t="shared" si="178"/>
        <v>407.59999999999991</v>
      </c>
      <c r="M1899" s="15">
        <f t="shared" si="176"/>
        <v>5604.4999999999991</v>
      </c>
      <c r="N1899" t="str">
        <f t="shared" si="173"/>
        <v>BA</v>
      </c>
      <c r="O1899" t="str">
        <f t="shared" si="174"/>
        <v>Salvador</v>
      </c>
    </row>
    <row r="1900" spans="1:15" x14ac:dyDescent="0.3">
      <c r="A1900" s="10">
        <v>45931</v>
      </c>
      <c r="B1900" s="9" t="s">
        <v>14</v>
      </c>
      <c r="C1900" t="s">
        <v>273</v>
      </c>
      <c r="D1900" s="9">
        <v>19937</v>
      </c>
      <c r="E1900" s="5" t="s">
        <v>542</v>
      </c>
      <c r="F1900" t="s">
        <v>274</v>
      </c>
      <c r="G1900">
        <v>381</v>
      </c>
      <c r="H1900">
        <v>147</v>
      </c>
      <c r="I1900" s="8">
        <f t="shared" si="175"/>
        <v>0.38582677165354329</v>
      </c>
      <c r="J1900" s="17">
        <v>0.7</v>
      </c>
      <c r="K1900" s="12">
        <v>13.75</v>
      </c>
      <c r="L1900" s="2">
        <f t="shared" si="178"/>
        <v>119.69999999999999</v>
      </c>
      <c r="M1900" s="15">
        <f t="shared" si="176"/>
        <v>1645.8749999999998</v>
      </c>
      <c r="N1900" t="str">
        <f t="shared" si="173"/>
        <v>MG</v>
      </c>
      <c r="O1900" t="str">
        <f t="shared" si="174"/>
        <v>Sete Lagoas</v>
      </c>
    </row>
    <row r="1901" spans="1:15" x14ac:dyDescent="0.3">
      <c r="A1901" s="10">
        <v>45931</v>
      </c>
      <c r="B1901" s="9" t="s">
        <v>46</v>
      </c>
      <c r="C1901" t="s">
        <v>102</v>
      </c>
      <c r="D1901" s="9">
        <v>19553</v>
      </c>
      <c r="E1901" s="5" t="s">
        <v>543</v>
      </c>
      <c r="F1901" t="s">
        <v>103</v>
      </c>
      <c r="G1901">
        <v>2006</v>
      </c>
      <c r="H1901">
        <v>779</v>
      </c>
      <c r="I1901" s="8">
        <f t="shared" si="175"/>
        <v>0.38833499501495511</v>
      </c>
      <c r="J1901" s="17">
        <v>0.7</v>
      </c>
      <c r="K1901" s="12">
        <v>13.75</v>
      </c>
      <c r="L1901" s="2">
        <f t="shared" si="178"/>
        <v>625.20000000000005</v>
      </c>
      <c r="M1901" s="15">
        <f t="shared" si="176"/>
        <v>8596.5</v>
      </c>
      <c r="N1901" t="str">
        <f t="shared" si="173"/>
        <v>DF</v>
      </c>
      <c r="O1901" t="str">
        <f t="shared" si="174"/>
        <v>Guará</v>
      </c>
    </row>
    <row r="1902" spans="1:15" x14ac:dyDescent="0.3">
      <c r="A1902" s="10">
        <v>45931</v>
      </c>
      <c r="B1902" s="9" t="s">
        <v>140</v>
      </c>
      <c r="C1902" t="s">
        <v>141</v>
      </c>
      <c r="D1902" s="9">
        <v>19940</v>
      </c>
      <c r="E1902" s="5" t="s">
        <v>545</v>
      </c>
      <c r="F1902" t="s">
        <v>142</v>
      </c>
      <c r="G1902">
        <v>1956</v>
      </c>
      <c r="H1902">
        <v>1126</v>
      </c>
      <c r="I1902" s="8">
        <f t="shared" si="175"/>
        <v>0.57566462167689159</v>
      </c>
      <c r="J1902" s="17">
        <v>0.7</v>
      </c>
      <c r="K1902" s="12">
        <v>13.75</v>
      </c>
      <c r="L1902" s="2">
        <f t="shared" si="178"/>
        <v>243.20000000000005</v>
      </c>
      <c r="M1902" s="15">
        <f t="shared" si="176"/>
        <v>3344.0000000000005</v>
      </c>
      <c r="N1902" t="str">
        <f t="shared" si="173"/>
        <v>RN</v>
      </c>
      <c r="O1902" t="str">
        <f t="shared" si="174"/>
        <v>Natal</v>
      </c>
    </row>
    <row r="1903" spans="1:15" x14ac:dyDescent="0.3">
      <c r="A1903" s="10">
        <v>45931</v>
      </c>
      <c r="B1903" s="9" t="s">
        <v>123</v>
      </c>
      <c r="C1903" t="s">
        <v>124</v>
      </c>
      <c r="D1903" s="9">
        <v>19945</v>
      </c>
      <c r="E1903" s="5" t="s">
        <v>546</v>
      </c>
      <c r="F1903" t="s">
        <v>125</v>
      </c>
      <c r="G1903">
        <v>1650</v>
      </c>
      <c r="H1903">
        <v>1011</v>
      </c>
      <c r="I1903" s="8">
        <f t="shared" si="175"/>
        <v>0.61272727272727268</v>
      </c>
      <c r="J1903" s="17">
        <v>0.7</v>
      </c>
      <c r="K1903" s="12">
        <v>13.75</v>
      </c>
      <c r="L1903" s="2">
        <f t="shared" si="178"/>
        <v>144</v>
      </c>
      <c r="M1903" s="15">
        <f t="shared" si="176"/>
        <v>1980</v>
      </c>
      <c r="N1903" t="str">
        <f t="shared" si="173"/>
        <v>AP</v>
      </c>
      <c r="O1903" t="str">
        <f t="shared" si="174"/>
        <v>Macapa</v>
      </c>
    </row>
    <row r="1904" spans="1:15" x14ac:dyDescent="0.3">
      <c r="A1904" s="10">
        <v>45931</v>
      </c>
      <c r="B1904" s="9" t="s">
        <v>21</v>
      </c>
      <c r="C1904" t="s">
        <v>228</v>
      </c>
      <c r="D1904" s="9">
        <v>19907</v>
      </c>
      <c r="E1904" s="5" t="s">
        <v>547</v>
      </c>
      <c r="F1904" t="s">
        <v>234</v>
      </c>
      <c r="G1904">
        <v>1137</v>
      </c>
      <c r="H1904">
        <v>544</v>
      </c>
      <c r="I1904" s="8">
        <f t="shared" si="175"/>
        <v>0.47845206684256814</v>
      </c>
      <c r="J1904" s="17">
        <v>0.7</v>
      </c>
      <c r="K1904" s="12">
        <v>13.75</v>
      </c>
      <c r="L1904" s="2">
        <f t="shared" si="178"/>
        <v>251.89999999999998</v>
      </c>
      <c r="M1904" s="15">
        <f t="shared" si="176"/>
        <v>3463.6249999999995</v>
      </c>
      <c r="N1904" t="str">
        <f t="shared" si="173"/>
        <v>BA</v>
      </c>
      <c r="O1904" t="str">
        <f t="shared" si="174"/>
        <v>Salvador</v>
      </c>
    </row>
    <row r="1905" spans="1:15" x14ac:dyDescent="0.3">
      <c r="A1905" s="10">
        <v>45931</v>
      </c>
      <c r="B1905" s="9" t="s">
        <v>15</v>
      </c>
      <c r="C1905" t="s">
        <v>145</v>
      </c>
      <c r="D1905" s="9">
        <v>19538</v>
      </c>
      <c r="E1905" s="5" t="s">
        <v>548</v>
      </c>
      <c r="F1905" t="s">
        <v>146</v>
      </c>
      <c r="G1905">
        <v>2890</v>
      </c>
      <c r="H1905">
        <v>1226</v>
      </c>
      <c r="I1905" s="8">
        <f t="shared" si="175"/>
        <v>0.42422145328719724</v>
      </c>
      <c r="J1905" s="17">
        <v>0.7</v>
      </c>
      <c r="K1905" s="12">
        <v>13.75</v>
      </c>
      <c r="L1905" s="2">
        <f t="shared" si="178"/>
        <v>796.99999999999977</v>
      </c>
      <c r="M1905" s="15">
        <f t="shared" si="176"/>
        <v>10958.749999999996</v>
      </c>
      <c r="N1905" t="str">
        <f t="shared" si="173"/>
        <v>RJ</v>
      </c>
      <c r="O1905" t="str">
        <f t="shared" si="174"/>
        <v>Niterói</v>
      </c>
    </row>
    <row r="1906" spans="1:15" x14ac:dyDescent="0.3">
      <c r="A1906" s="10">
        <v>45931</v>
      </c>
      <c r="B1906" s="9" t="s">
        <v>71</v>
      </c>
      <c r="C1906" t="s">
        <v>175</v>
      </c>
      <c r="D1906" s="9">
        <v>19947</v>
      </c>
      <c r="E1906" s="5" t="s">
        <v>550</v>
      </c>
      <c r="F1906" t="s">
        <v>180</v>
      </c>
      <c r="G1906">
        <v>3079</v>
      </c>
      <c r="H1906">
        <v>948</v>
      </c>
      <c r="I1906" s="8">
        <f t="shared" si="175"/>
        <v>0.30789217278337122</v>
      </c>
      <c r="J1906" s="17">
        <v>0.7</v>
      </c>
      <c r="K1906" s="12">
        <v>13.75</v>
      </c>
      <c r="L1906" s="2">
        <f t="shared" si="178"/>
        <v>1207.2999999999997</v>
      </c>
      <c r="M1906" s="15">
        <f t="shared" si="176"/>
        <v>16600.374999999996</v>
      </c>
      <c r="N1906" t="str">
        <f t="shared" si="173"/>
        <v>RS</v>
      </c>
      <c r="O1906" t="str">
        <f t="shared" si="174"/>
        <v>Porto Alegre</v>
      </c>
    </row>
    <row r="1907" spans="1:15" x14ac:dyDescent="0.3">
      <c r="A1907" s="10">
        <v>45931</v>
      </c>
      <c r="B1907" s="9" t="s">
        <v>14</v>
      </c>
      <c r="C1907" t="s">
        <v>114</v>
      </c>
      <c r="D1907" s="9">
        <v>19943</v>
      </c>
      <c r="E1907" s="5" t="s">
        <v>551</v>
      </c>
      <c r="F1907" t="s">
        <v>115</v>
      </c>
      <c r="G1907">
        <v>997</v>
      </c>
      <c r="H1907">
        <v>420</v>
      </c>
      <c r="I1907" s="8">
        <f t="shared" si="175"/>
        <v>0.42126379137412234</v>
      </c>
      <c r="J1907" s="17">
        <v>0.7</v>
      </c>
      <c r="K1907" s="12">
        <v>13.75</v>
      </c>
      <c r="L1907" s="2">
        <f t="shared" si="178"/>
        <v>277.90000000000009</v>
      </c>
      <c r="M1907" s="15">
        <f t="shared" si="176"/>
        <v>3821.1250000000014</v>
      </c>
      <c r="N1907" t="str">
        <f t="shared" si="173"/>
        <v>MG</v>
      </c>
      <c r="O1907" t="str">
        <f t="shared" si="174"/>
        <v>Ituiutaba</v>
      </c>
    </row>
    <row r="1908" spans="1:15" x14ac:dyDescent="0.3">
      <c r="A1908" s="10">
        <v>45931</v>
      </c>
      <c r="B1908" s="9" t="s">
        <v>244</v>
      </c>
      <c r="C1908" t="s">
        <v>245</v>
      </c>
      <c r="D1908" s="9">
        <v>19617</v>
      </c>
      <c r="E1908" s="5" t="s">
        <v>552</v>
      </c>
      <c r="F1908" t="s">
        <v>246</v>
      </c>
      <c r="G1908">
        <v>3189</v>
      </c>
      <c r="H1908">
        <v>1478</v>
      </c>
      <c r="I1908" s="8">
        <f t="shared" si="175"/>
        <v>0.46346817184070244</v>
      </c>
      <c r="J1908" s="17">
        <v>0.7</v>
      </c>
      <c r="K1908" s="12">
        <v>13.75</v>
      </c>
      <c r="L1908" s="2">
        <f t="shared" si="178"/>
        <v>754.29999999999973</v>
      </c>
      <c r="M1908" s="15">
        <f t="shared" si="176"/>
        <v>10371.624999999996</v>
      </c>
      <c r="N1908" t="str">
        <f t="shared" si="173"/>
        <v>MA</v>
      </c>
      <c r="O1908" t="str">
        <f t="shared" si="174"/>
        <v>São Luís</v>
      </c>
    </row>
    <row r="1909" spans="1:15" x14ac:dyDescent="0.3">
      <c r="A1909" s="10">
        <v>45931</v>
      </c>
      <c r="B1909" s="9" t="s">
        <v>244</v>
      </c>
      <c r="C1909" t="s">
        <v>245</v>
      </c>
      <c r="D1909" s="9">
        <v>19595</v>
      </c>
      <c r="E1909" s="5" t="s">
        <v>553</v>
      </c>
      <c r="F1909" t="s">
        <v>247</v>
      </c>
      <c r="G1909">
        <v>3394</v>
      </c>
      <c r="H1909">
        <v>1631</v>
      </c>
      <c r="I1909" s="8">
        <f t="shared" si="175"/>
        <v>0.48055391868002356</v>
      </c>
      <c r="J1909" s="17">
        <v>0.7</v>
      </c>
      <c r="K1909" s="12">
        <v>13.75</v>
      </c>
      <c r="L1909" s="2">
        <f t="shared" si="178"/>
        <v>744.79999999999973</v>
      </c>
      <c r="M1909" s="15">
        <f t="shared" si="176"/>
        <v>10240.999999999996</v>
      </c>
      <c r="N1909" t="str">
        <f t="shared" si="173"/>
        <v>MA</v>
      </c>
      <c r="O1909" t="str">
        <f t="shared" si="174"/>
        <v>São Luís</v>
      </c>
    </row>
    <row r="1910" spans="1:15" x14ac:dyDescent="0.3">
      <c r="A1910" s="10">
        <v>45931</v>
      </c>
      <c r="B1910" s="9" t="s">
        <v>3</v>
      </c>
      <c r="C1910" t="s">
        <v>10</v>
      </c>
      <c r="D1910" s="9">
        <v>19948</v>
      </c>
      <c r="E1910" s="5" t="s">
        <v>555</v>
      </c>
      <c r="F1910" t="s">
        <v>11</v>
      </c>
      <c r="G1910">
        <v>1352</v>
      </c>
      <c r="H1910">
        <v>450</v>
      </c>
      <c r="I1910" s="8">
        <f t="shared" si="175"/>
        <v>0.33284023668639051</v>
      </c>
      <c r="J1910" s="17">
        <v>0.7</v>
      </c>
      <c r="K1910" s="12">
        <v>13.75</v>
      </c>
      <c r="L1910" s="2">
        <f t="shared" si="178"/>
        <v>496.40000000000009</v>
      </c>
      <c r="M1910" s="15">
        <f t="shared" si="176"/>
        <v>6825.5000000000009</v>
      </c>
      <c r="N1910" t="str">
        <f t="shared" si="173"/>
        <v>SP</v>
      </c>
      <c r="O1910" t="str">
        <f t="shared" si="174"/>
        <v>Araraquara</v>
      </c>
    </row>
    <row r="1911" spans="1:15" x14ac:dyDescent="0.3">
      <c r="A1911" s="10">
        <v>45931</v>
      </c>
      <c r="B1911" s="9" t="s">
        <v>74</v>
      </c>
      <c r="C1911" t="s">
        <v>75</v>
      </c>
      <c r="D1911" s="9">
        <v>19798</v>
      </c>
      <c r="E1911" s="5" t="s">
        <v>556</v>
      </c>
      <c r="F1911" t="s">
        <v>76</v>
      </c>
      <c r="G1911">
        <v>3025</v>
      </c>
      <c r="H1911">
        <v>1425</v>
      </c>
      <c r="I1911" s="8">
        <f t="shared" si="175"/>
        <v>0.47107438016528924</v>
      </c>
      <c r="J1911" s="17">
        <v>0.7</v>
      </c>
      <c r="K1911" s="12">
        <v>13.75</v>
      </c>
      <c r="L1911" s="2">
        <f t="shared" si="178"/>
        <v>692.5</v>
      </c>
      <c r="M1911" s="15">
        <f t="shared" si="176"/>
        <v>9521.875</v>
      </c>
      <c r="N1911" t="str">
        <f t="shared" si="173"/>
        <v>PE</v>
      </c>
      <c r="O1911" t="str">
        <f t="shared" si="174"/>
        <v>Caruaru</v>
      </c>
    </row>
    <row r="1912" spans="1:15" x14ac:dyDescent="0.3">
      <c r="A1912" s="10">
        <v>45931</v>
      </c>
      <c r="B1912" s="9" t="s">
        <v>15</v>
      </c>
      <c r="C1912" t="s">
        <v>19</v>
      </c>
      <c r="D1912" s="9">
        <v>19694</v>
      </c>
      <c r="E1912" s="5" t="s">
        <v>557</v>
      </c>
      <c r="F1912" t="s">
        <v>20</v>
      </c>
      <c r="G1912">
        <v>1790</v>
      </c>
      <c r="H1912">
        <v>966</v>
      </c>
      <c r="I1912" s="8">
        <f t="shared" si="175"/>
        <v>0.53966480446927378</v>
      </c>
      <c r="J1912" s="17">
        <v>0.7</v>
      </c>
      <c r="K1912" s="12">
        <v>13.75</v>
      </c>
      <c r="L1912" s="2">
        <f t="shared" si="178"/>
        <v>286.99999999999977</v>
      </c>
      <c r="M1912" s="15">
        <f t="shared" si="176"/>
        <v>3946.2499999999968</v>
      </c>
      <c r="N1912" t="str">
        <f t="shared" si="173"/>
        <v>RJ</v>
      </c>
      <c r="O1912" t="str">
        <f t="shared" si="174"/>
        <v>Barra Mansa</v>
      </c>
    </row>
    <row r="1913" spans="1:15" x14ac:dyDescent="0.3">
      <c r="A1913" s="10">
        <v>45931</v>
      </c>
      <c r="B1913" s="9" t="s">
        <v>14</v>
      </c>
      <c r="C1913" t="s">
        <v>112</v>
      </c>
      <c r="D1913" s="9">
        <v>19951</v>
      </c>
      <c r="E1913" s="5" t="s">
        <v>558</v>
      </c>
      <c r="F1913" t="s">
        <v>113</v>
      </c>
      <c r="G1913">
        <v>1814</v>
      </c>
      <c r="H1913">
        <v>651</v>
      </c>
      <c r="I1913" s="8">
        <f t="shared" si="175"/>
        <v>0.35887541345093715</v>
      </c>
      <c r="J1913" s="17">
        <v>0.7</v>
      </c>
      <c r="K1913" s="12">
        <v>13.75</v>
      </c>
      <c r="L1913" s="2">
        <f t="shared" si="178"/>
        <v>618.79999999999995</v>
      </c>
      <c r="M1913" s="15">
        <f t="shared" si="176"/>
        <v>8508.5</v>
      </c>
      <c r="N1913" t="str">
        <f t="shared" si="173"/>
        <v>MG</v>
      </c>
      <c r="O1913" t="str">
        <f t="shared" si="174"/>
        <v>Ipatinga</v>
      </c>
    </row>
    <row r="1914" spans="1:15" x14ac:dyDescent="0.3">
      <c r="A1914" s="10">
        <v>45931</v>
      </c>
      <c r="B1914" s="9" t="s">
        <v>160</v>
      </c>
      <c r="C1914" t="s">
        <v>161</v>
      </c>
      <c r="D1914" s="9">
        <v>19954</v>
      </c>
      <c r="E1914" s="5" t="s">
        <v>559</v>
      </c>
      <c r="F1914" t="s">
        <v>162</v>
      </c>
      <c r="G1914">
        <v>811</v>
      </c>
      <c r="H1914">
        <v>472</v>
      </c>
      <c r="I1914" s="8">
        <f t="shared" si="175"/>
        <v>0.58199753390875464</v>
      </c>
      <c r="J1914" s="17">
        <v>0.7</v>
      </c>
      <c r="K1914" s="12">
        <v>13.75</v>
      </c>
      <c r="L1914" s="2">
        <f t="shared" si="178"/>
        <v>95.699999999999932</v>
      </c>
      <c r="M1914" s="15">
        <f t="shared" si="176"/>
        <v>1315.8749999999991</v>
      </c>
      <c r="N1914" t="str">
        <f t="shared" si="173"/>
        <v>PI</v>
      </c>
      <c r="O1914" t="str">
        <f t="shared" si="174"/>
        <v>Parnaíba</v>
      </c>
    </row>
    <row r="1915" spans="1:15" x14ac:dyDescent="0.3">
      <c r="A1915" s="10">
        <v>45931</v>
      </c>
      <c r="B1915" s="9" t="s">
        <v>14</v>
      </c>
      <c r="C1915" t="s">
        <v>351</v>
      </c>
      <c r="D1915" s="9">
        <v>19615</v>
      </c>
      <c r="E1915" s="5" t="s">
        <v>560</v>
      </c>
      <c r="F1915" t="s">
        <v>117</v>
      </c>
      <c r="G1915">
        <v>2203</v>
      </c>
      <c r="H1915">
        <v>742</v>
      </c>
      <c r="I1915" s="8">
        <f t="shared" si="175"/>
        <v>0.33681343622333182</v>
      </c>
      <c r="J1915" s="17">
        <v>0.7</v>
      </c>
      <c r="K1915" s="12">
        <v>13.75</v>
      </c>
      <c r="L1915" s="2">
        <f t="shared" si="178"/>
        <v>800.09999999999991</v>
      </c>
      <c r="M1915" s="15">
        <f t="shared" si="176"/>
        <v>11001.374999999998</v>
      </c>
      <c r="N1915" t="str">
        <f t="shared" si="173"/>
        <v>MG</v>
      </c>
      <c r="O1915" t="str">
        <f t="shared" si="174"/>
        <v>Juiz De Fora</v>
      </c>
    </row>
    <row r="1916" spans="1:15" x14ac:dyDescent="0.3">
      <c r="A1916" s="10">
        <v>45931</v>
      </c>
      <c r="B1916" s="9" t="s">
        <v>46</v>
      </c>
      <c r="C1916" t="s">
        <v>47</v>
      </c>
      <c r="D1916" s="9">
        <v>19647</v>
      </c>
      <c r="E1916" s="5" t="s">
        <v>561</v>
      </c>
      <c r="F1916" t="s">
        <v>55</v>
      </c>
      <c r="G1916">
        <v>564</v>
      </c>
      <c r="H1916">
        <v>192</v>
      </c>
      <c r="I1916" s="8">
        <f t="shared" si="175"/>
        <v>0.34042553191489361</v>
      </c>
      <c r="J1916" s="17">
        <v>0.7</v>
      </c>
      <c r="K1916" s="12">
        <v>13.75</v>
      </c>
      <c r="L1916" s="2">
        <f t="shared" si="178"/>
        <v>202.79999999999995</v>
      </c>
      <c r="M1916" s="15">
        <f t="shared" si="176"/>
        <v>2788.4999999999995</v>
      </c>
      <c r="N1916" t="str">
        <f t="shared" si="173"/>
        <v>DF</v>
      </c>
      <c r="O1916" t="str">
        <f t="shared" si="174"/>
        <v>Brasília</v>
      </c>
    </row>
    <row r="1917" spans="1:15" x14ac:dyDescent="0.3">
      <c r="A1917" s="10">
        <v>45931</v>
      </c>
      <c r="B1917" s="9" t="s">
        <v>46</v>
      </c>
      <c r="C1917" t="s">
        <v>47</v>
      </c>
      <c r="D1917" s="9">
        <v>19898</v>
      </c>
      <c r="E1917" s="5" t="s">
        <v>562</v>
      </c>
      <c r="F1917" t="s">
        <v>56</v>
      </c>
      <c r="G1917">
        <v>351</v>
      </c>
      <c r="H1917">
        <v>130</v>
      </c>
      <c r="I1917" s="8">
        <f t="shared" si="175"/>
        <v>0.37037037037037035</v>
      </c>
      <c r="J1917" s="17">
        <v>0.7</v>
      </c>
      <c r="K1917" s="12">
        <v>13.75</v>
      </c>
      <c r="L1917" s="2">
        <f t="shared" si="178"/>
        <v>115.70000000000002</v>
      </c>
      <c r="M1917" s="15">
        <f t="shared" si="176"/>
        <v>1590.8750000000002</v>
      </c>
      <c r="N1917" t="str">
        <f t="shared" si="173"/>
        <v>DF</v>
      </c>
      <c r="O1917" t="str">
        <f t="shared" si="174"/>
        <v>Brasília</v>
      </c>
    </row>
    <row r="1918" spans="1:15" x14ac:dyDescent="0.3">
      <c r="A1918" s="10">
        <v>45931</v>
      </c>
      <c r="B1918" s="9" t="s">
        <v>3</v>
      </c>
      <c r="C1918" t="s">
        <v>64</v>
      </c>
      <c r="D1918" s="9">
        <v>19616</v>
      </c>
      <c r="E1918" s="5" t="s">
        <v>563</v>
      </c>
      <c r="F1918" t="s">
        <v>66</v>
      </c>
      <c r="G1918">
        <v>3630</v>
      </c>
      <c r="H1918">
        <v>1444</v>
      </c>
      <c r="I1918" s="8">
        <f t="shared" si="175"/>
        <v>0.39779614325068868</v>
      </c>
      <c r="J1918" s="17">
        <v>0.7</v>
      </c>
      <c r="K1918" s="12">
        <v>13.75</v>
      </c>
      <c r="L1918" s="2">
        <f t="shared" si="178"/>
        <v>1097</v>
      </c>
      <c r="M1918" s="15">
        <f t="shared" si="176"/>
        <v>15083.75</v>
      </c>
      <c r="N1918" t="str">
        <f t="shared" si="173"/>
        <v>SP</v>
      </c>
      <c r="O1918" t="str">
        <f t="shared" si="174"/>
        <v>Campinas</v>
      </c>
    </row>
    <row r="1919" spans="1:15" x14ac:dyDescent="0.3">
      <c r="A1919" s="10">
        <v>45931</v>
      </c>
      <c r="B1919" s="9" t="s">
        <v>3</v>
      </c>
      <c r="C1919" t="s">
        <v>64</v>
      </c>
      <c r="D1919" s="9">
        <v>19688</v>
      </c>
      <c r="E1919" s="5" t="s">
        <v>564</v>
      </c>
      <c r="F1919" t="s">
        <v>67</v>
      </c>
      <c r="G1919">
        <v>1841</v>
      </c>
      <c r="H1919">
        <v>703</v>
      </c>
      <c r="I1919" s="8">
        <f t="shared" si="175"/>
        <v>0.38185768604019554</v>
      </c>
      <c r="J1919" s="17">
        <v>0.7</v>
      </c>
      <c r="K1919" s="12">
        <v>13.75</v>
      </c>
      <c r="L1919" s="2">
        <f t="shared" si="178"/>
        <v>585.69999999999982</v>
      </c>
      <c r="M1919" s="15">
        <f t="shared" si="176"/>
        <v>8053.3749999999973</v>
      </c>
      <c r="N1919" t="str">
        <f t="shared" si="173"/>
        <v>SP</v>
      </c>
      <c r="O1919" t="str">
        <f t="shared" si="174"/>
        <v>Campinas</v>
      </c>
    </row>
    <row r="1920" spans="1:15" x14ac:dyDescent="0.3">
      <c r="A1920" s="10">
        <v>45931</v>
      </c>
      <c r="B1920" s="9" t="s">
        <v>3</v>
      </c>
      <c r="C1920" t="s">
        <v>275</v>
      </c>
      <c r="D1920" s="9">
        <v>19721</v>
      </c>
      <c r="E1920" s="5" t="s">
        <v>565</v>
      </c>
      <c r="F1920" t="s">
        <v>276</v>
      </c>
      <c r="G1920">
        <v>1794</v>
      </c>
      <c r="H1920">
        <v>690</v>
      </c>
      <c r="I1920" s="8">
        <f t="shared" si="175"/>
        <v>0.38461538461538464</v>
      </c>
      <c r="J1920" s="17">
        <v>0.7</v>
      </c>
      <c r="K1920" s="12">
        <v>13.75</v>
      </c>
      <c r="L1920" s="2">
        <f t="shared" si="178"/>
        <v>565.79999999999973</v>
      </c>
      <c r="M1920" s="15">
        <f t="shared" si="176"/>
        <v>7779.7499999999964</v>
      </c>
      <c r="N1920" t="str">
        <f t="shared" si="173"/>
        <v>SP</v>
      </c>
      <c r="O1920" t="str">
        <f t="shared" si="174"/>
        <v>Sorocaba</v>
      </c>
    </row>
    <row r="1921" spans="1:15" x14ac:dyDescent="0.3">
      <c r="A1921" s="10">
        <v>45931</v>
      </c>
      <c r="B1921" s="9" t="s">
        <v>3</v>
      </c>
      <c r="C1921" t="s">
        <v>248</v>
      </c>
      <c r="D1921" s="9">
        <v>19863</v>
      </c>
      <c r="E1921" s="5" t="s">
        <v>566</v>
      </c>
      <c r="F1921" t="s">
        <v>268</v>
      </c>
      <c r="G1921">
        <v>2770</v>
      </c>
      <c r="H1921">
        <v>943</v>
      </c>
      <c r="I1921" s="8">
        <f t="shared" si="175"/>
        <v>0.3404332129963899</v>
      </c>
      <c r="J1921" s="17">
        <v>0.7</v>
      </c>
      <c r="K1921" s="12">
        <v>13.75</v>
      </c>
      <c r="L1921" s="2">
        <f t="shared" si="178"/>
        <v>995.99999999999977</v>
      </c>
      <c r="M1921" s="15">
        <f t="shared" si="176"/>
        <v>13694.999999999996</v>
      </c>
      <c r="N1921" t="str">
        <f t="shared" si="173"/>
        <v>SP</v>
      </c>
      <c r="O1921" t="str">
        <f t="shared" si="174"/>
        <v>São Paulo</v>
      </c>
    </row>
    <row r="1922" spans="1:15" x14ac:dyDescent="0.3">
      <c r="A1922" s="10">
        <v>45931</v>
      </c>
      <c r="B1922" s="9" t="s">
        <v>3</v>
      </c>
      <c r="C1922" t="s">
        <v>248</v>
      </c>
      <c r="D1922" s="9">
        <v>19817</v>
      </c>
      <c r="E1922" s="5" t="s">
        <v>567</v>
      </c>
      <c r="F1922" t="s">
        <v>269</v>
      </c>
      <c r="G1922">
        <v>1693</v>
      </c>
      <c r="H1922">
        <v>596</v>
      </c>
      <c r="I1922" s="8">
        <f t="shared" si="175"/>
        <v>0.3520378027170703</v>
      </c>
      <c r="J1922" s="17">
        <v>0.7</v>
      </c>
      <c r="K1922" s="12">
        <v>13.75</v>
      </c>
      <c r="L1922" s="2">
        <f t="shared" si="178"/>
        <v>589.09999999999991</v>
      </c>
      <c r="M1922" s="15">
        <f t="shared" si="176"/>
        <v>8100.1249999999991</v>
      </c>
      <c r="N1922" t="str">
        <f t="shared" ref="N1922:N1985" si="179">B1922</f>
        <v>SP</v>
      </c>
      <c r="O1922" t="str">
        <f t="shared" ref="O1922:O1985" si="180">C1922</f>
        <v>São Paulo</v>
      </c>
    </row>
    <row r="1923" spans="1:15" x14ac:dyDescent="0.3">
      <c r="A1923" s="10">
        <v>45931</v>
      </c>
      <c r="B1923" s="9" t="s">
        <v>3</v>
      </c>
      <c r="C1923" t="s">
        <v>248</v>
      </c>
      <c r="D1923" s="9">
        <v>19866</v>
      </c>
      <c r="E1923" s="5" t="s">
        <v>568</v>
      </c>
      <c r="F1923" t="s">
        <v>270</v>
      </c>
      <c r="G1923">
        <v>1670</v>
      </c>
      <c r="H1923">
        <v>650</v>
      </c>
      <c r="I1923" s="8">
        <f t="shared" ref="I1923:I1986" si="181">H1923/G1923</f>
        <v>0.38922155688622756</v>
      </c>
      <c r="J1923" s="17">
        <v>0.7</v>
      </c>
      <c r="K1923" s="12">
        <v>13.75</v>
      </c>
      <c r="L1923" s="2">
        <f t="shared" si="178"/>
        <v>518.99999999999977</v>
      </c>
      <c r="M1923" s="15">
        <f t="shared" ref="M1923:M1986" si="182">L1923*K1923</f>
        <v>7136.2499999999973</v>
      </c>
      <c r="N1923" t="str">
        <f t="shared" si="179"/>
        <v>SP</v>
      </c>
      <c r="O1923" t="str">
        <f t="shared" si="180"/>
        <v>São Paulo</v>
      </c>
    </row>
    <row r="1924" spans="1:15" x14ac:dyDescent="0.3">
      <c r="A1924" s="10">
        <v>45931</v>
      </c>
      <c r="B1924" s="9" t="s">
        <v>3</v>
      </c>
      <c r="C1924" t="s">
        <v>110</v>
      </c>
      <c r="D1924" s="9">
        <v>19884</v>
      </c>
      <c r="E1924" s="5" t="s">
        <v>577</v>
      </c>
      <c r="F1924" t="s">
        <v>111</v>
      </c>
      <c r="G1924">
        <v>2103</v>
      </c>
      <c r="H1924">
        <v>679</v>
      </c>
      <c r="I1924" s="8">
        <f t="shared" si="181"/>
        <v>0.3228720874940561</v>
      </c>
      <c r="J1924" s="17">
        <v>0.7</v>
      </c>
      <c r="K1924" s="12">
        <v>13.75</v>
      </c>
      <c r="L1924" s="2">
        <f t="shared" si="178"/>
        <v>793.09999999999991</v>
      </c>
      <c r="M1924" s="15">
        <f t="shared" si="182"/>
        <v>10905.124999999998</v>
      </c>
      <c r="N1924" t="str">
        <f t="shared" si="179"/>
        <v>SP</v>
      </c>
      <c r="O1924" t="str">
        <f t="shared" si="180"/>
        <v>Guarulhos</v>
      </c>
    </row>
    <row r="1925" spans="1:15" x14ac:dyDescent="0.3">
      <c r="A1925" s="10">
        <v>45931</v>
      </c>
      <c r="B1925" s="9" t="s">
        <v>3</v>
      </c>
      <c r="C1925" t="s">
        <v>248</v>
      </c>
      <c r="D1925" s="9">
        <v>19859</v>
      </c>
      <c r="E1925" s="5" t="s">
        <v>578</v>
      </c>
      <c r="F1925" t="s">
        <v>258</v>
      </c>
      <c r="G1925">
        <v>1851</v>
      </c>
      <c r="H1925">
        <v>608</v>
      </c>
      <c r="I1925" s="8">
        <f t="shared" si="181"/>
        <v>0.32847109670448404</v>
      </c>
      <c r="J1925" s="17">
        <v>0.7</v>
      </c>
      <c r="K1925" s="12">
        <v>13.75</v>
      </c>
      <c r="L1925" s="2">
        <f t="shared" ref="L1925:L1961" si="183">H1925*J1925/I1925-H1925</f>
        <v>687.7</v>
      </c>
      <c r="M1925" s="15">
        <f t="shared" si="182"/>
        <v>9455.875</v>
      </c>
      <c r="N1925" t="str">
        <f t="shared" si="179"/>
        <v>SP</v>
      </c>
      <c r="O1925" t="str">
        <f t="shared" si="180"/>
        <v>São Paulo</v>
      </c>
    </row>
    <row r="1926" spans="1:15" x14ac:dyDescent="0.3">
      <c r="A1926" s="10">
        <v>45931</v>
      </c>
      <c r="B1926" s="9" t="s">
        <v>3</v>
      </c>
      <c r="C1926" t="s">
        <v>248</v>
      </c>
      <c r="D1926" s="9">
        <v>19711</v>
      </c>
      <c r="E1926" s="5" t="s">
        <v>579</v>
      </c>
      <c r="F1926" t="s">
        <v>264</v>
      </c>
      <c r="G1926">
        <v>1745</v>
      </c>
      <c r="H1926">
        <v>588</v>
      </c>
      <c r="I1926" s="8">
        <f t="shared" si="181"/>
        <v>0.33696275071633236</v>
      </c>
      <c r="J1926" s="17">
        <v>0.7</v>
      </c>
      <c r="K1926" s="12">
        <v>13.75</v>
      </c>
      <c r="L1926" s="2">
        <f t="shared" si="183"/>
        <v>633.5</v>
      </c>
      <c r="M1926" s="15">
        <f t="shared" si="182"/>
        <v>8710.625</v>
      </c>
      <c r="N1926" t="str">
        <f t="shared" si="179"/>
        <v>SP</v>
      </c>
      <c r="O1926" t="str">
        <f t="shared" si="180"/>
        <v>São Paulo</v>
      </c>
    </row>
    <row r="1927" spans="1:15" x14ac:dyDescent="0.3">
      <c r="A1927" s="10">
        <v>45931</v>
      </c>
      <c r="B1927" s="9" t="s">
        <v>3</v>
      </c>
      <c r="C1927" t="s">
        <v>248</v>
      </c>
      <c r="D1927" s="9">
        <v>19763</v>
      </c>
      <c r="E1927" s="5" t="s">
        <v>580</v>
      </c>
      <c r="F1927" t="s">
        <v>263</v>
      </c>
      <c r="G1927">
        <v>1544</v>
      </c>
      <c r="H1927">
        <v>596</v>
      </c>
      <c r="I1927" s="8">
        <f t="shared" si="181"/>
        <v>0.3860103626943005</v>
      </c>
      <c r="J1927" s="17">
        <v>0.7</v>
      </c>
      <c r="K1927" s="12">
        <v>13.75</v>
      </c>
      <c r="L1927" s="2">
        <f t="shared" si="183"/>
        <v>484.79999999999995</v>
      </c>
      <c r="M1927" s="15">
        <f t="shared" si="182"/>
        <v>6665.9999999999991</v>
      </c>
      <c r="N1927" t="str">
        <f t="shared" si="179"/>
        <v>SP</v>
      </c>
      <c r="O1927" t="str">
        <f t="shared" si="180"/>
        <v>São Paulo</v>
      </c>
    </row>
    <row r="1928" spans="1:15" x14ac:dyDescent="0.3">
      <c r="A1928" s="10">
        <v>45931</v>
      </c>
      <c r="B1928" s="9" t="s">
        <v>68</v>
      </c>
      <c r="C1928" t="s">
        <v>69</v>
      </c>
      <c r="D1928" s="9">
        <v>19602</v>
      </c>
      <c r="E1928" s="5" t="s">
        <v>570</v>
      </c>
      <c r="F1928" t="s">
        <v>70</v>
      </c>
      <c r="G1928">
        <v>382</v>
      </c>
      <c r="H1928">
        <v>84</v>
      </c>
      <c r="I1928" s="8">
        <f t="shared" si="181"/>
        <v>0.21989528795811519</v>
      </c>
      <c r="J1928" s="17">
        <v>0.7</v>
      </c>
      <c r="K1928" s="12">
        <v>13.75</v>
      </c>
      <c r="L1928" s="2">
        <f t="shared" si="183"/>
        <v>183.39999999999998</v>
      </c>
      <c r="M1928" s="15">
        <f t="shared" si="182"/>
        <v>2521.7499999999995</v>
      </c>
      <c r="N1928" t="str">
        <f t="shared" si="179"/>
        <v>MS</v>
      </c>
      <c r="O1928" t="str">
        <f t="shared" si="180"/>
        <v>Campo Grande</v>
      </c>
    </row>
    <row r="1929" spans="1:15" x14ac:dyDescent="0.3">
      <c r="A1929" s="10">
        <v>45931</v>
      </c>
      <c r="B1929" s="9" t="s">
        <v>46</v>
      </c>
      <c r="C1929" t="s">
        <v>47</v>
      </c>
      <c r="D1929" s="9">
        <v>19755</v>
      </c>
      <c r="E1929" s="5" t="s">
        <v>581</v>
      </c>
      <c r="F1929" t="s">
        <v>53</v>
      </c>
      <c r="G1929">
        <v>345</v>
      </c>
      <c r="H1929">
        <v>139</v>
      </c>
      <c r="I1929" s="8">
        <f t="shared" si="181"/>
        <v>0.40289855072463771</v>
      </c>
      <c r="J1929" s="17">
        <v>0.7</v>
      </c>
      <c r="K1929" s="12">
        <v>13.75</v>
      </c>
      <c r="L1929" s="2">
        <f t="shared" si="183"/>
        <v>102.49999999999997</v>
      </c>
      <c r="M1929" s="15">
        <f t="shared" si="182"/>
        <v>1409.3749999999995</v>
      </c>
      <c r="N1929" t="str">
        <f t="shared" si="179"/>
        <v>DF</v>
      </c>
      <c r="O1929" t="str">
        <f t="shared" si="180"/>
        <v>Brasília</v>
      </c>
    </row>
    <row r="1930" spans="1:15" x14ac:dyDescent="0.3">
      <c r="A1930" s="10">
        <v>45931</v>
      </c>
      <c r="B1930" s="9" t="s">
        <v>14</v>
      </c>
      <c r="C1930" t="s">
        <v>29</v>
      </c>
      <c r="D1930" s="9">
        <v>19780</v>
      </c>
      <c r="E1930" s="5" t="s">
        <v>582</v>
      </c>
      <c r="F1930" t="s">
        <v>35</v>
      </c>
      <c r="G1930">
        <v>1367</v>
      </c>
      <c r="H1930">
        <v>752</v>
      </c>
      <c r="I1930" s="8">
        <f t="shared" si="181"/>
        <v>0.55010972933430868</v>
      </c>
      <c r="J1930" s="17">
        <v>0.7</v>
      </c>
      <c r="K1930" s="12">
        <v>13.75</v>
      </c>
      <c r="L1930" s="2">
        <f t="shared" si="183"/>
        <v>204.89999999999998</v>
      </c>
      <c r="M1930" s="15">
        <f t="shared" si="182"/>
        <v>2817.3749999999995</v>
      </c>
      <c r="N1930" t="str">
        <f t="shared" si="179"/>
        <v>MG</v>
      </c>
      <c r="O1930" t="str">
        <f t="shared" si="180"/>
        <v>Belo Horizonte</v>
      </c>
    </row>
    <row r="1931" spans="1:15" x14ac:dyDescent="0.3">
      <c r="A1931" s="10">
        <v>45931</v>
      </c>
      <c r="B1931" s="9" t="s">
        <v>3</v>
      </c>
      <c r="C1931" t="s">
        <v>362</v>
      </c>
      <c r="D1931" s="9">
        <v>19825</v>
      </c>
      <c r="E1931" s="5" t="s">
        <v>583</v>
      </c>
      <c r="F1931" t="s">
        <v>241</v>
      </c>
      <c r="G1931">
        <v>1534</v>
      </c>
      <c r="H1931">
        <v>486</v>
      </c>
      <c r="I1931" s="8">
        <f t="shared" si="181"/>
        <v>0.31681877444589307</v>
      </c>
      <c r="J1931" s="17">
        <v>0.7</v>
      </c>
      <c r="K1931" s="12">
        <v>13.75</v>
      </c>
      <c r="L1931" s="2">
        <f t="shared" si="183"/>
        <v>587.79999999999995</v>
      </c>
      <c r="M1931" s="15">
        <f t="shared" si="182"/>
        <v>8082.2499999999991</v>
      </c>
      <c r="N1931" t="str">
        <f t="shared" si="179"/>
        <v>SP</v>
      </c>
      <c r="O1931" t="str">
        <f t="shared" si="180"/>
        <v>São Bernardo Do Campo</v>
      </c>
    </row>
    <row r="1932" spans="1:15" x14ac:dyDescent="0.3">
      <c r="A1932" s="10">
        <v>45931</v>
      </c>
      <c r="B1932" s="9" t="s">
        <v>3</v>
      </c>
      <c r="C1932" t="s">
        <v>361</v>
      </c>
      <c r="D1932" s="9">
        <v>19847</v>
      </c>
      <c r="E1932" s="5" t="s">
        <v>584</v>
      </c>
      <c r="F1932" t="s">
        <v>238</v>
      </c>
      <c r="G1932">
        <v>1739</v>
      </c>
      <c r="H1932">
        <v>480</v>
      </c>
      <c r="I1932" s="8">
        <f t="shared" si="181"/>
        <v>0.27602070155261643</v>
      </c>
      <c r="J1932" s="17">
        <v>0.7</v>
      </c>
      <c r="K1932" s="12">
        <v>13.75</v>
      </c>
      <c r="L1932" s="2">
        <f t="shared" si="183"/>
        <v>737.3</v>
      </c>
      <c r="M1932" s="15">
        <f t="shared" si="182"/>
        <v>10137.875</v>
      </c>
      <c r="N1932" t="str">
        <f t="shared" si="179"/>
        <v>SP</v>
      </c>
      <c r="O1932" t="str">
        <f t="shared" si="180"/>
        <v>Santo André</v>
      </c>
    </row>
    <row r="1933" spans="1:15" x14ac:dyDescent="0.3">
      <c r="A1933" s="10">
        <v>45931</v>
      </c>
      <c r="B1933" s="9" t="s">
        <v>3</v>
      </c>
      <c r="C1933" t="s">
        <v>248</v>
      </c>
      <c r="D1933" s="9">
        <v>19890</v>
      </c>
      <c r="E1933" s="5" t="s">
        <v>585</v>
      </c>
      <c r="F1933" t="s">
        <v>259</v>
      </c>
      <c r="G1933">
        <v>1102</v>
      </c>
      <c r="H1933">
        <v>344</v>
      </c>
      <c r="I1933" s="8">
        <f t="shared" si="181"/>
        <v>0.31215970961887479</v>
      </c>
      <c r="J1933" s="17">
        <v>0.7</v>
      </c>
      <c r="K1933" s="12">
        <v>13.75</v>
      </c>
      <c r="L1933" s="2">
        <f t="shared" si="183"/>
        <v>427.39999999999986</v>
      </c>
      <c r="M1933" s="15">
        <f t="shared" si="182"/>
        <v>5876.7499999999982</v>
      </c>
      <c r="N1933" t="str">
        <f t="shared" si="179"/>
        <v>SP</v>
      </c>
      <c r="O1933" t="str">
        <f t="shared" si="180"/>
        <v>São Paulo</v>
      </c>
    </row>
    <row r="1934" spans="1:15" x14ac:dyDescent="0.3">
      <c r="A1934" s="10">
        <v>45931</v>
      </c>
      <c r="B1934" s="9" t="s">
        <v>3</v>
      </c>
      <c r="C1934" t="s">
        <v>239</v>
      </c>
      <c r="D1934" s="9">
        <v>19708</v>
      </c>
      <c r="E1934" s="5" t="s">
        <v>586</v>
      </c>
      <c r="F1934" t="s">
        <v>240</v>
      </c>
      <c r="G1934">
        <v>2331</v>
      </c>
      <c r="H1934">
        <v>863</v>
      </c>
      <c r="I1934" s="8">
        <f t="shared" si="181"/>
        <v>0.37022737022737023</v>
      </c>
      <c r="J1934" s="17">
        <v>0.7</v>
      </c>
      <c r="K1934" s="12">
        <v>13.75</v>
      </c>
      <c r="L1934" s="2">
        <f t="shared" si="183"/>
        <v>768.69999999999982</v>
      </c>
      <c r="M1934" s="15">
        <f t="shared" si="182"/>
        <v>10569.624999999998</v>
      </c>
      <c r="N1934" t="str">
        <f t="shared" si="179"/>
        <v>SP</v>
      </c>
      <c r="O1934" t="str">
        <f t="shared" si="180"/>
        <v>Santos</v>
      </c>
    </row>
    <row r="1935" spans="1:15" x14ac:dyDescent="0.3">
      <c r="A1935" s="10">
        <v>45931</v>
      </c>
      <c r="B1935" s="9" t="s">
        <v>3</v>
      </c>
      <c r="C1935" t="s">
        <v>356</v>
      </c>
      <c r="D1935" s="9">
        <v>19745</v>
      </c>
      <c r="E1935" s="5" t="s">
        <v>587</v>
      </c>
      <c r="F1935" t="s">
        <v>154</v>
      </c>
      <c r="G1935">
        <v>1772</v>
      </c>
      <c r="H1935">
        <v>675</v>
      </c>
      <c r="I1935" s="8">
        <f t="shared" si="181"/>
        <v>0.3809255079006772</v>
      </c>
      <c r="J1935" s="17">
        <v>0.7</v>
      </c>
      <c r="K1935" s="12">
        <v>13.75</v>
      </c>
      <c r="L1935" s="2">
        <f t="shared" si="183"/>
        <v>565.39999999999986</v>
      </c>
      <c r="M1935" s="15">
        <f t="shared" si="182"/>
        <v>7774.2499999999982</v>
      </c>
      <c r="N1935" t="str">
        <f t="shared" si="179"/>
        <v>SP</v>
      </c>
      <c r="O1935" t="str">
        <f t="shared" si="180"/>
        <v>Osasco</v>
      </c>
    </row>
    <row r="1936" spans="1:15" x14ac:dyDescent="0.3">
      <c r="A1936" s="10">
        <v>45931</v>
      </c>
      <c r="B1936" s="9" t="s">
        <v>3</v>
      </c>
      <c r="C1936" t="s">
        <v>248</v>
      </c>
      <c r="D1936" s="9">
        <v>19710</v>
      </c>
      <c r="E1936" s="5" t="s">
        <v>588</v>
      </c>
      <c r="F1936" t="s">
        <v>261</v>
      </c>
      <c r="G1936">
        <v>1784</v>
      </c>
      <c r="H1936">
        <v>791</v>
      </c>
      <c r="I1936" s="8">
        <f t="shared" si="181"/>
        <v>0.44338565022421522</v>
      </c>
      <c r="J1936" s="17">
        <v>0.7</v>
      </c>
      <c r="K1936" s="12">
        <v>13.75</v>
      </c>
      <c r="L1936" s="2">
        <f t="shared" si="183"/>
        <v>457.79999999999995</v>
      </c>
      <c r="M1936" s="15">
        <f t="shared" si="182"/>
        <v>6294.7499999999991</v>
      </c>
      <c r="N1936" t="str">
        <f t="shared" si="179"/>
        <v>SP</v>
      </c>
      <c r="O1936" t="str">
        <f t="shared" si="180"/>
        <v>São Paulo</v>
      </c>
    </row>
    <row r="1937" spans="1:15" x14ac:dyDescent="0.3">
      <c r="A1937" s="10">
        <v>45931</v>
      </c>
      <c r="B1937" s="9" t="s">
        <v>3</v>
      </c>
      <c r="C1937" t="s">
        <v>248</v>
      </c>
      <c r="D1937" s="9">
        <v>19891</v>
      </c>
      <c r="E1937" s="5" t="s">
        <v>612</v>
      </c>
      <c r="F1937" t="s">
        <v>260</v>
      </c>
      <c r="G1937">
        <v>1364</v>
      </c>
      <c r="H1937">
        <v>618</v>
      </c>
      <c r="I1937" s="8">
        <f t="shared" si="181"/>
        <v>0.45307917888563048</v>
      </c>
      <c r="J1937" s="17">
        <v>0.7</v>
      </c>
      <c r="K1937" s="12">
        <v>13.75</v>
      </c>
      <c r="L1937" s="2">
        <f t="shared" si="183"/>
        <v>336.79999999999995</v>
      </c>
      <c r="M1937" s="15">
        <f t="shared" si="182"/>
        <v>4630.9999999999991</v>
      </c>
      <c r="N1937" t="str">
        <f t="shared" si="179"/>
        <v>SP</v>
      </c>
      <c r="O1937" t="str">
        <f t="shared" si="180"/>
        <v>São Paulo</v>
      </c>
    </row>
    <row r="1938" spans="1:15" x14ac:dyDescent="0.3">
      <c r="A1938" s="10">
        <v>45931</v>
      </c>
      <c r="B1938" s="9" t="s">
        <v>3</v>
      </c>
      <c r="C1938" t="s">
        <v>363</v>
      </c>
      <c r="D1938" s="9">
        <v>19808</v>
      </c>
      <c r="E1938" s="5" t="s">
        <v>589</v>
      </c>
      <c r="F1938" t="s">
        <v>243</v>
      </c>
      <c r="G1938">
        <v>1709</v>
      </c>
      <c r="H1938">
        <v>455</v>
      </c>
      <c r="I1938" s="8">
        <f t="shared" si="181"/>
        <v>0.26623756582796959</v>
      </c>
      <c r="J1938" s="17">
        <v>0.7</v>
      </c>
      <c r="K1938" s="12">
        <v>13.75</v>
      </c>
      <c r="L1938" s="2">
        <f t="shared" si="183"/>
        <v>741.3</v>
      </c>
      <c r="M1938" s="15">
        <f t="shared" si="182"/>
        <v>10192.875</v>
      </c>
      <c r="N1938" t="str">
        <f t="shared" si="179"/>
        <v>SP</v>
      </c>
      <c r="O1938" t="str">
        <f t="shared" si="180"/>
        <v>São Caetano Do Sul</v>
      </c>
    </row>
    <row r="1939" spans="1:15" x14ac:dyDescent="0.3">
      <c r="A1939" s="10">
        <v>45931</v>
      </c>
      <c r="B1939" s="9" t="s">
        <v>3</v>
      </c>
      <c r="C1939" t="s">
        <v>248</v>
      </c>
      <c r="D1939" s="9">
        <v>19804</v>
      </c>
      <c r="E1939" s="5" t="s">
        <v>590</v>
      </c>
      <c r="F1939" t="s">
        <v>255</v>
      </c>
      <c r="G1939">
        <v>1341</v>
      </c>
      <c r="H1939">
        <v>405</v>
      </c>
      <c r="I1939" s="8">
        <f t="shared" si="181"/>
        <v>0.30201342281879195</v>
      </c>
      <c r="J1939" s="17">
        <v>0.7</v>
      </c>
      <c r="K1939" s="12">
        <v>13.75</v>
      </c>
      <c r="L1939" s="2">
        <f t="shared" si="183"/>
        <v>533.69999999999993</v>
      </c>
      <c r="M1939" s="15">
        <f t="shared" si="182"/>
        <v>7338.3749999999991</v>
      </c>
      <c r="N1939" t="str">
        <f t="shared" si="179"/>
        <v>SP</v>
      </c>
      <c r="O1939" t="str">
        <f t="shared" si="180"/>
        <v>São Paulo</v>
      </c>
    </row>
    <row r="1940" spans="1:15" x14ac:dyDescent="0.3">
      <c r="A1940" s="10">
        <v>45931</v>
      </c>
      <c r="B1940" s="9" t="s">
        <v>3</v>
      </c>
      <c r="C1940" t="s">
        <v>362</v>
      </c>
      <c r="D1940" s="9">
        <v>19820</v>
      </c>
      <c r="E1940" s="5" t="s">
        <v>591</v>
      </c>
      <c r="F1940" t="s">
        <v>242</v>
      </c>
      <c r="G1940">
        <v>1490</v>
      </c>
      <c r="H1940">
        <v>394</v>
      </c>
      <c r="I1940" s="8">
        <f t="shared" si="181"/>
        <v>0.2644295302013423</v>
      </c>
      <c r="J1940" s="17">
        <v>0.7</v>
      </c>
      <c r="K1940" s="12">
        <v>13.75</v>
      </c>
      <c r="L1940" s="2">
        <f t="shared" si="183"/>
        <v>648.99999999999977</v>
      </c>
      <c r="M1940" s="15">
        <f t="shared" si="182"/>
        <v>8923.7499999999964</v>
      </c>
      <c r="N1940" t="str">
        <f t="shared" si="179"/>
        <v>SP</v>
      </c>
      <c r="O1940" t="str">
        <f t="shared" si="180"/>
        <v>São Bernardo Do Campo</v>
      </c>
    </row>
    <row r="1941" spans="1:15" x14ac:dyDescent="0.3">
      <c r="A1941" s="10">
        <v>45931</v>
      </c>
      <c r="B1941" s="9" t="s">
        <v>3</v>
      </c>
      <c r="C1941" t="s">
        <v>24</v>
      </c>
      <c r="D1941" s="9">
        <v>19805</v>
      </c>
      <c r="E1941" s="5" t="s">
        <v>592</v>
      </c>
      <c r="F1941" t="s">
        <v>25</v>
      </c>
      <c r="G1941">
        <v>1689</v>
      </c>
      <c r="H1941">
        <v>776</v>
      </c>
      <c r="I1941" s="8">
        <f t="shared" si="181"/>
        <v>0.45944345766725875</v>
      </c>
      <c r="J1941" s="17">
        <v>0.7</v>
      </c>
      <c r="K1941" s="12">
        <v>13.75</v>
      </c>
      <c r="L1941" s="2">
        <f t="shared" si="183"/>
        <v>406.29999999999973</v>
      </c>
      <c r="M1941" s="15">
        <f t="shared" si="182"/>
        <v>5586.6249999999964</v>
      </c>
      <c r="N1941" t="str">
        <f t="shared" si="179"/>
        <v>SP</v>
      </c>
      <c r="O1941" t="str">
        <f t="shared" si="180"/>
        <v>Barueri</v>
      </c>
    </row>
    <row r="1942" spans="1:15" x14ac:dyDescent="0.3">
      <c r="A1942" s="10">
        <v>45931</v>
      </c>
      <c r="B1942" s="9" t="s">
        <v>14</v>
      </c>
      <c r="C1942" t="s">
        <v>29</v>
      </c>
      <c r="D1942" s="9">
        <v>19720</v>
      </c>
      <c r="E1942" s="5" t="s">
        <v>593</v>
      </c>
      <c r="F1942" t="s">
        <v>36</v>
      </c>
      <c r="G1942">
        <v>1617</v>
      </c>
      <c r="H1942">
        <v>686</v>
      </c>
      <c r="I1942" s="8">
        <f t="shared" si="181"/>
        <v>0.42424242424242425</v>
      </c>
      <c r="J1942" s="17">
        <v>0.7</v>
      </c>
      <c r="K1942" s="12">
        <v>13.75</v>
      </c>
      <c r="L1942" s="2">
        <f t="shared" si="183"/>
        <v>445.89999999999986</v>
      </c>
      <c r="M1942" s="15">
        <f t="shared" si="182"/>
        <v>6131.1249999999982</v>
      </c>
      <c r="N1942" t="str">
        <f t="shared" si="179"/>
        <v>MG</v>
      </c>
      <c r="O1942" t="str">
        <f t="shared" si="180"/>
        <v>Belo Horizonte</v>
      </c>
    </row>
    <row r="1943" spans="1:15" x14ac:dyDescent="0.3">
      <c r="A1943" s="10">
        <v>45931</v>
      </c>
      <c r="B1943" s="9" t="s">
        <v>3</v>
      </c>
      <c r="C1943" t="s">
        <v>108</v>
      </c>
      <c r="D1943" s="9">
        <v>19877</v>
      </c>
      <c r="E1943" s="5" t="s">
        <v>594</v>
      </c>
      <c r="F1943" t="s">
        <v>109</v>
      </c>
      <c r="G1943">
        <v>2237</v>
      </c>
      <c r="H1943">
        <v>958</v>
      </c>
      <c r="I1943" s="8">
        <f t="shared" si="181"/>
        <v>0.42825212337952617</v>
      </c>
      <c r="J1943" s="17">
        <v>0.7</v>
      </c>
      <c r="K1943" s="12">
        <v>13.75</v>
      </c>
      <c r="L1943" s="2">
        <f t="shared" si="183"/>
        <v>607.89999999999964</v>
      </c>
      <c r="M1943" s="15">
        <f t="shared" si="182"/>
        <v>8358.6249999999945</v>
      </c>
      <c r="N1943" t="str">
        <f t="shared" si="179"/>
        <v>SP</v>
      </c>
      <c r="O1943" t="str">
        <f t="shared" si="180"/>
        <v>Guarujá</v>
      </c>
    </row>
    <row r="1944" spans="1:15" x14ac:dyDescent="0.3">
      <c r="A1944" s="10">
        <v>45931</v>
      </c>
      <c r="B1944" s="9" t="s">
        <v>15</v>
      </c>
      <c r="C1944" t="s">
        <v>332</v>
      </c>
      <c r="D1944" s="9">
        <v>19679</v>
      </c>
      <c r="E1944" s="5" t="s">
        <v>571</v>
      </c>
      <c r="F1944" t="s">
        <v>333</v>
      </c>
      <c r="G1944">
        <v>2108</v>
      </c>
      <c r="H1944">
        <v>971</v>
      </c>
      <c r="I1944" s="8">
        <f t="shared" si="181"/>
        <v>0.46062618595825428</v>
      </c>
      <c r="J1944" s="17">
        <v>0.7</v>
      </c>
      <c r="K1944" s="12">
        <v>13.75</v>
      </c>
      <c r="L1944" s="2">
        <f t="shared" si="183"/>
        <v>504.59999999999991</v>
      </c>
      <c r="M1944" s="15">
        <f t="shared" si="182"/>
        <v>6938.2499999999991</v>
      </c>
      <c r="N1944" t="str">
        <f t="shared" si="179"/>
        <v>RJ</v>
      </c>
      <c r="O1944" t="str">
        <f t="shared" si="180"/>
        <v>Macaé</v>
      </c>
    </row>
    <row r="1945" spans="1:15" x14ac:dyDescent="0.3">
      <c r="A1945" s="10">
        <v>45931</v>
      </c>
      <c r="B1945" s="9" t="s">
        <v>59</v>
      </c>
      <c r="C1945" t="s">
        <v>104</v>
      </c>
      <c r="D1945" s="9">
        <v>19872</v>
      </c>
      <c r="E1945" s="5" t="s">
        <v>572</v>
      </c>
      <c r="F1945" t="s">
        <v>105</v>
      </c>
      <c r="G1945">
        <v>2508</v>
      </c>
      <c r="H1945">
        <v>1081</v>
      </c>
      <c r="I1945" s="8">
        <f t="shared" si="181"/>
        <v>0.43102073365231258</v>
      </c>
      <c r="J1945" s="17">
        <v>0.7</v>
      </c>
      <c r="K1945" s="12">
        <v>13.75</v>
      </c>
      <c r="L1945" s="2">
        <f t="shared" si="183"/>
        <v>674.59999999999991</v>
      </c>
      <c r="M1945" s="15">
        <f t="shared" si="182"/>
        <v>9275.7499999999982</v>
      </c>
      <c r="N1945" t="str">
        <f t="shared" si="179"/>
        <v>ES</v>
      </c>
      <c r="O1945" t="str">
        <f t="shared" si="180"/>
        <v>Guarapari</v>
      </c>
    </row>
    <row r="1946" spans="1:15" x14ac:dyDescent="0.3">
      <c r="A1946" s="10">
        <v>45931</v>
      </c>
      <c r="B1946" s="9" t="s">
        <v>82</v>
      </c>
      <c r="C1946" t="s">
        <v>83</v>
      </c>
      <c r="D1946" s="9">
        <v>19547</v>
      </c>
      <c r="E1946" s="5" t="s">
        <v>573</v>
      </c>
      <c r="F1946" t="s">
        <v>87</v>
      </c>
      <c r="G1946">
        <v>2276</v>
      </c>
      <c r="H1946">
        <v>598</v>
      </c>
      <c r="I1946" s="8">
        <f t="shared" si="181"/>
        <v>0.26274165202108962</v>
      </c>
      <c r="J1946" s="17">
        <v>0.7</v>
      </c>
      <c r="K1946" s="12">
        <v>13.75</v>
      </c>
      <c r="L1946" s="2">
        <f t="shared" si="183"/>
        <v>995.19999999999982</v>
      </c>
      <c r="M1946" s="15">
        <f t="shared" si="182"/>
        <v>13683.999999999998</v>
      </c>
      <c r="N1946" t="str">
        <f t="shared" si="179"/>
        <v>PR</v>
      </c>
      <c r="O1946" t="str">
        <f t="shared" si="180"/>
        <v>Curitiba</v>
      </c>
    </row>
    <row r="1947" spans="1:15" x14ac:dyDescent="0.3">
      <c r="A1947" s="10">
        <v>45931</v>
      </c>
      <c r="B1947" s="9" t="s">
        <v>15</v>
      </c>
      <c r="C1947" t="s">
        <v>145</v>
      </c>
      <c r="D1947" s="9">
        <v>19513</v>
      </c>
      <c r="E1947" s="5" t="s">
        <v>574</v>
      </c>
      <c r="F1947" t="s">
        <v>147</v>
      </c>
      <c r="G1947">
        <v>2938</v>
      </c>
      <c r="H1947">
        <v>965</v>
      </c>
      <c r="I1947" s="8">
        <f t="shared" si="181"/>
        <v>0.32845473110959839</v>
      </c>
      <c r="J1947" s="17">
        <v>0.7</v>
      </c>
      <c r="K1947" s="12">
        <v>13.75</v>
      </c>
      <c r="L1947" s="2">
        <f t="shared" si="183"/>
        <v>1091.5999999999999</v>
      </c>
      <c r="M1947" s="15">
        <f t="shared" si="182"/>
        <v>15009.499999999998</v>
      </c>
      <c r="N1947" t="str">
        <f t="shared" si="179"/>
        <v>RJ</v>
      </c>
      <c r="O1947" t="str">
        <f t="shared" si="180"/>
        <v>Niterói</v>
      </c>
    </row>
    <row r="1948" spans="1:15" x14ac:dyDescent="0.3">
      <c r="A1948" s="10">
        <v>45931</v>
      </c>
      <c r="B1948" s="9" t="s">
        <v>15</v>
      </c>
      <c r="C1948" t="s">
        <v>145</v>
      </c>
      <c r="D1948" s="9">
        <v>19525</v>
      </c>
      <c r="E1948" s="5" t="s">
        <v>575</v>
      </c>
      <c r="F1948" t="s">
        <v>148</v>
      </c>
      <c r="G1948">
        <v>3622</v>
      </c>
      <c r="H1948">
        <v>1416</v>
      </c>
      <c r="I1948" s="8">
        <f t="shared" si="181"/>
        <v>0.39094422970734399</v>
      </c>
      <c r="J1948" s="17">
        <v>0.7</v>
      </c>
      <c r="K1948" s="12">
        <v>13.75</v>
      </c>
      <c r="L1948" s="2">
        <f t="shared" si="183"/>
        <v>1119.4000000000001</v>
      </c>
      <c r="M1948" s="15">
        <f t="shared" si="182"/>
        <v>15391.750000000002</v>
      </c>
      <c r="N1948" t="str">
        <f t="shared" si="179"/>
        <v>RJ</v>
      </c>
      <c r="O1948" t="str">
        <f t="shared" si="180"/>
        <v>Niterói</v>
      </c>
    </row>
    <row r="1949" spans="1:15" x14ac:dyDescent="0.3">
      <c r="A1949" s="10">
        <v>45931</v>
      </c>
      <c r="B1949" s="9" t="s">
        <v>71</v>
      </c>
      <c r="C1949" t="s">
        <v>308</v>
      </c>
      <c r="D1949" s="9">
        <v>19956</v>
      </c>
      <c r="E1949" s="5" t="s">
        <v>614</v>
      </c>
      <c r="F1949" t="s">
        <v>309</v>
      </c>
      <c r="G1949">
        <v>1300</v>
      </c>
      <c r="H1949">
        <v>509</v>
      </c>
      <c r="I1949" s="8">
        <f t="shared" si="181"/>
        <v>0.39153846153846156</v>
      </c>
      <c r="J1949" s="17">
        <v>0.7</v>
      </c>
      <c r="K1949" s="12">
        <v>13.75</v>
      </c>
      <c r="L1949" s="2">
        <f t="shared" si="183"/>
        <v>400.99999999999989</v>
      </c>
      <c r="M1949" s="15">
        <f t="shared" si="182"/>
        <v>5513.7499999999982</v>
      </c>
      <c r="N1949" t="str">
        <f t="shared" si="179"/>
        <v>RS</v>
      </c>
      <c r="O1949" t="str">
        <f t="shared" si="180"/>
        <v>Lajeado</v>
      </c>
    </row>
    <row r="1950" spans="1:15" x14ac:dyDescent="0.3">
      <c r="A1950" s="10">
        <v>45931</v>
      </c>
      <c r="B1950" s="9" t="s">
        <v>15</v>
      </c>
      <c r="C1950" t="s">
        <v>341</v>
      </c>
      <c r="D1950" s="9">
        <v>19908</v>
      </c>
      <c r="E1950" s="5" t="s">
        <v>595</v>
      </c>
      <c r="F1950" t="s">
        <v>16</v>
      </c>
      <c r="G1950">
        <v>1636</v>
      </c>
      <c r="H1950">
        <v>857</v>
      </c>
      <c r="I1950" s="8">
        <f t="shared" si="181"/>
        <v>0.52383863080684601</v>
      </c>
      <c r="J1950" s="17">
        <v>0.7</v>
      </c>
      <c r="K1950" s="12">
        <v>13.75</v>
      </c>
      <c r="L1950" s="2">
        <f t="shared" si="183"/>
        <v>288.19999999999982</v>
      </c>
      <c r="M1950" s="15">
        <f t="shared" si="182"/>
        <v>3962.7499999999973</v>
      </c>
      <c r="N1950" t="str">
        <f t="shared" si="179"/>
        <v>RJ</v>
      </c>
      <c r="O1950" t="str">
        <f t="shared" si="180"/>
        <v>Armação Dos Búzios</v>
      </c>
    </row>
    <row r="1951" spans="1:15" x14ac:dyDescent="0.3">
      <c r="A1951" s="10">
        <v>45931</v>
      </c>
      <c r="B1951" s="9" t="s">
        <v>21</v>
      </c>
      <c r="C1951" t="s">
        <v>228</v>
      </c>
      <c r="D1951" s="9">
        <v>19625</v>
      </c>
      <c r="E1951" s="5" t="s">
        <v>596</v>
      </c>
      <c r="F1951" t="s">
        <v>231</v>
      </c>
      <c r="G1951">
        <v>2999</v>
      </c>
      <c r="H1951">
        <v>1357</v>
      </c>
      <c r="I1951" s="8">
        <f t="shared" si="181"/>
        <v>0.45248416138712905</v>
      </c>
      <c r="J1951" s="17">
        <v>0.7</v>
      </c>
      <c r="K1951" s="12">
        <v>13.75</v>
      </c>
      <c r="L1951" s="2">
        <f t="shared" si="183"/>
        <v>742.29999999999973</v>
      </c>
      <c r="M1951" s="15">
        <f t="shared" si="182"/>
        <v>10206.624999999996</v>
      </c>
      <c r="N1951" t="str">
        <f t="shared" si="179"/>
        <v>BA</v>
      </c>
      <c r="O1951" t="str">
        <f t="shared" si="180"/>
        <v>Salvador</v>
      </c>
    </row>
    <row r="1952" spans="1:15" x14ac:dyDescent="0.3">
      <c r="A1952" s="10">
        <v>45931</v>
      </c>
      <c r="B1952" s="9" t="s">
        <v>21</v>
      </c>
      <c r="C1952" t="s">
        <v>228</v>
      </c>
      <c r="D1952" s="9">
        <v>19771</v>
      </c>
      <c r="E1952" s="5" t="s">
        <v>576</v>
      </c>
      <c r="F1952" t="s">
        <v>235</v>
      </c>
      <c r="G1952">
        <v>1907</v>
      </c>
      <c r="H1952">
        <v>804</v>
      </c>
      <c r="I1952" s="8">
        <f t="shared" si="181"/>
        <v>0.42160461457787102</v>
      </c>
      <c r="J1952" s="17">
        <v>0.7</v>
      </c>
      <c r="K1952" s="12">
        <v>13.75</v>
      </c>
      <c r="L1952" s="2">
        <f t="shared" si="183"/>
        <v>530.89999999999986</v>
      </c>
      <c r="M1952" s="15">
        <f t="shared" si="182"/>
        <v>7299.8749999999982</v>
      </c>
      <c r="N1952" t="str">
        <f t="shared" si="179"/>
        <v>BA</v>
      </c>
      <c r="O1952" t="str">
        <f t="shared" si="180"/>
        <v>Salvador</v>
      </c>
    </row>
    <row r="1953" spans="1:15" x14ac:dyDescent="0.3">
      <c r="A1953" s="10">
        <v>45931</v>
      </c>
      <c r="B1953" s="9" t="s">
        <v>21</v>
      </c>
      <c r="C1953" t="s">
        <v>228</v>
      </c>
      <c r="D1953" s="9">
        <v>19689</v>
      </c>
      <c r="E1953" s="5" t="s">
        <v>597</v>
      </c>
      <c r="F1953" t="s">
        <v>230</v>
      </c>
      <c r="G1953">
        <v>2268</v>
      </c>
      <c r="H1953">
        <v>1055</v>
      </c>
      <c r="I1953" s="8">
        <f t="shared" si="181"/>
        <v>0.46516754850088182</v>
      </c>
      <c r="J1953" s="17">
        <v>0.7</v>
      </c>
      <c r="K1953" s="12">
        <v>13.75</v>
      </c>
      <c r="L1953" s="2">
        <f t="shared" si="183"/>
        <v>532.60000000000014</v>
      </c>
      <c r="M1953" s="15">
        <f t="shared" si="182"/>
        <v>7323.2500000000018</v>
      </c>
      <c r="N1953" t="str">
        <f t="shared" si="179"/>
        <v>BA</v>
      </c>
      <c r="O1953" t="str">
        <f t="shared" si="180"/>
        <v>Salvador</v>
      </c>
    </row>
    <row r="1954" spans="1:15" x14ac:dyDescent="0.3">
      <c r="A1954" s="10">
        <v>45931</v>
      </c>
      <c r="B1954" s="9" t="s">
        <v>59</v>
      </c>
      <c r="C1954" t="s">
        <v>271</v>
      </c>
      <c r="D1954" s="9">
        <v>19775</v>
      </c>
      <c r="E1954" s="5" t="s">
        <v>598</v>
      </c>
      <c r="F1954" t="s">
        <v>272</v>
      </c>
      <c r="G1954">
        <v>1515</v>
      </c>
      <c r="H1954">
        <v>663</v>
      </c>
      <c r="I1954" s="8">
        <f t="shared" si="181"/>
        <v>0.43762376237623762</v>
      </c>
      <c r="J1954" s="17">
        <v>0.7</v>
      </c>
      <c r="K1954" s="12">
        <v>13.75</v>
      </c>
      <c r="L1954" s="2">
        <f t="shared" si="183"/>
        <v>397.5</v>
      </c>
      <c r="M1954" s="15">
        <f t="shared" si="182"/>
        <v>5465.625</v>
      </c>
      <c r="N1954" t="str">
        <f t="shared" si="179"/>
        <v>ES</v>
      </c>
      <c r="O1954" t="str">
        <f t="shared" si="180"/>
        <v>Serra</v>
      </c>
    </row>
    <row r="1955" spans="1:15" x14ac:dyDescent="0.3">
      <c r="A1955" s="10">
        <v>45931</v>
      </c>
      <c r="B1955" s="9" t="s">
        <v>59</v>
      </c>
      <c r="C1955" t="s">
        <v>292</v>
      </c>
      <c r="D1955" s="9">
        <v>19580</v>
      </c>
      <c r="E1955" s="5" t="s">
        <v>599</v>
      </c>
      <c r="F1955" t="s">
        <v>293</v>
      </c>
      <c r="G1955">
        <v>2341</v>
      </c>
      <c r="H1955">
        <v>719</v>
      </c>
      <c r="I1955" s="8">
        <f t="shared" si="181"/>
        <v>0.30713370354549335</v>
      </c>
      <c r="J1955" s="17">
        <v>0.7</v>
      </c>
      <c r="K1955" s="12">
        <v>13.75</v>
      </c>
      <c r="L1955" s="2">
        <f t="shared" si="183"/>
        <v>919.7</v>
      </c>
      <c r="M1955" s="15">
        <f t="shared" si="182"/>
        <v>12645.875</v>
      </c>
      <c r="N1955" t="str">
        <f t="shared" si="179"/>
        <v>ES</v>
      </c>
      <c r="O1955" t="str">
        <f t="shared" si="180"/>
        <v>Vitória</v>
      </c>
    </row>
    <row r="1956" spans="1:15" x14ac:dyDescent="0.3">
      <c r="A1956" s="10">
        <v>45931</v>
      </c>
      <c r="B1956" s="9" t="s">
        <v>59</v>
      </c>
      <c r="C1956" t="s">
        <v>292</v>
      </c>
      <c r="D1956" s="9">
        <v>19719</v>
      </c>
      <c r="E1956" s="5" t="s">
        <v>600</v>
      </c>
      <c r="F1956" t="s">
        <v>294</v>
      </c>
      <c r="G1956">
        <v>1793</v>
      </c>
      <c r="H1956">
        <v>664</v>
      </c>
      <c r="I1956" s="8">
        <f t="shared" si="181"/>
        <v>0.37032905744562189</v>
      </c>
      <c r="J1956" s="17">
        <v>0.7</v>
      </c>
      <c r="K1956" s="12">
        <v>13.75</v>
      </c>
      <c r="L1956" s="2">
        <f t="shared" si="183"/>
        <v>591.09999999999968</v>
      </c>
      <c r="M1956" s="15">
        <f t="shared" si="182"/>
        <v>8127.6249999999955</v>
      </c>
      <c r="N1956" t="str">
        <f t="shared" si="179"/>
        <v>ES</v>
      </c>
      <c r="O1956" t="str">
        <f t="shared" si="180"/>
        <v>Vitória</v>
      </c>
    </row>
    <row r="1957" spans="1:15" x14ac:dyDescent="0.3">
      <c r="A1957" s="10">
        <v>45931</v>
      </c>
      <c r="B1957" s="9" t="s">
        <v>3</v>
      </c>
      <c r="C1957" t="s">
        <v>193</v>
      </c>
      <c r="D1957" s="9">
        <v>19832</v>
      </c>
      <c r="E1957" s="5" t="s">
        <v>601</v>
      </c>
      <c r="F1957" t="s">
        <v>194</v>
      </c>
      <c r="G1957">
        <v>1230</v>
      </c>
      <c r="H1957">
        <v>398</v>
      </c>
      <c r="I1957" s="8">
        <f t="shared" si="181"/>
        <v>0.3235772357723577</v>
      </c>
      <c r="J1957" s="17">
        <v>0.7</v>
      </c>
      <c r="K1957" s="12">
        <v>13.75</v>
      </c>
      <c r="L1957" s="2">
        <f t="shared" si="183"/>
        <v>463</v>
      </c>
      <c r="M1957" s="15">
        <f t="shared" si="182"/>
        <v>6366.25</v>
      </c>
      <c r="N1957" t="str">
        <f t="shared" si="179"/>
        <v>SP</v>
      </c>
      <c r="O1957" t="str">
        <f t="shared" si="180"/>
        <v>Ribeirão Preto</v>
      </c>
    </row>
    <row r="1958" spans="1:15" x14ac:dyDescent="0.3">
      <c r="A1958" s="10">
        <v>45931</v>
      </c>
      <c r="B1958" s="9" t="s">
        <v>6</v>
      </c>
      <c r="C1958" t="s">
        <v>236</v>
      </c>
      <c r="D1958" s="9">
        <v>19606</v>
      </c>
      <c r="E1958" s="5" t="s">
        <v>602</v>
      </c>
      <c r="F1958" t="s">
        <v>237</v>
      </c>
      <c r="G1958">
        <v>2267</v>
      </c>
      <c r="H1958">
        <v>1136</v>
      </c>
      <c r="I1958" s="8">
        <f t="shared" si="181"/>
        <v>0.50110277900308775</v>
      </c>
      <c r="J1958" s="17">
        <v>0.7</v>
      </c>
      <c r="K1958" s="12">
        <v>13.75</v>
      </c>
      <c r="L1958" s="2">
        <f t="shared" si="183"/>
        <v>450.89999999999986</v>
      </c>
      <c r="M1958" s="15">
        <f t="shared" si="182"/>
        <v>6199.8749999999982</v>
      </c>
      <c r="N1958" t="str">
        <f t="shared" si="179"/>
        <v>PA</v>
      </c>
      <c r="O1958" t="str">
        <f t="shared" si="180"/>
        <v>Santarém</v>
      </c>
    </row>
    <row r="1959" spans="1:15" x14ac:dyDescent="0.3">
      <c r="A1959" s="10">
        <v>45931</v>
      </c>
      <c r="B1959" s="9" t="s">
        <v>14</v>
      </c>
      <c r="C1959" t="s">
        <v>29</v>
      </c>
      <c r="D1959" s="9">
        <v>19759</v>
      </c>
      <c r="E1959" s="5" t="s">
        <v>603</v>
      </c>
      <c r="F1959" t="s">
        <v>38</v>
      </c>
      <c r="G1959">
        <v>2137</v>
      </c>
      <c r="H1959">
        <v>824</v>
      </c>
      <c r="I1959" s="8">
        <f t="shared" si="181"/>
        <v>0.38558727187646236</v>
      </c>
      <c r="J1959" s="17">
        <v>0.7</v>
      </c>
      <c r="K1959" s="12">
        <v>13.75</v>
      </c>
      <c r="L1959" s="2">
        <f t="shared" si="183"/>
        <v>671.89999999999986</v>
      </c>
      <c r="M1959" s="15">
        <f t="shared" si="182"/>
        <v>9238.6249999999982</v>
      </c>
      <c r="N1959" t="str">
        <f t="shared" si="179"/>
        <v>MG</v>
      </c>
      <c r="O1959" t="str">
        <f t="shared" si="180"/>
        <v>Belo Horizonte</v>
      </c>
    </row>
    <row r="1960" spans="1:15" x14ac:dyDescent="0.3">
      <c r="A1960" s="10">
        <v>45931</v>
      </c>
      <c r="B1960" s="9" t="s">
        <v>61</v>
      </c>
      <c r="C1960" t="s">
        <v>328</v>
      </c>
      <c r="D1960" s="9">
        <v>19706</v>
      </c>
      <c r="E1960" s="5" t="s">
        <v>604</v>
      </c>
      <c r="F1960" t="s">
        <v>77</v>
      </c>
      <c r="G1960">
        <v>2034</v>
      </c>
      <c r="H1960">
        <v>938</v>
      </c>
      <c r="I1960" s="8">
        <f t="shared" si="181"/>
        <v>0.46116027531956738</v>
      </c>
      <c r="J1960" s="17">
        <v>0.7</v>
      </c>
      <c r="K1960" s="12">
        <v>13.75</v>
      </c>
      <c r="L1960" s="2">
        <f t="shared" si="183"/>
        <v>485.79999999999973</v>
      </c>
      <c r="M1960" s="15">
        <f t="shared" si="182"/>
        <v>6679.7499999999964</v>
      </c>
      <c r="N1960" t="str">
        <f t="shared" si="179"/>
        <v>PB</v>
      </c>
      <c r="O1960" t="str">
        <f t="shared" si="180"/>
        <v>João Pessoa</v>
      </c>
    </row>
    <row r="1961" spans="1:15" x14ac:dyDescent="0.3">
      <c r="A1961" s="10">
        <v>45931</v>
      </c>
      <c r="B1961" s="9" t="s">
        <v>15</v>
      </c>
      <c r="C1961" t="s">
        <v>171</v>
      </c>
      <c r="D1961" s="9">
        <v>19520</v>
      </c>
      <c r="E1961" s="5" t="s">
        <v>605</v>
      </c>
      <c r="F1961" t="s">
        <v>172</v>
      </c>
      <c r="G1961">
        <v>1141</v>
      </c>
      <c r="H1961">
        <v>499</v>
      </c>
      <c r="I1961" s="8">
        <f t="shared" si="181"/>
        <v>0.43733567046450483</v>
      </c>
      <c r="J1961" s="17">
        <v>0.7</v>
      </c>
      <c r="K1961" s="12">
        <v>13.75</v>
      </c>
      <c r="L1961" s="2">
        <f t="shared" si="183"/>
        <v>299.69999999999982</v>
      </c>
      <c r="M1961" s="15">
        <f t="shared" si="182"/>
        <v>4120.8749999999973</v>
      </c>
      <c r="N1961" t="str">
        <f t="shared" si="179"/>
        <v>RJ</v>
      </c>
      <c r="O1961" t="str">
        <f t="shared" si="180"/>
        <v>Petrópolis</v>
      </c>
    </row>
    <row r="1962" spans="1:15" x14ac:dyDescent="0.3">
      <c r="A1962" s="10">
        <v>45931</v>
      </c>
      <c r="B1962" s="9" t="s">
        <v>40</v>
      </c>
      <c r="C1962" t="s">
        <v>41</v>
      </c>
      <c r="D1962" s="9">
        <v>19868</v>
      </c>
      <c r="E1962" s="5" t="s">
        <v>606</v>
      </c>
      <c r="F1962" t="s">
        <v>43</v>
      </c>
      <c r="G1962">
        <v>2053</v>
      </c>
      <c r="H1962">
        <v>1528</v>
      </c>
      <c r="I1962" s="8">
        <f t="shared" si="181"/>
        <v>0.74427666829030692</v>
      </c>
      <c r="J1962" s="17">
        <v>0.7</v>
      </c>
      <c r="K1962" s="12">
        <v>13.75</v>
      </c>
      <c r="L1962" s="2">
        <f>G1962-H1962</f>
        <v>525</v>
      </c>
      <c r="M1962" s="15">
        <f t="shared" si="182"/>
        <v>7218.75</v>
      </c>
      <c r="N1962" t="str">
        <f t="shared" si="179"/>
        <v>RR</v>
      </c>
      <c r="O1962" t="str">
        <f t="shared" si="180"/>
        <v>Boa Vista</v>
      </c>
    </row>
    <row r="1963" spans="1:15" x14ac:dyDescent="0.3">
      <c r="A1963" s="10">
        <v>45931</v>
      </c>
      <c r="B1963" s="9" t="s">
        <v>78</v>
      </c>
      <c r="C1963" t="s">
        <v>369</v>
      </c>
      <c r="D1963" s="9">
        <v>19958</v>
      </c>
      <c r="E1963" s="5" t="s">
        <v>615</v>
      </c>
      <c r="F1963" t="s">
        <v>627</v>
      </c>
      <c r="G1963">
        <v>2059</v>
      </c>
      <c r="H1963">
        <v>1096</v>
      </c>
      <c r="I1963" s="8">
        <f t="shared" si="181"/>
        <v>0.53229723166585718</v>
      </c>
      <c r="J1963" s="17">
        <v>0.7</v>
      </c>
      <c r="K1963" s="12">
        <v>13.75</v>
      </c>
      <c r="L1963" s="2">
        <f t="shared" ref="L1963:L1994" si="184">H1963*J1963/I1963-H1963</f>
        <v>345.29999999999995</v>
      </c>
      <c r="M1963" s="15">
        <f t="shared" si="182"/>
        <v>4747.8749999999991</v>
      </c>
      <c r="N1963" t="str">
        <f t="shared" si="179"/>
        <v>MT</v>
      </c>
      <c r="O1963" t="str">
        <f t="shared" si="180"/>
        <v>Tangará Da Serra</v>
      </c>
    </row>
    <row r="1964" spans="1:15" x14ac:dyDescent="0.3">
      <c r="A1964" s="10">
        <v>45931</v>
      </c>
      <c r="B1964" s="9" t="s">
        <v>15</v>
      </c>
      <c r="C1964" t="s">
        <v>151</v>
      </c>
      <c r="D1964" s="9">
        <v>19599</v>
      </c>
      <c r="E1964" s="5" t="s">
        <v>607</v>
      </c>
      <c r="F1964" t="s">
        <v>152</v>
      </c>
      <c r="G1964">
        <v>2709</v>
      </c>
      <c r="H1964">
        <v>1251</v>
      </c>
      <c r="I1964" s="8">
        <f t="shared" si="181"/>
        <v>0.46179401993355484</v>
      </c>
      <c r="J1964" s="17">
        <v>0.7</v>
      </c>
      <c r="K1964" s="12">
        <v>13.75</v>
      </c>
      <c r="L1964" s="2">
        <f t="shared" si="184"/>
        <v>645.29999999999973</v>
      </c>
      <c r="M1964" s="15">
        <f t="shared" si="182"/>
        <v>8872.8749999999964</v>
      </c>
      <c r="N1964" t="str">
        <f t="shared" si="179"/>
        <v>RJ</v>
      </c>
      <c r="O1964" t="str">
        <f t="shared" si="180"/>
        <v>Nova Iguaçu</v>
      </c>
    </row>
    <row r="1965" spans="1:15" x14ac:dyDescent="0.3">
      <c r="A1965" s="10">
        <v>45931</v>
      </c>
      <c r="B1965" s="9" t="s">
        <v>3</v>
      </c>
      <c r="C1965" t="s">
        <v>248</v>
      </c>
      <c r="D1965" s="9">
        <v>19855</v>
      </c>
      <c r="E1965" s="5" t="s">
        <v>608</v>
      </c>
      <c r="F1965" t="s">
        <v>257</v>
      </c>
      <c r="G1965">
        <v>1446</v>
      </c>
      <c r="H1965">
        <v>508</v>
      </c>
      <c r="I1965" s="8">
        <f t="shared" si="181"/>
        <v>0.35131396957123096</v>
      </c>
      <c r="J1965" s="17">
        <v>0.7</v>
      </c>
      <c r="K1965" s="12">
        <v>13.75</v>
      </c>
      <c r="L1965" s="2">
        <f t="shared" si="184"/>
        <v>504.19999999999993</v>
      </c>
      <c r="M1965" s="15">
        <f t="shared" si="182"/>
        <v>6932.7499999999991</v>
      </c>
      <c r="N1965" t="str">
        <f t="shared" si="179"/>
        <v>SP</v>
      </c>
      <c r="O1965" t="str">
        <f t="shared" si="180"/>
        <v>São Paulo</v>
      </c>
    </row>
    <row r="1966" spans="1:15" x14ac:dyDescent="0.3">
      <c r="A1966" s="10">
        <v>45931</v>
      </c>
      <c r="B1966" s="9" t="s">
        <v>3</v>
      </c>
      <c r="C1966" t="s">
        <v>248</v>
      </c>
      <c r="D1966" s="9">
        <v>19821</v>
      </c>
      <c r="E1966" s="5" t="s">
        <v>609</v>
      </c>
      <c r="F1966" t="s">
        <v>256</v>
      </c>
      <c r="G1966">
        <v>1786</v>
      </c>
      <c r="H1966">
        <v>599</v>
      </c>
      <c r="I1966" s="8">
        <f t="shared" si="181"/>
        <v>0.33538633818589025</v>
      </c>
      <c r="J1966" s="17">
        <v>0.7</v>
      </c>
      <c r="K1966" s="12">
        <v>13.75</v>
      </c>
      <c r="L1966" s="2">
        <f t="shared" si="184"/>
        <v>651.19999999999982</v>
      </c>
      <c r="M1966" s="15">
        <f t="shared" si="182"/>
        <v>8953.9999999999982</v>
      </c>
      <c r="N1966" t="str">
        <f t="shared" si="179"/>
        <v>SP</v>
      </c>
      <c r="O1966" t="str">
        <f t="shared" si="180"/>
        <v>São Paulo</v>
      </c>
    </row>
    <row r="1967" spans="1:15" x14ac:dyDescent="0.3">
      <c r="A1967" s="10">
        <v>45931</v>
      </c>
      <c r="B1967" s="9" t="s">
        <v>14</v>
      </c>
      <c r="C1967" t="s">
        <v>283</v>
      </c>
      <c r="D1967" s="9">
        <v>19912</v>
      </c>
      <c r="E1967" s="5" t="s">
        <v>610</v>
      </c>
      <c r="F1967" t="s">
        <v>284</v>
      </c>
      <c r="G1967">
        <v>1447</v>
      </c>
      <c r="H1967">
        <v>716</v>
      </c>
      <c r="I1967" s="8">
        <f t="shared" si="181"/>
        <v>0.4948168624740843</v>
      </c>
      <c r="J1967" s="17">
        <v>0.7</v>
      </c>
      <c r="K1967" s="12">
        <v>13.75</v>
      </c>
      <c r="L1967" s="2">
        <f t="shared" si="184"/>
        <v>296.89999999999998</v>
      </c>
      <c r="M1967" s="15">
        <f t="shared" si="182"/>
        <v>4082.3749999999995</v>
      </c>
      <c r="N1967" t="str">
        <f t="shared" si="179"/>
        <v>MG</v>
      </c>
      <c r="O1967" t="str">
        <f t="shared" si="180"/>
        <v>Uberaba</v>
      </c>
    </row>
    <row r="1968" spans="1:15" x14ac:dyDescent="0.3">
      <c r="A1968" s="10">
        <v>45931</v>
      </c>
      <c r="B1968" s="9" t="s">
        <v>82</v>
      </c>
      <c r="C1968" t="s">
        <v>349</v>
      </c>
      <c r="D1968" s="9">
        <v>19772</v>
      </c>
      <c r="E1968" s="5" t="s">
        <v>613</v>
      </c>
      <c r="F1968" t="s">
        <v>96</v>
      </c>
      <c r="G1968">
        <v>1481</v>
      </c>
      <c r="H1968">
        <v>811</v>
      </c>
      <c r="I1968" s="8">
        <f t="shared" si="181"/>
        <v>0.54760297096556376</v>
      </c>
      <c r="J1968" s="17">
        <v>0.7</v>
      </c>
      <c r="K1968" s="12">
        <v>13.75</v>
      </c>
      <c r="L1968" s="2">
        <f t="shared" si="184"/>
        <v>225.70000000000005</v>
      </c>
      <c r="M1968" s="15">
        <f t="shared" si="182"/>
        <v>3103.3750000000005</v>
      </c>
      <c r="N1968" t="str">
        <f t="shared" si="179"/>
        <v>PR</v>
      </c>
      <c r="O1968" t="str">
        <f t="shared" si="180"/>
        <v>Foz Do Iguaçu</v>
      </c>
    </row>
    <row r="1969" spans="1:15" x14ac:dyDescent="0.3">
      <c r="A1969" s="10">
        <v>45931</v>
      </c>
      <c r="B1969" s="9" t="s">
        <v>15</v>
      </c>
      <c r="C1969" t="s">
        <v>358</v>
      </c>
      <c r="D1969" s="9">
        <v>19685</v>
      </c>
      <c r="E1969" s="5" t="s">
        <v>359</v>
      </c>
      <c r="F1969" t="s">
        <v>198</v>
      </c>
      <c r="G1969">
        <v>1378</v>
      </c>
      <c r="H1969">
        <v>532</v>
      </c>
      <c r="I1969" s="8">
        <f t="shared" si="181"/>
        <v>0.38606676342525398</v>
      </c>
      <c r="J1969" s="17">
        <v>0.7</v>
      </c>
      <c r="K1969" s="12">
        <v>13.75</v>
      </c>
      <c r="L1969" s="2">
        <f t="shared" si="184"/>
        <v>432.6</v>
      </c>
      <c r="M1969" s="15">
        <f t="shared" si="182"/>
        <v>5948.25</v>
      </c>
      <c r="N1969" t="str">
        <f t="shared" si="179"/>
        <v>RJ</v>
      </c>
      <c r="O1969" t="str">
        <f t="shared" si="180"/>
        <v>Rio De Janeiro</v>
      </c>
    </row>
    <row r="1970" spans="1:15" x14ac:dyDescent="0.3">
      <c r="A1970" s="10">
        <v>45962</v>
      </c>
      <c r="B1970" s="9" t="s">
        <v>15</v>
      </c>
      <c r="C1970" t="s">
        <v>319</v>
      </c>
      <c r="D1970" s="9">
        <v>19685</v>
      </c>
      <c r="E1970" s="5" t="s">
        <v>359</v>
      </c>
      <c r="F1970" t="s">
        <v>198</v>
      </c>
      <c r="G1970">
        <v>1648</v>
      </c>
      <c r="H1970">
        <v>543</v>
      </c>
      <c r="I1970" s="8">
        <f t="shared" si="181"/>
        <v>0.32949029126213591</v>
      </c>
      <c r="J1970" s="17">
        <v>0.7</v>
      </c>
      <c r="K1970" s="12">
        <v>13.75</v>
      </c>
      <c r="L1970" s="2">
        <f t="shared" si="184"/>
        <v>610.59999999999991</v>
      </c>
      <c r="M1970" s="15">
        <f t="shared" si="182"/>
        <v>8395.7499999999982</v>
      </c>
      <c r="N1970" t="str">
        <f t="shared" si="179"/>
        <v>RJ</v>
      </c>
      <c r="O1970" t="str">
        <f t="shared" si="180"/>
        <v>Rio de Janeiro</v>
      </c>
    </row>
    <row r="1971" spans="1:15" x14ac:dyDescent="0.3">
      <c r="A1971" s="10">
        <v>45962</v>
      </c>
      <c r="B1971" s="9" t="s">
        <v>71</v>
      </c>
      <c r="C1971" t="s">
        <v>175</v>
      </c>
      <c r="D1971" s="9">
        <v>19540</v>
      </c>
      <c r="E1971" s="5" t="s">
        <v>370</v>
      </c>
      <c r="F1971" t="s">
        <v>176</v>
      </c>
      <c r="G1971">
        <v>4883</v>
      </c>
      <c r="H1971">
        <v>1934</v>
      </c>
      <c r="I1971" s="8">
        <f t="shared" si="181"/>
        <v>0.39606799098914602</v>
      </c>
      <c r="J1971" s="17">
        <v>0.7</v>
      </c>
      <c r="K1971" s="12">
        <v>13.75</v>
      </c>
      <c r="L1971" s="2">
        <f t="shared" si="184"/>
        <v>1484.1</v>
      </c>
      <c r="M1971" s="15">
        <f t="shared" si="182"/>
        <v>20406.375</v>
      </c>
      <c r="N1971" t="str">
        <f t="shared" si="179"/>
        <v>RS</v>
      </c>
      <c r="O1971" t="str">
        <f t="shared" si="180"/>
        <v>Porto Alegre</v>
      </c>
    </row>
    <row r="1972" spans="1:15" x14ac:dyDescent="0.3">
      <c r="A1972" s="10">
        <v>45962</v>
      </c>
      <c r="B1972" s="9" t="s">
        <v>15</v>
      </c>
      <c r="C1972" t="s">
        <v>319</v>
      </c>
      <c r="D1972" s="9">
        <v>19521</v>
      </c>
      <c r="E1972" s="5" t="s">
        <v>371</v>
      </c>
      <c r="F1972" t="s">
        <v>199</v>
      </c>
      <c r="G1972">
        <v>3234</v>
      </c>
      <c r="H1972">
        <v>1486</v>
      </c>
      <c r="I1972" s="8">
        <f t="shared" si="181"/>
        <v>0.45949288806431665</v>
      </c>
      <c r="J1972" s="17">
        <v>0.7</v>
      </c>
      <c r="K1972" s="12">
        <v>13.75</v>
      </c>
      <c r="L1972" s="2">
        <f t="shared" si="184"/>
        <v>777.80000000000018</v>
      </c>
      <c r="M1972" s="15">
        <f t="shared" si="182"/>
        <v>10694.750000000002</v>
      </c>
      <c r="N1972" t="str">
        <f t="shared" si="179"/>
        <v>RJ</v>
      </c>
      <c r="O1972" t="str">
        <f t="shared" si="180"/>
        <v>Rio de Janeiro</v>
      </c>
    </row>
    <row r="1973" spans="1:15" x14ac:dyDescent="0.3">
      <c r="A1973" s="10">
        <v>45962</v>
      </c>
      <c r="B1973" s="9" t="s">
        <v>14</v>
      </c>
      <c r="C1973" t="s">
        <v>285</v>
      </c>
      <c r="D1973" s="9">
        <v>19563</v>
      </c>
      <c r="E1973" s="5" t="s">
        <v>374</v>
      </c>
      <c r="F1973" t="s">
        <v>286</v>
      </c>
      <c r="G1973">
        <v>3145</v>
      </c>
      <c r="H1973">
        <v>1036</v>
      </c>
      <c r="I1973" s="8">
        <f t="shared" si="181"/>
        <v>0.32941176470588235</v>
      </c>
      <c r="J1973" s="17">
        <v>0.7</v>
      </c>
      <c r="K1973" s="12">
        <v>13.75</v>
      </c>
      <c r="L1973" s="2">
        <f t="shared" si="184"/>
        <v>1165.5</v>
      </c>
      <c r="M1973" s="15">
        <f t="shared" si="182"/>
        <v>16025.625</v>
      </c>
      <c r="N1973" t="str">
        <f t="shared" si="179"/>
        <v>MG</v>
      </c>
      <c r="O1973" t="str">
        <f t="shared" si="180"/>
        <v>Uberlândia</v>
      </c>
    </row>
    <row r="1974" spans="1:15" x14ac:dyDescent="0.3">
      <c r="A1974" s="10">
        <v>45962</v>
      </c>
      <c r="B1974" s="9" t="s">
        <v>6</v>
      </c>
      <c r="C1974" t="s">
        <v>26</v>
      </c>
      <c r="D1974" s="9">
        <v>19597</v>
      </c>
      <c r="E1974" s="5" t="s">
        <v>375</v>
      </c>
      <c r="F1974" t="s">
        <v>27</v>
      </c>
      <c r="G1974">
        <v>2744</v>
      </c>
      <c r="H1974">
        <v>1549</v>
      </c>
      <c r="I1974" s="8">
        <f t="shared" si="181"/>
        <v>0.56450437317784252</v>
      </c>
      <c r="J1974" s="17">
        <v>0.7</v>
      </c>
      <c r="K1974" s="12">
        <v>13.75</v>
      </c>
      <c r="L1974" s="2">
        <f t="shared" si="184"/>
        <v>371.79999999999995</v>
      </c>
      <c r="M1974" s="15">
        <f t="shared" si="182"/>
        <v>5112.2499999999991</v>
      </c>
      <c r="N1974" t="str">
        <f t="shared" si="179"/>
        <v>PA</v>
      </c>
      <c r="O1974" t="str">
        <f t="shared" si="180"/>
        <v>Belém</v>
      </c>
    </row>
    <row r="1975" spans="1:15" x14ac:dyDescent="0.3">
      <c r="A1975" s="10">
        <v>45962</v>
      </c>
      <c r="B1975" s="9" t="s">
        <v>15</v>
      </c>
      <c r="C1975" t="s">
        <v>296</v>
      </c>
      <c r="D1975" s="9">
        <v>19524</v>
      </c>
      <c r="E1975" s="5" t="s">
        <v>376</v>
      </c>
      <c r="F1975" t="s">
        <v>297</v>
      </c>
      <c r="G1975">
        <v>2160</v>
      </c>
      <c r="H1975">
        <v>831</v>
      </c>
      <c r="I1975" s="8">
        <f t="shared" si="181"/>
        <v>0.38472222222222224</v>
      </c>
      <c r="J1975" s="17">
        <v>0.7</v>
      </c>
      <c r="K1975" s="12">
        <v>13.75</v>
      </c>
      <c r="L1975" s="2">
        <f t="shared" si="184"/>
        <v>680.99999999999977</v>
      </c>
      <c r="M1975" s="15">
        <f t="shared" si="182"/>
        <v>9363.7499999999964</v>
      </c>
      <c r="N1975" t="str">
        <f t="shared" si="179"/>
        <v>RJ</v>
      </c>
      <c r="O1975" t="str">
        <f t="shared" si="180"/>
        <v>Volta Redonda</v>
      </c>
    </row>
    <row r="1976" spans="1:15" x14ac:dyDescent="0.3">
      <c r="A1976" s="10">
        <v>45962</v>
      </c>
      <c r="B1976" s="9" t="s">
        <v>160</v>
      </c>
      <c r="C1976" t="s">
        <v>279</v>
      </c>
      <c r="D1976" s="9">
        <v>19564</v>
      </c>
      <c r="E1976" s="5" t="s">
        <v>378</v>
      </c>
      <c r="F1976" t="s">
        <v>280</v>
      </c>
      <c r="G1976">
        <v>1587</v>
      </c>
      <c r="H1976">
        <v>790</v>
      </c>
      <c r="I1976" s="8">
        <f t="shared" si="181"/>
        <v>0.49779458097038437</v>
      </c>
      <c r="J1976" s="17">
        <v>0.7</v>
      </c>
      <c r="K1976" s="12">
        <v>13.75</v>
      </c>
      <c r="L1976" s="2">
        <f t="shared" si="184"/>
        <v>320.90000000000009</v>
      </c>
      <c r="M1976" s="15">
        <f t="shared" si="182"/>
        <v>4412.3750000000009</v>
      </c>
      <c r="N1976" t="str">
        <f t="shared" si="179"/>
        <v>PI</v>
      </c>
      <c r="O1976" t="str">
        <f t="shared" si="180"/>
        <v>Teresina</v>
      </c>
    </row>
    <row r="1977" spans="1:15" x14ac:dyDescent="0.3">
      <c r="A1977" s="10">
        <v>45962</v>
      </c>
      <c r="B1977" s="9" t="s">
        <v>15</v>
      </c>
      <c r="C1977" t="s">
        <v>319</v>
      </c>
      <c r="D1977" s="9">
        <v>19536</v>
      </c>
      <c r="E1977" s="5" t="s">
        <v>379</v>
      </c>
      <c r="F1977" t="s">
        <v>200</v>
      </c>
      <c r="G1977">
        <v>2725</v>
      </c>
      <c r="H1977">
        <v>1051</v>
      </c>
      <c r="I1977" s="8">
        <f t="shared" si="181"/>
        <v>0.3856880733944954</v>
      </c>
      <c r="J1977" s="17">
        <v>0.7</v>
      </c>
      <c r="K1977" s="12">
        <v>13.75</v>
      </c>
      <c r="L1977" s="2">
        <f t="shared" si="184"/>
        <v>856.49999999999977</v>
      </c>
      <c r="M1977" s="15">
        <f t="shared" si="182"/>
        <v>11776.874999999996</v>
      </c>
      <c r="N1977" t="str">
        <f t="shared" si="179"/>
        <v>RJ</v>
      </c>
      <c r="O1977" t="str">
        <f t="shared" si="180"/>
        <v>Rio de Janeiro</v>
      </c>
    </row>
    <row r="1978" spans="1:15" x14ac:dyDescent="0.3">
      <c r="A1978" s="10">
        <v>45962</v>
      </c>
      <c r="B1978" s="9" t="s">
        <v>15</v>
      </c>
      <c r="C1978" t="s">
        <v>319</v>
      </c>
      <c r="D1978" s="9">
        <v>19727</v>
      </c>
      <c r="E1978" s="5" t="s">
        <v>380</v>
      </c>
      <c r="F1978" t="s">
        <v>201</v>
      </c>
      <c r="G1978">
        <v>1764</v>
      </c>
      <c r="H1978">
        <v>692</v>
      </c>
      <c r="I1978" s="8">
        <f t="shared" si="181"/>
        <v>0.39229024943310659</v>
      </c>
      <c r="J1978" s="17">
        <v>0.7</v>
      </c>
      <c r="K1978" s="12">
        <v>13.75</v>
      </c>
      <c r="L1978" s="2">
        <f t="shared" si="184"/>
        <v>542.79999999999995</v>
      </c>
      <c r="M1978" s="15">
        <f t="shared" si="182"/>
        <v>7463.4999999999991</v>
      </c>
      <c r="N1978" t="str">
        <f t="shared" si="179"/>
        <v>RJ</v>
      </c>
      <c r="O1978" t="str">
        <f t="shared" si="180"/>
        <v>Rio de Janeiro</v>
      </c>
    </row>
    <row r="1979" spans="1:15" x14ac:dyDescent="0.3">
      <c r="A1979" s="10">
        <v>45962</v>
      </c>
      <c r="B1979" s="9" t="s">
        <v>3</v>
      </c>
      <c r="C1979" t="s">
        <v>248</v>
      </c>
      <c r="D1979" s="9">
        <v>19572</v>
      </c>
      <c r="E1979" s="5" t="s">
        <v>381</v>
      </c>
      <c r="F1979" t="s">
        <v>249</v>
      </c>
      <c r="G1979">
        <v>4662</v>
      </c>
      <c r="H1979">
        <v>2003</v>
      </c>
      <c r="I1979" s="8">
        <f t="shared" si="181"/>
        <v>0.42964392964392967</v>
      </c>
      <c r="J1979" s="17">
        <v>0.7</v>
      </c>
      <c r="K1979" s="12">
        <v>13.75</v>
      </c>
      <c r="L1979" s="2">
        <f t="shared" si="184"/>
        <v>1260.3999999999996</v>
      </c>
      <c r="M1979" s="15">
        <f t="shared" si="182"/>
        <v>17330.499999999996</v>
      </c>
      <c r="N1979" t="str">
        <f t="shared" si="179"/>
        <v>SP</v>
      </c>
      <c r="O1979" t="str">
        <f t="shared" si="180"/>
        <v>São Paulo</v>
      </c>
    </row>
    <row r="1980" spans="1:15" x14ac:dyDescent="0.3">
      <c r="A1980" s="10">
        <v>45962</v>
      </c>
      <c r="B1980" s="9" t="s">
        <v>3</v>
      </c>
      <c r="C1980" t="s">
        <v>167</v>
      </c>
      <c r="D1980" s="9">
        <v>19578</v>
      </c>
      <c r="E1980" s="5" t="s">
        <v>382</v>
      </c>
      <c r="F1980" t="s">
        <v>168</v>
      </c>
      <c r="G1980">
        <v>2703</v>
      </c>
      <c r="H1980">
        <v>891</v>
      </c>
      <c r="I1980" s="8">
        <f t="shared" si="181"/>
        <v>0.32963374028856823</v>
      </c>
      <c r="J1980" s="17">
        <v>0.7</v>
      </c>
      <c r="K1980" s="12">
        <v>13.75</v>
      </c>
      <c r="L1980" s="2">
        <f t="shared" si="184"/>
        <v>1001.0999999999999</v>
      </c>
      <c r="M1980" s="15">
        <f t="shared" si="182"/>
        <v>13765.124999999998</v>
      </c>
      <c r="N1980" t="str">
        <f t="shared" si="179"/>
        <v>SP</v>
      </c>
      <c r="O1980" t="str">
        <f t="shared" si="180"/>
        <v>Perdizes</v>
      </c>
    </row>
    <row r="1981" spans="1:15" x14ac:dyDescent="0.3">
      <c r="A1981" s="10">
        <v>45962</v>
      </c>
      <c r="B1981" s="9" t="s">
        <v>3</v>
      </c>
      <c r="C1981" t="s">
        <v>248</v>
      </c>
      <c r="D1981" s="9">
        <v>19774</v>
      </c>
      <c r="E1981" s="5" t="s">
        <v>383</v>
      </c>
      <c r="F1981" t="s">
        <v>250</v>
      </c>
      <c r="G1981">
        <v>3561</v>
      </c>
      <c r="H1981">
        <v>1322</v>
      </c>
      <c r="I1981" s="8">
        <f t="shared" si="181"/>
        <v>0.37124403257511934</v>
      </c>
      <c r="J1981" s="17">
        <v>0.7</v>
      </c>
      <c r="K1981" s="12">
        <v>13.75</v>
      </c>
      <c r="L1981" s="2">
        <f t="shared" si="184"/>
        <v>1170.6999999999998</v>
      </c>
      <c r="M1981" s="15">
        <f t="shared" si="182"/>
        <v>16097.124999999998</v>
      </c>
      <c r="N1981" t="str">
        <f t="shared" si="179"/>
        <v>SP</v>
      </c>
      <c r="O1981" t="str">
        <f t="shared" si="180"/>
        <v>São Paulo</v>
      </c>
    </row>
    <row r="1982" spans="1:15" x14ac:dyDescent="0.3">
      <c r="A1982" s="10">
        <v>45962</v>
      </c>
      <c r="B1982" s="9" t="s">
        <v>46</v>
      </c>
      <c r="C1982" t="s">
        <v>47</v>
      </c>
      <c r="D1982" s="9">
        <v>19551</v>
      </c>
      <c r="E1982" s="5" t="s">
        <v>384</v>
      </c>
      <c r="F1982" t="s">
        <v>48</v>
      </c>
      <c r="G1982">
        <v>2871</v>
      </c>
      <c r="H1982">
        <v>1131</v>
      </c>
      <c r="I1982" s="8">
        <f t="shared" si="181"/>
        <v>0.39393939393939392</v>
      </c>
      <c r="J1982" s="17">
        <v>0.7</v>
      </c>
      <c r="K1982" s="12">
        <v>13.75</v>
      </c>
      <c r="L1982" s="2">
        <f t="shared" si="184"/>
        <v>878.69999999999982</v>
      </c>
      <c r="M1982" s="15">
        <f t="shared" si="182"/>
        <v>12082.124999999998</v>
      </c>
      <c r="N1982" t="str">
        <f t="shared" si="179"/>
        <v>DF</v>
      </c>
      <c r="O1982" t="str">
        <f t="shared" si="180"/>
        <v>Brasília</v>
      </c>
    </row>
    <row r="1983" spans="1:15" x14ac:dyDescent="0.3">
      <c r="A1983" s="10">
        <v>45962</v>
      </c>
      <c r="B1983" s="9" t="s">
        <v>15</v>
      </c>
      <c r="C1983" t="s">
        <v>151</v>
      </c>
      <c r="D1983" s="9">
        <v>19596</v>
      </c>
      <c r="E1983" s="5" t="s">
        <v>385</v>
      </c>
      <c r="F1983" t="s">
        <v>153</v>
      </c>
      <c r="G1983">
        <v>2827</v>
      </c>
      <c r="H1983">
        <v>1016</v>
      </c>
      <c r="I1983" s="8">
        <f t="shared" si="181"/>
        <v>0.35939158118146447</v>
      </c>
      <c r="J1983" s="17">
        <v>0.7</v>
      </c>
      <c r="K1983" s="12">
        <v>13.75</v>
      </c>
      <c r="L1983" s="2">
        <f t="shared" si="184"/>
        <v>962.89999999999964</v>
      </c>
      <c r="M1983" s="15">
        <f t="shared" si="182"/>
        <v>13239.874999999995</v>
      </c>
      <c r="N1983" t="str">
        <f t="shared" si="179"/>
        <v>RJ</v>
      </c>
      <c r="O1983" t="str">
        <f t="shared" si="180"/>
        <v>Nova Iguaçu</v>
      </c>
    </row>
    <row r="1984" spans="1:15" x14ac:dyDescent="0.3">
      <c r="A1984" s="10">
        <v>45962</v>
      </c>
      <c r="B1984" s="9" t="s">
        <v>15</v>
      </c>
      <c r="C1984" t="s">
        <v>319</v>
      </c>
      <c r="D1984" s="9">
        <v>19618</v>
      </c>
      <c r="E1984" s="5" t="s">
        <v>386</v>
      </c>
      <c r="F1984" t="s">
        <v>202</v>
      </c>
      <c r="G1984">
        <v>2491</v>
      </c>
      <c r="H1984">
        <v>977</v>
      </c>
      <c r="I1984" s="8">
        <f t="shared" si="181"/>
        <v>0.39221196306704137</v>
      </c>
      <c r="J1984" s="17">
        <v>0.7</v>
      </c>
      <c r="K1984" s="12">
        <v>13.75</v>
      </c>
      <c r="L1984" s="2">
        <f t="shared" si="184"/>
        <v>766.69999999999982</v>
      </c>
      <c r="M1984" s="15">
        <f t="shared" si="182"/>
        <v>10542.124999999998</v>
      </c>
      <c r="N1984" t="str">
        <f t="shared" si="179"/>
        <v>RJ</v>
      </c>
      <c r="O1984" t="str">
        <f t="shared" si="180"/>
        <v>Rio de Janeiro</v>
      </c>
    </row>
    <row r="1985" spans="1:15" x14ac:dyDescent="0.3">
      <c r="A1985" s="10">
        <v>45962</v>
      </c>
      <c r="B1985" s="9" t="s">
        <v>21</v>
      </c>
      <c r="C1985" t="s">
        <v>22</v>
      </c>
      <c r="D1985" s="9">
        <v>19741</v>
      </c>
      <c r="E1985" s="5" t="s">
        <v>387</v>
      </c>
      <c r="F1985" t="s">
        <v>23</v>
      </c>
      <c r="G1985">
        <v>1694</v>
      </c>
      <c r="H1985">
        <v>865</v>
      </c>
      <c r="I1985" s="8">
        <f t="shared" si="181"/>
        <v>0.51062573789846522</v>
      </c>
      <c r="J1985" s="17">
        <v>0.7</v>
      </c>
      <c r="K1985" s="12">
        <v>13.75</v>
      </c>
      <c r="L1985" s="2">
        <f t="shared" si="184"/>
        <v>320.79999999999995</v>
      </c>
      <c r="M1985" s="15">
        <f t="shared" si="182"/>
        <v>4410.9999999999991</v>
      </c>
      <c r="N1985" t="str">
        <f t="shared" si="179"/>
        <v>BA</v>
      </c>
      <c r="O1985" t="str">
        <f t="shared" si="180"/>
        <v>Barreiras</v>
      </c>
    </row>
    <row r="1986" spans="1:15" x14ac:dyDescent="0.3">
      <c r="A1986" s="10">
        <v>45962</v>
      </c>
      <c r="B1986" s="9" t="s">
        <v>74</v>
      </c>
      <c r="C1986" t="s">
        <v>169</v>
      </c>
      <c r="D1986" s="9">
        <v>19897</v>
      </c>
      <c r="E1986" s="5" t="s">
        <v>388</v>
      </c>
      <c r="F1986" t="s">
        <v>170</v>
      </c>
      <c r="G1986">
        <v>2047</v>
      </c>
      <c r="H1986">
        <v>785</v>
      </c>
      <c r="I1986" s="8">
        <f t="shared" si="181"/>
        <v>0.38348803126526626</v>
      </c>
      <c r="J1986" s="17">
        <v>0.7</v>
      </c>
      <c r="K1986" s="12">
        <v>13.75</v>
      </c>
      <c r="L1986" s="2">
        <f t="shared" si="184"/>
        <v>647.89999999999986</v>
      </c>
      <c r="M1986" s="15">
        <f t="shared" si="182"/>
        <v>8908.6249999999982</v>
      </c>
      <c r="N1986" t="str">
        <f t="shared" ref="N1986:N2049" si="185">B1986</f>
        <v>PE</v>
      </c>
      <c r="O1986" t="str">
        <f t="shared" ref="O1986:O2049" si="186">C1986</f>
        <v>Petrolina</v>
      </c>
    </row>
    <row r="1987" spans="1:15" x14ac:dyDescent="0.3">
      <c r="A1987" s="10">
        <v>45962</v>
      </c>
      <c r="B1987" s="9" t="s">
        <v>61</v>
      </c>
      <c r="C1987" t="s">
        <v>62</v>
      </c>
      <c r="D1987" s="9">
        <v>19633</v>
      </c>
      <c r="E1987" s="5" t="s">
        <v>389</v>
      </c>
      <c r="F1987" t="s">
        <v>63</v>
      </c>
      <c r="G1987">
        <v>2032</v>
      </c>
      <c r="H1987">
        <v>1064</v>
      </c>
      <c r="I1987" s="8">
        <f t="shared" ref="I1987:I2050" si="187">H1987/G1987</f>
        <v>0.52362204724409445</v>
      </c>
      <c r="J1987" s="17">
        <v>0.7</v>
      </c>
      <c r="K1987" s="12">
        <v>13.75</v>
      </c>
      <c r="L1987" s="2">
        <f t="shared" si="184"/>
        <v>358.40000000000009</v>
      </c>
      <c r="M1987" s="15">
        <f t="shared" ref="M1987:M2050" si="188">L1987*K1987</f>
        <v>4928.0000000000009</v>
      </c>
      <c r="N1987" t="str">
        <f t="shared" si="185"/>
        <v>PB</v>
      </c>
      <c r="O1987" t="str">
        <f t="shared" si="186"/>
        <v>Campina Grande</v>
      </c>
    </row>
    <row r="1988" spans="1:15" x14ac:dyDescent="0.3">
      <c r="A1988" s="10">
        <v>45962</v>
      </c>
      <c r="B1988" s="9" t="s">
        <v>6</v>
      </c>
      <c r="C1988" t="s">
        <v>26</v>
      </c>
      <c r="D1988" s="9">
        <v>19622</v>
      </c>
      <c r="E1988" s="5" t="s">
        <v>390</v>
      </c>
      <c r="F1988" t="s">
        <v>28</v>
      </c>
      <c r="G1988">
        <v>2334</v>
      </c>
      <c r="H1988">
        <v>1282</v>
      </c>
      <c r="I1988" s="8">
        <f t="shared" si="187"/>
        <v>0.5492716366752356</v>
      </c>
      <c r="J1988" s="17">
        <v>0.7</v>
      </c>
      <c r="K1988" s="12">
        <v>13.75</v>
      </c>
      <c r="L1988" s="2">
        <f t="shared" si="184"/>
        <v>351.80000000000018</v>
      </c>
      <c r="M1988" s="15">
        <f t="shared" si="188"/>
        <v>4837.2500000000027</v>
      </c>
      <c r="N1988" t="str">
        <f t="shared" si="185"/>
        <v>PA</v>
      </c>
      <c r="O1988" t="str">
        <f t="shared" si="186"/>
        <v>Belém</v>
      </c>
    </row>
    <row r="1989" spans="1:15" x14ac:dyDescent="0.3">
      <c r="A1989" s="10">
        <v>45962</v>
      </c>
      <c r="B1989" s="9" t="s">
        <v>15</v>
      </c>
      <c r="C1989" t="s">
        <v>319</v>
      </c>
      <c r="D1989" s="9">
        <v>19632</v>
      </c>
      <c r="E1989" s="5" t="s">
        <v>392</v>
      </c>
      <c r="F1989" t="s">
        <v>203</v>
      </c>
      <c r="G1989">
        <v>2659</v>
      </c>
      <c r="H1989">
        <v>1112</v>
      </c>
      <c r="I1989" s="8">
        <f t="shared" si="187"/>
        <v>0.41820233170364801</v>
      </c>
      <c r="J1989" s="17">
        <v>0.7</v>
      </c>
      <c r="K1989" s="12">
        <v>13.75</v>
      </c>
      <c r="L1989" s="2">
        <f t="shared" si="184"/>
        <v>749.3</v>
      </c>
      <c r="M1989" s="15">
        <f t="shared" si="188"/>
        <v>10302.875</v>
      </c>
      <c r="N1989" t="str">
        <f t="shared" si="185"/>
        <v>RJ</v>
      </c>
      <c r="O1989" t="str">
        <f t="shared" si="186"/>
        <v>Rio de Janeiro</v>
      </c>
    </row>
    <row r="1990" spans="1:15" x14ac:dyDescent="0.3">
      <c r="A1990" s="10">
        <v>45962</v>
      </c>
      <c r="B1990" s="9" t="s">
        <v>46</v>
      </c>
      <c r="C1990" t="s">
        <v>47</v>
      </c>
      <c r="D1990" s="9">
        <v>19552</v>
      </c>
      <c r="E1990" s="5" t="s">
        <v>393</v>
      </c>
      <c r="F1990" t="s">
        <v>50</v>
      </c>
      <c r="G1990">
        <v>4716</v>
      </c>
      <c r="H1990">
        <v>2023</v>
      </c>
      <c r="I1990" s="8">
        <f t="shared" si="187"/>
        <v>0.42896522476675147</v>
      </c>
      <c r="J1990" s="17">
        <v>0.7</v>
      </c>
      <c r="K1990" s="12">
        <v>13.75</v>
      </c>
      <c r="L1990" s="2">
        <f t="shared" si="184"/>
        <v>1278.1999999999998</v>
      </c>
      <c r="M1990" s="15">
        <f t="shared" si="188"/>
        <v>17575.249999999996</v>
      </c>
      <c r="N1990" t="str">
        <f t="shared" si="185"/>
        <v>DF</v>
      </c>
      <c r="O1990" t="str">
        <f t="shared" si="186"/>
        <v>Brasília</v>
      </c>
    </row>
    <row r="1991" spans="1:15" x14ac:dyDescent="0.3">
      <c r="A1991" s="10">
        <v>45962</v>
      </c>
      <c r="B1991" s="9" t="s">
        <v>15</v>
      </c>
      <c r="C1991" t="s">
        <v>191</v>
      </c>
      <c r="D1991" s="9">
        <v>19636</v>
      </c>
      <c r="E1991" s="5" t="s">
        <v>394</v>
      </c>
      <c r="F1991" t="s">
        <v>192</v>
      </c>
      <c r="G1991">
        <v>2557</v>
      </c>
      <c r="H1991">
        <v>1005</v>
      </c>
      <c r="I1991" s="8">
        <f t="shared" si="187"/>
        <v>0.39303871724677358</v>
      </c>
      <c r="J1991" s="17">
        <v>0.7</v>
      </c>
      <c r="K1991" s="12">
        <v>13.75</v>
      </c>
      <c r="L1991" s="2">
        <f t="shared" si="184"/>
        <v>784.89999999999986</v>
      </c>
      <c r="M1991" s="15">
        <f t="shared" si="188"/>
        <v>10792.374999999998</v>
      </c>
      <c r="N1991" t="str">
        <f t="shared" si="185"/>
        <v>RJ</v>
      </c>
      <c r="O1991" t="str">
        <f t="shared" si="186"/>
        <v>Resende</v>
      </c>
    </row>
    <row r="1992" spans="1:15" x14ac:dyDescent="0.3">
      <c r="A1992" s="10">
        <v>45962</v>
      </c>
      <c r="B1992" s="9" t="s">
        <v>74</v>
      </c>
      <c r="C1992" t="s">
        <v>186</v>
      </c>
      <c r="D1992" s="9">
        <v>19649</v>
      </c>
      <c r="E1992" s="5" t="s">
        <v>395</v>
      </c>
      <c r="F1992" t="s">
        <v>187</v>
      </c>
      <c r="G1992">
        <v>3229</v>
      </c>
      <c r="H1992">
        <v>1227</v>
      </c>
      <c r="I1992" s="8">
        <f t="shared" si="187"/>
        <v>0.3799938061319294</v>
      </c>
      <c r="J1992" s="17">
        <v>0.7</v>
      </c>
      <c r="K1992" s="12">
        <v>13.75</v>
      </c>
      <c r="L1992" s="2">
        <f t="shared" si="184"/>
        <v>1033.2999999999997</v>
      </c>
      <c r="M1992" s="15">
        <f t="shared" si="188"/>
        <v>14207.874999999996</v>
      </c>
      <c r="N1992" t="str">
        <f t="shared" si="185"/>
        <v>PE</v>
      </c>
      <c r="O1992" t="str">
        <f t="shared" si="186"/>
        <v>Recife</v>
      </c>
    </row>
    <row r="1993" spans="1:15" x14ac:dyDescent="0.3">
      <c r="A1993" s="10">
        <v>45962</v>
      </c>
      <c r="B1993" s="9" t="s">
        <v>74</v>
      </c>
      <c r="C1993" t="s">
        <v>186</v>
      </c>
      <c r="D1993" s="9">
        <v>19601</v>
      </c>
      <c r="E1993" s="5" t="s">
        <v>396</v>
      </c>
      <c r="F1993" t="s">
        <v>188</v>
      </c>
      <c r="G1993">
        <v>2812</v>
      </c>
      <c r="H1993">
        <v>1138</v>
      </c>
      <c r="I1993" s="8">
        <f t="shared" si="187"/>
        <v>0.40469416785206258</v>
      </c>
      <c r="J1993" s="17">
        <v>0.7</v>
      </c>
      <c r="K1993" s="12">
        <v>13.75</v>
      </c>
      <c r="L1993" s="2">
        <f t="shared" si="184"/>
        <v>830.39999999999986</v>
      </c>
      <c r="M1993" s="15">
        <f t="shared" si="188"/>
        <v>11417.999999999998</v>
      </c>
      <c r="N1993" t="str">
        <f t="shared" si="185"/>
        <v>PE</v>
      </c>
      <c r="O1993" t="str">
        <f t="shared" si="186"/>
        <v>Recife</v>
      </c>
    </row>
    <row r="1994" spans="1:15" x14ac:dyDescent="0.3">
      <c r="A1994" s="10">
        <v>45962</v>
      </c>
      <c r="B1994" s="9" t="s">
        <v>74</v>
      </c>
      <c r="C1994" t="s">
        <v>186</v>
      </c>
      <c r="D1994" s="9">
        <v>19565</v>
      </c>
      <c r="E1994" s="5" t="s">
        <v>397</v>
      </c>
      <c r="F1994" t="s">
        <v>189</v>
      </c>
      <c r="G1994">
        <v>3056</v>
      </c>
      <c r="H1994">
        <v>1027</v>
      </c>
      <c r="I1994" s="8">
        <f t="shared" si="187"/>
        <v>0.33606020942408377</v>
      </c>
      <c r="J1994" s="17">
        <v>0.7</v>
      </c>
      <c r="K1994" s="12">
        <v>13.75</v>
      </c>
      <c r="L1994" s="2">
        <f t="shared" si="184"/>
        <v>1112.1999999999998</v>
      </c>
      <c r="M1994" s="15">
        <f t="shared" si="188"/>
        <v>15292.749999999998</v>
      </c>
      <c r="N1994" t="str">
        <f t="shared" si="185"/>
        <v>PE</v>
      </c>
      <c r="O1994" t="str">
        <f t="shared" si="186"/>
        <v>Recife</v>
      </c>
    </row>
    <row r="1995" spans="1:15" x14ac:dyDescent="0.3">
      <c r="A1995" s="10">
        <v>45962</v>
      </c>
      <c r="B1995" s="9" t="s">
        <v>74</v>
      </c>
      <c r="C1995" t="s">
        <v>186</v>
      </c>
      <c r="D1995" s="9">
        <v>19654</v>
      </c>
      <c r="E1995" s="5" t="s">
        <v>398</v>
      </c>
      <c r="F1995" t="s">
        <v>190</v>
      </c>
      <c r="G1995">
        <v>2422</v>
      </c>
      <c r="H1995">
        <v>858</v>
      </c>
      <c r="I1995" s="8">
        <f t="shared" si="187"/>
        <v>0.3542526837324525</v>
      </c>
      <c r="J1995" s="17">
        <v>0.7</v>
      </c>
      <c r="K1995" s="12">
        <v>13.75</v>
      </c>
      <c r="L1995" s="2">
        <f t="shared" ref="L1995:L2026" si="189">H1995*J1995/I1995-H1995</f>
        <v>837.39999999999986</v>
      </c>
      <c r="M1995" s="15">
        <f t="shared" si="188"/>
        <v>11514.249999999998</v>
      </c>
      <c r="N1995" t="str">
        <f t="shared" si="185"/>
        <v>PE</v>
      </c>
      <c r="O1995" t="str">
        <f t="shared" si="186"/>
        <v>Recife</v>
      </c>
    </row>
    <row r="1996" spans="1:15" x14ac:dyDescent="0.3">
      <c r="A1996" s="10">
        <v>45962</v>
      </c>
      <c r="B1996" s="9" t="s">
        <v>74</v>
      </c>
      <c r="C1996" t="s">
        <v>315</v>
      </c>
      <c r="D1996" s="9">
        <v>19624</v>
      </c>
      <c r="E1996" s="5" t="s">
        <v>399</v>
      </c>
      <c r="F1996" t="s">
        <v>116</v>
      </c>
      <c r="G1996">
        <v>1861</v>
      </c>
      <c r="H1996">
        <v>656</v>
      </c>
      <c r="I1996" s="8">
        <f t="shared" si="187"/>
        <v>0.3524986566362171</v>
      </c>
      <c r="J1996" s="17">
        <v>0.7</v>
      </c>
      <c r="K1996" s="12">
        <v>13.75</v>
      </c>
      <c r="L1996" s="2">
        <f t="shared" si="189"/>
        <v>646.69999999999982</v>
      </c>
      <c r="M1996" s="15">
        <f t="shared" si="188"/>
        <v>8892.1249999999982</v>
      </c>
      <c r="N1996" t="str">
        <f t="shared" si="185"/>
        <v>PE</v>
      </c>
      <c r="O1996" t="str">
        <f t="shared" si="186"/>
        <v>Jaboatão dos Guararapes</v>
      </c>
    </row>
    <row r="1997" spans="1:15" x14ac:dyDescent="0.3">
      <c r="A1997" s="10">
        <v>45962</v>
      </c>
      <c r="B1997" s="9" t="s">
        <v>15</v>
      </c>
      <c r="C1997" t="s">
        <v>143</v>
      </c>
      <c r="D1997" s="9">
        <v>19648</v>
      </c>
      <c r="E1997" s="5" t="s">
        <v>400</v>
      </c>
      <c r="F1997" t="s">
        <v>144</v>
      </c>
      <c r="G1997">
        <v>2387</v>
      </c>
      <c r="H1997">
        <v>602</v>
      </c>
      <c r="I1997" s="8">
        <f t="shared" si="187"/>
        <v>0.25219941348973607</v>
      </c>
      <c r="J1997" s="17">
        <v>0.7</v>
      </c>
      <c r="K1997" s="12">
        <v>13.75</v>
      </c>
      <c r="L1997" s="2">
        <f t="shared" si="189"/>
        <v>1068.8999999999999</v>
      </c>
      <c r="M1997" s="15">
        <f t="shared" si="188"/>
        <v>14697.374999999998</v>
      </c>
      <c r="N1997" t="str">
        <f t="shared" si="185"/>
        <v>RJ</v>
      </c>
      <c r="O1997" t="str">
        <f t="shared" si="186"/>
        <v>Nilópolis</v>
      </c>
    </row>
    <row r="1998" spans="1:15" x14ac:dyDescent="0.3">
      <c r="A1998" s="10">
        <v>45962</v>
      </c>
      <c r="B1998" s="9" t="s">
        <v>15</v>
      </c>
      <c r="C1998" t="s">
        <v>57</v>
      </c>
      <c r="D1998" s="9">
        <v>19657</v>
      </c>
      <c r="E1998" s="5" t="s">
        <v>401</v>
      </c>
      <c r="F1998" t="s">
        <v>58</v>
      </c>
      <c r="G1998">
        <v>1958</v>
      </c>
      <c r="H1998">
        <v>829</v>
      </c>
      <c r="I1998" s="8">
        <f t="shared" si="187"/>
        <v>0.42339121552604697</v>
      </c>
      <c r="J1998" s="17">
        <v>0.7</v>
      </c>
      <c r="K1998" s="12">
        <v>13.75</v>
      </c>
      <c r="L1998" s="2">
        <f t="shared" si="189"/>
        <v>541.59999999999991</v>
      </c>
      <c r="M1998" s="15">
        <f t="shared" si="188"/>
        <v>7446.9999999999991</v>
      </c>
      <c r="N1998" t="str">
        <f t="shared" si="185"/>
        <v>RJ</v>
      </c>
      <c r="O1998" t="str">
        <f t="shared" si="186"/>
        <v>Cabo Frio</v>
      </c>
    </row>
    <row r="1999" spans="1:15" x14ac:dyDescent="0.3">
      <c r="A1999" s="10">
        <v>45962</v>
      </c>
      <c r="B1999" s="9" t="s">
        <v>82</v>
      </c>
      <c r="C1999" t="s">
        <v>119</v>
      </c>
      <c r="D1999" s="9">
        <v>19661</v>
      </c>
      <c r="E1999" s="5" t="s">
        <v>403</v>
      </c>
      <c r="F1999" t="s">
        <v>120</v>
      </c>
      <c r="G1999">
        <v>3141</v>
      </c>
      <c r="H1999">
        <v>1007</v>
      </c>
      <c r="I1999" s="8">
        <f t="shared" si="187"/>
        <v>0.32059853549824896</v>
      </c>
      <c r="J1999" s="17">
        <v>0.7</v>
      </c>
      <c r="K1999" s="12">
        <v>13.75</v>
      </c>
      <c r="L1999" s="2">
        <f t="shared" si="189"/>
        <v>1191.6999999999998</v>
      </c>
      <c r="M1999" s="15">
        <f t="shared" si="188"/>
        <v>16385.874999999996</v>
      </c>
      <c r="N1999" t="str">
        <f t="shared" si="185"/>
        <v>PR</v>
      </c>
      <c r="O1999" t="str">
        <f t="shared" si="186"/>
        <v>Londrina</v>
      </c>
    </row>
    <row r="2000" spans="1:15" x14ac:dyDescent="0.3">
      <c r="A2000" s="10">
        <v>45962</v>
      </c>
      <c r="B2000" s="9" t="s">
        <v>183</v>
      </c>
      <c r="C2000" t="s">
        <v>184</v>
      </c>
      <c r="D2000" s="9">
        <v>19752</v>
      </c>
      <c r="E2000" s="5" t="s">
        <v>404</v>
      </c>
      <c r="F2000" t="s">
        <v>185</v>
      </c>
      <c r="G2000">
        <v>1101</v>
      </c>
      <c r="H2000">
        <v>513</v>
      </c>
      <c r="I2000" s="8">
        <f t="shared" si="187"/>
        <v>0.4659400544959128</v>
      </c>
      <c r="J2000" s="17">
        <v>0.7</v>
      </c>
      <c r="K2000" s="12">
        <v>13.75</v>
      </c>
      <c r="L2000" s="2">
        <f t="shared" si="189"/>
        <v>257.69999999999993</v>
      </c>
      <c r="M2000" s="15">
        <f t="shared" si="188"/>
        <v>3543.3749999999991</v>
      </c>
      <c r="N2000" t="str">
        <f t="shared" si="185"/>
        <v>RO</v>
      </c>
      <c r="O2000" t="str">
        <f t="shared" si="186"/>
        <v>Porto Velho</v>
      </c>
    </row>
    <row r="2001" spans="1:15" x14ac:dyDescent="0.3">
      <c r="A2001" s="10">
        <v>45962</v>
      </c>
      <c r="B2001" s="9" t="s">
        <v>15</v>
      </c>
      <c r="C2001" t="s">
        <v>281</v>
      </c>
      <c r="D2001" s="9">
        <v>19671</v>
      </c>
      <c r="E2001" s="5" t="s">
        <v>405</v>
      </c>
      <c r="F2001" t="s">
        <v>282</v>
      </c>
      <c r="G2001">
        <v>2765</v>
      </c>
      <c r="H2001">
        <v>1130</v>
      </c>
      <c r="I2001" s="8">
        <f t="shared" si="187"/>
        <v>0.40867992766726946</v>
      </c>
      <c r="J2001" s="17">
        <v>0.7</v>
      </c>
      <c r="K2001" s="12">
        <v>13.75</v>
      </c>
      <c r="L2001" s="2">
        <f t="shared" si="189"/>
        <v>805.5</v>
      </c>
      <c r="M2001" s="15">
        <f t="shared" si="188"/>
        <v>11075.625</v>
      </c>
      <c r="N2001" t="str">
        <f t="shared" si="185"/>
        <v>RJ</v>
      </c>
      <c r="O2001" t="str">
        <f t="shared" si="186"/>
        <v>Teresópolis</v>
      </c>
    </row>
    <row r="2002" spans="1:15" x14ac:dyDescent="0.3">
      <c r="A2002" s="10">
        <v>45962</v>
      </c>
      <c r="B2002" s="9" t="s">
        <v>3</v>
      </c>
      <c r="C2002" t="s">
        <v>248</v>
      </c>
      <c r="D2002" s="9">
        <v>19674</v>
      </c>
      <c r="E2002" s="5" t="s">
        <v>406</v>
      </c>
      <c r="F2002" t="s">
        <v>251</v>
      </c>
      <c r="G2002">
        <v>2759</v>
      </c>
      <c r="H2002">
        <v>1041</v>
      </c>
      <c r="I2002" s="8">
        <f t="shared" si="187"/>
        <v>0.37731061978977892</v>
      </c>
      <c r="J2002" s="17">
        <v>0.7</v>
      </c>
      <c r="K2002" s="12">
        <v>13.75</v>
      </c>
      <c r="L2002" s="2">
        <f t="shared" si="189"/>
        <v>890.29999999999973</v>
      </c>
      <c r="M2002" s="15">
        <f t="shared" si="188"/>
        <v>12241.624999999996</v>
      </c>
      <c r="N2002" t="str">
        <f t="shared" si="185"/>
        <v>SP</v>
      </c>
      <c r="O2002" t="str">
        <f t="shared" si="186"/>
        <v>São Paulo</v>
      </c>
    </row>
    <row r="2003" spans="1:15" x14ac:dyDescent="0.3">
      <c r="A2003" s="10">
        <v>45962</v>
      </c>
      <c r="B2003" s="9" t="s">
        <v>3</v>
      </c>
      <c r="C2003" t="s">
        <v>248</v>
      </c>
      <c r="D2003" s="9">
        <v>19756</v>
      </c>
      <c r="E2003" s="5" t="s">
        <v>407</v>
      </c>
      <c r="F2003" t="s">
        <v>252</v>
      </c>
      <c r="G2003">
        <v>2194</v>
      </c>
      <c r="H2003">
        <v>792</v>
      </c>
      <c r="I2003" s="8">
        <f t="shared" si="187"/>
        <v>0.36098450319051961</v>
      </c>
      <c r="J2003" s="17">
        <v>0.7</v>
      </c>
      <c r="K2003" s="12">
        <v>13.75</v>
      </c>
      <c r="L2003" s="2">
        <f t="shared" si="189"/>
        <v>743.8</v>
      </c>
      <c r="M2003" s="15">
        <f t="shared" si="188"/>
        <v>10227.25</v>
      </c>
      <c r="N2003" t="str">
        <f t="shared" si="185"/>
        <v>SP</v>
      </c>
      <c r="O2003" t="str">
        <f t="shared" si="186"/>
        <v>São Paulo</v>
      </c>
    </row>
    <row r="2004" spans="1:15" x14ac:dyDescent="0.3">
      <c r="A2004" s="10">
        <v>45962</v>
      </c>
      <c r="B2004" s="9" t="s">
        <v>3</v>
      </c>
      <c r="C2004" t="s">
        <v>248</v>
      </c>
      <c r="D2004" s="9">
        <v>19809</v>
      </c>
      <c r="E2004" s="5" t="s">
        <v>408</v>
      </c>
      <c r="F2004" t="s">
        <v>253</v>
      </c>
      <c r="G2004">
        <v>3149</v>
      </c>
      <c r="H2004">
        <v>885</v>
      </c>
      <c r="I2004" s="8">
        <f t="shared" si="187"/>
        <v>0.28104160050809779</v>
      </c>
      <c r="J2004" s="17">
        <v>0.7</v>
      </c>
      <c r="K2004" s="12">
        <v>13.75</v>
      </c>
      <c r="L2004" s="2">
        <f t="shared" si="189"/>
        <v>1319.3000000000002</v>
      </c>
      <c r="M2004" s="15">
        <f t="shared" si="188"/>
        <v>18140.375000000004</v>
      </c>
      <c r="N2004" t="str">
        <f t="shared" si="185"/>
        <v>SP</v>
      </c>
      <c r="O2004" t="str">
        <f t="shared" si="186"/>
        <v>São Paulo</v>
      </c>
    </row>
    <row r="2005" spans="1:15" x14ac:dyDescent="0.3">
      <c r="A2005" s="10">
        <v>45962</v>
      </c>
      <c r="B2005" s="9" t="s">
        <v>3</v>
      </c>
      <c r="C2005" t="s">
        <v>248</v>
      </c>
      <c r="D2005" s="9">
        <v>19579</v>
      </c>
      <c r="E2005" s="5" t="s">
        <v>409</v>
      </c>
      <c r="F2005" t="s">
        <v>254</v>
      </c>
      <c r="G2005">
        <v>2046</v>
      </c>
      <c r="H2005">
        <v>674</v>
      </c>
      <c r="I2005" s="8">
        <f t="shared" si="187"/>
        <v>0.32942326490713586</v>
      </c>
      <c r="J2005" s="17">
        <v>0.7</v>
      </c>
      <c r="K2005" s="12">
        <v>13.75</v>
      </c>
      <c r="L2005" s="2">
        <f t="shared" si="189"/>
        <v>758.19999999999982</v>
      </c>
      <c r="M2005" s="15">
        <f t="shared" si="188"/>
        <v>10425.249999999998</v>
      </c>
      <c r="N2005" t="str">
        <f t="shared" si="185"/>
        <v>SP</v>
      </c>
      <c r="O2005" t="str">
        <f t="shared" si="186"/>
        <v>São Paulo</v>
      </c>
    </row>
    <row r="2006" spans="1:15" x14ac:dyDescent="0.3">
      <c r="A2006" s="10">
        <v>45962</v>
      </c>
      <c r="B2006" s="9" t="s">
        <v>126</v>
      </c>
      <c r="C2006" t="s">
        <v>127</v>
      </c>
      <c r="D2006" s="9">
        <v>19623</v>
      </c>
      <c r="E2006" s="5" t="s">
        <v>410</v>
      </c>
      <c r="F2006" t="s">
        <v>128</v>
      </c>
      <c r="G2006">
        <v>1786</v>
      </c>
      <c r="H2006">
        <v>797</v>
      </c>
      <c r="I2006" s="8">
        <f t="shared" si="187"/>
        <v>0.44624860022396418</v>
      </c>
      <c r="J2006" s="17">
        <v>0.7</v>
      </c>
      <c r="K2006" s="12">
        <v>13.75</v>
      </c>
      <c r="L2006" s="2">
        <f t="shared" si="189"/>
        <v>453.19999999999982</v>
      </c>
      <c r="M2006" s="15">
        <f t="shared" si="188"/>
        <v>6231.4999999999973</v>
      </c>
      <c r="N2006" t="str">
        <f t="shared" si="185"/>
        <v>AL</v>
      </c>
      <c r="O2006" t="str">
        <f t="shared" si="186"/>
        <v>Maceió</v>
      </c>
    </row>
    <row r="2007" spans="1:15" x14ac:dyDescent="0.3">
      <c r="A2007" s="10">
        <v>45962</v>
      </c>
      <c r="B2007" s="9" t="s">
        <v>46</v>
      </c>
      <c r="C2007" t="s">
        <v>47</v>
      </c>
      <c r="D2007" s="9">
        <v>19693</v>
      </c>
      <c r="E2007" s="5" t="s">
        <v>411</v>
      </c>
      <c r="F2007" t="s">
        <v>51</v>
      </c>
      <c r="G2007">
        <v>2775</v>
      </c>
      <c r="H2007">
        <v>843</v>
      </c>
      <c r="I2007" s="8">
        <f t="shared" si="187"/>
        <v>0.30378378378378379</v>
      </c>
      <c r="J2007" s="17">
        <v>0.7</v>
      </c>
      <c r="K2007" s="12">
        <v>13.75</v>
      </c>
      <c r="L2007" s="2">
        <f t="shared" si="189"/>
        <v>1099.4999999999998</v>
      </c>
      <c r="M2007" s="15">
        <f t="shared" si="188"/>
        <v>15118.124999999996</v>
      </c>
      <c r="N2007" t="str">
        <f t="shared" si="185"/>
        <v>DF</v>
      </c>
      <c r="O2007" t="str">
        <f t="shared" si="186"/>
        <v>Brasília</v>
      </c>
    </row>
    <row r="2008" spans="1:15" x14ac:dyDescent="0.3">
      <c r="A2008" s="10">
        <v>45962</v>
      </c>
      <c r="B2008" s="9" t="s">
        <v>78</v>
      </c>
      <c r="C2008" t="s">
        <v>79</v>
      </c>
      <c r="D2008" s="9">
        <v>19730</v>
      </c>
      <c r="E2008" s="5" t="s">
        <v>413</v>
      </c>
      <c r="F2008" t="s">
        <v>80</v>
      </c>
      <c r="G2008">
        <v>2778</v>
      </c>
      <c r="H2008">
        <v>1066</v>
      </c>
      <c r="I2008" s="8">
        <f t="shared" si="187"/>
        <v>0.38372930165586755</v>
      </c>
      <c r="J2008" s="17">
        <v>0.7</v>
      </c>
      <c r="K2008" s="12">
        <v>13.75</v>
      </c>
      <c r="L2008" s="2">
        <f t="shared" si="189"/>
        <v>878.59999999999968</v>
      </c>
      <c r="M2008" s="15">
        <f t="shared" si="188"/>
        <v>12080.749999999996</v>
      </c>
      <c r="N2008" t="str">
        <f t="shared" si="185"/>
        <v>MT</v>
      </c>
      <c r="O2008" t="str">
        <f t="shared" si="186"/>
        <v>Cuiabá</v>
      </c>
    </row>
    <row r="2009" spans="1:15" x14ac:dyDescent="0.3">
      <c r="A2009" s="10">
        <v>45962</v>
      </c>
      <c r="B2009" s="9" t="s">
        <v>78</v>
      </c>
      <c r="C2009" t="s">
        <v>79</v>
      </c>
      <c r="D2009" s="9">
        <v>19794</v>
      </c>
      <c r="E2009" s="5" t="s">
        <v>414</v>
      </c>
      <c r="F2009" t="s">
        <v>81</v>
      </c>
      <c r="G2009">
        <v>3142</v>
      </c>
      <c r="H2009">
        <v>1220</v>
      </c>
      <c r="I2009" s="8">
        <f t="shared" si="187"/>
        <v>0.38828771483131763</v>
      </c>
      <c r="J2009" s="17">
        <v>0.7</v>
      </c>
      <c r="K2009" s="12">
        <v>13.75</v>
      </c>
      <c r="L2009" s="2">
        <f t="shared" si="189"/>
        <v>979.40000000000009</v>
      </c>
      <c r="M2009" s="15">
        <f t="shared" si="188"/>
        <v>13466.750000000002</v>
      </c>
      <c r="N2009" t="str">
        <f t="shared" si="185"/>
        <v>MT</v>
      </c>
      <c r="O2009" t="str">
        <f t="shared" si="186"/>
        <v>Cuiabá</v>
      </c>
    </row>
    <row r="2010" spans="1:15" x14ac:dyDescent="0.3">
      <c r="A2010" s="10">
        <v>45962</v>
      </c>
      <c r="B2010" s="9" t="s">
        <v>7</v>
      </c>
      <c r="C2010" t="s">
        <v>99</v>
      </c>
      <c r="D2010" s="9">
        <v>19691</v>
      </c>
      <c r="E2010" s="5" t="s">
        <v>415</v>
      </c>
      <c r="F2010" t="s">
        <v>100</v>
      </c>
      <c r="G2010">
        <v>2261</v>
      </c>
      <c r="H2010">
        <v>975</v>
      </c>
      <c r="I2010" s="8">
        <f t="shared" si="187"/>
        <v>0.43122512162759841</v>
      </c>
      <c r="J2010" s="17">
        <v>0.7</v>
      </c>
      <c r="K2010" s="12">
        <v>13.75</v>
      </c>
      <c r="L2010" s="2">
        <f t="shared" si="189"/>
        <v>607.70000000000005</v>
      </c>
      <c r="M2010" s="15">
        <f t="shared" si="188"/>
        <v>8355.875</v>
      </c>
      <c r="N2010" t="str">
        <f t="shared" si="185"/>
        <v>GO</v>
      </c>
      <c r="O2010" t="str">
        <f t="shared" si="186"/>
        <v>Goiânia</v>
      </c>
    </row>
    <row r="2011" spans="1:15" x14ac:dyDescent="0.3">
      <c r="A2011" s="10">
        <v>45962</v>
      </c>
      <c r="B2011" s="9" t="s">
        <v>15</v>
      </c>
      <c r="C2011" t="s">
        <v>319</v>
      </c>
      <c r="D2011" s="9">
        <v>19505</v>
      </c>
      <c r="E2011" s="5" t="s">
        <v>416</v>
      </c>
      <c r="F2011" t="s">
        <v>204</v>
      </c>
      <c r="G2011">
        <v>2289</v>
      </c>
      <c r="H2011">
        <v>821</v>
      </c>
      <c r="I2011" s="8">
        <f t="shared" si="187"/>
        <v>0.35867190913062474</v>
      </c>
      <c r="J2011" s="17">
        <v>0.7</v>
      </c>
      <c r="K2011" s="12">
        <v>13.75</v>
      </c>
      <c r="L2011" s="2">
        <f t="shared" si="189"/>
        <v>781.29999999999973</v>
      </c>
      <c r="M2011" s="15">
        <f t="shared" si="188"/>
        <v>10742.874999999996</v>
      </c>
      <c r="N2011" t="str">
        <f t="shared" si="185"/>
        <v>RJ</v>
      </c>
      <c r="O2011" t="str">
        <f t="shared" si="186"/>
        <v>Rio de Janeiro</v>
      </c>
    </row>
    <row r="2012" spans="1:15" x14ac:dyDescent="0.3">
      <c r="A2012" s="10">
        <v>45962</v>
      </c>
      <c r="B2012" s="9" t="s">
        <v>15</v>
      </c>
      <c r="C2012" t="s">
        <v>319</v>
      </c>
      <c r="D2012" s="9">
        <v>19515</v>
      </c>
      <c r="E2012" s="5" t="s">
        <v>417</v>
      </c>
      <c r="F2012" t="s">
        <v>205</v>
      </c>
      <c r="G2012">
        <v>3545</v>
      </c>
      <c r="H2012">
        <v>1247</v>
      </c>
      <c r="I2012" s="8">
        <f t="shared" si="187"/>
        <v>0.35176304654442875</v>
      </c>
      <c r="J2012" s="17">
        <v>0.7</v>
      </c>
      <c r="K2012" s="12">
        <v>13.75</v>
      </c>
      <c r="L2012" s="2">
        <f t="shared" si="189"/>
        <v>1234.5</v>
      </c>
      <c r="M2012" s="15">
        <f t="shared" si="188"/>
        <v>16974.375</v>
      </c>
      <c r="N2012" t="str">
        <f t="shared" si="185"/>
        <v>RJ</v>
      </c>
      <c r="O2012" t="str">
        <f t="shared" si="186"/>
        <v>Rio de Janeiro</v>
      </c>
    </row>
    <row r="2013" spans="1:15" x14ac:dyDescent="0.3">
      <c r="A2013" s="10">
        <v>45962</v>
      </c>
      <c r="B2013" s="9" t="s">
        <v>15</v>
      </c>
      <c r="C2013" t="s">
        <v>319</v>
      </c>
      <c r="D2013" s="9">
        <v>19519</v>
      </c>
      <c r="E2013" s="5" t="s">
        <v>418</v>
      </c>
      <c r="F2013" t="s">
        <v>206</v>
      </c>
      <c r="G2013">
        <v>5756</v>
      </c>
      <c r="H2013">
        <v>2321</v>
      </c>
      <c r="I2013" s="8">
        <f t="shared" si="187"/>
        <v>0.40323141070187629</v>
      </c>
      <c r="J2013" s="17">
        <v>0.7</v>
      </c>
      <c r="K2013" s="12">
        <v>13.75</v>
      </c>
      <c r="L2013" s="2">
        <f t="shared" si="189"/>
        <v>1708.1999999999998</v>
      </c>
      <c r="M2013" s="15">
        <f t="shared" si="188"/>
        <v>23487.749999999996</v>
      </c>
      <c r="N2013" t="str">
        <f t="shared" si="185"/>
        <v>RJ</v>
      </c>
      <c r="O2013" t="str">
        <f t="shared" si="186"/>
        <v>Rio de Janeiro</v>
      </c>
    </row>
    <row r="2014" spans="1:15" x14ac:dyDescent="0.3">
      <c r="A2014" s="10">
        <v>45962</v>
      </c>
      <c r="B2014" s="9" t="s">
        <v>15</v>
      </c>
      <c r="C2014" t="s">
        <v>319</v>
      </c>
      <c r="D2014" s="9">
        <v>19518</v>
      </c>
      <c r="E2014" s="5" t="s">
        <v>419</v>
      </c>
      <c r="F2014" t="s">
        <v>207</v>
      </c>
      <c r="G2014">
        <v>4342</v>
      </c>
      <c r="H2014">
        <v>1706</v>
      </c>
      <c r="I2014" s="8">
        <f t="shared" si="187"/>
        <v>0.3929064947029019</v>
      </c>
      <c r="J2014" s="17">
        <v>0.7</v>
      </c>
      <c r="K2014" s="12">
        <v>13.75</v>
      </c>
      <c r="L2014" s="2">
        <f t="shared" si="189"/>
        <v>1333.3999999999996</v>
      </c>
      <c r="M2014" s="15">
        <f t="shared" si="188"/>
        <v>18334.249999999996</v>
      </c>
      <c r="N2014" t="str">
        <f t="shared" si="185"/>
        <v>RJ</v>
      </c>
      <c r="O2014" t="str">
        <f t="shared" si="186"/>
        <v>Rio de Janeiro</v>
      </c>
    </row>
    <row r="2015" spans="1:15" x14ac:dyDescent="0.3">
      <c r="A2015" s="10">
        <v>45962</v>
      </c>
      <c r="B2015" s="9" t="s">
        <v>15</v>
      </c>
      <c r="C2015" t="s">
        <v>319</v>
      </c>
      <c r="D2015" s="9">
        <v>19507</v>
      </c>
      <c r="E2015" s="5" t="s">
        <v>420</v>
      </c>
      <c r="F2015" t="s">
        <v>208</v>
      </c>
      <c r="G2015">
        <v>3464</v>
      </c>
      <c r="H2015">
        <v>1089</v>
      </c>
      <c r="I2015" s="8">
        <f t="shared" si="187"/>
        <v>0.31437644341801385</v>
      </c>
      <c r="J2015" s="17">
        <v>0.7</v>
      </c>
      <c r="K2015" s="12">
        <v>13.75</v>
      </c>
      <c r="L2015" s="2">
        <f t="shared" si="189"/>
        <v>1335.7999999999997</v>
      </c>
      <c r="M2015" s="15">
        <f t="shared" si="188"/>
        <v>18367.249999999996</v>
      </c>
      <c r="N2015" t="str">
        <f t="shared" si="185"/>
        <v>RJ</v>
      </c>
      <c r="O2015" t="str">
        <f t="shared" si="186"/>
        <v>Rio de Janeiro</v>
      </c>
    </row>
    <row r="2016" spans="1:15" x14ac:dyDescent="0.3">
      <c r="A2016" s="10">
        <v>45962</v>
      </c>
      <c r="B2016" s="9" t="s">
        <v>15</v>
      </c>
      <c r="C2016" t="s">
        <v>319</v>
      </c>
      <c r="D2016" s="9">
        <v>19714</v>
      </c>
      <c r="E2016" s="5" t="s">
        <v>421</v>
      </c>
      <c r="F2016" t="s">
        <v>209</v>
      </c>
      <c r="G2016">
        <v>2635</v>
      </c>
      <c r="H2016">
        <v>887</v>
      </c>
      <c r="I2016" s="8">
        <f t="shared" si="187"/>
        <v>0.33662239089184059</v>
      </c>
      <c r="J2016" s="17">
        <v>0.7</v>
      </c>
      <c r="K2016" s="12">
        <v>13.75</v>
      </c>
      <c r="L2016" s="2">
        <f t="shared" si="189"/>
        <v>957.5</v>
      </c>
      <c r="M2016" s="15">
        <f t="shared" si="188"/>
        <v>13165.625</v>
      </c>
      <c r="N2016" t="str">
        <f t="shared" si="185"/>
        <v>RJ</v>
      </c>
      <c r="O2016" t="str">
        <f t="shared" si="186"/>
        <v>Rio de Janeiro</v>
      </c>
    </row>
    <row r="2017" spans="1:15" x14ac:dyDescent="0.3">
      <c r="A2017" s="10">
        <v>45962</v>
      </c>
      <c r="B2017" s="9" t="s">
        <v>15</v>
      </c>
      <c r="C2017" t="s">
        <v>319</v>
      </c>
      <c r="D2017" s="9">
        <v>19844</v>
      </c>
      <c r="E2017" s="5" t="s">
        <v>428</v>
      </c>
      <c r="F2017" t="s">
        <v>210</v>
      </c>
      <c r="G2017">
        <v>2248</v>
      </c>
      <c r="H2017">
        <v>803</v>
      </c>
      <c r="I2017" s="8">
        <f t="shared" si="187"/>
        <v>0.35720640569395018</v>
      </c>
      <c r="J2017" s="17">
        <v>0.7</v>
      </c>
      <c r="K2017" s="12">
        <v>13.75</v>
      </c>
      <c r="L2017" s="2">
        <f t="shared" si="189"/>
        <v>770.59999999999968</v>
      </c>
      <c r="M2017" s="15">
        <f t="shared" si="188"/>
        <v>10595.749999999996</v>
      </c>
      <c r="N2017" t="str">
        <f t="shared" si="185"/>
        <v>RJ</v>
      </c>
      <c r="O2017" t="str">
        <f t="shared" si="186"/>
        <v>Rio de Janeiro</v>
      </c>
    </row>
    <row r="2018" spans="1:15" x14ac:dyDescent="0.3">
      <c r="A2018" s="10">
        <v>45962</v>
      </c>
      <c r="B2018" s="9" t="s">
        <v>14</v>
      </c>
      <c r="C2018" t="s">
        <v>29</v>
      </c>
      <c r="D2018" s="9">
        <v>19793</v>
      </c>
      <c r="E2018" s="5" t="s">
        <v>611</v>
      </c>
      <c r="F2018" t="s">
        <v>39</v>
      </c>
      <c r="G2018">
        <v>1326</v>
      </c>
      <c r="H2018">
        <v>527</v>
      </c>
      <c r="I2018" s="8">
        <f t="shared" si="187"/>
        <v>0.39743589743589741</v>
      </c>
      <c r="J2018" s="17">
        <v>0.7</v>
      </c>
      <c r="K2018" s="12">
        <v>13.75</v>
      </c>
      <c r="L2018" s="2">
        <f t="shared" si="189"/>
        <v>401.20000000000005</v>
      </c>
      <c r="M2018" s="15">
        <f t="shared" si="188"/>
        <v>5516.5000000000009</v>
      </c>
      <c r="N2018" t="str">
        <f t="shared" si="185"/>
        <v>MG</v>
      </c>
      <c r="O2018" t="str">
        <f t="shared" si="186"/>
        <v>Belo Horizonte</v>
      </c>
    </row>
    <row r="2019" spans="1:15" x14ac:dyDescent="0.3">
      <c r="A2019" s="10">
        <v>45962</v>
      </c>
      <c r="B2019" s="9" t="s">
        <v>14</v>
      </c>
      <c r="C2019" t="s">
        <v>29</v>
      </c>
      <c r="D2019" s="9">
        <v>19704</v>
      </c>
      <c r="E2019" s="5" t="s">
        <v>429</v>
      </c>
      <c r="F2019" t="s">
        <v>30</v>
      </c>
      <c r="G2019">
        <v>3729</v>
      </c>
      <c r="H2019">
        <v>1884</v>
      </c>
      <c r="I2019" s="8">
        <f t="shared" si="187"/>
        <v>0.50522928399034595</v>
      </c>
      <c r="J2019" s="17">
        <v>0.7</v>
      </c>
      <c r="K2019" s="12">
        <v>13.75</v>
      </c>
      <c r="L2019" s="2">
        <f t="shared" si="189"/>
        <v>726.29999999999973</v>
      </c>
      <c r="M2019" s="15">
        <f t="shared" si="188"/>
        <v>9986.6249999999964</v>
      </c>
      <c r="N2019" t="str">
        <f t="shared" si="185"/>
        <v>MG</v>
      </c>
      <c r="O2019" t="str">
        <f t="shared" si="186"/>
        <v>Belo Horizonte</v>
      </c>
    </row>
    <row r="2020" spans="1:15" x14ac:dyDescent="0.3">
      <c r="A2020" s="10">
        <v>45962</v>
      </c>
      <c r="B2020" s="9" t="s">
        <v>15</v>
      </c>
      <c r="C2020" t="s">
        <v>319</v>
      </c>
      <c r="D2020" s="9">
        <v>19512</v>
      </c>
      <c r="E2020" s="5" t="s">
        <v>430</v>
      </c>
      <c r="F2020" t="s">
        <v>211</v>
      </c>
      <c r="G2020">
        <v>2145</v>
      </c>
      <c r="H2020">
        <v>781</v>
      </c>
      <c r="I2020" s="8">
        <f t="shared" si="187"/>
        <v>0.36410256410256409</v>
      </c>
      <c r="J2020" s="17">
        <v>0.7</v>
      </c>
      <c r="K2020" s="12">
        <v>13.75</v>
      </c>
      <c r="L2020" s="2">
        <f t="shared" si="189"/>
        <v>720.49999999999977</v>
      </c>
      <c r="M2020" s="15">
        <f t="shared" si="188"/>
        <v>9906.8749999999964</v>
      </c>
      <c r="N2020" t="str">
        <f t="shared" si="185"/>
        <v>RJ</v>
      </c>
      <c r="O2020" t="str">
        <f t="shared" si="186"/>
        <v>Rio de Janeiro</v>
      </c>
    </row>
    <row r="2021" spans="1:15" x14ac:dyDescent="0.3">
      <c r="A2021" s="10">
        <v>45962</v>
      </c>
      <c r="B2021" s="9" t="s">
        <v>14</v>
      </c>
      <c r="C2021" t="s">
        <v>29</v>
      </c>
      <c r="D2021" s="9">
        <v>19562</v>
      </c>
      <c r="E2021" s="5" t="s">
        <v>431</v>
      </c>
      <c r="F2021" t="s">
        <v>31</v>
      </c>
      <c r="G2021">
        <v>1885</v>
      </c>
      <c r="H2021">
        <v>885</v>
      </c>
      <c r="I2021" s="8">
        <f t="shared" si="187"/>
        <v>0.46949602122015915</v>
      </c>
      <c r="J2021" s="17">
        <v>0.7</v>
      </c>
      <c r="K2021" s="12">
        <v>13.75</v>
      </c>
      <c r="L2021" s="2">
        <f t="shared" si="189"/>
        <v>434.5</v>
      </c>
      <c r="M2021" s="15">
        <f t="shared" si="188"/>
        <v>5974.375</v>
      </c>
      <c r="N2021" t="str">
        <f t="shared" si="185"/>
        <v>MG</v>
      </c>
      <c r="O2021" t="str">
        <f t="shared" si="186"/>
        <v>Belo Horizonte</v>
      </c>
    </row>
    <row r="2022" spans="1:15" x14ac:dyDescent="0.3">
      <c r="A2022" s="10">
        <v>45962</v>
      </c>
      <c r="B2022" s="9" t="s">
        <v>14</v>
      </c>
      <c r="C2022" t="s">
        <v>29</v>
      </c>
      <c r="D2022" s="9">
        <v>19748</v>
      </c>
      <c r="E2022" s="5" t="s">
        <v>432</v>
      </c>
      <c r="F2022" t="s">
        <v>32</v>
      </c>
      <c r="G2022">
        <v>2138</v>
      </c>
      <c r="H2022">
        <v>919</v>
      </c>
      <c r="I2022" s="8">
        <f t="shared" si="187"/>
        <v>0.42984097287184286</v>
      </c>
      <c r="J2022" s="17">
        <v>0.7</v>
      </c>
      <c r="K2022" s="12">
        <v>13.75</v>
      </c>
      <c r="L2022" s="2">
        <f t="shared" si="189"/>
        <v>577.59999999999991</v>
      </c>
      <c r="M2022" s="15">
        <f t="shared" si="188"/>
        <v>7941.9999999999991</v>
      </c>
      <c r="N2022" t="str">
        <f t="shared" si="185"/>
        <v>MG</v>
      </c>
      <c r="O2022" t="str">
        <f t="shared" si="186"/>
        <v>Belo Horizonte</v>
      </c>
    </row>
    <row r="2023" spans="1:15" x14ac:dyDescent="0.3">
      <c r="A2023" s="10">
        <v>45962</v>
      </c>
      <c r="B2023" s="9" t="s">
        <v>14</v>
      </c>
      <c r="C2023" t="s">
        <v>29</v>
      </c>
      <c r="D2023" s="9">
        <v>19561</v>
      </c>
      <c r="E2023" s="5" t="s">
        <v>433</v>
      </c>
      <c r="F2023" t="s">
        <v>33</v>
      </c>
      <c r="G2023">
        <v>1545</v>
      </c>
      <c r="H2023">
        <v>561</v>
      </c>
      <c r="I2023" s="8">
        <f t="shared" si="187"/>
        <v>0.36310679611650487</v>
      </c>
      <c r="J2023" s="17">
        <v>0.7</v>
      </c>
      <c r="K2023" s="12">
        <v>13.75</v>
      </c>
      <c r="L2023" s="2">
        <f t="shared" si="189"/>
        <v>520.5</v>
      </c>
      <c r="M2023" s="15">
        <f t="shared" si="188"/>
        <v>7156.875</v>
      </c>
      <c r="N2023" t="str">
        <f t="shared" si="185"/>
        <v>MG</v>
      </c>
      <c r="O2023" t="str">
        <f t="shared" si="186"/>
        <v>Belo Horizonte</v>
      </c>
    </row>
    <row r="2024" spans="1:15" x14ac:dyDescent="0.3">
      <c r="A2024" s="10">
        <v>45962</v>
      </c>
      <c r="B2024" s="9" t="s">
        <v>14</v>
      </c>
      <c r="C2024" t="s">
        <v>29</v>
      </c>
      <c r="D2024" s="9">
        <v>19560</v>
      </c>
      <c r="E2024" s="5" t="s">
        <v>435</v>
      </c>
      <c r="F2024" t="s">
        <v>34</v>
      </c>
      <c r="G2024">
        <v>4638</v>
      </c>
      <c r="H2024">
        <v>2021</v>
      </c>
      <c r="I2024" s="8">
        <f t="shared" si="187"/>
        <v>0.43574816731349719</v>
      </c>
      <c r="J2024" s="17">
        <v>0.7</v>
      </c>
      <c r="K2024" s="12">
        <v>13.75</v>
      </c>
      <c r="L2024" s="2">
        <f t="shared" si="189"/>
        <v>1225.5999999999995</v>
      </c>
      <c r="M2024" s="15">
        <f t="shared" si="188"/>
        <v>16851.999999999993</v>
      </c>
      <c r="N2024" t="str">
        <f t="shared" si="185"/>
        <v>MG</v>
      </c>
      <c r="O2024" t="str">
        <f t="shared" si="186"/>
        <v>Belo Horizonte</v>
      </c>
    </row>
    <row r="2025" spans="1:15" x14ac:dyDescent="0.3">
      <c r="A2025" s="10">
        <v>45962</v>
      </c>
      <c r="B2025" s="9" t="s">
        <v>15</v>
      </c>
      <c r="C2025" t="s">
        <v>319</v>
      </c>
      <c r="D2025" s="9">
        <v>19508</v>
      </c>
      <c r="E2025" s="5" t="s">
        <v>444</v>
      </c>
      <c r="F2025" t="s">
        <v>212</v>
      </c>
      <c r="G2025">
        <v>2682</v>
      </c>
      <c r="H2025">
        <v>1174</v>
      </c>
      <c r="I2025" s="8">
        <f t="shared" si="187"/>
        <v>0.43773303504847128</v>
      </c>
      <c r="J2025" s="17">
        <v>0.7</v>
      </c>
      <c r="K2025" s="12">
        <v>13.75</v>
      </c>
      <c r="L2025" s="2">
        <f t="shared" si="189"/>
        <v>703.39999999999986</v>
      </c>
      <c r="M2025" s="15">
        <f t="shared" si="188"/>
        <v>9671.7499999999982</v>
      </c>
      <c r="N2025" t="str">
        <f t="shared" si="185"/>
        <v>RJ</v>
      </c>
      <c r="O2025" t="str">
        <f t="shared" si="186"/>
        <v>Rio de Janeiro</v>
      </c>
    </row>
    <row r="2026" spans="1:15" x14ac:dyDescent="0.3">
      <c r="A2026" s="10">
        <v>45962</v>
      </c>
      <c r="B2026" s="9" t="s">
        <v>15</v>
      </c>
      <c r="C2026" t="s">
        <v>319</v>
      </c>
      <c r="D2026" s="9">
        <v>19894</v>
      </c>
      <c r="E2026" s="5" t="s">
        <v>446</v>
      </c>
      <c r="F2026" t="s">
        <v>213</v>
      </c>
      <c r="G2026">
        <v>2523</v>
      </c>
      <c r="H2026">
        <v>930</v>
      </c>
      <c r="I2026" s="8">
        <f t="shared" si="187"/>
        <v>0.36860879904875149</v>
      </c>
      <c r="J2026" s="17">
        <v>0.7</v>
      </c>
      <c r="K2026" s="12">
        <v>13.75</v>
      </c>
      <c r="L2026" s="2">
        <f t="shared" si="189"/>
        <v>836.09999999999991</v>
      </c>
      <c r="M2026" s="15">
        <f t="shared" si="188"/>
        <v>11496.374999999998</v>
      </c>
      <c r="N2026" t="str">
        <f t="shared" si="185"/>
        <v>RJ</v>
      </c>
      <c r="O2026" t="str">
        <f t="shared" si="186"/>
        <v>Rio de Janeiro</v>
      </c>
    </row>
    <row r="2027" spans="1:15" x14ac:dyDescent="0.3">
      <c r="A2027" s="10">
        <v>45962</v>
      </c>
      <c r="B2027" s="9" t="s">
        <v>15</v>
      </c>
      <c r="C2027" t="s">
        <v>319</v>
      </c>
      <c r="D2027" s="9">
        <v>19526</v>
      </c>
      <c r="E2027" s="5" t="s">
        <v>447</v>
      </c>
      <c r="F2027" t="s">
        <v>214</v>
      </c>
      <c r="G2027">
        <v>1717</v>
      </c>
      <c r="H2027">
        <v>583</v>
      </c>
      <c r="I2027" s="8">
        <f t="shared" si="187"/>
        <v>0.33954571927781013</v>
      </c>
      <c r="J2027" s="17">
        <v>0.7</v>
      </c>
      <c r="K2027" s="12">
        <v>13.75</v>
      </c>
      <c r="L2027" s="2">
        <f t="shared" ref="L2027:L2058" si="190">H2027*J2027/I2027-H2027</f>
        <v>618.89999999999986</v>
      </c>
      <c r="M2027" s="15">
        <f t="shared" si="188"/>
        <v>8509.8749999999982</v>
      </c>
      <c r="N2027" t="str">
        <f t="shared" si="185"/>
        <v>RJ</v>
      </c>
      <c r="O2027" t="str">
        <f t="shared" si="186"/>
        <v>Rio de Janeiro</v>
      </c>
    </row>
    <row r="2028" spans="1:15" x14ac:dyDescent="0.3">
      <c r="A2028" s="10">
        <v>45962</v>
      </c>
      <c r="B2028" s="9" t="s">
        <v>15</v>
      </c>
      <c r="C2028" t="s">
        <v>319</v>
      </c>
      <c r="D2028" s="9">
        <v>19509</v>
      </c>
      <c r="E2028" s="5" t="s">
        <v>448</v>
      </c>
      <c r="F2028" t="s">
        <v>215</v>
      </c>
      <c r="G2028">
        <v>2848</v>
      </c>
      <c r="H2028">
        <v>884</v>
      </c>
      <c r="I2028" s="8">
        <f t="shared" si="187"/>
        <v>0.3103932584269663</v>
      </c>
      <c r="J2028" s="17">
        <v>0.7</v>
      </c>
      <c r="K2028" s="12">
        <v>13.75</v>
      </c>
      <c r="L2028" s="2">
        <f t="shared" si="190"/>
        <v>1109.5999999999999</v>
      </c>
      <c r="M2028" s="15">
        <f t="shared" si="188"/>
        <v>15256.999999999998</v>
      </c>
      <c r="N2028" t="str">
        <f t="shared" si="185"/>
        <v>RJ</v>
      </c>
      <c r="O2028" t="str">
        <f t="shared" si="186"/>
        <v>Rio de Janeiro</v>
      </c>
    </row>
    <row r="2029" spans="1:15" x14ac:dyDescent="0.3">
      <c r="A2029" s="10">
        <v>45962</v>
      </c>
      <c r="B2029" s="9" t="s">
        <v>15</v>
      </c>
      <c r="C2029" t="s">
        <v>319</v>
      </c>
      <c r="D2029" s="9">
        <v>19635</v>
      </c>
      <c r="E2029" s="5" t="s">
        <v>452</v>
      </c>
      <c r="F2029" t="s">
        <v>216</v>
      </c>
      <c r="G2029">
        <v>2302</v>
      </c>
      <c r="H2029">
        <v>878</v>
      </c>
      <c r="I2029" s="8">
        <f t="shared" si="187"/>
        <v>0.38140747176368378</v>
      </c>
      <c r="J2029" s="17">
        <v>0.7</v>
      </c>
      <c r="K2029" s="12">
        <v>13.75</v>
      </c>
      <c r="L2029" s="2">
        <f t="shared" si="190"/>
        <v>733.39999999999964</v>
      </c>
      <c r="M2029" s="15">
        <f t="shared" si="188"/>
        <v>10084.249999999995</v>
      </c>
      <c r="N2029" t="str">
        <f t="shared" si="185"/>
        <v>RJ</v>
      </c>
      <c r="O2029" t="str">
        <f t="shared" si="186"/>
        <v>Rio de Janeiro</v>
      </c>
    </row>
    <row r="2030" spans="1:15" x14ac:dyDescent="0.3">
      <c r="A2030" s="10">
        <v>45962</v>
      </c>
      <c r="B2030" s="9" t="s">
        <v>15</v>
      </c>
      <c r="C2030" t="s">
        <v>319</v>
      </c>
      <c r="D2030" s="9">
        <v>19665</v>
      </c>
      <c r="E2030" s="5" t="s">
        <v>453</v>
      </c>
      <c r="F2030" t="s">
        <v>217</v>
      </c>
      <c r="G2030">
        <v>2107</v>
      </c>
      <c r="H2030">
        <v>690</v>
      </c>
      <c r="I2030" s="8">
        <f t="shared" si="187"/>
        <v>0.32747982914095869</v>
      </c>
      <c r="J2030" s="17">
        <v>0.7</v>
      </c>
      <c r="K2030" s="12">
        <v>13.75</v>
      </c>
      <c r="L2030" s="2">
        <f t="shared" si="190"/>
        <v>784.89999999999986</v>
      </c>
      <c r="M2030" s="15">
        <f t="shared" si="188"/>
        <v>10792.374999999998</v>
      </c>
      <c r="N2030" t="str">
        <f t="shared" si="185"/>
        <v>RJ</v>
      </c>
      <c r="O2030" t="str">
        <f t="shared" si="186"/>
        <v>Rio de Janeiro</v>
      </c>
    </row>
    <row r="2031" spans="1:15" x14ac:dyDescent="0.3">
      <c r="A2031" s="10">
        <v>45962</v>
      </c>
      <c r="B2031" s="9" t="s">
        <v>15</v>
      </c>
      <c r="C2031" t="s">
        <v>319</v>
      </c>
      <c r="D2031" s="9">
        <v>19504</v>
      </c>
      <c r="E2031" s="5" t="s">
        <v>454</v>
      </c>
      <c r="F2031" t="s">
        <v>218</v>
      </c>
      <c r="G2031">
        <v>2885</v>
      </c>
      <c r="H2031">
        <v>1133</v>
      </c>
      <c r="I2031" s="8">
        <f t="shared" si="187"/>
        <v>0.39272097053726168</v>
      </c>
      <c r="J2031" s="17">
        <v>0.7</v>
      </c>
      <c r="K2031" s="12">
        <v>13.75</v>
      </c>
      <c r="L2031" s="2">
        <f t="shared" si="190"/>
        <v>886.49999999999977</v>
      </c>
      <c r="M2031" s="15">
        <f t="shared" si="188"/>
        <v>12189.374999999996</v>
      </c>
      <c r="N2031" t="str">
        <f t="shared" si="185"/>
        <v>RJ</v>
      </c>
      <c r="O2031" t="str">
        <f t="shared" si="186"/>
        <v>Rio de Janeiro</v>
      </c>
    </row>
    <row r="2032" spans="1:15" x14ac:dyDescent="0.3">
      <c r="A2032" s="10">
        <v>45962</v>
      </c>
      <c r="B2032" s="9" t="s">
        <v>15</v>
      </c>
      <c r="C2032" t="s">
        <v>319</v>
      </c>
      <c r="D2032" s="9">
        <v>19511</v>
      </c>
      <c r="E2032" s="5" t="s">
        <v>455</v>
      </c>
      <c r="F2032" t="s">
        <v>219</v>
      </c>
      <c r="G2032">
        <v>3149</v>
      </c>
      <c r="H2032">
        <v>1152</v>
      </c>
      <c r="I2032" s="8">
        <f t="shared" si="187"/>
        <v>0.36583042235630359</v>
      </c>
      <c r="J2032" s="17">
        <v>0.7</v>
      </c>
      <c r="K2032" s="12">
        <v>13.75</v>
      </c>
      <c r="L2032" s="2">
        <f t="shared" si="190"/>
        <v>1052.2999999999997</v>
      </c>
      <c r="M2032" s="15">
        <f t="shared" si="188"/>
        <v>14469.124999999996</v>
      </c>
      <c r="N2032" t="str">
        <f t="shared" si="185"/>
        <v>RJ</v>
      </c>
      <c r="O2032" t="str">
        <f t="shared" si="186"/>
        <v>Rio de Janeiro</v>
      </c>
    </row>
    <row r="2033" spans="1:15" x14ac:dyDescent="0.3">
      <c r="A2033" s="10">
        <v>45962</v>
      </c>
      <c r="B2033" s="9" t="s">
        <v>14</v>
      </c>
      <c r="C2033" t="s">
        <v>285</v>
      </c>
      <c r="D2033" s="9">
        <v>19698</v>
      </c>
      <c r="E2033" s="5" t="s">
        <v>456</v>
      </c>
      <c r="F2033" t="s">
        <v>331</v>
      </c>
      <c r="G2033">
        <v>2705</v>
      </c>
      <c r="H2033">
        <v>908</v>
      </c>
      <c r="I2033" s="8">
        <f t="shared" si="187"/>
        <v>0.33567467652495381</v>
      </c>
      <c r="J2033" s="17">
        <v>0.7</v>
      </c>
      <c r="K2033" s="12">
        <v>13.75</v>
      </c>
      <c r="L2033" s="2">
        <f t="shared" si="190"/>
        <v>985.49999999999955</v>
      </c>
      <c r="M2033" s="15">
        <f t="shared" si="188"/>
        <v>13550.624999999995</v>
      </c>
      <c r="N2033" t="str">
        <f t="shared" si="185"/>
        <v>MG</v>
      </c>
      <c r="O2033" t="str">
        <f t="shared" si="186"/>
        <v>Uberlândia</v>
      </c>
    </row>
    <row r="2034" spans="1:15" x14ac:dyDescent="0.3">
      <c r="A2034" s="10">
        <v>45962</v>
      </c>
      <c r="B2034" s="9" t="s">
        <v>15</v>
      </c>
      <c r="C2034" t="s">
        <v>319</v>
      </c>
      <c r="D2034" s="9">
        <v>19506</v>
      </c>
      <c r="E2034" s="5" t="s">
        <v>457</v>
      </c>
      <c r="F2034" t="s">
        <v>220</v>
      </c>
      <c r="G2034">
        <v>2751</v>
      </c>
      <c r="H2034">
        <v>1007</v>
      </c>
      <c r="I2034" s="8">
        <f t="shared" si="187"/>
        <v>0.36604870956015995</v>
      </c>
      <c r="J2034" s="17">
        <v>0.7</v>
      </c>
      <c r="K2034" s="12">
        <v>13.75</v>
      </c>
      <c r="L2034" s="2">
        <f t="shared" si="190"/>
        <v>918.69999999999982</v>
      </c>
      <c r="M2034" s="15">
        <f t="shared" si="188"/>
        <v>12632.124999999998</v>
      </c>
      <c r="N2034" t="str">
        <f t="shared" si="185"/>
        <v>RJ</v>
      </c>
      <c r="O2034" t="str">
        <f t="shared" si="186"/>
        <v>Rio de Janeiro</v>
      </c>
    </row>
    <row r="2035" spans="1:15" x14ac:dyDescent="0.3">
      <c r="A2035" s="10">
        <v>45962</v>
      </c>
      <c r="B2035" s="9" t="s">
        <v>7</v>
      </c>
      <c r="C2035" t="s">
        <v>8</v>
      </c>
      <c r="D2035" s="9">
        <v>19700</v>
      </c>
      <c r="E2035" s="5" t="s">
        <v>458</v>
      </c>
      <c r="F2035" t="s">
        <v>9</v>
      </c>
      <c r="G2035">
        <v>1736</v>
      </c>
      <c r="H2035">
        <v>623</v>
      </c>
      <c r="I2035" s="8">
        <f t="shared" si="187"/>
        <v>0.3588709677419355</v>
      </c>
      <c r="J2035" s="17">
        <v>0.7</v>
      </c>
      <c r="K2035" s="12">
        <v>13.75</v>
      </c>
      <c r="L2035" s="2">
        <f t="shared" si="190"/>
        <v>592.19999999999982</v>
      </c>
      <c r="M2035" s="15">
        <f t="shared" si="188"/>
        <v>8142.7499999999973</v>
      </c>
      <c r="N2035" t="str">
        <f t="shared" si="185"/>
        <v>GO</v>
      </c>
      <c r="O2035" t="str">
        <f t="shared" si="186"/>
        <v>Anápolis</v>
      </c>
    </row>
    <row r="2036" spans="1:15" x14ac:dyDescent="0.3">
      <c r="A2036" s="10">
        <v>45962</v>
      </c>
      <c r="B2036" s="9" t="s">
        <v>14</v>
      </c>
      <c r="C2036" t="s">
        <v>29</v>
      </c>
      <c r="D2036" s="9">
        <v>19697</v>
      </c>
      <c r="E2036" s="5" t="s">
        <v>459</v>
      </c>
      <c r="F2036" t="s">
        <v>37</v>
      </c>
      <c r="G2036">
        <v>2186</v>
      </c>
      <c r="H2036">
        <v>828</v>
      </c>
      <c r="I2036" s="8">
        <f t="shared" si="187"/>
        <v>0.3787740164684355</v>
      </c>
      <c r="J2036" s="17">
        <v>0.7</v>
      </c>
      <c r="K2036" s="12">
        <v>13.75</v>
      </c>
      <c r="L2036" s="2">
        <f t="shared" si="190"/>
        <v>702.19999999999982</v>
      </c>
      <c r="M2036" s="15">
        <f t="shared" si="188"/>
        <v>9655.2499999999982</v>
      </c>
      <c r="N2036" t="str">
        <f t="shared" si="185"/>
        <v>MG</v>
      </c>
      <c r="O2036" t="str">
        <f t="shared" si="186"/>
        <v>Belo Horizonte</v>
      </c>
    </row>
    <row r="2037" spans="1:15" x14ac:dyDescent="0.3">
      <c r="A2037" s="10">
        <v>45962</v>
      </c>
      <c r="B2037" s="9" t="s">
        <v>46</v>
      </c>
      <c r="C2037" t="s">
        <v>47</v>
      </c>
      <c r="D2037" s="9">
        <v>19722</v>
      </c>
      <c r="E2037" s="5" t="s">
        <v>460</v>
      </c>
      <c r="F2037" t="s">
        <v>52</v>
      </c>
      <c r="G2037">
        <v>1501</v>
      </c>
      <c r="H2037">
        <v>502</v>
      </c>
      <c r="I2037" s="8">
        <f t="shared" si="187"/>
        <v>0.33444370419720187</v>
      </c>
      <c r="J2037" s="17">
        <v>0.7</v>
      </c>
      <c r="K2037" s="12">
        <v>13.75</v>
      </c>
      <c r="L2037" s="2">
        <f t="shared" si="190"/>
        <v>548.69999999999982</v>
      </c>
      <c r="M2037" s="15">
        <f t="shared" si="188"/>
        <v>7544.6249999999973</v>
      </c>
      <c r="N2037" t="str">
        <f t="shared" si="185"/>
        <v>DF</v>
      </c>
      <c r="O2037" t="str">
        <f t="shared" si="186"/>
        <v>Brasília</v>
      </c>
    </row>
    <row r="2038" spans="1:15" x14ac:dyDescent="0.3">
      <c r="A2038" s="10">
        <v>45962</v>
      </c>
      <c r="B2038" s="9" t="s">
        <v>3</v>
      </c>
      <c r="C2038" t="s">
        <v>248</v>
      </c>
      <c r="D2038" s="9">
        <v>19716</v>
      </c>
      <c r="E2038" s="5" t="s">
        <v>461</v>
      </c>
      <c r="F2038" t="s">
        <v>262</v>
      </c>
      <c r="G2038">
        <v>1669</v>
      </c>
      <c r="H2038">
        <v>652</v>
      </c>
      <c r="I2038" s="8">
        <f t="shared" si="187"/>
        <v>0.39065308568004792</v>
      </c>
      <c r="J2038" s="17">
        <v>0.7</v>
      </c>
      <c r="K2038" s="12">
        <v>13.75</v>
      </c>
      <c r="L2038" s="2">
        <f t="shared" si="190"/>
        <v>516.29999999999995</v>
      </c>
      <c r="M2038" s="15">
        <f t="shared" si="188"/>
        <v>7099.1249999999991</v>
      </c>
      <c r="N2038" t="str">
        <f t="shared" si="185"/>
        <v>SP</v>
      </c>
      <c r="O2038" t="str">
        <f t="shared" si="186"/>
        <v>São Paulo</v>
      </c>
    </row>
    <row r="2039" spans="1:15" x14ac:dyDescent="0.3">
      <c r="A2039" s="10">
        <v>45962</v>
      </c>
      <c r="B2039" s="9" t="s">
        <v>3</v>
      </c>
      <c r="C2039" t="s">
        <v>17</v>
      </c>
      <c r="D2039" s="9">
        <v>19715</v>
      </c>
      <c r="E2039" s="5" t="s">
        <v>462</v>
      </c>
      <c r="F2039" t="s">
        <v>18</v>
      </c>
      <c r="G2039">
        <v>1884</v>
      </c>
      <c r="H2039">
        <v>1006</v>
      </c>
      <c r="I2039" s="8">
        <f t="shared" si="187"/>
        <v>0.53397027600849256</v>
      </c>
      <c r="J2039" s="17">
        <v>0.7</v>
      </c>
      <c r="K2039" s="12">
        <v>13.75</v>
      </c>
      <c r="L2039" s="2">
        <f t="shared" si="190"/>
        <v>312.79999999999995</v>
      </c>
      <c r="M2039" s="15">
        <f t="shared" si="188"/>
        <v>4300.9999999999991</v>
      </c>
      <c r="N2039" t="str">
        <f t="shared" si="185"/>
        <v>SP</v>
      </c>
      <c r="O2039" t="str">
        <f t="shared" si="186"/>
        <v>Atibaia</v>
      </c>
    </row>
    <row r="2040" spans="1:15" x14ac:dyDescent="0.3">
      <c r="A2040" s="10">
        <v>45962</v>
      </c>
      <c r="B2040" s="9" t="s">
        <v>21</v>
      </c>
      <c r="C2040" t="s">
        <v>324</v>
      </c>
      <c r="D2040" s="9">
        <v>19736</v>
      </c>
      <c r="E2040" s="5" t="s">
        <v>464</v>
      </c>
      <c r="F2040" t="s">
        <v>295</v>
      </c>
      <c r="G2040">
        <v>4127</v>
      </c>
      <c r="H2040">
        <v>1538</v>
      </c>
      <c r="I2040" s="8">
        <f t="shared" si="187"/>
        <v>0.37266779743154832</v>
      </c>
      <c r="J2040" s="17">
        <v>0.7</v>
      </c>
      <c r="K2040" s="12">
        <v>13.75</v>
      </c>
      <c r="L2040" s="2">
        <f t="shared" si="190"/>
        <v>1350.9</v>
      </c>
      <c r="M2040" s="15">
        <f t="shared" si="188"/>
        <v>18574.875</v>
      </c>
      <c r="N2040" t="str">
        <f t="shared" si="185"/>
        <v>BA</v>
      </c>
      <c r="O2040" t="str">
        <f t="shared" si="186"/>
        <v>Vitória da Conquista</v>
      </c>
    </row>
    <row r="2041" spans="1:15" x14ac:dyDescent="0.3">
      <c r="A2041" s="10">
        <v>45962</v>
      </c>
      <c r="B2041" s="9" t="s">
        <v>21</v>
      </c>
      <c r="C2041" t="s">
        <v>228</v>
      </c>
      <c r="D2041" s="9">
        <v>19740</v>
      </c>
      <c r="E2041" s="5" t="s">
        <v>465</v>
      </c>
      <c r="F2041" t="s">
        <v>229</v>
      </c>
      <c r="G2041">
        <v>2530</v>
      </c>
      <c r="H2041">
        <v>768</v>
      </c>
      <c r="I2041" s="8">
        <f t="shared" si="187"/>
        <v>0.30355731225296445</v>
      </c>
      <c r="J2041" s="17">
        <v>0.7</v>
      </c>
      <c r="K2041" s="12">
        <v>13.75</v>
      </c>
      <c r="L2041" s="2">
        <f t="shared" si="190"/>
        <v>1002.9999999999995</v>
      </c>
      <c r="M2041" s="15">
        <f t="shared" si="188"/>
        <v>13791.249999999995</v>
      </c>
      <c r="N2041" t="str">
        <f t="shared" si="185"/>
        <v>BA</v>
      </c>
      <c r="O2041" t="str">
        <f t="shared" si="186"/>
        <v>Salvador</v>
      </c>
    </row>
    <row r="2042" spans="1:15" x14ac:dyDescent="0.3">
      <c r="A2042" s="10">
        <v>45962</v>
      </c>
      <c r="B2042" s="9" t="s">
        <v>21</v>
      </c>
      <c r="C2042" t="s">
        <v>317</v>
      </c>
      <c r="D2042" s="9">
        <v>19738</v>
      </c>
      <c r="E2042" s="5" t="s">
        <v>466</v>
      </c>
      <c r="F2042" t="s">
        <v>118</v>
      </c>
      <c r="G2042">
        <v>4717</v>
      </c>
      <c r="H2042">
        <v>2471</v>
      </c>
      <c r="I2042" s="8">
        <f t="shared" si="187"/>
        <v>0.52384990460038161</v>
      </c>
      <c r="J2042" s="17">
        <v>0.7</v>
      </c>
      <c r="K2042" s="12">
        <v>13.75</v>
      </c>
      <c r="L2042" s="2">
        <f t="shared" si="190"/>
        <v>830.89999999999964</v>
      </c>
      <c r="M2042" s="15">
        <f t="shared" si="188"/>
        <v>11424.874999999995</v>
      </c>
      <c r="N2042" t="str">
        <f t="shared" si="185"/>
        <v>BA</v>
      </c>
      <c r="O2042" t="str">
        <f t="shared" si="186"/>
        <v>Lauro de Freitas</v>
      </c>
    </row>
    <row r="2043" spans="1:15" x14ac:dyDescent="0.3">
      <c r="A2043" s="10">
        <v>45962</v>
      </c>
      <c r="B2043" s="9" t="s">
        <v>129</v>
      </c>
      <c r="C2043" t="s">
        <v>130</v>
      </c>
      <c r="D2043" s="9">
        <v>19742</v>
      </c>
      <c r="E2043" s="5" t="s">
        <v>467</v>
      </c>
      <c r="F2043" t="s">
        <v>131</v>
      </c>
      <c r="G2043">
        <v>1589</v>
      </c>
      <c r="H2043">
        <v>715</v>
      </c>
      <c r="I2043" s="8">
        <f t="shared" si="187"/>
        <v>0.44996853366897421</v>
      </c>
      <c r="J2043" s="17">
        <v>0.7</v>
      </c>
      <c r="K2043" s="12">
        <v>13.75</v>
      </c>
      <c r="L2043" s="2">
        <f t="shared" si="190"/>
        <v>397.29999999999973</v>
      </c>
      <c r="M2043" s="15">
        <f t="shared" si="188"/>
        <v>5462.8749999999964</v>
      </c>
      <c r="N2043" t="str">
        <f t="shared" si="185"/>
        <v>AM</v>
      </c>
      <c r="O2043" t="str">
        <f t="shared" si="186"/>
        <v>Manaus</v>
      </c>
    </row>
    <row r="2044" spans="1:15" x14ac:dyDescent="0.3">
      <c r="A2044" s="10">
        <v>45962</v>
      </c>
      <c r="B2044" s="9" t="s">
        <v>129</v>
      </c>
      <c r="C2044" t="s">
        <v>130</v>
      </c>
      <c r="D2044" s="9">
        <v>19785</v>
      </c>
      <c r="E2044" s="5" t="s">
        <v>468</v>
      </c>
      <c r="F2044" t="s">
        <v>132</v>
      </c>
      <c r="G2044">
        <v>1829</v>
      </c>
      <c r="H2044">
        <v>895</v>
      </c>
      <c r="I2044" s="8">
        <f t="shared" si="187"/>
        <v>0.48933843630399126</v>
      </c>
      <c r="J2044" s="17">
        <v>0.7</v>
      </c>
      <c r="K2044" s="12">
        <v>13.75</v>
      </c>
      <c r="L2044" s="2">
        <f t="shared" si="190"/>
        <v>385.29999999999995</v>
      </c>
      <c r="M2044" s="15">
        <f t="shared" si="188"/>
        <v>5297.8749999999991</v>
      </c>
      <c r="N2044" t="str">
        <f t="shared" si="185"/>
        <v>AM</v>
      </c>
      <c r="O2044" t="str">
        <f t="shared" si="186"/>
        <v>Manaus</v>
      </c>
    </row>
    <row r="2045" spans="1:15" x14ac:dyDescent="0.3">
      <c r="A2045" s="10">
        <v>45962</v>
      </c>
      <c r="B2045" s="9" t="s">
        <v>129</v>
      </c>
      <c r="C2045" t="s">
        <v>130</v>
      </c>
      <c r="D2045" s="9">
        <v>19843</v>
      </c>
      <c r="E2045" s="5" t="s">
        <v>469</v>
      </c>
      <c r="F2045" t="s">
        <v>133</v>
      </c>
      <c r="G2045">
        <v>1496</v>
      </c>
      <c r="H2045">
        <v>697</v>
      </c>
      <c r="I2045" s="8">
        <f t="shared" si="187"/>
        <v>0.46590909090909088</v>
      </c>
      <c r="J2045" s="17">
        <v>0.7</v>
      </c>
      <c r="K2045" s="12">
        <v>13.75</v>
      </c>
      <c r="L2045" s="2">
        <f t="shared" si="190"/>
        <v>350.20000000000005</v>
      </c>
      <c r="M2045" s="15">
        <f t="shared" si="188"/>
        <v>4815.2500000000009</v>
      </c>
      <c r="N2045" t="str">
        <f t="shared" si="185"/>
        <v>AM</v>
      </c>
      <c r="O2045" t="str">
        <f t="shared" si="186"/>
        <v>Manaus</v>
      </c>
    </row>
    <row r="2046" spans="1:15" x14ac:dyDescent="0.3">
      <c r="A2046" s="10">
        <v>45962</v>
      </c>
      <c r="B2046" s="9" t="s">
        <v>129</v>
      </c>
      <c r="C2046" t="s">
        <v>130</v>
      </c>
      <c r="D2046" s="9">
        <v>19879</v>
      </c>
      <c r="E2046" s="5" t="s">
        <v>470</v>
      </c>
      <c r="F2046" t="s">
        <v>134</v>
      </c>
      <c r="G2046">
        <v>1485</v>
      </c>
      <c r="H2046">
        <v>800</v>
      </c>
      <c r="I2046" s="8">
        <f t="shared" si="187"/>
        <v>0.53872053872053871</v>
      </c>
      <c r="J2046" s="17">
        <v>0.7</v>
      </c>
      <c r="K2046" s="12">
        <v>13.75</v>
      </c>
      <c r="L2046" s="2">
        <f t="shared" si="190"/>
        <v>239.5</v>
      </c>
      <c r="M2046" s="15">
        <f t="shared" si="188"/>
        <v>3293.125</v>
      </c>
      <c r="N2046" t="str">
        <f t="shared" si="185"/>
        <v>AM</v>
      </c>
      <c r="O2046" t="str">
        <f t="shared" si="186"/>
        <v>Manaus</v>
      </c>
    </row>
    <row r="2047" spans="1:15" x14ac:dyDescent="0.3">
      <c r="A2047" s="10">
        <v>45962</v>
      </c>
      <c r="B2047" s="9" t="s">
        <v>89</v>
      </c>
      <c r="C2047" t="s">
        <v>313</v>
      </c>
      <c r="D2047" s="9">
        <v>19735</v>
      </c>
      <c r="E2047" s="5" t="s">
        <v>471</v>
      </c>
      <c r="F2047" t="s">
        <v>90</v>
      </c>
      <c r="G2047">
        <v>1324</v>
      </c>
      <c r="H2047">
        <v>532</v>
      </c>
      <c r="I2047" s="8">
        <f t="shared" si="187"/>
        <v>0.40181268882175225</v>
      </c>
      <c r="J2047" s="17">
        <v>0.7</v>
      </c>
      <c r="K2047" s="12">
        <v>13.75</v>
      </c>
      <c r="L2047" s="2">
        <f t="shared" si="190"/>
        <v>394.79999999999995</v>
      </c>
      <c r="M2047" s="15">
        <f t="shared" si="188"/>
        <v>5428.4999999999991</v>
      </c>
      <c r="N2047" t="str">
        <f t="shared" si="185"/>
        <v>CE</v>
      </c>
      <c r="O2047" t="str">
        <f t="shared" si="186"/>
        <v>FORTALEZA</v>
      </c>
    </row>
    <row r="2048" spans="1:15" x14ac:dyDescent="0.3">
      <c r="A2048" s="10">
        <v>45962</v>
      </c>
      <c r="B2048" s="9" t="s">
        <v>89</v>
      </c>
      <c r="C2048" t="s">
        <v>313</v>
      </c>
      <c r="D2048" s="9">
        <v>19607</v>
      </c>
      <c r="E2048" s="5" t="s">
        <v>472</v>
      </c>
      <c r="F2048" t="s">
        <v>91</v>
      </c>
      <c r="G2048">
        <v>1835</v>
      </c>
      <c r="H2048">
        <v>631</v>
      </c>
      <c r="I2048" s="8">
        <f t="shared" si="187"/>
        <v>0.34386920980926433</v>
      </c>
      <c r="J2048" s="17">
        <v>0.7</v>
      </c>
      <c r="K2048" s="12">
        <v>13.75</v>
      </c>
      <c r="L2048" s="2">
        <f t="shared" si="190"/>
        <v>653.49999999999977</v>
      </c>
      <c r="M2048" s="15">
        <f t="shared" si="188"/>
        <v>8985.6249999999964</v>
      </c>
      <c r="N2048" t="str">
        <f t="shared" si="185"/>
        <v>CE</v>
      </c>
      <c r="O2048" t="str">
        <f t="shared" si="186"/>
        <v>FORTALEZA</v>
      </c>
    </row>
    <row r="2049" spans="1:15" x14ac:dyDescent="0.3">
      <c r="A2049" s="10">
        <v>45962</v>
      </c>
      <c r="B2049" s="9" t="s">
        <v>89</v>
      </c>
      <c r="C2049" t="s">
        <v>313</v>
      </c>
      <c r="D2049" s="9">
        <v>19642</v>
      </c>
      <c r="E2049" s="5" t="s">
        <v>473</v>
      </c>
      <c r="F2049" t="s">
        <v>92</v>
      </c>
      <c r="G2049">
        <v>1648</v>
      </c>
      <c r="H2049">
        <v>693</v>
      </c>
      <c r="I2049" s="8">
        <f t="shared" si="187"/>
        <v>0.42050970873786409</v>
      </c>
      <c r="J2049" s="17">
        <v>0.7</v>
      </c>
      <c r="K2049" s="12">
        <v>13.75</v>
      </c>
      <c r="L2049" s="2">
        <f t="shared" si="190"/>
        <v>460.59999999999991</v>
      </c>
      <c r="M2049" s="15">
        <f t="shared" si="188"/>
        <v>6333.2499999999991</v>
      </c>
      <c r="N2049" t="str">
        <f t="shared" si="185"/>
        <v>CE</v>
      </c>
      <c r="O2049" t="str">
        <f t="shared" si="186"/>
        <v>FORTALEZA</v>
      </c>
    </row>
    <row r="2050" spans="1:15" x14ac:dyDescent="0.3">
      <c r="A2050" s="10">
        <v>45962</v>
      </c>
      <c r="B2050" s="9" t="s">
        <v>89</v>
      </c>
      <c r="C2050" t="s">
        <v>313</v>
      </c>
      <c r="D2050" s="9">
        <v>19725</v>
      </c>
      <c r="E2050" s="5" t="s">
        <v>474</v>
      </c>
      <c r="F2050" t="s">
        <v>93</v>
      </c>
      <c r="G2050">
        <v>1269</v>
      </c>
      <c r="H2050">
        <v>496</v>
      </c>
      <c r="I2050" s="8">
        <f t="shared" si="187"/>
        <v>0.39085894405043342</v>
      </c>
      <c r="J2050" s="17">
        <v>0.7</v>
      </c>
      <c r="K2050" s="12">
        <v>13.75</v>
      </c>
      <c r="L2050" s="2">
        <f t="shared" si="190"/>
        <v>392.29999999999995</v>
      </c>
      <c r="M2050" s="15">
        <f t="shared" si="188"/>
        <v>5394.1249999999991</v>
      </c>
      <c r="N2050" t="str">
        <f t="shared" ref="N2050:N2113" si="191">B2050</f>
        <v>CE</v>
      </c>
      <c r="O2050" t="str">
        <f t="shared" ref="O2050:O2113" si="192">C2050</f>
        <v>FORTALEZA</v>
      </c>
    </row>
    <row r="2051" spans="1:15" x14ac:dyDescent="0.3">
      <c r="A2051" s="10">
        <v>45962</v>
      </c>
      <c r="B2051" s="9" t="s">
        <v>89</v>
      </c>
      <c r="C2051" t="s">
        <v>313</v>
      </c>
      <c r="D2051" s="9">
        <v>19902</v>
      </c>
      <c r="E2051" s="5" t="s">
        <v>475</v>
      </c>
      <c r="F2051" t="s">
        <v>94</v>
      </c>
      <c r="G2051">
        <v>1748</v>
      </c>
      <c r="H2051">
        <v>799</v>
      </c>
      <c r="I2051" s="8">
        <f t="shared" ref="I2051:I2114" si="193">H2051/G2051</f>
        <v>0.45709382151029748</v>
      </c>
      <c r="J2051" s="17">
        <v>0.7</v>
      </c>
      <c r="K2051" s="12">
        <v>13.75</v>
      </c>
      <c r="L2051" s="2">
        <f t="shared" si="190"/>
        <v>424.59999999999991</v>
      </c>
      <c r="M2051" s="15">
        <f t="shared" ref="M2051:M2114" si="194">L2051*K2051</f>
        <v>5838.2499999999991</v>
      </c>
      <c r="N2051" t="str">
        <f t="shared" si="191"/>
        <v>CE</v>
      </c>
      <c r="O2051" t="str">
        <f t="shared" si="192"/>
        <v>FORTALEZA</v>
      </c>
    </row>
    <row r="2052" spans="1:15" x14ac:dyDescent="0.3">
      <c r="A2052" s="10">
        <v>45962</v>
      </c>
      <c r="B2052" s="9" t="s">
        <v>89</v>
      </c>
      <c r="C2052" t="s">
        <v>313</v>
      </c>
      <c r="D2052" s="9">
        <v>19903</v>
      </c>
      <c r="E2052" s="5" t="s">
        <v>476</v>
      </c>
      <c r="F2052" t="s">
        <v>95</v>
      </c>
      <c r="G2052">
        <v>1853</v>
      </c>
      <c r="H2052">
        <v>1036</v>
      </c>
      <c r="I2052" s="8">
        <f t="shared" si="193"/>
        <v>0.55909336211548843</v>
      </c>
      <c r="J2052" s="17">
        <v>0.7</v>
      </c>
      <c r="K2052" s="12">
        <v>13.75</v>
      </c>
      <c r="L2052" s="2">
        <f t="shared" si="190"/>
        <v>261.09999999999968</v>
      </c>
      <c r="M2052" s="15">
        <f t="shared" si="194"/>
        <v>3590.1249999999955</v>
      </c>
      <c r="N2052" t="str">
        <f t="shared" si="191"/>
        <v>CE</v>
      </c>
      <c r="O2052" t="str">
        <f t="shared" si="192"/>
        <v>FORTALEZA</v>
      </c>
    </row>
    <row r="2053" spans="1:15" x14ac:dyDescent="0.3">
      <c r="A2053" s="10">
        <v>45962</v>
      </c>
      <c r="B2053" s="9" t="s">
        <v>82</v>
      </c>
      <c r="C2053" t="s">
        <v>135</v>
      </c>
      <c r="D2053" s="9">
        <v>19749</v>
      </c>
      <c r="E2053" s="5" t="s">
        <v>477</v>
      </c>
      <c r="F2053" t="s">
        <v>136</v>
      </c>
      <c r="G2053">
        <v>1549</v>
      </c>
      <c r="H2053">
        <v>552</v>
      </c>
      <c r="I2053" s="8">
        <f t="shared" si="193"/>
        <v>0.3563589412524209</v>
      </c>
      <c r="J2053" s="17">
        <v>0.7</v>
      </c>
      <c r="K2053" s="12">
        <v>13.75</v>
      </c>
      <c r="L2053" s="2">
        <f t="shared" si="190"/>
        <v>532.29999999999995</v>
      </c>
      <c r="M2053" s="15">
        <f t="shared" si="194"/>
        <v>7319.1249999999991</v>
      </c>
      <c r="N2053" t="str">
        <f t="shared" si="191"/>
        <v>PR</v>
      </c>
      <c r="O2053" t="str">
        <f t="shared" si="192"/>
        <v>Maringá</v>
      </c>
    </row>
    <row r="2054" spans="1:15" x14ac:dyDescent="0.3">
      <c r="A2054" s="10">
        <v>45962</v>
      </c>
      <c r="B2054" s="9" t="s">
        <v>82</v>
      </c>
      <c r="C2054" t="s">
        <v>83</v>
      </c>
      <c r="D2054" s="9">
        <v>19545</v>
      </c>
      <c r="E2054" s="5" t="s">
        <v>478</v>
      </c>
      <c r="F2054" t="s">
        <v>84</v>
      </c>
      <c r="G2054">
        <v>3105</v>
      </c>
      <c r="H2054">
        <v>1174</v>
      </c>
      <c r="I2054" s="8">
        <f t="shared" si="193"/>
        <v>0.37809983896940419</v>
      </c>
      <c r="J2054" s="17">
        <v>0.7</v>
      </c>
      <c r="K2054" s="12">
        <v>13.75</v>
      </c>
      <c r="L2054" s="2">
        <f t="shared" si="190"/>
        <v>999.5</v>
      </c>
      <c r="M2054" s="15">
        <f t="shared" si="194"/>
        <v>13743.125</v>
      </c>
      <c r="N2054" t="str">
        <f t="shared" si="191"/>
        <v>PR</v>
      </c>
      <c r="O2054" t="str">
        <f t="shared" si="192"/>
        <v>Curitiba</v>
      </c>
    </row>
    <row r="2055" spans="1:15" x14ac:dyDescent="0.3">
      <c r="A2055" s="10">
        <v>45962</v>
      </c>
      <c r="B2055" s="9" t="s">
        <v>82</v>
      </c>
      <c r="C2055" t="s">
        <v>83</v>
      </c>
      <c r="D2055" s="9">
        <v>19546</v>
      </c>
      <c r="E2055" s="5" t="s">
        <v>479</v>
      </c>
      <c r="F2055" t="s">
        <v>85</v>
      </c>
      <c r="G2055">
        <v>2315</v>
      </c>
      <c r="H2055">
        <v>798</v>
      </c>
      <c r="I2055" s="8">
        <f t="shared" si="193"/>
        <v>0.34470842332613388</v>
      </c>
      <c r="J2055" s="17">
        <v>0.7</v>
      </c>
      <c r="K2055" s="12">
        <v>13.75</v>
      </c>
      <c r="L2055" s="2">
        <f t="shared" si="190"/>
        <v>822.49999999999977</v>
      </c>
      <c r="M2055" s="15">
        <f t="shared" si="194"/>
        <v>11309.374999999996</v>
      </c>
      <c r="N2055" t="str">
        <f t="shared" si="191"/>
        <v>PR</v>
      </c>
      <c r="O2055" t="str">
        <f t="shared" si="192"/>
        <v>Curitiba</v>
      </c>
    </row>
    <row r="2056" spans="1:15" x14ac:dyDescent="0.3">
      <c r="A2056" s="10">
        <v>45962</v>
      </c>
      <c r="B2056" s="9" t="s">
        <v>3</v>
      </c>
      <c r="C2056" t="s">
        <v>248</v>
      </c>
      <c r="D2056" s="9">
        <v>19753</v>
      </c>
      <c r="E2056" s="5" t="s">
        <v>483</v>
      </c>
      <c r="F2056" t="s">
        <v>265</v>
      </c>
      <c r="G2056">
        <v>2667</v>
      </c>
      <c r="H2056">
        <v>982</v>
      </c>
      <c r="I2056" s="8">
        <f t="shared" si="193"/>
        <v>0.36820397450318709</v>
      </c>
      <c r="J2056" s="17">
        <v>0.7</v>
      </c>
      <c r="K2056" s="12">
        <v>13.75</v>
      </c>
      <c r="L2056" s="2">
        <f t="shared" si="190"/>
        <v>884.90000000000009</v>
      </c>
      <c r="M2056" s="15">
        <f t="shared" si="194"/>
        <v>12167.375000000002</v>
      </c>
      <c r="N2056" t="str">
        <f t="shared" si="191"/>
        <v>SP</v>
      </c>
      <c r="O2056" t="str">
        <f t="shared" si="192"/>
        <v>São Paulo</v>
      </c>
    </row>
    <row r="2057" spans="1:15" x14ac:dyDescent="0.3">
      <c r="A2057" s="10">
        <v>45962</v>
      </c>
      <c r="B2057" s="9" t="s">
        <v>7</v>
      </c>
      <c r="C2057" t="s">
        <v>99</v>
      </c>
      <c r="D2057" s="9">
        <v>19754</v>
      </c>
      <c r="E2057" s="5" t="s">
        <v>484</v>
      </c>
      <c r="F2057" t="s">
        <v>101</v>
      </c>
      <c r="G2057">
        <v>3042</v>
      </c>
      <c r="H2057">
        <v>1262</v>
      </c>
      <c r="I2057" s="8">
        <f t="shared" si="193"/>
        <v>0.41485864562787639</v>
      </c>
      <c r="J2057" s="17">
        <v>0.7</v>
      </c>
      <c r="K2057" s="12">
        <v>13.75</v>
      </c>
      <c r="L2057" s="2">
        <f t="shared" si="190"/>
        <v>867.40000000000009</v>
      </c>
      <c r="M2057" s="15">
        <f t="shared" si="194"/>
        <v>11926.750000000002</v>
      </c>
      <c r="N2057" t="str">
        <f t="shared" si="191"/>
        <v>GO</v>
      </c>
      <c r="O2057" t="str">
        <f t="shared" si="192"/>
        <v>Goiânia</v>
      </c>
    </row>
    <row r="2058" spans="1:15" x14ac:dyDescent="0.3">
      <c r="A2058" s="10">
        <v>45962</v>
      </c>
      <c r="B2058" s="9" t="s">
        <v>195</v>
      </c>
      <c r="C2058" t="s">
        <v>196</v>
      </c>
      <c r="D2058" s="9">
        <v>19762</v>
      </c>
      <c r="E2058" s="5" t="s">
        <v>486</v>
      </c>
      <c r="F2058" t="s">
        <v>197</v>
      </c>
      <c r="G2058">
        <v>1396</v>
      </c>
      <c r="H2058">
        <v>732</v>
      </c>
      <c r="I2058" s="8">
        <f t="shared" si="193"/>
        <v>0.52435530085959881</v>
      </c>
      <c r="J2058" s="17">
        <v>0.7</v>
      </c>
      <c r="K2058" s="12">
        <v>13.75</v>
      </c>
      <c r="L2058" s="2">
        <f t="shared" si="190"/>
        <v>245.20000000000005</v>
      </c>
      <c r="M2058" s="15">
        <f t="shared" si="194"/>
        <v>3371.5000000000005</v>
      </c>
      <c r="N2058" t="str">
        <f t="shared" si="191"/>
        <v>AC</v>
      </c>
      <c r="O2058" t="str">
        <f t="shared" si="192"/>
        <v>Rio Branco</v>
      </c>
    </row>
    <row r="2059" spans="1:15" x14ac:dyDescent="0.3">
      <c r="A2059" s="10">
        <v>45962</v>
      </c>
      <c r="B2059" s="9" t="s">
        <v>15</v>
      </c>
      <c r="C2059" t="s">
        <v>312</v>
      </c>
      <c r="D2059" s="9">
        <v>19687</v>
      </c>
      <c r="E2059" s="5" t="s">
        <v>488</v>
      </c>
      <c r="F2059" t="s">
        <v>88</v>
      </c>
      <c r="G2059">
        <v>2378</v>
      </c>
      <c r="H2059">
        <v>1906</v>
      </c>
      <c r="I2059" s="8">
        <f t="shared" si="193"/>
        <v>0.80151387720773759</v>
      </c>
      <c r="J2059" s="17">
        <v>0.7</v>
      </c>
      <c r="K2059" s="12">
        <v>13.75</v>
      </c>
      <c r="L2059" s="2">
        <f>G2059-H2059</f>
        <v>472</v>
      </c>
      <c r="M2059" s="15">
        <f t="shared" si="194"/>
        <v>6490</v>
      </c>
      <c r="N2059" t="str">
        <f t="shared" si="191"/>
        <v>RJ</v>
      </c>
      <c r="O2059" t="str">
        <f t="shared" si="192"/>
        <v>Duque de Caxias</v>
      </c>
    </row>
    <row r="2060" spans="1:15" x14ac:dyDescent="0.3">
      <c r="A2060" s="10">
        <v>45962</v>
      </c>
      <c r="B2060" s="9" t="s">
        <v>21</v>
      </c>
      <c r="C2060" t="s">
        <v>181</v>
      </c>
      <c r="D2060" s="9">
        <v>19778</v>
      </c>
      <c r="E2060" s="5" t="s">
        <v>489</v>
      </c>
      <c r="F2060" t="s">
        <v>182</v>
      </c>
      <c r="G2060">
        <v>1489</v>
      </c>
      <c r="H2060">
        <v>837</v>
      </c>
      <c r="I2060" s="8">
        <f t="shared" si="193"/>
        <v>0.56212222968435188</v>
      </c>
      <c r="J2060" s="17">
        <v>0.7</v>
      </c>
      <c r="K2060" s="12">
        <v>13.75</v>
      </c>
      <c r="L2060" s="2">
        <f t="shared" ref="L2060:L2099" si="195">H2060*J2060/I2060-H2060</f>
        <v>205.29999999999995</v>
      </c>
      <c r="M2060" s="15">
        <f t="shared" si="194"/>
        <v>2822.8749999999995</v>
      </c>
      <c r="N2060" t="str">
        <f t="shared" si="191"/>
        <v>BA</v>
      </c>
      <c r="O2060" t="str">
        <f t="shared" si="192"/>
        <v>Porto Seguro</v>
      </c>
    </row>
    <row r="2061" spans="1:15" x14ac:dyDescent="0.3">
      <c r="A2061" s="10">
        <v>45962</v>
      </c>
      <c r="B2061" s="9" t="s">
        <v>40</v>
      </c>
      <c r="C2061" t="s">
        <v>41</v>
      </c>
      <c r="D2061" s="9">
        <v>19787</v>
      </c>
      <c r="E2061" s="5" t="s">
        <v>492</v>
      </c>
      <c r="F2061" t="s">
        <v>42</v>
      </c>
      <c r="G2061">
        <v>1153</v>
      </c>
      <c r="H2061">
        <v>661</v>
      </c>
      <c r="I2061" s="8">
        <f t="shared" si="193"/>
        <v>0.57328707718993932</v>
      </c>
      <c r="J2061" s="17">
        <v>0.7</v>
      </c>
      <c r="K2061" s="12">
        <v>13.75</v>
      </c>
      <c r="L2061" s="2">
        <f t="shared" si="195"/>
        <v>146.09999999999991</v>
      </c>
      <c r="M2061" s="15">
        <f t="shared" si="194"/>
        <v>2008.8749999999986</v>
      </c>
      <c r="N2061" t="str">
        <f t="shared" si="191"/>
        <v>RR</v>
      </c>
      <c r="O2061" t="str">
        <f t="shared" si="192"/>
        <v>Boa Vista</v>
      </c>
    </row>
    <row r="2062" spans="1:15" x14ac:dyDescent="0.3">
      <c r="A2062" s="10">
        <v>45962</v>
      </c>
      <c r="B2062" s="9" t="s">
        <v>71</v>
      </c>
      <c r="C2062" t="s">
        <v>175</v>
      </c>
      <c r="D2062" s="9">
        <v>19788</v>
      </c>
      <c r="E2062" s="5" t="s">
        <v>495</v>
      </c>
      <c r="F2062" t="s">
        <v>177</v>
      </c>
      <c r="G2062">
        <v>4772</v>
      </c>
      <c r="H2062">
        <v>1507</v>
      </c>
      <c r="I2062" s="8">
        <f t="shared" si="193"/>
        <v>0.31580050293378037</v>
      </c>
      <c r="J2062" s="17">
        <v>0.7</v>
      </c>
      <c r="K2062" s="12">
        <v>13.75</v>
      </c>
      <c r="L2062" s="2">
        <f t="shared" si="195"/>
        <v>1833.3999999999996</v>
      </c>
      <c r="M2062" s="15">
        <f t="shared" si="194"/>
        <v>25209.249999999996</v>
      </c>
      <c r="N2062" t="str">
        <f t="shared" si="191"/>
        <v>RS</v>
      </c>
      <c r="O2062" t="str">
        <f t="shared" si="192"/>
        <v>Porto Alegre</v>
      </c>
    </row>
    <row r="2063" spans="1:15" x14ac:dyDescent="0.3">
      <c r="A2063" s="10">
        <v>45962</v>
      </c>
      <c r="B2063" s="9" t="s">
        <v>21</v>
      </c>
      <c r="C2063" t="s">
        <v>228</v>
      </c>
      <c r="D2063" s="9">
        <v>19790</v>
      </c>
      <c r="E2063" s="5" t="s">
        <v>497</v>
      </c>
      <c r="F2063" t="s">
        <v>232</v>
      </c>
      <c r="G2063">
        <v>3511</v>
      </c>
      <c r="H2063">
        <v>1556</v>
      </c>
      <c r="I2063" s="8">
        <f t="shared" si="193"/>
        <v>0.44317858160068357</v>
      </c>
      <c r="J2063" s="17">
        <v>0.7</v>
      </c>
      <c r="K2063" s="12">
        <v>13.75</v>
      </c>
      <c r="L2063" s="2">
        <f t="shared" si="195"/>
        <v>901.69999999999936</v>
      </c>
      <c r="M2063" s="15">
        <f t="shared" si="194"/>
        <v>12398.374999999991</v>
      </c>
      <c r="N2063" t="str">
        <f t="shared" si="191"/>
        <v>BA</v>
      </c>
      <c r="O2063" t="str">
        <f t="shared" si="192"/>
        <v>Salvador</v>
      </c>
    </row>
    <row r="2064" spans="1:15" x14ac:dyDescent="0.3">
      <c r="A2064" s="10">
        <v>45962</v>
      </c>
      <c r="B2064" s="9" t="s">
        <v>71</v>
      </c>
      <c r="C2064" t="s">
        <v>175</v>
      </c>
      <c r="D2064" s="9">
        <v>19842</v>
      </c>
      <c r="E2064" s="5" t="s">
        <v>498</v>
      </c>
      <c r="F2064" t="s">
        <v>178</v>
      </c>
      <c r="G2064">
        <v>3472</v>
      </c>
      <c r="H2064">
        <v>1040</v>
      </c>
      <c r="I2064" s="8">
        <f t="shared" si="193"/>
        <v>0.29953917050691242</v>
      </c>
      <c r="J2064" s="17">
        <v>0.7</v>
      </c>
      <c r="K2064" s="12">
        <v>13.75</v>
      </c>
      <c r="L2064" s="2">
        <f t="shared" si="195"/>
        <v>1390.4</v>
      </c>
      <c r="M2064" s="15">
        <f t="shared" si="194"/>
        <v>19118</v>
      </c>
      <c r="N2064" t="str">
        <f t="shared" si="191"/>
        <v>RS</v>
      </c>
      <c r="O2064" t="str">
        <f t="shared" si="192"/>
        <v>Porto Alegre</v>
      </c>
    </row>
    <row r="2065" spans="1:15" x14ac:dyDescent="0.3">
      <c r="A2065" s="10">
        <v>45962</v>
      </c>
      <c r="B2065" s="9" t="s">
        <v>59</v>
      </c>
      <c r="C2065" t="s">
        <v>289</v>
      </c>
      <c r="D2065" s="9">
        <v>19876</v>
      </c>
      <c r="E2065" s="5" t="s">
        <v>502</v>
      </c>
      <c r="F2065" t="s">
        <v>291</v>
      </c>
      <c r="G2065">
        <v>2832</v>
      </c>
      <c r="H2065">
        <v>956</v>
      </c>
      <c r="I2065" s="8">
        <f t="shared" si="193"/>
        <v>0.33757062146892658</v>
      </c>
      <c r="J2065" s="17">
        <v>0.7</v>
      </c>
      <c r="K2065" s="12">
        <v>13.75</v>
      </c>
      <c r="L2065" s="2">
        <f t="shared" si="195"/>
        <v>1026.3999999999996</v>
      </c>
      <c r="M2065" s="15">
        <f t="shared" si="194"/>
        <v>14112.999999999995</v>
      </c>
      <c r="N2065" t="str">
        <f t="shared" si="191"/>
        <v>ES</v>
      </c>
      <c r="O2065" t="str">
        <f t="shared" si="192"/>
        <v>Vila Velha</v>
      </c>
    </row>
    <row r="2066" spans="1:15" x14ac:dyDescent="0.3">
      <c r="A2066" s="10">
        <v>45962</v>
      </c>
      <c r="B2066" s="9" t="s">
        <v>71</v>
      </c>
      <c r="C2066" t="s">
        <v>175</v>
      </c>
      <c r="D2066" s="9">
        <v>19874</v>
      </c>
      <c r="E2066" s="5" t="s">
        <v>504</v>
      </c>
      <c r="F2066" t="s">
        <v>179</v>
      </c>
      <c r="G2066">
        <v>3679</v>
      </c>
      <c r="H2066">
        <v>1232</v>
      </c>
      <c r="I2066" s="8">
        <f t="shared" si="193"/>
        <v>0.33487360695841262</v>
      </c>
      <c r="J2066" s="17">
        <v>0.7</v>
      </c>
      <c r="K2066" s="12">
        <v>13.75</v>
      </c>
      <c r="L2066" s="2">
        <f t="shared" si="195"/>
        <v>1343.2999999999997</v>
      </c>
      <c r="M2066" s="15">
        <f t="shared" si="194"/>
        <v>18470.374999999996</v>
      </c>
      <c r="N2066" t="str">
        <f t="shared" si="191"/>
        <v>RS</v>
      </c>
      <c r="O2066" t="str">
        <f t="shared" si="192"/>
        <v>Porto Alegre</v>
      </c>
    </row>
    <row r="2067" spans="1:15" x14ac:dyDescent="0.3">
      <c r="A2067" s="10">
        <v>45962</v>
      </c>
      <c r="B2067" s="9" t="s">
        <v>3</v>
      </c>
      <c r="C2067" t="s">
        <v>165</v>
      </c>
      <c r="D2067" s="9">
        <v>19761</v>
      </c>
      <c r="E2067" s="5" t="s">
        <v>505</v>
      </c>
      <c r="F2067" t="s">
        <v>166</v>
      </c>
      <c r="G2067">
        <v>1641</v>
      </c>
      <c r="H2067">
        <v>665</v>
      </c>
      <c r="I2067" s="8">
        <f t="shared" si="193"/>
        <v>0.40524070688604508</v>
      </c>
      <c r="J2067" s="17">
        <v>0.7</v>
      </c>
      <c r="K2067" s="12">
        <v>13.75</v>
      </c>
      <c r="L2067" s="2">
        <f t="shared" si="195"/>
        <v>483.69999999999982</v>
      </c>
      <c r="M2067" s="15">
        <f t="shared" si="194"/>
        <v>6650.8749999999973</v>
      </c>
      <c r="N2067" t="str">
        <f t="shared" si="191"/>
        <v>SP</v>
      </c>
      <c r="O2067" t="str">
        <f t="shared" si="192"/>
        <v>Paulínia</v>
      </c>
    </row>
    <row r="2068" spans="1:15" x14ac:dyDescent="0.3">
      <c r="A2068" s="10">
        <v>45962</v>
      </c>
      <c r="B2068" s="9" t="s">
        <v>46</v>
      </c>
      <c r="C2068" t="s">
        <v>47</v>
      </c>
      <c r="D2068" s="9">
        <v>19881</v>
      </c>
      <c r="E2068" s="5" t="s">
        <v>507</v>
      </c>
      <c r="F2068" t="s">
        <v>54</v>
      </c>
      <c r="G2068">
        <v>3407</v>
      </c>
      <c r="H2068">
        <v>1326</v>
      </c>
      <c r="I2068" s="8">
        <f t="shared" si="193"/>
        <v>0.38919870854123861</v>
      </c>
      <c r="J2068" s="17">
        <v>0.7</v>
      </c>
      <c r="K2068" s="12">
        <v>13.75</v>
      </c>
      <c r="L2068" s="2">
        <f t="shared" si="195"/>
        <v>1058.9000000000001</v>
      </c>
      <c r="M2068" s="15">
        <f t="shared" si="194"/>
        <v>14559.875000000002</v>
      </c>
      <c r="N2068" t="str">
        <f t="shared" si="191"/>
        <v>DF</v>
      </c>
      <c r="O2068" t="str">
        <f t="shared" si="192"/>
        <v>Brasília</v>
      </c>
    </row>
    <row r="2069" spans="1:15" x14ac:dyDescent="0.3">
      <c r="A2069" s="10">
        <v>45962</v>
      </c>
      <c r="B2069" s="9" t="s">
        <v>3</v>
      </c>
      <c r="C2069" t="s">
        <v>64</v>
      </c>
      <c r="D2069" s="9">
        <v>19696</v>
      </c>
      <c r="E2069" s="5" t="s">
        <v>508</v>
      </c>
      <c r="F2069" t="s">
        <v>65</v>
      </c>
      <c r="G2069">
        <v>1322</v>
      </c>
      <c r="H2069">
        <v>473</v>
      </c>
      <c r="I2069" s="8">
        <f t="shared" si="193"/>
        <v>0.35779122541603631</v>
      </c>
      <c r="J2069" s="17">
        <v>0.7</v>
      </c>
      <c r="K2069" s="12">
        <v>13.75</v>
      </c>
      <c r="L2069" s="2">
        <f t="shared" si="195"/>
        <v>452.39999999999986</v>
      </c>
      <c r="M2069" s="15">
        <f t="shared" si="194"/>
        <v>6220.4999999999982</v>
      </c>
      <c r="N2069" t="str">
        <f t="shared" si="191"/>
        <v>SP</v>
      </c>
      <c r="O2069" t="str">
        <f t="shared" si="192"/>
        <v>Campinas</v>
      </c>
    </row>
    <row r="2070" spans="1:15" x14ac:dyDescent="0.3">
      <c r="A2070" s="10">
        <v>45962</v>
      </c>
      <c r="B2070" s="9" t="s">
        <v>71</v>
      </c>
      <c r="C2070" t="s">
        <v>72</v>
      </c>
      <c r="D2070" s="9">
        <v>19883</v>
      </c>
      <c r="E2070" s="5" t="s">
        <v>509</v>
      </c>
      <c r="F2070" t="s">
        <v>73</v>
      </c>
      <c r="G2070">
        <v>2015</v>
      </c>
      <c r="H2070">
        <v>748</v>
      </c>
      <c r="I2070" s="8">
        <f t="shared" si="193"/>
        <v>0.37121588089330027</v>
      </c>
      <c r="J2070" s="17">
        <v>0.7</v>
      </c>
      <c r="K2070" s="12">
        <v>13.75</v>
      </c>
      <c r="L2070" s="2">
        <f t="shared" si="195"/>
        <v>662.5</v>
      </c>
      <c r="M2070" s="15">
        <f t="shared" si="194"/>
        <v>9109.375</v>
      </c>
      <c r="N2070" t="str">
        <f t="shared" si="191"/>
        <v>RS</v>
      </c>
      <c r="O2070" t="str">
        <f t="shared" si="192"/>
        <v>Canoas</v>
      </c>
    </row>
    <row r="2071" spans="1:15" x14ac:dyDescent="0.3">
      <c r="A2071" s="10">
        <v>45962</v>
      </c>
      <c r="B2071" s="9" t="s">
        <v>15</v>
      </c>
      <c r="C2071" t="s">
        <v>319</v>
      </c>
      <c r="D2071" s="9">
        <v>19514</v>
      </c>
      <c r="E2071" s="5" t="s">
        <v>510</v>
      </c>
      <c r="F2071" t="s">
        <v>221</v>
      </c>
      <c r="G2071">
        <v>3283</v>
      </c>
      <c r="H2071">
        <v>1096</v>
      </c>
      <c r="I2071" s="8">
        <f t="shared" si="193"/>
        <v>0.33384099908620163</v>
      </c>
      <c r="J2071" s="17">
        <v>0.7</v>
      </c>
      <c r="K2071" s="12">
        <v>13.75</v>
      </c>
      <c r="L2071" s="2">
        <f t="shared" si="195"/>
        <v>1202.0999999999999</v>
      </c>
      <c r="M2071" s="15">
        <f t="shared" si="194"/>
        <v>16528.875</v>
      </c>
      <c r="N2071" t="str">
        <f t="shared" si="191"/>
        <v>RJ</v>
      </c>
      <c r="O2071" t="str">
        <f t="shared" si="192"/>
        <v>Rio de Janeiro</v>
      </c>
    </row>
    <row r="2072" spans="1:15" x14ac:dyDescent="0.3">
      <c r="A2072" s="10">
        <v>45962</v>
      </c>
      <c r="B2072" s="9" t="s">
        <v>15</v>
      </c>
      <c r="C2072" t="s">
        <v>319</v>
      </c>
      <c r="D2072" s="9">
        <v>19600</v>
      </c>
      <c r="E2072" s="5" t="s">
        <v>511</v>
      </c>
      <c r="F2072" t="s">
        <v>222</v>
      </c>
      <c r="G2072">
        <v>2706</v>
      </c>
      <c r="H2072">
        <v>955</v>
      </c>
      <c r="I2072" s="8">
        <f t="shared" si="193"/>
        <v>0.35291943828529193</v>
      </c>
      <c r="J2072" s="17">
        <v>0.7</v>
      </c>
      <c r="K2072" s="12">
        <v>13.75</v>
      </c>
      <c r="L2072" s="2">
        <f t="shared" si="195"/>
        <v>939.2</v>
      </c>
      <c r="M2072" s="15">
        <f t="shared" si="194"/>
        <v>12914</v>
      </c>
      <c r="N2072" t="str">
        <f t="shared" si="191"/>
        <v>RJ</v>
      </c>
      <c r="O2072" t="str">
        <f t="shared" si="192"/>
        <v>Rio de Janeiro</v>
      </c>
    </row>
    <row r="2073" spans="1:15" x14ac:dyDescent="0.3">
      <c r="A2073" s="10">
        <v>45962</v>
      </c>
      <c r="B2073" s="9" t="s">
        <v>78</v>
      </c>
      <c r="C2073" t="s">
        <v>277</v>
      </c>
      <c r="D2073" s="9">
        <v>19896</v>
      </c>
      <c r="E2073" s="5" t="s">
        <v>512</v>
      </c>
      <c r="F2073" t="s">
        <v>278</v>
      </c>
      <c r="G2073">
        <v>1508</v>
      </c>
      <c r="H2073">
        <v>707</v>
      </c>
      <c r="I2073" s="8">
        <f t="shared" si="193"/>
        <v>0.46883289124668437</v>
      </c>
      <c r="J2073" s="17">
        <v>0.7</v>
      </c>
      <c r="K2073" s="12">
        <v>13.75</v>
      </c>
      <c r="L2073" s="2">
        <f t="shared" si="195"/>
        <v>348.59999999999991</v>
      </c>
      <c r="M2073" s="15">
        <f t="shared" si="194"/>
        <v>4793.2499999999991</v>
      </c>
      <c r="N2073" t="str">
        <f t="shared" si="191"/>
        <v>MT</v>
      </c>
      <c r="O2073" t="str">
        <f t="shared" si="192"/>
        <v>Sorriso</v>
      </c>
    </row>
    <row r="2074" spans="1:15" x14ac:dyDescent="0.3">
      <c r="A2074" s="10">
        <v>45962</v>
      </c>
      <c r="B2074" s="9" t="s">
        <v>14</v>
      </c>
      <c r="C2074" t="s">
        <v>287</v>
      </c>
      <c r="D2074" s="9">
        <v>19905</v>
      </c>
      <c r="E2074" s="5" t="s">
        <v>513</v>
      </c>
      <c r="F2074" t="s">
        <v>288</v>
      </c>
      <c r="G2074">
        <v>1295</v>
      </c>
      <c r="H2074">
        <v>554</v>
      </c>
      <c r="I2074" s="8">
        <f t="shared" si="193"/>
        <v>0.4277992277992278</v>
      </c>
      <c r="J2074" s="17">
        <v>0.7</v>
      </c>
      <c r="K2074" s="12">
        <v>13.75</v>
      </c>
      <c r="L2074" s="2">
        <f t="shared" si="195"/>
        <v>352.49999999999989</v>
      </c>
      <c r="M2074" s="15">
        <f t="shared" si="194"/>
        <v>4846.8749999999982</v>
      </c>
      <c r="N2074" t="str">
        <f t="shared" si="191"/>
        <v>MG</v>
      </c>
      <c r="O2074" t="str">
        <f t="shared" si="192"/>
        <v>Varginha</v>
      </c>
    </row>
    <row r="2075" spans="1:15" x14ac:dyDescent="0.3">
      <c r="A2075" s="10">
        <v>45962</v>
      </c>
      <c r="B2075" s="9" t="s">
        <v>3</v>
      </c>
      <c r="C2075" t="s">
        <v>12</v>
      </c>
      <c r="D2075" s="9">
        <v>19901</v>
      </c>
      <c r="E2075" s="5" t="s">
        <v>514</v>
      </c>
      <c r="F2075" t="s">
        <v>13</v>
      </c>
      <c r="G2075">
        <v>984</v>
      </c>
      <c r="H2075">
        <v>323</v>
      </c>
      <c r="I2075" s="8">
        <f t="shared" si="193"/>
        <v>0.3282520325203252</v>
      </c>
      <c r="J2075" s="17">
        <v>0.7</v>
      </c>
      <c r="K2075" s="12">
        <v>13.75</v>
      </c>
      <c r="L2075" s="2">
        <f t="shared" si="195"/>
        <v>365.79999999999995</v>
      </c>
      <c r="M2075" s="15">
        <f t="shared" si="194"/>
        <v>5029.7499999999991</v>
      </c>
      <c r="N2075" t="str">
        <f t="shared" si="191"/>
        <v>SP</v>
      </c>
      <c r="O2075" t="str">
        <f t="shared" si="192"/>
        <v>Araras</v>
      </c>
    </row>
    <row r="2076" spans="1:15" x14ac:dyDescent="0.3">
      <c r="A2076" s="10">
        <v>45962</v>
      </c>
      <c r="B2076" s="9" t="s">
        <v>14</v>
      </c>
      <c r="C2076" t="s">
        <v>137</v>
      </c>
      <c r="D2076" s="9">
        <v>19899</v>
      </c>
      <c r="E2076" s="5" t="s">
        <v>515</v>
      </c>
      <c r="F2076" t="s">
        <v>138</v>
      </c>
      <c r="G2076">
        <v>1420</v>
      </c>
      <c r="H2076">
        <v>630</v>
      </c>
      <c r="I2076" s="8">
        <f t="shared" si="193"/>
        <v>0.44366197183098594</v>
      </c>
      <c r="J2076" s="17">
        <v>0.7</v>
      </c>
      <c r="K2076" s="12">
        <v>13.75</v>
      </c>
      <c r="L2076" s="2">
        <f t="shared" si="195"/>
        <v>364</v>
      </c>
      <c r="M2076" s="15">
        <f t="shared" si="194"/>
        <v>5005</v>
      </c>
      <c r="N2076" t="str">
        <f t="shared" si="191"/>
        <v>MG</v>
      </c>
      <c r="O2076" t="str">
        <f t="shared" si="192"/>
        <v>Montes Claros</v>
      </c>
    </row>
    <row r="2077" spans="1:15" x14ac:dyDescent="0.3">
      <c r="A2077" s="10">
        <v>45962</v>
      </c>
      <c r="B2077" s="9" t="s">
        <v>14</v>
      </c>
      <c r="C2077" t="s">
        <v>137</v>
      </c>
      <c r="D2077" s="9">
        <v>19796</v>
      </c>
      <c r="E2077" s="5" t="s">
        <v>516</v>
      </c>
      <c r="F2077" t="s">
        <v>139</v>
      </c>
      <c r="G2077">
        <v>3171</v>
      </c>
      <c r="H2077">
        <v>1576</v>
      </c>
      <c r="I2077" s="8">
        <f t="shared" si="193"/>
        <v>0.49700409965310627</v>
      </c>
      <c r="J2077" s="17">
        <v>0.7</v>
      </c>
      <c r="K2077" s="12">
        <v>13.75</v>
      </c>
      <c r="L2077" s="2">
        <f t="shared" si="195"/>
        <v>643.69999999999982</v>
      </c>
      <c r="M2077" s="15">
        <f t="shared" si="194"/>
        <v>8850.8749999999982</v>
      </c>
      <c r="N2077" t="str">
        <f t="shared" si="191"/>
        <v>MG</v>
      </c>
      <c r="O2077" t="str">
        <f t="shared" si="192"/>
        <v>Montes Claros</v>
      </c>
    </row>
    <row r="2078" spans="1:15" x14ac:dyDescent="0.3">
      <c r="A2078" s="10">
        <v>45962</v>
      </c>
      <c r="B2078" s="9" t="s">
        <v>15</v>
      </c>
      <c r="C2078" t="s">
        <v>319</v>
      </c>
      <c r="D2078" s="9">
        <v>19528</v>
      </c>
      <c r="E2078" s="5" t="s">
        <v>517</v>
      </c>
      <c r="F2078" t="s">
        <v>223</v>
      </c>
      <c r="G2078">
        <v>2529</v>
      </c>
      <c r="H2078">
        <v>907</v>
      </c>
      <c r="I2078" s="8">
        <f t="shared" si="193"/>
        <v>0.35863977856860418</v>
      </c>
      <c r="J2078" s="17">
        <v>0.7</v>
      </c>
      <c r="K2078" s="12">
        <v>13.75</v>
      </c>
      <c r="L2078" s="2">
        <f t="shared" si="195"/>
        <v>863.3</v>
      </c>
      <c r="M2078" s="15">
        <f t="shared" si="194"/>
        <v>11870.375</v>
      </c>
      <c r="N2078" t="str">
        <f t="shared" si="191"/>
        <v>RJ</v>
      </c>
      <c r="O2078" t="str">
        <f t="shared" si="192"/>
        <v>Rio de Janeiro</v>
      </c>
    </row>
    <row r="2079" spans="1:15" x14ac:dyDescent="0.3">
      <c r="A2079" s="10">
        <v>45962</v>
      </c>
      <c r="B2079" s="9" t="s">
        <v>6</v>
      </c>
      <c r="C2079" t="s">
        <v>158</v>
      </c>
      <c r="D2079" s="9">
        <v>19914</v>
      </c>
      <c r="E2079" s="5" t="s">
        <v>519</v>
      </c>
      <c r="F2079" t="s">
        <v>159</v>
      </c>
      <c r="G2079">
        <v>2357</v>
      </c>
      <c r="H2079">
        <v>1399</v>
      </c>
      <c r="I2079" s="8">
        <f t="shared" si="193"/>
        <v>0.59355112431056423</v>
      </c>
      <c r="J2079" s="17">
        <v>0.7</v>
      </c>
      <c r="K2079" s="12">
        <v>13.75</v>
      </c>
      <c r="L2079" s="2">
        <f t="shared" si="195"/>
        <v>250.90000000000009</v>
      </c>
      <c r="M2079" s="15">
        <f t="shared" si="194"/>
        <v>3449.8750000000014</v>
      </c>
      <c r="N2079" t="str">
        <f t="shared" si="191"/>
        <v>PA</v>
      </c>
      <c r="O2079" t="str">
        <f t="shared" si="192"/>
        <v>Parauapebas</v>
      </c>
    </row>
    <row r="2080" spans="1:15" x14ac:dyDescent="0.3">
      <c r="A2080" s="10">
        <v>45962</v>
      </c>
      <c r="B2080" s="9" t="s">
        <v>155</v>
      </c>
      <c r="C2080" t="s">
        <v>156</v>
      </c>
      <c r="D2080" s="9">
        <v>19916</v>
      </c>
      <c r="E2080" s="5" t="s">
        <v>520</v>
      </c>
      <c r="F2080" t="s">
        <v>157</v>
      </c>
      <c r="G2080">
        <v>1967</v>
      </c>
      <c r="H2080">
        <v>949</v>
      </c>
      <c r="I2080" s="8">
        <f t="shared" si="193"/>
        <v>0.4824605998983223</v>
      </c>
      <c r="J2080" s="17">
        <v>0.7</v>
      </c>
      <c r="K2080" s="12">
        <v>13.75</v>
      </c>
      <c r="L2080" s="2">
        <f t="shared" si="195"/>
        <v>427.89999999999986</v>
      </c>
      <c r="M2080" s="15">
        <f t="shared" si="194"/>
        <v>5883.6249999999982</v>
      </c>
      <c r="N2080" t="str">
        <f t="shared" si="191"/>
        <v>TO</v>
      </c>
      <c r="O2080" t="str">
        <f t="shared" si="192"/>
        <v>Palmas</v>
      </c>
    </row>
    <row r="2081" spans="1:15" x14ac:dyDescent="0.3">
      <c r="A2081" s="10">
        <v>45962</v>
      </c>
      <c r="B2081" s="9" t="s">
        <v>74</v>
      </c>
      <c r="C2081" t="s">
        <v>97</v>
      </c>
      <c r="D2081" s="9">
        <v>19911</v>
      </c>
      <c r="E2081" s="5" t="s">
        <v>522</v>
      </c>
      <c r="F2081" t="s">
        <v>98</v>
      </c>
      <c r="G2081">
        <v>2178</v>
      </c>
      <c r="H2081">
        <v>1312</v>
      </c>
      <c r="I2081" s="8">
        <f t="shared" si="193"/>
        <v>0.60238751147842062</v>
      </c>
      <c r="J2081" s="17">
        <v>0.7</v>
      </c>
      <c r="K2081" s="12">
        <v>13.75</v>
      </c>
      <c r="L2081" s="2">
        <f t="shared" si="195"/>
        <v>212.59999999999991</v>
      </c>
      <c r="M2081" s="15">
        <f t="shared" si="194"/>
        <v>2923.2499999999986</v>
      </c>
      <c r="N2081" t="str">
        <f t="shared" si="191"/>
        <v>PE</v>
      </c>
      <c r="O2081" t="str">
        <f t="shared" si="192"/>
        <v>Garanhuns</v>
      </c>
    </row>
    <row r="2082" spans="1:15" x14ac:dyDescent="0.3">
      <c r="A2082" s="10">
        <v>45962</v>
      </c>
      <c r="B2082" s="9" t="s">
        <v>21</v>
      </c>
      <c r="C2082" t="s">
        <v>121</v>
      </c>
      <c r="D2082" s="9">
        <v>19910</v>
      </c>
      <c r="E2082" s="5" t="s">
        <v>524</v>
      </c>
      <c r="F2082" t="s">
        <v>122</v>
      </c>
      <c r="G2082">
        <v>1303</v>
      </c>
      <c r="H2082">
        <v>686</v>
      </c>
      <c r="I2082" s="8">
        <f t="shared" si="193"/>
        <v>0.52647735993860323</v>
      </c>
      <c r="J2082" s="17">
        <v>0.7</v>
      </c>
      <c r="K2082" s="12">
        <v>13.75</v>
      </c>
      <c r="L2082" s="2">
        <f t="shared" si="195"/>
        <v>226.10000000000002</v>
      </c>
      <c r="M2082" s="15">
        <f t="shared" si="194"/>
        <v>3108.8750000000005</v>
      </c>
      <c r="N2082" t="str">
        <f t="shared" si="191"/>
        <v>BA</v>
      </c>
      <c r="O2082" t="str">
        <f t="shared" si="192"/>
        <v>Luís Eduardo Magalhães</v>
      </c>
    </row>
    <row r="2083" spans="1:15" x14ac:dyDescent="0.3">
      <c r="A2083" s="10">
        <v>45962</v>
      </c>
      <c r="B2083" s="9" t="s">
        <v>82</v>
      </c>
      <c r="C2083" t="s">
        <v>173</v>
      </c>
      <c r="D2083" s="9">
        <v>19926</v>
      </c>
      <c r="E2083" s="5" t="s">
        <v>525</v>
      </c>
      <c r="F2083" t="s">
        <v>174</v>
      </c>
      <c r="G2083">
        <v>1662</v>
      </c>
      <c r="H2083">
        <v>713</v>
      </c>
      <c r="I2083" s="8">
        <f t="shared" si="193"/>
        <v>0.42900120336943443</v>
      </c>
      <c r="J2083" s="17">
        <v>0.7</v>
      </c>
      <c r="K2083" s="12">
        <v>13.75</v>
      </c>
      <c r="L2083" s="2">
        <f t="shared" si="195"/>
        <v>450.39999999999986</v>
      </c>
      <c r="M2083" s="15">
        <f t="shared" si="194"/>
        <v>6192.9999999999982</v>
      </c>
      <c r="N2083" t="str">
        <f t="shared" si="191"/>
        <v>PR</v>
      </c>
      <c r="O2083" t="str">
        <f t="shared" si="192"/>
        <v>Ponta Grossa</v>
      </c>
    </row>
    <row r="2084" spans="1:15" x14ac:dyDescent="0.3">
      <c r="A2084" s="10">
        <v>45962</v>
      </c>
      <c r="B2084" s="9" t="s">
        <v>15</v>
      </c>
      <c r="C2084" t="s">
        <v>319</v>
      </c>
      <c r="D2084" s="9">
        <v>19523</v>
      </c>
      <c r="E2084" s="5" t="s">
        <v>526</v>
      </c>
      <c r="F2084" t="s">
        <v>224</v>
      </c>
      <c r="G2084">
        <v>3191</v>
      </c>
      <c r="H2084">
        <v>853</v>
      </c>
      <c r="I2084" s="8">
        <f t="shared" si="193"/>
        <v>0.26731432152930118</v>
      </c>
      <c r="J2084" s="17">
        <v>0.7</v>
      </c>
      <c r="K2084" s="12">
        <v>13.75</v>
      </c>
      <c r="L2084" s="2">
        <f t="shared" si="195"/>
        <v>1380.6999999999994</v>
      </c>
      <c r="M2084" s="15">
        <f t="shared" si="194"/>
        <v>18984.624999999993</v>
      </c>
      <c r="N2084" t="str">
        <f t="shared" si="191"/>
        <v>RJ</v>
      </c>
      <c r="O2084" t="str">
        <f t="shared" si="192"/>
        <v>Rio de Janeiro</v>
      </c>
    </row>
    <row r="2085" spans="1:15" x14ac:dyDescent="0.3">
      <c r="A2085" s="10">
        <v>45962</v>
      </c>
      <c r="B2085" s="9" t="s">
        <v>15</v>
      </c>
      <c r="C2085" t="s">
        <v>319</v>
      </c>
      <c r="D2085" s="9">
        <v>19652</v>
      </c>
      <c r="E2085" s="5" t="s">
        <v>527</v>
      </c>
      <c r="F2085" t="s">
        <v>225</v>
      </c>
      <c r="G2085">
        <v>4750</v>
      </c>
      <c r="H2085">
        <v>1347</v>
      </c>
      <c r="I2085" s="8">
        <f t="shared" si="193"/>
        <v>0.28357894736842104</v>
      </c>
      <c r="J2085" s="17">
        <v>0.7</v>
      </c>
      <c r="K2085" s="12">
        <v>13.75</v>
      </c>
      <c r="L2085" s="2">
        <f t="shared" si="195"/>
        <v>1978</v>
      </c>
      <c r="M2085" s="15">
        <f t="shared" si="194"/>
        <v>27197.5</v>
      </c>
      <c r="N2085" t="str">
        <f t="shared" si="191"/>
        <v>RJ</v>
      </c>
      <c r="O2085" t="str">
        <f t="shared" si="192"/>
        <v>Rio de Janeiro</v>
      </c>
    </row>
    <row r="2086" spans="1:15" x14ac:dyDescent="0.3">
      <c r="A2086" s="10">
        <v>45962</v>
      </c>
      <c r="B2086" s="9" t="s">
        <v>15</v>
      </c>
      <c r="C2086" t="s">
        <v>319</v>
      </c>
      <c r="D2086" s="9">
        <v>19529</v>
      </c>
      <c r="E2086" s="5" t="s">
        <v>528</v>
      </c>
      <c r="F2086" t="s">
        <v>226</v>
      </c>
      <c r="G2086">
        <v>5204</v>
      </c>
      <c r="H2086">
        <v>1486</v>
      </c>
      <c r="I2086" s="8">
        <f t="shared" si="193"/>
        <v>0.28554957724827057</v>
      </c>
      <c r="J2086" s="17">
        <v>0.7</v>
      </c>
      <c r="K2086" s="12">
        <v>13.75</v>
      </c>
      <c r="L2086" s="2">
        <f t="shared" si="195"/>
        <v>2156.8000000000002</v>
      </c>
      <c r="M2086" s="15">
        <f t="shared" si="194"/>
        <v>29656.000000000004</v>
      </c>
      <c r="N2086" t="str">
        <f t="shared" si="191"/>
        <v>RJ</v>
      </c>
      <c r="O2086" t="str">
        <f t="shared" si="192"/>
        <v>Rio de Janeiro</v>
      </c>
    </row>
    <row r="2087" spans="1:15" x14ac:dyDescent="0.3">
      <c r="A2087" s="10">
        <v>45962</v>
      </c>
      <c r="B2087" s="9" t="s">
        <v>3</v>
      </c>
      <c r="C2087" t="s">
        <v>248</v>
      </c>
      <c r="D2087" s="9">
        <v>19889</v>
      </c>
      <c r="E2087" s="5" t="s">
        <v>529</v>
      </c>
      <c r="F2087" t="s">
        <v>266</v>
      </c>
      <c r="G2087">
        <v>1691</v>
      </c>
      <c r="H2087">
        <v>619</v>
      </c>
      <c r="I2087" s="8">
        <f t="shared" si="193"/>
        <v>0.36605558840922531</v>
      </c>
      <c r="J2087" s="17">
        <v>0.7</v>
      </c>
      <c r="K2087" s="12">
        <v>13.75</v>
      </c>
      <c r="L2087" s="2">
        <f t="shared" si="195"/>
        <v>564.69999999999982</v>
      </c>
      <c r="M2087" s="15">
        <f t="shared" si="194"/>
        <v>7764.6249999999973</v>
      </c>
      <c r="N2087" t="str">
        <f t="shared" si="191"/>
        <v>SP</v>
      </c>
      <c r="O2087" t="str">
        <f t="shared" si="192"/>
        <v>São Paulo</v>
      </c>
    </row>
    <row r="2088" spans="1:15" x14ac:dyDescent="0.3">
      <c r="A2088" s="10">
        <v>45962</v>
      </c>
      <c r="B2088" s="9" t="s">
        <v>3</v>
      </c>
      <c r="C2088" t="s">
        <v>248</v>
      </c>
      <c r="D2088" s="9">
        <v>19888</v>
      </c>
      <c r="E2088" s="5" t="s">
        <v>530</v>
      </c>
      <c r="F2088" t="s">
        <v>267</v>
      </c>
      <c r="G2088">
        <v>1523</v>
      </c>
      <c r="H2088">
        <v>453</v>
      </c>
      <c r="I2088" s="8">
        <f t="shared" si="193"/>
        <v>0.29743926460932368</v>
      </c>
      <c r="J2088" s="17">
        <v>0.7</v>
      </c>
      <c r="K2088" s="12">
        <v>13.75</v>
      </c>
      <c r="L2088" s="2">
        <f t="shared" si="195"/>
        <v>613.09999999999991</v>
      </c>
      <c r="M2088" s="15">
        <f t="shared" si="194"/>
        <v>8430.1249999999982</v>
      </c>
      <c r="N2088" t="str">
        <f t="shared" si="191"/>
        <v>SP</v>
      </c>
      <c r="O2088" t="str">
        <f t="shared" si="192"/>
        <v>São Paulo</v>
      </c>
    </row>
    <row r="2089" spans="1:15" x14ac:dyDescent="0.3">
      <c r="A2089" s="10">
        <v>45962</v>
      </c>
      <c r="B2089" s="9" t="s">
        <v>82</v>
      </c>
      <c r="C2089" t="s">
        <v>106</v>
      </c>
      <c r="D2089" s="9">
        <v>19927</v>
      </c>
      <c r="E2089" s="5" t="s">
        <v>531</v>
      </c>
      <c r="F2089" t="s">
        <v>107</v>
      </c>
      <c r="G2089">
        <v>831</v>
      </c>
      <c r="H2089">
        <v>280</v>
      </c>
      <c r="I2089" s="8">
        <f t="shared" si="193"/>
        <v>0.33694344163658241</v>
      </c>
      <c r="J2089" s="17">
        <v>0.7</v>
      </c>
      <c r="K2089" s="12">
        <v>13.75</v>
      </c>
      <c r="L2089" s="2">
        <f t="shared" si="195"/>
        <v>301.70000000000005</v>
      </c>
      <c r="M2089" s="15">
        <f t="shared" si="194"/>
        <v>4148.3750000000009</v>
      </c>
      <c r="N2089" t="str">
        <f t="shared" si="191"/>
        <v>PR</v>
      </c>
      <c r="O2089" t="str">
        <f t="shared" si="192"/>
        <v>Guarapuava</v>
      </c>
    </row>
    <row r="2090" spans="1:15" x14ac:dyDescent="0.3">
      <c r="A2090" s="10">
        <v>45962</v>
      </c>
      <c r="B2090" s="9" t="s">
        <v>3</v>
      </c>
      <c r="C2090" t="s">
        <v>44</v>
      </c>
      <c r="D2090" s="9">
        <v>19930</v>
      </c>
      <c r="E2090" s="5" t="s">
        <v>533</v>
      </c>
      <c r="F2090" t="s">
        <v>45</v>
      </c>
      <c r="G2090">
        <v>2069</v>
      </c>
      <c r="H2090">
        <v>995</v>
      </c>
      <c r="I2090" s="8">
        <f t="shared" si="193"/>
        <v>0.48090865152247464</v>
      </c>
      <c r="J2090" s="17">
        <v>0.7</v>
      </c>
      <c r="K2090" s="12">
        <v>13.75</v>
      </c>
      <c r="L2090" s="2">
        <f t="shared" si="195"/>
        <v>453.29999999999995</v>
      </c>
      <c r="M2090" s="15">
        <f t="shared" si="194"/>
        <v>6232.8749999999991</v>
      </c>
      <c r="N2090" t="str">
        <f t="shared" si="191"/>
        <v>SP</v>
      </c>
      <c r="O2090" t="str">
        <f t="shared" si="192"/>
        <v>Botucatu</v>
      </c>
    </row>
    <row r="2091" spans="1:15" x14ac:dyDescent="0.3">
      <c r="A2091" s="10">
        <v>45962</v>
      </c>
      <c r="B2091" s="9" t="s">
        <v>15</v>
      </c>
      <c r="C2091" t="s">
        <v>319</v>
      </c>
      <c r="D2091" s="9">
        <v>19609</v>
      </c>
      <c r="E2091" s="5" t="s">
        <v>535</v>
      </c>
      <c r="F2091" t="s">
        <v>227</v>
      </c>
      <c r="G2091">
        <v>2062</v>
      </c>
      <c r="H2091">
        <v>828</v>
      </c>
      <c r="I2091" s="8">
        <f t="shared" si="193"/>
        <v>0.40155189136760427</v>
      </c>
      <c r="J2091" s="17">
        <v>0.7</v>
      </c>
      <c r="K2091" s="12">
        <v>13.75</v>
      </c>
      <c r="L2091" s="2">
        <f t="shared" si="195"/>
        <v>615.39999999999964</v>
      </c>
      <c r="M2091" s="15">
        <f t="shared" si="194"/>
        <v>8461.7499999999945</v>
      </c>
      <c r="N2091" t="str">
        <f t="shared" si="191"/>
        <v>RJ</v>
      </c>
      <c r="O2091" t="str">
        <f t="shared" si="192"/>
        <v>Rio de Janeiro</v>
      </c>
    </row>
    <row r="2092" spans="1:15" x14ac:dyDescent="0.3">
      <c r="A2092" s="10">
        <v>45962</v>
      </c>
      <c r="B2092" s="9" t="s">
        <v>3</v>
      </c>
      <c r="C2092" t="s">
        <v>4</v>
      </c>
      <c r="D2092" s="9">
        <v>19928</v>
      </c>
      <c r="E2092" s="5" t="s">
        <v>536</v>
      </c>
      <c r="F2092" t="s">
        <v>5</v>
      </c>
      <c r="G2092">
        <v>2014</v>
      </c>
      <c r="H2092">
        <v>938</v>
      </c>
      <c r="I2092" s="8">
        <f t="shared" si="193"/>
        <v>0.4657398212512413</v>
      </c>
      <c r="J2092" s="17">
        <v>0.7</v>
      </c>
      <c r="K2092" s="12">
        <v>13.75</v>
      </c>
      <c r="L2092" s="2">
        <f t="shared" si="195"/>
        <v>471.79999999999973</v>
      </c>
      <c r="M2092" s="15">
        <f t="shared" si="194"/>
        <v>6487.2499999999964</v>
      </c>
      <c r="N2092" t="str">
        <f t="shared" si="191"/>
        <v>SP</v>
      </c>
      <c r="O2092" t="str">
        <f t="shared" si="192"/>
        <v>Americana</v>
      </c>
    </row>
    <row r="2093" spans="1:15" x14ac:dyDescent="0.3">
      <c r="A2093" s="10">
        <v>45962</v>
      </c>
      <c r="B2093" s="9" t="s">
        <v>15</v>
      </c>
      <c r="C2093" t="s">
        <v>149</v>
      </c>
      <c r="D2093" s="9">
        <v>19746</v>
      </c>
      <c r="E2093" s="5" t="s">
        <v>537</v>
      </c>
      <c r="F2093" t="s">
        <v>150</v>
      </c>
      <c r="G2093">
        <v>2858</v>
      </c>
      <c r="H2093">
        <v>1716</v>
      </c>
      <c r="I2093" s="8">
        <f t="shared" si="193"/>
        <v>0.60041987403778863</v>
      </c>
      <c r="J2093" s="17">
        <v>0.7</v>
      </c>
      <c r="K2093" s="12">
        <v>13.75</v>
      </c>
      <c r="L2093" s="2">
        <f t="shared" si="195"/>
        <v>284.59999999999991</v>
      </c>
      <c r="M2093" s="15">
        <f t="shared" si="194"/>
        <v>3913.2499999999986</v>
      </c>
      <c r="N2093" t="str">
        <f t="shared" si="191"/>
        <v>RJ</v>
      </c>
      <c r="O2093" t="str">
        <f t="shared" si="192"/>
        <v>Nova Friburgo</v>
      </c>
    </row>
    <row r="2094" spans="1:15" x14ac:dyDescent="0.3">
      <c r="A2094" s="10">
        <v>45962</v>
      </c>
      <c r="B2094" s="9" t="s">
        <v>71</v>
      </c>
      <c r="C2094" t="s">
        <v>163</v>
      </c>
      <c r="D2094" s="9">
        <v>19933</v>
      </c>
      <c r="E2094" s="5" t="s">
        <v>538</v>
      </c>
      <c r="F2094" t="s">
        <v>164</v>
      </c>
      <c r="G2094">
        <v>455</v>
      </c>
      <c r="H2094">
        <v>103</v>
      </c>
      <c r="I2094" s="8">
        <f t="shared" si="193"/>
        <v>0.22637362637362637</v>
      </c>
      <c r="J2094" s="17">
        <v>0.7</v>
      </c>
      <c r="K2094" s="12">
        <v>13.75</v>
      </c>
      <c r="L2094" s="2">
        <f t="shared" si="195"/>
        <v>215.5</v>
      </c>
      <c r="M2094" s="15">
        <f t="shared" si="194"/>
        <v>2963.125</v>
      </c>
      <c r="N2094" t="str">
        <f t="shared" si="191"/>
        <v>RS</v>
      </c>
      <c r="O2094" t="str">
        <f t="shared" si="192"/>
        <v>Passo</v>
      </c>
    </row>
    <row r="2095" spans="1:15" x14ac:dyDescent="0.3">
      <c r="A2095" s="10">
        <v>45962</v>
      </c>
      <c r="B2095" s="9" t="s">
        <v>59</v>
      </c>
      <c r="C2095" t="s">
        <v>311</v>
      </c>
      <c r="D2095" s="9">
        <v>19944</v>
      </c>
      <c r="E2095" s="5" t="s">
        <v>539</v>
      </c>
      <c r="F2095" t="s">
        <v>60</v>
      </c>
      <c r="G2095">
        <v>2675</v>
      </c>
      <c r="H2095">
        <v>1036</v>
      </c>
      <c r="I2095" s="8">
        <f t="shared" si="193"/>
        <v>0.38728971962616821</v>
      </c>
      <c r="J2095" s="17">
        <v>0.7</v>
      </c>
      <c r="K2095" s="12">
        <v>13.75</v>
      </c>
      <c r="L2095" s="2">
        <f t="shared" si="195"/>
        <v>836.5</v>
      </c>
      <c r="M2095" s="15">
        <f t="shared" si="194"/>
        <v>11501.875</v>
      </c>
      <c r="N2095" t="str">
        <f t="shared" si="191"/>
        <v>ES</v>
      </c>
      <c r="O2095" t="str">
        <f t="shared" si="192"/>
        <v>Cachoeira de Itapemirim</v>
      </c>
    </row>
    <row r="2096" spans="1:15" x14ac:dyDescent="0.3">
      <c r="A2096" s="10">
        <v>45962</v>
      </c>
      <c r="B2096" s="9" t="s">
        <v>21</v>
      </c>
      <c r="C2096" t="s">
        <v>228</v>
      </c>
      <c r="D2096" s="9">
        <v>19931</v>
      </c>
      <c r="E2096" s="5" t="s">
        <v>541</v>
      </c>
      <c r="F2096" t="s">
        <v>233</v>
      </c>
      <c r="G2096">
        <v>2182</v>
      </c>
      <c r="H2096">
        <v>956</v>
      </c>
      <c r="I2096" s="8">
        <f t="shared" si="193"/>
        <v>0.43813015582034831</v>
      </c>
      <c r="J2096" s="17">
        <v>0.7</v>
      </c>
      <c r="K2096" s="12">
        <v>13.75</v>
      </c>
      <c r="L2096" s="2">
        <f t="shared" si="195"/>
        <v>571.39999999999986</v>
      </c>
      <c r="M2096" s="15">
        <f t="shared" si="194"/>
        <v>7856.7499999999982</v>
      </c>
      <c r="N2096" t="str">
        <f t="shared" si="191"/>
        <v>BA</v>
      </c>
      <c r="O2096" t="str">
        <f t="shared" si="192"/>
        <v>Salvador</v>
      </c>
    </row>
    <row r="2097" spans="1:15" x14ac:dyDescent="0.3">
      <c r="A2097" s="10">
        <v>45962</v>
      </c>
      <c r="B2097" s="9" t="s">
        <v>14</v>
      </c>
      <c r="C2097" t="s">
        <v>273</v>
      </c>
      <c r="D2097" s="9">
        <v>19937</v>
      </c>
      <c r="E2097" s="5" t="s">
        <v>542</v>
      </c>
      <c r="F2097" t="s">
        <v>274</v>
      </c>
      <c r="G2097">
        <v>961</v>
      </c>
      <c r="H2097">
        <v>453</v>
      </c>
      <c r="I2097" s="8">
        <f t="shared" si="193"/>
        <v>0.47138397502601459</v>
      </c>
      <c r="J2097" s="17">
        <v>0.7</v>
      </c>
      <c r="K2097" s="12">
        <v>13.75</v>
      </c>
      <c r="L2097" s="2">
        <f t="shared" si="195"/>
        <v>219.69999999999993</v>
      </c>
      <c r="M2097" s="15">
        <f t="shared" si="194"/>
        <v>3020.8749999999991</v>
      </c>
      <c r="N2097" t="str">
        <f t="shared" si="191"/>
        <v>MG</v>
      </c>
      <c r="O2097" t="str">
        <f t="shared" si="192"/>
        <v>Sete Lagoas</v>
      </c>
    </row>
    <row r="2098" spans="1:15" x14ac:dyDescent="0.3">
      <c r="A2098" s="10">
        <v>45962</v>
      </c>
      <c r="B2098" s="9" t="s">
        <v>46</v>
      </c>
      <c r="C2098" t="s">
        <v>102</v>
      </c>
      <c r="D2098" s="9">
        <v>19553</v>
      </c>
      <c r="E2098" s="5" t="s">
        <v>543</v>
      </c>
      <c r="F2098" t="s">
        <v>103</v>
      </c>
      <c r="G2098">
        <v>2187</v>
      </c>
      <c r="H2098">
        <v>741</v>
      </c>
      <c r="I2098" s="8">
        <f t="shared" si="193"/>
        <v>0.33882030178326472</v>
      </c>
      <c r="J2098" s="17">
        <v>0.7</v>
      </c>
      <c r="K2098" s="12">
        <v>13.75</v>
      </c>
      <c r="L2098" s="2">
        <f t="shared" si="195"/>
        <v>789.89999999999986</v>
      </c>
      <c r="M2098" s="15">
        <f t="shared" si="194"/>
        <v>10861.124999999998</v>
      </c>
      <c r="N2098" t="str">
        <f t="shared" si="191"/>
        <v>DF</v>
      </c>
      <c r="O2098" t="str">
        <f t="shared" si="192"/>
        <v>Guará</v>
      </c>
    </row>
    <row r="2099" spans="1:15" x14ac:dyDescent="0.3">
      <c r="A2099" s="10">
        <v>45962</v>
      </c>
      <c r="B2099" s="9" t="s">
        <v>140</v>
      </c>
      <c r="C2099" t="s">
        <v>141</v>
      </c>
      <c r="D2099" s="9">
        <v>19940</v>
      </c>
      <c r="E2099" s="5" t="s">
        <v>545</v>
      </c>
      <c r="F2099" t="s">
        <v>142</v>
      </c>
      <c r="G2099">
        <v>2144</v>
      </c>
      <c r="H2099">
        <v>1229</v>
      </c>
      <c r="I2099" s="8">
        <f t="shared" si="193"/>
        <v>0.57322761194029848</v>
      </c>
      <c r="J2099" s="17">
        <v>0.7</v>
      </c>
      <c r="K2099" s="12">
        <v>13.75</v>
      </c>
      <c r="L2099" s="2">
        <f t="shared" si="195"/>
        <v>271.79999999999995</v>
      </c>
      <c r="M2099" s="15">
        <f t="shared" si="194"/>
        <v>3737.2499999999995</v>
      </c>
      <c r="N2099" t="str">
        <f t="shared" si="191"/>
        <v>RN</v>
      </c>
      <c r="O2099" t="str">
        <f t="shared" si="192"/>
        <v>Natal</v>
      </c>
    </row>
    <row r="2100" spans="1:15" x14ac:dyDescent="0.3">
      <c r="A2100" s="10">
        <v>45962</v>
      </c>
      <c r="B2100" s="9" t="s">
        <v>123</v>
      </c>
      <c r="C2100" t="s">
        <v>124</v>
      </c>
      <c r="D2100" s="9">
        <v>19945</v>
      </c>
      <c r="E2100" s="5" t="s">
        <v>546</v>
      </c>
      <c r="F2100" t="s">
        <v>125</v>
      </c>
      <c r="G2100">
        <v>1728</v>
      </c>
      <c r="H2100">
        <v>1202</v>
      </c>
      <c r="I2100" s="8">
        <f t="shared" si="193"/>
        <v>0.69560185185185186</v>
      </c>
      <c r="J2100" s="17">
        <v>0.7</v>
      </c>
      <c r="K2100" s="12">
        <v>13.75</v>
      </c>
      <c r="L2100" s="2">
        <f>G2100-H2100</f>
        <v>526</v>
      </c>
      <c r="M2100" s="15">
        <f t="shared" si="194"/>
        <v>7232.5</v>
      </c>
      <c r="N2100" t="str">
        <f t="shared" si="191"/>
        <v>AP</v>
      </c>
      <c r="O2100" t="str">
        <f t="shared" si="192"/>
        <v>Macapa</v>
      </c>
    </row>
    <row r="2101" spans="1:15" x14ac:dyDescent="0.3">
      <c r="A2101" s="10">
        <v>45962</v>
      </c>
      <c r="B2101" s="9" t="s">
        <v>21</v>
      </c>
      <c r="C2101" t="s">
        <v>228</v>
      </c>
      <c r="D2101" s="9">
        <v>19907</v>
      </c>
      <c r="E2101" s="5" t="s">
        <v>547</v>
      </c>
      <c r="F2101" t="s">
        <v>234</v>
      </c>
      <c r="G2101">
        <v>1545</v>
      </c>
      <c r="H2101">
        <v>645</v>
      </c>
      <c r="I2101" s="8">
        <f t="shared" si="193"/>
        <v>0.41747572815533979</v>
      </c>
      <c r="J2101" s="17">
        <v>0.7</v>
      </c>
      <c r="K2101" s="12">
        <v>13.75</v>
      </c>
      <c r="L2101" s="2">
        <f t="shared" ref="L2101:L2132" si="196">H2101*J2101/I2101-H2101</f>
        <v>436.5</v>
      </c>
      <c r="M2101" s="15">
        <f t="shared" si="194"/>
        <v>6001.875</v>
      </c>
      <c r="N2101" t="str">
        <f t="shared" si="191"/>
        <v>BA</v>
      </c>
      <c r="O2101" t="str">
        <f t="shared" si="192"/>
        <v>Salvador</v>
      </c>
    </row>
    <row r="2102" spans="1:15" x14ac:dyDescent="0.3">
      <c r="A2102" s="10">
        <v>45962</v>
      </c>
      <c r="B2102" s="9" t="s">
        <v>15</v>
      </c>
      <c r="C2102" t="s">
        <v>145</v>
      </c>
      <c r="D2102" s="9">
        <v>19538</v>
      </c>
      <c r="E2102" s="5" t="s">
        <v>548</v>
      </c>
      <c r="F2102" t="s">
        <v>146</v>
      </c>
      <c r="G2102">
        <v>2961</v>
      </c>
      <c r="H2102">
        <v>1187</v>
      </c>
      <c r="I2102" s="8">
        <f t="shared" si="193"/>
        <v>0.40087808172914557</v>
      </c>
      <c r="J2102" s="17">
        <v>0.7</v>
      </c>
      <c r="K2102" s="12">
        <v>13.75</v>
      </c>
      <c r="L2102" s="2">
        <f t="shared" si="196"/>
        <v>885.69999999999982</v>
      </c>
      <c r="M2102" s="15">
        <f t="shared" si="194"/>
        <v>12178.374999999998</v>
      </c>
      <c r="N2102" t="str">
        <f t="shared" si="191"/>
        <v>RJ</v>
      </c>
      <c r="O2102" t="str">
        <f t="shared" si="192"/>
        <v>Niterói</v>
      </c>
    </row>
    <row r="2103" spans="1:15" x14ac:dyDescent="0.3">
      <c r="A2103" s="10">
        <v>45962</v>
      </c>
      <c r="B2103" s="9" t="s">
        <v>71</v>
      </c>
      <c r="C2103" t="s">
        <v>175</v>
      </c>
      <c r="D2103" s="9">
        <v>19947</v>
      </c>
      <c r="E2103" s="5" t="s">
        <v>550</v>
      </c>
      <c r="F2103" t="s">
        <v>180</v>
      </c>
      <c r="G2103">
        <v>3349</v>
      </c>
      <c r="H2103">
        <v>1026</v>
      </c>
      <c r="I2103" s="8">
        <f t="shared" si="193"/>
        <v>0.30636010749477455</v>
      </c>
      <c r="J2103" s="17">
        <v>0.7</v>
      </c>
      <c r="K2103" s="12">
        <v>13.75</v>
      </c>
      <c r="L2103" s="2">
        <f t="shared" si="196"/>
        <v>1318.2999999999997</v>
      </c>
      <c r="M2103" s="15">
        <f t="shared" si="194"/>
        <v>18126.624999999996</v>
      </c>
      <c r="N2103" t="str">
        <f t="shared" si="191"/>
        <v>RS</v>
      </c>
      <c r="O2103" t="str">
        <f t="shared" si="192"/>
        <v>Porto Alegre</v>
      </c>
    </row>
    <row r="2104" spans="1:15" x14ac:dyDescent="0.3">
      <c r="A2104" s="10">
        <v>45962</v>
      </c>
      <c r="B2104" s="9" t="s">
        <v>14</v>
      </c>
      <c r="C2104" t="s">
        <v>114</v>
      </c>
      <c r="D2104" s="9">
        <v>19943</v>
      </c>
      <c r="E2104" s="5" t="s">
        <v>551</v>
      </c>
      <c r="F2104" t="s">
        <v>115</v>
      </c>
      <c r="G2104">
        <v>1192</v>
      </c>
      <c r="H2104">
        <v>517</v>
      </c>
      <c r="I2104" s="8">
        <f t="shared" si="193"/>
        <v>0.4337248322147651</v>
      </c>
      <c r="J2104" s="17">
        <v>0.7</v>
      </c>
      <c r="K2104" s="12">
        <v>13.75</v>
      </c>
      <c r="L2104" s="2">
        <f t="shared" si="196"/>
        <v>317.39999999999998</v>
      </c>
      <c r="M2104" s="15">
        <f t="shared" si="194"/>
        <v>4364.25</v>
      </c>
      <c r="N2104" t="str">
        <f t="shared" si="191"/>
        <v>MG</v>
      </c>
      <c r="O2104" t="str">
        <f t="shared" si="192"/>
        <v>Ituiutaba</v>
      </c>
    </row>
    <row r="2105" spans="1:15" x14ac:dyDescent="0.3">
      <c r="A2105" s="10">
        <v>45962</v>
      </c>
      <c r="B2105" s="9" t="s">
        <v>244</v>
      </c>
      <c r="C2105" t="s">
        <v>245</v>
      </c>
      <c r="D2105" s="9">
        <v>19617</v>
      </c>
      <c r="E2105" s="5" t="s">
        <v>552</v>
      </c>
      <c r="F2105" t="s">
        <v>246</v>
      </c>
      <c r="G2105">
        <v>3510</v>
      </c>
      <c r="H2105">
        <v>1520</v>
      </c>
      <c r="I2105" s="8">
        <f t="shared" si="193"/>
        <v>0.43304843304843305</v>
      </c>
      <c r="J2105" s="17">
        <v>0.7</v>
      </c>
      <c r="K2105" s="12">
        <v>13.75</v>
      </c>
      <c r="L2105" s="2">
        <f t="shared" si="196"/>
        <v>937</v>
      </c>
      <c r="M2105" s="15">
        <f t="shared" si="194"/>
        <v>12883.75</v>
      </c>
      <c r="N2105" t="str">
        <f t="shared" si="191"/>
        <v>MA</v>
      </c>
      <c r="O2105" t="str">
        <f t="shared" si="192"/>
        <v>São Luís</v>
      </c>
    </row>
    <row r="2106" spans="1:15" x14ac:dyDescent="0.3">
      <c r="A2106" s="10">
        <v>45962</v>
      </c>
      <c r="B2106" s="9" t="s">
        <v>244</v>
      </c>
      <c r="C2106" t="s">
        <v>245</v>
      </c>
      <c r="D2106" s="9">
        <v>19595</v>
      </c>
      <c r="E2106" s="5" t="s">
        <v>553</v>
      </c>
      <c r="F2106" t="s">
        <v>247</v>
      </c>
      <c r="G2106">
        <v>4081</v>
      </c>
      <c r="H2106">
        <v>1923</v>
      </c>
      <c r="I2106" s="8">
        <f t="shared" si="193"/>
        <v>0.47120803724577309</v>
      </c>
      <c r="J2106" s="17">
        <v>0.7</v>
      </c>
      <c r="K2106" s="12">
        <v>13.75</v>
      </c>
      <c r="L2106" s="2">
        <f t="shared" si="196"/>
        <v>933.69999999999982</v>
      </c>
      <c r="M2106" s="15">
        <f t="shared" si="194"/>
        <v>12838.374999999998</v>
      </c>
      <c r="N2106" t="str">
        <f t="shared" si="191"/>
        <v>MA</v>
      </c>
      <c r="O2106" t="str">
        <f t="shared" si="192"/>
        <v>São Luís</v>
      </c>
    </row>
    <row r="2107" spans="1:15" x14ac:dyDescent="0.3">
      <c r="A2107" s="10">
        <v>45962</v>
      </c>
      <c r="B2107" s="9" t="s">
        <v>3</v>
      </c>
      <c r="C2107" t="s">
        <v>10</v>
      </c>
      <c r="D2107" s="9">
        <v>19948</v>
      </c>
      <c r="E2107" s="5" t="s">
        <v>555</v>
      </c>
      <c r="F2107" t="s">
        <v>11</v>
      </c>
      <c r="G2107">
        <v>1525</v>
      </c>
      <c r="H2107">
        <v>483</v>
      </c>
      <c r="I2107" s="8">
        <f t="shared" si="193"/>
        <v>0.31672131147540983</v>
      </c>
      <c r="J2107" s="17">
        <v>0.7</v>
      </c>
      <c r="K2107" s="12">
        <v>13.75</v>
      </c>
      <c r="L2107" s="2">
        <f t="shared" si="196"/>
        <v>584.5</v>
      </c>
      <c r="M2107" s="15">
        <f t="shared" si="194"/>
        <v>8036.875</v>
      </c>
      <c r="N2107" t="str">
        <f t="shared" si="191"/>
        <v>SP</v>
      </c>
      <c r="O2107" t="str">
        <f t="shared" si="192"/>
        <v>Araraquara</v>
      </c>
    </row>
    <row r="2108" spans="1:15" x14ac:dyDescent="0.3">
      <c r="A2108" s="10">
        <v>45962</v>
      </c>
      <c r="B2108" s="9" t="s">
        <v>74</v>
      </c>
      <c r="C2108" t="s">
        <v>75</v>
      </c>
      <c r="D2108" s="9">
        <v>19798</v>
      </c>
      <c r="E2108" s="5" t="s">
        <v>556</v>
      </c>
      <c r="F2108" t="s">
        <v>76</v>
      </c>
      <c r="G2108">
        <v>3551</v>
      </c>
      <c r="H2108">
        <v>1651</v>
      </c>
      <c r="I2108" s="8">
        <f t="shared" si="193"/>
        <v>0.4649394536750211</v>
      </c>
      <c r="J2108" s="17">
        <v>0.7</v>
      </c>
      <c r="K2108" s="12">
        <v>13.75</v>
      </c>
      <c r="L2108" s="2">
        <f t="shared" si="196"/>
        <v>834.69999999999982</v>
      </c>
      <c r="M2108" s="15">
        <f t="shared" si="194"/>
        <v>11477.124999999998</v>
      </c>
      <c r="N2108" t="str">
        <f t="shared" si="191"/>
        <v>PE</v>
      </c>
      <c r="O2108" t="str">
        <f t="shared" si="192"/>
        <v>Caruaru</v>
      </c>
    </row>
    <row r="2109" spans="1:15" x14ac:dyDescent="0.3">
      <c r="A2109" s="10">
        <v>45962</v>
      </c>
      <c r="B2109" s="9" t="s">
        <v>15</v>
      </c>
      <c r="C2109" t="s">
        <v>19</v>
      </c>
      <c r="D2109" s="9">
        <v>19694</v>
      </c>
      <c r="E2109" s="5" t="s">
        <v>557</v>
      </c>
      <c r="F2109" t="s">
        <v>20</v>
      </c>
      <c r="G2109">
        <v>2236</v>
      </c>
      <c r="H2109">
        <v>1149</v>
      </c>
      <c r="I2109" s="8">
        <f t="shared" si="193"/>
        <v>0.51386404293381038</v>
      </c>
      <c r="J2109" s="17">
        <v>0.7</v>
      </c>
      <c r="K2109" s="12">
        <v>13.75</v>
      </c>
      <c r="L2109" s="2">
        <f t="shared" si="196"/>
        <v>416.19999999999982</v>
      </c>
      <c r="M2109" s="15">
        <f t="shared" si="194"/>
        <v>5722.7499999999973</v>
      </c>
      <c r="N2109" t="str">
        <f t="shared" si="191"/>
        <v>RJ</v>
      </c>
      <c r="O2109" t="str">
        <f t="shared" si="192"/>
        <v>Barra Mansa</v>
      </c>
    </row>
    <row r="2110" spans="1:15" x14ac:dyDescent="0.3">
      <c r="A2110" s="10">
        <v>45962</v>
      </c>
      <c r="B2110" s="9" t="s">
        <v>160</v>
      </c>
      <c r="C2110" t="s">
        <v>161</v>
      </c>
      <c r="D2110" s="9">
        <v>19954</v>
      </c>
      <c r="E2110" s="5" t="s">
        <v>559</v>
      </c>
      <c r="F2110" t="s">
        <v>162</v>
      </c>
      <c r="G2110">
        <v>817</v>
      </c>
      <c r="H2110">
        <v>457</v>
      </c>
      <c r="I2110" s="8">
        <f t="shared" si="193"/>
        <v>0.55936352509179932</v>
      </c>
      <c r="J2110" s="17">
        <v>0.7</v>
      </c>
      <c r="K2110" s="12">
        <v>13.75</v>
      </c>
      <c r="L2110" s="2">
        <f t="shared" si="196"/>
        <v>114.89999999999986</v>
      </c>
      <c r="M2110" s="15">
        <f t="shared" si="194"/>
        <v>1579.8749999999982</v>
      </c>
      <c r="N2110" t="str">
        <f t="shared" si="191"/>
        <v>PI</v>
      </c>
      <c r="O2110" t="str">
        <f t="shared" si="192"/>
        <v>Parnaíba</v>
      </c>
    </row>
    <row r="2111" spans="1:15" x14ac:dyDescent="0.3">
      <c r="A2111" s="10">
        <v>45962</v>
      </c>
      <c r="B2111" s="9" t="s">
        <v>14</v>
      </c>
      <c r="C2111" t="s">
        <v>316</v>
      </c>
      <c r="D2111" s="9">
        <v>19615</v>
      </c>
      <c r="E2111" s="5" t="s">
        <v>560</v>
      </c>
      <c r="F2111" t="s">
        <v>117</v>
      </c>
      <c r="G2111">
        <v>2868</v>
      </c>
      <c r="H2111">
        <v>936</v>
      </c>
      <c r="I2111" s="8">
        <f t="shared" si="193"/>
        <v>0.32635983263598328</v>
      </c>
      <c r="J2111" s="17">
        <v>0.7</v>
      </c>
      <c r="K2111" s="12">
        <v>13.75</v>
      </c>
      <c r="L2111" s="2">
        <f t="shared" si="196"/>
        <v>1071.5999999999997</v>
      </c>
      <c r="M2111" s="15">
        <f t="shared" si="194"/>
        <v>14734.499999999996</v>
      </c>
      <c r="N2111" t="str">
        <f t="shared" si="191"/>
        <v>MG</v>
      </c>
      <c r="O2111" t="str">
        <f t="shared" si="192"/>
        <v>Juiz de Fora</v>
      </c>
    </row>
    <row r="2112" spans="1:15" x14ac:dyDescent="0.3">
      <c r="A2112" s="10">
        <v>45962</v>
      </c>
      <c r="B2112" s="9" t="s">
        <v>46</v>
      </c>
      <c r="C2112" t="s">
        <v>47</v>
      </c>
      <c r="D2112" s="9">
        <v>19647</v>
      </c>
      <c r="E2112" s="5" t="s">
        <v>561</v>
      </c>
      <c r="F2112" t="s">
        <v>55</v>
      </c>
      <c r="G2112">
        <v>1628</v>
      </c>
      <c r="H2112">
        <v>389</v>
      </c>
      <c r="I2112" s="8">
        <f t="shared" si="193"/>
        <v>0.23894348894348894</v>
      </c>
      <c r="J2112" s="17">
        <v>0.7</v>
      </c>
      <c r="K2112" s="12">
        <v>13.75</v>
      </c>
      <c r="L2112" s="2">
        <f t="shared" si="196"/>
        <v>750.59999999999991</v>
      </c>
      <c r="M2112" s="15">
        <f t="shared" si="194"/>
        <v>10320.749999999998</v>
      </c>
      <c r="N2112" t="str">
        <f t="shared" si="191"/>
        <v>DF</v>
      </c>
      <c r="O2112" t="str">
        <f t="shared" si="192"/>
        <v>Brasília</v>
      </c>
    </row>
    <row r="2113" spans="1:15" x14ac:dyDescent="0.3">
      <c r="A2113" s="10">
        <v>45962</v>
      </c>
      <c r="B2113" s="9" t="s">
        <v>46</v>
      </c>
      <c r="C2113" t="s">
        <v>47</v>
      </c>
      <c r="D2113" s="9">
        <v>19898</v>
      </c>
      <c r="E2113" s="5" t="s">
        <v>562</v>
      </c>
      <c r="F2113" t="s">
        <v>56</v>
      </c>
      <c r="G2113">
        <v>1076</v>
      </c>
      <c r="H2113">
        <v>267</v>
      </c>
      <c r="I2113" s="8">
        <f t="shared" si="193"/>
        <v>0.24814126394052044</v>
      </c>
      <c r="J2113" s="17">
        <v>0.7</v>
      </c>
      <c r="K2113" s="12">
        <v>13.75</v>
      </c>
      <c r="L2113" s="2">
        <f t="shared" si="196"/>
        <v>486.19999999999993</v>
      </c>
      <c r="M2113" s="15">
        <f t="shared" si="194"/>
        <v>6685.2499999999991</v>
      </c>
      <c r="N2113" t="str">
        <f t="shared" si="191"/>
        <v>DF</v>
      </c>
      <c r="O2113" t="str">
        <f t="shared" si="192"/>
        <v>Brasília</v>
      </c>
    </row>
    <row r="2114" spans="1:15" x14ac:dyDescent="0.3">
      <c r="A2114" s="10">
        <v>45962</v>
      </c>
      <c r="B2114" s="9" t="s">
        <v>3</v>
      </c>
      <c r="C2114" t="s">
        <v>64</v>
      </c>
      <c r="D2114" s="9">
        <v>19616</v>
      </c>
      <c r="E2114" s="5" t="s">
        <v>563</v>
      </c>
      <c r="F2114" t="s">
        <v>66</v>
      </c>
      <c r="G2114">
        <v>3849</v>
      </c>
      <c r="H2114">
        <v>1408</v>
      </c>
      <c r="I2114" s="8">
        <f t="shared" si="193"/>
        <v>0.3658093011171733</v>
      </c>
      <c r="J2114" s="17">
        <v>0.7</v>
      </c>
      <c r="K2114" s="12">
        <v>13.75</v>
      </c>
      <c r="L2114" s="2">
        <f t="shared" si="196"/>
        <v>1286.2999999999997</v>
      </c>
      <c r="M2114" s="15">
        <f t="shared" si="194"/>
        <v>17686.624999999996</v>
      </c>
      <c r="N2114" t="str">
        <f t="shared" ref="N2114:N2177" si="197">B2114</f>
        <v>SP</v>
      </c>
      <c r="O2114" t="str">
        <f t="shared" ref="O2114:O2177" si="198">C2114</f>
        <v>Campinas</v>
      </c>
    </row>
    <row r="2115" spans="1:15" x14ac:dyDescent="0.3">
      <c r="A2115" s="10">
        <v>45962</v>
      </c>
      <c r="B2115" s="9" t="s">
        <v>3</v>
      </c>
      <c r="C2115" t="s">
        <v>64</v>
      </c>
      <c r="D2115" s="9">
        <v>19688</v>
      </c>
      <c r="E2115" s="5" t="s">
        <v>564</v>
      </c>
      <c r="F2115" t="s">
        <v>67</v>
      </c>
      <c r="G2115">
        <v>2051</v>
      </c>
      <c r="H2115">
        <v>770</v>
      </c>
      <c r="I2115" s="8">
        <f t="shared" ref="I2115:I2178" si="199">H2115/G2115</f>
        <v>0.37542662116040953</v>
      </c>
      <c r="J2115" s="17">
        <v>0.7</v>
      </c>
      <c r="K2115" s="12">
        <v>13.75</v>
      </c>
      <c r="L2115" s="2">
        <f t="shared" si="196"/>
        <v>665.7</v>
      </c>
      <c r="M2115" s="15">
        <f t="shared" ref="M2115:M2178" si="200">L2115*K2115</f>
        <v>9153.375</v>
      </c>
      <c r="N2115" t="str">
        <f t="shared" si="197"/>
        <v>SP</v>
      </c>
      <c r="O2115" t="str">
        <f t="shared" si="198"/>
        <v>Campinas</v>
      </c>
    </row>
    <row r="2116" spans="1:15" x14ac:dyDescent="0.3">
      <c r="A2116" s="10">
        <v>45962</v>
      </c>
      <c r="B2116" s="9" t="s">
        <v>3</v>
      </c>
      <c r="C2116" t="s">
        <v>275</v>
      </c>
      <c r="D2116" s="9">
        <v>19721</v>
      </c>
      <c r="E2116" s="5" t="s">
        <v>565</v>
      </c>
      <c r="F2116" t="s">
        <v>276</v>
      </c>
      <c r="G2116">
        <v>2201</v>
      </c>
      <c r="H2116">
        <v>864</v>
      </c>
      <c r="I2116" s="8">
        <f t="shared" si="199"/>
        <v>0.39254884143571106</v>
      </c>
      <c r="J2116" s="17">
        <v>0.7</v>
      </c>
      <c r="K2116" s="12">
        <v>13.75</v>
      </c>
      <c r="L2116" s="2">
        <f t="shared" si="196"/>
        <v>676.69999999999982</v>
      </c>
      <c r="M2116" s="15">
        <f t="shared" si="200"/>
        <v>9304.6249999999982</v>
      </c>
      <c r="N2116" t="str">
        <f t="shared" si="197"/>
        <v>SP</v>
      </c>
      <c r="O2116" t="str">
        <f t="shared" si="198"/>
        <v>Sorocaba</v>
      </c>
    </row>
    <row r="2117" spans="1:15" x14ac:dyDescent="0.3">
      <c r="A2117" s="10">
        <v>45962</v>
      </c>
      <c r="B2117" s="9" t="s">
        <v>3</v>
      </c>
      <c r="C2117" t="s">
        <v>248</v>
      </c>
      <c r="D2117" s="9">
        <v>19863</v>
      </c>
      <c r="E2117" s="5" t="s">
        <v>566</v>
      </c>
      <c r="F2117" t="s">
        <v>268</v>
      </c>
      <c r="G2117">
        <v>2913</v>
      </c>
      <c r="H2117">
        <v>945</v>
      </c>
      <c r="I2117" s="8">
        <f t="shared" si="199"/>
        <v>0.32440782698249226</v>
      </c>
      <c r="J2117" s="17">
        <v>0.7</v>
      </c>
      <c r="K2117" s="12">
        <v>13.75</v>
      </c>
      <c r="L2117" s="2">
        <f t="shared" si="196"/>
        <v>1094.1000000000001</v>
      </c>
      <c r="M2117" s="15">
        <f t="shared" si="200"/>
        <v>15043.875000000002</v>
      </c>
      <c r="N2117" t="str">
        <f t="shared" si="197"/>
        <v>SP</v>
      </c>
      <c r="O2117" t="str">
        <f t="shared" si="198"/>
        <v>São Paulo</v>
      </c>
    </row>
    <row r="2118" spans="1:15" x14ac:dyDescent="0.3">
      <c r="A2118" s="10">
        <v>45962</v>
      </c>
      <c r="B2118" s="9" t="s">
        <v>3</v>
      </c>
      <c r="C2118" t="s">
        <v>248</v>
      </c>
      <c r="D2118" s="9">
        <v>19817</v>
      </c>
      <c r="E2118" s="5" t="s">
        <v>567</v>
      </c>
      <c r="F2118" t="s">
        <v>269</v>
      </c>
      <c r="G2118">
        <v>1548</v>
      </c>
      <c r="H2118">
        <v>521</v>
      </c>
      <c r="I2118" s="8">
        <f t="shared" si="199"/>
        <v>0.33656330749354008</v>
      </c>
      <c r="J2118" s="17">
        <v>0.7</v>
      </c>
      <c r="K2118" s="12">
        <v>13.75</v>
      </c>
      <c r="L2118" s="2">
        <f t="shared" si="196"/>
        <v>562.59999999999991</v>
      </c>
      <c r="M2118" s="15">
        <f t="shared" si="200"/>
        <v>7735.7499999999991</v>
      </c>
      <c r="N2118" t="str">
        <f t="shared" si="197"/>
        <v>SP</v>
      </c>
      <c r="O2118" t="str">
        <f t="shared" si="198"/>
        <v>São Paulo</v>
      </c>
    </row>
    <row r="2119" spans="1:15" x14ac:dyDescent="0.3">
      <c r="A2119" s="10">
        <v>45962</v>
      </c>
      <c r="B2119" s="9" t="s">
        <v>3</v>
      </c>
      <c r="C2119" t="s">
        <v>248</v>
      </c>
      <c r="D2119" s="9">
        <v>19866</v>
      </c>
      <c r="E2119" s="5" t="s">
        <v>568</v>
      </c>
      <c r="F2119" t="s">
        <v>270</v>
      </c>
      <c r="G2119">
        <v>1400</v>
      </c>
      <c r="H2119">
        <v>517</v>
      </c>
      <c r="I2119" s="8">
        <f t="shared" si="199"/>
        <v>0.36928571428571427</v>
      </c>
      <c r="J2119" s="17">
        <v>0.7</v>
      </c>
      <c r="K2119" s="12">
        <v>13.75</v>
      </c>
      <c r="L2119" s="2">
        <f t="shared" si="196"/>
        <v>463</v>
      </c>
      <c r="M2119" s="15">
        <f t="shared" si="200"/>
        <v>6366.25</v>
      </c>
      <c r="N2119" t="str">
        <f t="shared" si="197"/>
        <v>SP</v>
      </c>
      <c r="O2119" t="str">
        <f t="shared" si="198"/>
        <v>São Paulo</v>
      </c>
    </row>
    <row r="2120" spans="1:15" x14ac:dyDescent="0.3">
      <c r="A2120" s="10">
        <v>45962</v>
      </c>
      <c r="B2120" s="9" t="s">
        <v>3</v>
      </c>
      <c r="C2120" t="s">
        <v>110</v>
      </c>
      <c r="D2120" s="9">
        <v>19884</v>
      </c>
      <c r="E2120" s="5" t="s">
        <v>577</v>
      </c>
      <c r="F2120" t="s">
        <v>111</v>
      </c>
      <c r="G2120">
        <v>1998</v>
      </c>
      <c r="H2120">
        <v>577</v>
      </c>
      <c r="I2120" s="8">
        <f t="shared" si="199"/>
        <v>0.28878878878878878</v>
      </c>
      <c r="J2120" s="17">
        <v>0.7</v>
      </c>
      <c r="K2120" s="12">
        <v>13.75</v>
      </c>
      <c r="L2120" s="2">
        <f t="shared" si="196"/>
        <v>821.59999999999991</v>
      </c>
      <c r="M2120" s="15">
        <f t="shared" si="200"/>
        <v>11296.999999999998</v>
      </c>
      <c r="N2120" t="str">
        <f t="shared" si="197"/>
        <v>SP</v>
      </c>
      <c r="O2120" t="str">
        <f t="shared" si="198"/>
        <v>Guarulhos</v>
      </c>
    </row>
    <row r="2121" spans="1:15" x14ac:dyDescent="0.3">
      <c r="A2121" s="10">
        <v>45962</v>
      </c>
      <c r="B2121" s="9" t="s">
        <v>3</v>
      </c>
      <c r="C2121" t="s">
        <v>248</v>
      </c>
      <c r="D2121" s="9">
        <v>19859</v>
      </c>
      <c r="E2121" s="5" t="s">
        <v>578</v>
      </c>
      <c r="F2121" t="s">
        <v>258</v>
      </c>
      <c r="G2121">
        <v>2072</v>
      </c>
      <c r="H2121">
        <v>623</v>
      </c>
      <c r="I2121" s="8">
        <f t="shared" si="199"/>
        <v>0.30067567567567566</v>
      </c>
      <c r="J2121" s="17">
        <v>0.7</v>
      </c>
      <c r="K2121" s="12">
        <v>13.75</v>
      </c>
      <c r="L2121" s="2">
        <f t="shared" si="196"/>
        <v>827.39999999999986</v>
      </c>
      <c r="M2121" s="15">
        <f t="shared" si="200"/>
        <v>11376.749999999998</v>
      </c>
      <c r="N2121" t="str">
        <f t="shared" si="197"/>
        <v>SP</v>
      </c>
      <c r="O2121" t="str">
        <f t="shared" si="198"/>
        <v>São Paulo</v>
      </c>
    </row>
    <row r="2122" spans="1:15" x14ac:dyDescent="0.3">
      <c r="A2122" s="10">
        <v>45962</v>
      </c>
      <c r="B2122" s="9" t="s">
        <v>3</v>
      </c>
      <c r="C2122" t="s">
        <v>248</v>
      </c>
      <c r="D2122" s="9">
        <v>19711</v>
      </c>
      <c r="E2122" s="5" t="s">
        <v>579</v>
      </c>
      <c r="F2122" t="s">
        <v>264</v>
      </c>
      <c r="G2122">
        <v>1873</v>
      </c>
      <c r="H2122">
        <v>744</v>
      </c>
      <c r="I2122" s="8">
        <f t="shared" si="199"/>
        <v>0.397223705285638</v>
      </c>
      <c r="J2122" s="17">
        <v>0.7</v>
      </c>
      <c r="K2122" s="12">
        <v>13.75</v>
      </c>
      <c r="L2122" s="2">
        <f t="shared" si="196"/>
        <v>567.09999999999991</v>
      </c>
      <c r="M2122" s="15">
        <f t="shared" si="200"/>
        <v>7797.6249999999991</v>
      </c>
      <c r="N2122" t="str">
        <f t="shared" si="197"/>
        <v>SP</v>
      </c>
      <c r="O2122" t="str">
        <f t="shared" si="198"/>
        <v>São Paulo</v>
      </c>
    </row>
    <row r="2123" spans="1:15" x14ac:dyDescent="0.3">
      <c r="A2123" s="10">
        <v>45962</v>
      </c>
      <c r="B2123" s="9" t="s">
        <v>3</v>
      </c>
      <c r="C2123" t="s">
        <v>248</v>
      </c>
      <c r="D2123" s="9">
        <v>19763</v>
      </c>
      <c r="E2123" s="5" t="s">
        <v>580</v>
      </c>
      <c r="F2123" t="s">
        <v>263</v>
      </c>
      <c r="G2123">
        <v>1587</v>
      </c>
      <c r="H2123">
        <v>539</v>
      </c>
      <c r="I2123" s="8">
        <f t="shared" si="199"/>
        <v>0.33963453056080656</v>
      </c>
      <c r="J2123" s="17">
        <v>0.7</v>
      </c>
      <c r="K2123" s="12">
        <v>13.75</v>
      </c>
      <c r="L2123" s="2">
        <f t="shared" si="196"/>
        <v>571.89999999999986</v>
      </c>
      <c r="M2123" s="15">
        <f t="shared" si="200"/>
        <v>7863.6249999999982</v>
      </c>
      <c r="N2123" t="str">
        <f t="shared" si="197"/>
        <v>SP</v>
      </c>
      <c r="O2123" t="str">
        <f t="shared" si="198"/>
        <v>São Paulo</v>
      </c>
    </row>
    <row r="2124" spans="1:15" x14ac:dyDescent="0.3">
      <c r="A2124" s="10">
        <v>45962</v>
      </c>
      <c r="B2124" s="9" t="s">
        <v>68</v>
      </c>
      <c r="C2124" t="s">
        <v>69</v>
      </c>
      <c r="D2124" s="9">
        <v>19602</v>
      </c>
      <c r="E2124" s="5" t="s">
        <v>570</v>
      </c>
      <c r="F2124" t="s">
        <v>70</v>
      </c>
      <c r="G2124">
        <v>368</v>
      </c>
      <c r="H2124">
        <v>64</v>
      </c>
      <c r="I2124" s="8">
        <f t="shared" si="199"/>
        <v>0.17391304347826086</v>
      </c>
      <c r="J2124" s="17">
        <v>0.7</v>
      </c>
      <c r="K2124" s="12">
        <v>13.75</v>
      </c>
      <c r="L2124" s="2">
        <f t="shared" si="196"/>
        <v>193.59999999999997</v>
      </c>
      <c r="M2124" s="15">
        <f t="shared" si="200"/>
        <v>2661.9999999999995</v>
      </c>
      <c r="N2124" t="str">
        <f t="shared" si="197"/>
        <v>MS</v>
      </c>
      <c r="O2124" t="str">
        <f t="shared" si="198"/>
        <v>Campo Grande</v>
      </c>
    </row>
    <row r="2125" spans="1:15" x14ac:dyDescent="0.3">
      <c r="A2125" s="10">
        <v>45962</v>
      </c>
      <c r="B2125" s="9" t="s">
        <v>46</v>
      </c>
      <c r="C2125" t="s">
        <v>47</v>
      </c>
      <c r="D2125" s="9">
        <v>19755</v>
      </c>
      <c r="E2125" s="5" t="s">
        <v>581</v>
      </c>
      <c r="F2125" t="s">
        <v>53</v>
      </c>
      <c r="G2125">
        <v>991</v>
      </c>
      <c r="H2125">
        <v>293</v>
      </c>
      <c r="I2125" s="8">
        <f t="shared" si="199"/>
        <v>0.2956609485368315</v>
      </c>
      <c r="J2125" s="17">
        <v>0.7</v>
      </c>
      <c r="K2125" s="12">
        <v>13.75</v>
      </c>
      <c r="L2125" s="2">
        <f t="shared" si="196"/>
        <v>400.69999999999993</v>
      </c>
      <c r="M2125" s="15">
        <f t="shared" si="200"/>
        <v>5509.6249999999991</v>
      </c>
      <c r="N2125" t="str">
        <f t="shared" si="197"/>
        <v>DF</v>
      </c>
      <c r="O2125" t="str">
        <f t="shared" si="198"/>
        <v>Brasília</v>
      </c>
    </row>
    <row r="2126" spans="1:15" x14ac:dyDescent="0.3">
      <c r="A2126" s="10">
        <v>45962</v>
      </c>
      <c r="B2126" s="9" t="s">
        <v>14</v>
      </c>
      <c r="C2126" t="s">
        <v>29</v>
      </c>
      <c r="D2126" s="9">
        <v>19780</v>
      </c>
      <c r="E2126" s="5" t="s">
        <v>582</v>
      </c>
      <c r="F2126" t="s">
        <v>35</v>
      </c>
      <c r="G2126">
        <v>1741</v>
      </c>
      <c r="H2126">
        <v>1011</v>
      </c>
      <c r="I2126" s="8">
        <f t="shared" si="199"/>
        <v>0.58070074669730043</v>
      </c>
      <c r="J2126" s="17">
        <v>0.7</v>
      </c>
      <c r="K2126" s="12">
        <v>13.75</v>
      </c>
      <c r="L2126" s="2">
        <f t="shared" si="196"/>
        <v>207.69999999999982</v>
      </c>
      <c r="M2126" s="15">
        <f t="shared" si="200"/>
        <v>2855.8749999999973</v>
      </c>
      <c r="N2126" t="str">
        <f t="shared" si="197"/>
        <v>MG</v>
      </c>
      <c r="O2126" t="str">
        <f t="shared" si="198"/>
        <v>Belo Horizonte</v>
      </c>
    </row>
    <row r="2127" spans="1:15" x14ac:dyDescent="0.3">
      <c r="A2127" s="10">
        <v>45962</v>
      </c>
      <c r="B2127" s="9" t="s">
        <v>3</v>
      </c>
      <c r="C2127" t="s">
        <v>321</v>
      </c>
      <c r="D2127" s="9">
        <v>19825</v>
      </c>
      <c r="E2127" s="5" t="s">
        <v>583</v>
      </c>
      <c r="F2127" t="s">
        <v>241</v>
      </c>
      <c r="G2127">
        <v>1696</v>
      </c>
      <c r="H2127">
        <v>528</v>
      </c>
      <c r="I2127" s="8">
        <f t="shared" si="199"/>
        <v>0.31132075471698112</v>
      </c>
      <c r="J2127" s="17">
        <v>0.7</v>
      </c>
      <c r="K2127" s="12">
        <v>13.75</v>
      </c>
      <c r="L2127" s="2">
        <f t="shared" si="196"/>
        <v>659.2</v>
      </c>
      <c r="M2127" s="15">
        <f t="shared" si="200"/>
        <v>9064</v>
      </c>
      <c r="N2127" t="str">
        <f t="shared" si="197"/>
        <v>SP</v>
      </c>
      <c r="O2127" t="str">
        <f t="shared" si="198"/>
        <v>SÃO BERNARDO DO CAMPO</v>
      </c>
    </row>
    <row r="2128" spans="1:15" x14ac:dyDescent="0.3">
      <c r="A2128" s="10">
        <v>45962</v>
      </c>
      <c r="B2128" s="9" t="s">
        <v>3</v>
      </c>
      <c r="C2128" t="s">
        <v>320</v>
      </c>
      <c r="D2128" s="9">
        <v>19847</v>
      </c>
      <c r="E2128" s="5" t="s">
        <v>584</v>
      </c>
      <c r="F2128" t="s">
        <v>238</v>
      </c>
      <c r="G2128">
        <v>1824</v>
      </c>
      <c r="H2128">
        <v>474</v>
      </c>
      <c r="I2128" s="8">
        <f t="shared" si="199"/>
        <v>0.25986842105263158</v>
      </c>
      <c r="J2128" s="17">
        <v>0.7</v>
      </c>
      <c r="K2128" s="12">
        <v>13.75</v>
      </c>
      <c r="L2128" s="2">
        <f t="shared" si="196"/>
        <v>802.79999999999973</v>
      </c>
      <c r="M2128" s="15">
        <f t="shared" si="200"/>
        <v>11038.499999999996</v>
      </c>
      <c r="N2128" t="str">
        <f t="shared" si="197"/>
        <v>SP</v>
      </c>
      <c r="O2128" t="str">
        <f t="shared" si="198"/>
        <v>SANTO ANDRÉ</v>
      </c>
    </row>
    <row r="2129" spans="1:15" x14ac:dyDescent="0.3">
      <c r="A2129" s="10">
        <v>45962</v>
      </c>
      <c r="B2129" s="9" t="s">
        <v>3</v>
      </c>
      <c r="C2129" t="s">
        <v>248</v>
      </c>
      <c r="D2129" s="9">
        <v>19890</v>
      </c>
      <c r="E2129" s="5" t="s">
        <v>585</v>
      </c>
      <c r="F2129" t="s">
        <v>259</v>
      </c>
      <c r="G2129">
        <v>1129</v>
      </c>
      <c r="H2129">
        <v>293</v>
      </c>
      <c r="I2129" s="8">
        <f t="shared" si="199"/>
        <v>0.25952170062001773</v>
      </c>
      <c r="J2129" s="17">
        <v>0.7</v>
      </c>
      <c r="K2129" s="12">
        <v>13.75</v>
      </c>
      <c r="L2129" s="2">
        <f t="shared" si="196"/>
        <v>497.29999999999995</v>
      </c>
      <c r="M2129" s="15">
        <f t="shared" si="200"/>
        <v>6837.8749999999991</v>
      </c>
      <c r="N2129" t="str">
        <f t="shared" si="197"/>
        <v>SP</v>
      </c>
      <c r="O2129" t="str">
        <f t="shared" si="198"/>
        <v>São Paulo</v>
      </c>
    </row>
    <row r="2130" spans="1:15" x14ac:dyDescent="0.3">
      <c r="A2130" s="10">
        <v>45962</v>
      </c>
      <c r="B2130" s="9" t="s">
        <v>3</v>
      </c>
      <c r="C2130" t="s">
        <v>239</v>
      </c>
      <c r="D2130" s="9">
        <v>19708</v>
      </c>
      <c r="E2130" s="5" t="s">
        <v>586</v>
      </c>
      <c r="F2130" t="s">
        <v>240</v>
      </c>
      <c r="G2130">
        <v>2465</v>
      </c>
      <c r="H2130">
        <v>852</v>
      </c>
      <c r="I2130" s="8">
        <f t="shared" si="199"/>
        <v>0.34563894523326572</v>
      </c>
      <c r="J2130" s="17">
        <v>0.7</v>
      </c>
      <c r="K2130" s="12">
        <v>13.75</v>
      </c>
      <c r="L2130" s="2">
        <f t="shared" si="196"/>
        <v>873.5</v>
      </c>
      <c r="M2130" s="15">
        <f t="shared" si="200"/>
        <v>12010.625</v>
      </c>
      <c r="N2130" t="str">
        <f t="shared" si="197"/>
        <v>SP</v>
      </c>
      <c r="O2130" t="str">
        <f t="shared" si="198"/>
        <v>Santos</v>
      </c>
    </row>
    <row r="2131" spans="1:15" x14ac:dyDescent="0.3">
      <c r="A2131" s="10">
        <v>45962</v>
      </c>
      <c r="B2131" s="9" t="s">
        <v>3</v>
      </c>
      <c r="C2131" t="s">
        <v>318</v>
      </c>
      <c r="D2131" s="9">
        <v>19745</v>
      </c>
      <c r="E2131" s="5" t="s">
        <v>587</v>
      </c>
      <c r="F2131" t="s">
        <v>154</v>
      </c>
      <c r="G2131">
        <v>2094</v>
      </c>
      <c r="H2131">
        <v>818</v>
      </c>
      <c r="I2131" s="8">
        <f t="shared" si="199"/>
        <v>0.39063992359121297</v>
      </c>
      <c r="J2131" s="17">
        <v>0.7</v>
      </c>
      <c r="K2131" s="12">
        <v>13.75</v>
      </c>
      <c r="L2131" s="2">
        <f t="shared" si="196"/>
        <v>647.79999999999995</v>
      </c>
      <c r="M2131" s="15">
        <f t="shared" si="200"/>
        <v>8907.25</v>
      </c>
      <c r="N2131" t="str">
        <f t="shared" si="197"/>
        <v>SP</v>
      </c>
      <c r="O2131" t="str">
        <f t="shared" si="198"/>
        <v>OSASCO</v>
      </c>
    </row>
    <row r="2132" spans="1:15" x14ac:dyDescent="0.3">
      <c r="A2132" s="10">
        <v>45962</v>
      </c>
      <c r="B2132" s="9" t="s">
        <v>3</v>
      </c>
      <c r="C2132" t="s">
        <v>248</v>
      </c>
      <c r="D2132" s="9">
        <v>19710</v>
      </c>
      <c r="E2132" s="5" t="s">
        <v>588</v>
      </c>
      <c r="F2132" t="s">
        <v>261</v>
      </c>
      <c r="G2132">
        <v>1740</v>
      </c>
      <c r="H2132">
        <v>760</v>
      </c>
      <c r="I2132" s="8">
        <f t="shared" si="199"/>
        <v>0.43678160919540232</v>
      </c>
      <c r="J2132" s="17">
        <v>0.7</v>
      </c>
      <c r="K2132" s="12">
        <v>13.75</v>
      </c>
      <c r="L2132" s="2">
        <f t="shared" si="196"/>
        <v>458</v>
      </c>
      <c r="M2132" s="15">
        <f t="shared" si="200"/>
        <v>6297.5</v>
      </c>
      <c r="N2132" t="str">
        <f t="shared" si="197"/>
        <v>SP</v>
      </c>
      <c r="O2132" t="str">
        <f t="shared" si="198"/>
        <v>São Paulo</v>
      </c>
    </row>
    <row r="2133" spans="1:15" x14ac:dyDescent="0.3">
      <c r="A2133" s="10">
        <v>45962</v>
      </c>
      <c r="B2133" s="9" t="s">
        <v>3</v>
      </c>
      <c r="C2133" t="s">
        <v>248</v>
      </c>
      <c r="D2133" s="9">
        <v>19891</v>
      </c>
      <c r="E2133" s="5" t="s">
        <v>612</v>
      </c>
      <c r="F2133" t="s">
        <v>260</v>
      </c>
      <c r="G2133">
        <v>1474</v>
      </c>
      <c r="H2133">
        <v>647</v>
      </c>
      <c r="I2133" s="8">
        <f t="shared" si="199"/>
        <v>0.43894165535956581</v>
      </c>
      <c r="J2133" s="17">
        <v>0.7</v>
      </c>
      <c r="K2133" s="12">
        <v>13.75</v>
      </c>
      <c r="L2133" s="2">
        <f t="shared" ref="L2133:L2157" si="201">H2133*J2133/I2133-H2133</f>
        <v>384.79999999999995</v>
      </c>
      <c r="M2133" s="15">
        <f t="shared" si="200"/>
        <v>5290.9999999999991</v>
      </c>
      <c r="N2133" t="str">
        <f t="shared" si="197"/>
        <v>SP</v>
      </c>
      <c r="O2133" t="str">
        <f t="shared" si="198"/>
        <v>São Paulo</v>
      </c>
    </row>
    <row r="2134" spans="1:15" x14ac:dyDescent="0.3">
      <c r="A2134" s="10">
        <v>45962</v>
      </c>
      <c r="B2134" s="9" t="s">
        <v>3</v>
      </c>
      <c r="C2134" t="s">
        <v>322</v>
      </c>
      <c r="D2134" s="9">
        <v>19808</v>
      </c>
      <c r="E2134" s="5" t="s">
        <v>589</v>
      </c>
      <c r="F2134" t="s">
        <v>243</v>
      </c>
      <c r="G2134">
        <v>1615</v>
      </c>
      <c r="H2134">
        <v>389</v>
      </c>
      <c r="I2134" s="8">
        <f t="shared" si="199"/>
        <v>0.24086687306501547</v>
      </c>
      <c r="J2134" s="17">
        <v>0.7</v>
      </c>
      <c r="K2134" s="12">
        <v>13.75</v>
      </c>
      <c r="L2134" s="2">
        <f t="shared" si="201"/>
        <v>741.49999999999977</v>
      </c>
      <c r="M2134" s="15">
        <f t="shared" si="200"/>
        <v>10195.624999999996</v>
      </c>
      <c r="N2134" t="str">
        <f t="shared" si="197"/>
        <v>SP</v>
      </c>
      <c r="O2134" t="str">
        <f t="shared" si="198"/>
        <v>São Caetano do Sul</v>
      </c>
    </row>
    <row r="2135" spans="1:15" x14ac:dyDescent="0.3">
      <c r="A2135" s="10">
        <v>45962</v>
      </c>
      <c r="B2135" s="9" t="s">
        <v>3</v>
      </c>
      <c r="C2135" t="s">
        <v>248</v>
      </c>
      <c r="D2135" s="9">
        <v>19804</v>
      </c>
      <c r="E2135" s="5" t="s">
        <v>590</v>
      </c>
      <c r="F2135" t="s">
        <v>255</v>
      </c>
      <c r="G2135">
        <v>1741</v>
      </c>
      <c r="H2135">
        <v>598</v>
      </c>
      <c r="I2135" s="8">
        <f t="shared" si="199"/>
        <v>0.34348075818495116</v>
      </c>
      <c r="J2135" s="17">
        <v>0.7</v>
      </c>
      <c r="K2135" s="12">
        <v>13.75</v>
      </c>
      <c r="L2135" s="2">
        <f t="shared" si="201"/>
        <v>620.70000000000005</v>
      </c>
      <c r="M2135" s="15">
        <f t="shared" si="200"/>
        <v>8534.625</v>
      </c>
      <c r="N2135" t="str">
        <f t="shared" si="197"/>
        <v>SP</v>
      </c>
      <c r="O2135" t="str">
        <f t="shared" si="198"/>
        <v>São Paulo</v>
      </c>
    </row>
    <row r="2136" spans="1:15" x14ac:dyDescent="0.3">
      <c r="A2136" s="10">
        <v>45962</v>
      </c>
      <c r="B2136" s="9" t="s">
        <v>3</v>
      </c>
      <c r="C2136" t="s">
        <v>321</v>
      </c>
      <c r="D2136" s="9">
        <v>19820</v>
      </c>
      <c r="E2136" s="5" t="s">
        <v>591</v>
      </c>
      <c r="F2136" t="s">
        <v>242</v>
      </c>
      <c r="G2136">
        <v>1532</v>
      </c>
      <c r="H2136">
        <v>424</v>
      </c>
      <c r="I2136" s="8">
        <f t="shared" si="199"/>
        <v>0.27676240208877284</v>
      </c>
      <c r="J2136" s="17">
        <v>0.7</v>
      </c>
      <c r="K2136" s="12">
        <v>13.75</v>
      </c>
      <c r="L2136" s="2">
        <f t="shared" si="201"/>
        <v>648.39999999999986</v>
      </c>
      <c r="M2136" s="15">
        <f t="shared" si="200"/>
        <v>8915.4999999999982</v>
      </c>
      <c r="N2136" t="str">
        <f t="shared" si="197"/>
        <v>SP</v>
      </c>
      <c r="O2136" t="str">
        <f t="shared" si="198"/>
        <v>SÃO BERNARDO DO CAMPO</v>
      </c>
    </row>
    <row r="2137" spans="1:15" x14ac:dyDescent="0.3">
      <c r="A2137" s="10">
        <v>45962</v>
      </c>
      <c r="B2137" s="9" t="s">
        <v>3</v>
      </c>
      <c r="C2137" t="s">
        <v>24</v>
      </c>
      <c r="D2137" s="9">
        <v>19805</v>
      </c>
      <c r="E2137" s="5" t="s">
        <v>592</v>
      </c>
      <c r="F2137" t="s">
        <v>25</v>
      </c>
      <c r="G2137">
        <v>1940</v>
      </c>
      <c r="H2137">
        <v>823</v>
      </c>
      <c r="I2137" s="8">
        <f t="shared" si="199"/>
        <v>0.42422680412371133</v>
      </c>
      <c r="J2137" s="17">
        <v>0.7</v>
      </c>
      <c r="K2137" s="12">
        <v>13.75</v>
      </c>
      <c r="L2137" s="2">
        <f t="shared" si="201"/>
        <v>534.99999999999977</v>
      </c>
      <c r="M2137" s="15">
        <f t="shared" si="200"/>
        <v>7356.2499999999973</v>
      </c>
      <c r="N2137" t="str">
        <f t="shared" si="197"/>
        <v>SP</v>
      </c>
      <c r="O2137" t="str">
        <f t="shared" si="198"/>
        <v>Barueri</v>
      </c>
    </row>
    <row r="2138" spans="1:15" x14ac:dyDescent="0.3">
      <c r="A2138" s="10">
        <v>45962</v>
      </c>
      <c r="B2138" s="9" t="s">
        <v>14</v>
      </c>
      <c r="C2138" t="s">
        <v>29</v>
      </c>
      <c r="D2138" s="9">
        <v>19720</v>
      </c>
      <c r="E2138" s="5" t="s">
        <v>593</v>
      </c>
      <c r="F2138" t="s">
        <v>36</v>
      </c>
      <c r="G2138">
        <v>1809</v>
      </c>
      <c r="H2138">
        <v>695</v>
      </c>
      <c r="I2138" s="8">
        <f t="shared" si="199"/>
        <v>0.38419016030956332</v>
      </c>
      <c r="J2138" s="17">
        <v>0.7</v>
      </c>
      <c r="K2138" s="12">
        <v>13.75</v>
      </c>
      <c r="L2138" s="2">
        <f t="shared" si="201"/>
        <v>571.29999999999973</v>
      </c>
      <c r="M2138" s="15">
        <f t="shared" si="200"/>
        <v>7855.3749999999964</v>
      </c>
      <c r="N2138" t="str">
        <f t="shared" si="197"/>
        <v>MG</v>
      </c>
      <c r="O2138" t="str">
        <f t="shared" si="198"/>
        <v>Belo Horizonte</v>
      </c>
    </row>
    <row r="2139" spans="1:15" x14ac:dyDescent="0.3">
      <c r="A2139" s="10">
        <v>45962</v>
      </c>
      <c r="B2139" s="9" t="s">
        <v>3</v>
      </c>
      <c r="C2139" t="s">
        <v>108</v>
      </c>
      <c r="D2139" s="9">
        <v>19877</v>
      </c>
      <c r="E2139" s="5" t="s">
        <v>594</v>
      </c>
      <c r="F2139" t="s">
        <v>109</v>
      </c>
      <c r="G2139">
        <v>2544</v>
      </c>
      <c r="H2139">
        <v>1079</v>
      </c>
      <c r="I2139" s="8">
        <f t="shared" si="199"/>
        <v>0.42413522012578614</v>
      </c>
      <c r="J2139" s="17">
        <v>0.7</v>
      </c>
      <c r="K2139" s="12">
        <v>13.75</v>
      </c>
      <c r="L2139" s="2">
        <f t="shared" si="201"/>
        <v>701.8</v>
      </c>
      <c r="M2139" s="15">
        <f t="shared" si="200"/>
        <v>9649.75</v>
      </c>
      <c r="N2139" t="str">
        <f t="shared" si="197"/>
        <v>SP</v>
      </c>
      <c r="O2139" t="str">
        <f t="shared" si="198"/>
        <v>Guarujá</v>
      </c>
    </row>
    <row r="2140" spans="1:15" x14ac:dyDescent="0.3">
      <c r="A2140" s="10">
        <v>45962</v>
      </c>
      <c r="B2140" s="9" t="s">
        <v>15</v>
      </c>
      <c r="C2140" t="s">
        <v>332</v>
      </c>
      <c r="D2140" s="9">
        <v>19679</v>
      </c>
      <c r="E2140" s="5" t="s">
        <v>571</v>
      </c>
      <c r="F2140" t="s">
        <v>333</v>
      </c>
      <c r="G2140">
        <v>2119</v>
      </c>
      <c r="H2140">
        <v>935</v>
      </c>
      <c r="I2140" s="8">
        <f t="shared" si="199"/>
        <v>0.44124587069372345</v>
      </c>
      <c r="J2140" s="17">
        <v>0.7</v>
      </c>
      <c r="K2140" s="12">
        <v>13.75</v>
      </c>
      <c r="L2140" s="2">
        <f t="shared" si="201"/>
        <v>548.29999999999995</v>
      </c>
      <c r="M2140" s="15">
        <f t="shared" si="200"/>
        <v>7539.1249999999991</v>
      </c>
      <c r="N2140" t="str">
        <f t="shared" si="197"/>
        <v>RJ</v>
      </c>
      <c r="O2140" t="str">
        <f t="shared" si="198"/>
        <v>Macaé</v>
      </c>
    </row>
    <row r="2141" spans="1:15" x14ac:dyDescent="0.3">
      <c r="A2141" s="10">
        <v>45962</v>
      </c>
      <c r="B2141" s="9" t="s">
        <v>59</v>
      </c>
      <c r="C2141" t="s">
        <v>104</v>
      </c>
      <c r="D2141" s="9">
        <v>19872</v>
      </c>
      <c r="E2141" s="5" t="s">
        <v>572</v>
      </c>
      <c r="F2141" t="s">
        <v>105</v>
      </c>
      <c r="G2141">
        <v>2908</v>
      </c>
      <c r="H2141">
        <v>1350</v>
      </c>
      <c r="I2141" s="8">
        <f t="shared" si="199"/>
        <v>0.46423658872077028</v>
      </c>
      <c r="J2141" s="17">
        <v>0.7</v>
      </c>
      <c r="K2141" s="12">
        <v>13.75</v>
      </c>
      <c r="L2141" s="2">
        <f t="shared" si="201"/>
        <v>685.59999999999968</v>
      </c>
      <c r="M2141" s="15">
        <f t="shared" si="200"/>
        <v>9426.9999999999964</v>
      </c>
      <c r="N2141" t="str">
        <f t="shared" si="197"/>
        <v>ES</v>
      </c>
      <c r="O2141" t="str">
        <f t="shared" si="198"/>
        <v>Guarapari</v>
      </c>
    </row>
    <row r="2142" spans="1:15" x14ac:dyDescent="0.3">
      <c r="A2142" s="10">
        <v>45962</v>
      </c>
      <c r="B2142" s="9" t="s">
        <v>15</v>
      </c>
      <c r="C2142" t="s">
        <v>145</v>
      </c>
      <c r="D2142" s="9">
        <v>19513</v>
      </c>
      <c r="E2142" s="5" t="s">
        <v>574</v>
      </c>
      <c r="F2142" t="s">
        <v>147</v>
      </c>
      <c r="G2142">
        <v>2965</v>
      </c>
      <c r="H2142">
        <v>966</v>
      </c>
      <c r="I2142" s="8">
        <f t="shared" si="199"/>
        <v>0.32580101180438448</v>
      </c>
      <c r="J2142" s="17">
        <v>0.7</v>
      </c>
      <c r="K2142" s="12">
        <v>13.75</v>
      </c>
      <c r="L2142" s="2">
        <f t="shared" si="201"/>
        <v>1109.5</v>
      </c>
      <c r="M2142" s="15">
        <f t="shared" si="200"/>
        <v>15255.625</v>
      </c>
      <c r="N2142" t="str">
        <f t="shared" si="197"/>
        <v>RJ</v>
      </c>
      <c r="O2142" t="str">
        <f t="shared" si="198"/>
        <v>Niterói</v>
      </c>
    </row>
    <row r="2143" spans="1:15" x14ac:dyDescent="0.3">
      <c r="A2143" s="10">
        <v>45962</v>
      </c>
      <c r="B2143" s="9" t="s">
        <v>15</v>
      </c>
      <c r="C2143" t="s">
        <v>145</v>
      </c>
      <c r="D2143" s="9">
        <v>19525</v>
      </c>
      <c r="E2143" s="5" t="s">
        <v>575</v>
      </c>
      <c r="F2143" t="s">
        <v>148</v>
      </c>
      <c r="G2143">
        <v>3914</v>
      </c>
      <c r="H2143">
        <v>1462</v>
      </c>
      <c r="I2143" s="8">
        <f t="shared" si="199"/>
        <v>0.37353091466530403</v>
      </c>
      <c r="J2143" s="17">
        <v>0.7</v>
      </c>
      <c r="K2143" s="12">
        <v>13.75</v>
      </c>
      <c r="L2143" s="2">
        <f t="shared" si="201"/>
        <v>1277.8000000000002</v>
      </c>
      <c r="M2143" s="15">
        <f t="shared" si="200"/>
        <v>17569.750000000004</v>
      </c>
      <c r="N2143" t="str">
        <f t="shared" si="197"/>
        <v>RJ</v>
      </c>
      <c r="O2143" t="str">
        <f t="shared" si="198"/>
        <v>Niterói</v>
      </c>
    </row>
    <row r="2144" spans="1:15" x14ac:dyDescent="0.3">
      <c r="A2144" s="10">
        <v>45962</v>
      </c>
      <c r="B2144" s="9" t="s">
        <v>71</v>
      </c>
      <c r="C2144" t="s">
        <v>308</v>
      </c>
      <c r="D2144" s="9">
        <v>19956</v>
      </c>
      <c r="E2144" s="5" t="s">
        <v>614</v>
      </c>
      <c r="F2144" t="s">
        <v>309</v>
      </c>
      <c r="G2144">
        <v>1344</v>
      </c>
      <c r="H2144">
        <v>546</v>
      </c>
      <c r="I2144" s="8">
        <f t="shared" si="199"/>
        <v>0.40625</v>
      </c>
      <c r="J2144" s="17">
        <v>0.7</v>
      </c>
      <c r="K2144" s="12">
        <v>13.75</v>
      </c>
      <c r="L2144" s="2">
        <f t="shared" si="201"/>
        <v>394.79999999999995</v>
      </c>
      <c r="M2144" s="15">
        <f t="shared" si="200"/>
        <v>5428.4999999999991</v>
      </c>
      <c r="N2144" t="str">
        <f t="shared" si="197"/>
        <v>RS</v>
      </c>
      <c r="O2144" t="str">
        <f t="shared" si="198"/>
        <v>Lajeado</v>
      </c>
    </row>
    <row r="2145" spans="1:15" x14ac:dyDescent="0.3">
      <c r="A2145" s="10">
        <v>45962</v>
      </c>
      <c r="B2145" s="9" t="s">
        <v>15</v>
      </c>
      <c r="C2145" t="s">
        <v>310</v>
      </c>
      <c r="D2145" s="9">
        <v>19908</v>
      </c>
      <c r="E2145" s="5" t="s">
        <v>595</v>
      </c>
      <c r="F2145" t="s">
        <v>16</v>
      </c>
      <c r="G2145">
        <v>1809</v>
      </c>
      <c r="H2145">
        <v>981</v>
      </c>
      <c r="I2145" s="8">
        <f t="shared" si="199"/>
        <v>0.54228855721393032</v>
      </c>
      <c r="J2145" s="17">
        <v>0.7</v>
      </c>
      <c r="K2145" s="12">
        <v>13.75</v>
      </c>
      <c r="L2145" s="2">
        <f t="shared" si="201"/>
        <v>285.29999999999995</v>
      </c>
      <c r="M2145" s="15">
        <f t="shared" si="200"/>
        <v>3922.8749999999995</v>
      </c>
      <c r="N2145" t="str">
        <f t="shared" si="197"/>
        <v>RJ</v>
      </c>
      <c r="O2145" t="str">
        <f t="shared" si="198"/>
        <v>Armação dos Búzios</v>
      </c>
    </row>
    <row r="2146" spans="1:15" x14ac:dyDescent="0.3">
      <c r="A2146" s="10">
        <v>45962</v>
      </c>
      <c r="B2146" s="9" t="s">
        <v>21</v>
      </c>
      <c r="C2146" t="s">
        <v>228</v>
      </c>
      <c r="D2146" s="9">
        <v>19625</v>
      </c>
      <c r="E2146" s="5" t="s">
        <v>596</v>
      </c>
      <c r="F2146" t="s">
        <v>231</v>
      </c>
      <c r="G2146">
        <v>3362</v>
      </c>
      <c r="H2146">
        <v>1483</v>
      </c>
      <c r="I2146" s="8">
        <f t="shared" si="199"/>
        <v>0.44110648423557408</v>
      </c>
      <c r="J2146" s="17">
        <v>0.7</v>
      </c>
      <c r="K2146" s="12">
        <v>13.75</v>
      </c>
      <c r="L2146" s="2">
        <f t="shared" si="201"/>
        <v>870.39999999999964</v>
      </c>
      <c r="M2146" s="15">
        <f t="shared" si="200"/>
        <v>11967.999999999995</v>
      </c>
      <c r="N2146" t="str">
        <f t="shared" si="197"/>
        <v>BA</v>
      </c>
      <c r="O2146" t="str">
        <f t="shared" si="198"/>
        <v>Salvador</v>
      </c>
    </row>
    <row r="2147" spans="1:15" x14ac:dyDescent="0.3">
      <c r="A2147" s="10">
        <v>45962</v>
      </c>
      <c r="B2147" s="9" t="s">
        <v>21</v>
      </c>
      <c r="C2147" t="s">
        <v>228</v>
      </c>
      <c r="D2147" s="9">
        <v>19771</v>
      </c>
      <c r="E2147" s="5" t="s">
        <v>576</v>
      </c>
      <c r="F2147" t="s">
        <v>235</v>
      </c>
      <c r="G2147">
        <v>2020</v>
      </c>
      <c r="H2147">
        <v>827</v>
      </c>
      <c r="I2147" s="8">
        <f t="shared" si="199"/>
        <v>0.40940594059405938</v>
      </c>
      <c r="J2147" s="17">
        <v>0.7</v>
      </c>
      <c r="K2147" s="12">
        <v>13.75</v>
      </c>
      <c r="L2147" s="2">
        <f t="shared" si="201"/>
        <v>587</v>
      </c>
      <c r="M2147" s="15">
        <f t="shared" si="200"/>
        <v>8071.25</v>
      </c>
      <c r="N2147" t="str">
        <f t="shared" si="197"/>
        <v>BA</v>
      </c>
      <c r="O2147" t="str">
        <f t="shared" si="198"/>
        <v>Salvador</v>
      </c>
    </row>
    <row r="2148" spans="1:15" x14ac:dyDescent="0.3">
      <c r="A2148" s="10">
        <v>45962</v>
      </c>
      <c r="B2148" s="9" t="s">
        <v>21</v>
      </c>
      <c r="C2148" t="s">
        <v>228</v>
      </c>
      <c r="D2148" s="9">
        <v>19689</v>
      </c>
      <c r="E2148" s="5" t="s">
        <v>597</v>
      </c>
      <c r="F2148" t="s">
        <v>230</v>
      </c>
      <c r="G2148">
        <v>2356</v>
      </c>
      <c r="H2148">
        <v>1109</v>
      </c>
      <c r="I2148" s="8">
        <f t="shared" si="199"/>
        <v>0.47071307300509335</v>
      </c>
      <c r="J2148" s="17">
        <v>0.7</v>
      </c>
      <c r="K2148" s="12">
        <v>13.75</v>
      </c>
      <c r="L2148" s="2">
        <f t="shared" si="201"/>
        <v>540.20000000000005</v>
      </c>
      <c r="M2148" s="15">
        <f t="shared" si="200"/>
        <v>7427.7500000000009</v>
      </c>
      <c r="N2148" t="str">
        <f t="shared" si="197"/>
        <v>BA</v>
      </c>
      <c r="O2148" t="str">
        <f t="shared" si="198"/>
        <v>Salvador</v>
      </c>
    </row>
    <row r="2149" spans="1:15" x14ac:dyDescent="0.3">
      <c r="A2149" s="10">
        <v>45962</v>
      </c>
      <c r="B2149" s="9" t="s">
        <v>59</v>
      </c>
      <c r="C2149" t="s">
        <v>271</v>
      </c>
      <c r="D2149" s="9">
        <v>19775</v>
      </c>
      <c r="E2149" s="5" t="s">
        <v>598</v>
      </c>
      <c r="F2149" t="s">
        <v>272</v>
      </c>
      <c r="G2149">
        <v>1612</v>
      </c>
      <c r="H2149">
        <v>672</v>
      </c>
      <c r="I2149" s="8">
        <f t="shared" si="199"/>
        <v>0.41687344913151364</v>
      </c>
      <c r="J2149" s="17">
        <v>0.7</v>
      </c>
      <c r="K2149" s="12">
        <v>13.75</v>
      </c>
      <c r="L2149" s="2">
        <f t="shared" si="201"/>
        <v>456.39999999999986</v>
      </c>
      <c r="M2149" s="15">
        <f t="shared" si="200"/>
        <v>6275.4999999999982</v>
      </c>
      <c r="N2149" t="str">
        <f t="shared" si="197"/>
        <v>ES</v>
      </c>
      <c r="O2149" t="str">
        <f t="shared" si="198"/>
        <v>Serra</v>
      </c>
    </row>
    <row r="2150" spans="1:15" x14ac:dyDescent="0.3">
      <c r="A2150" s="10">
        <v>45962</v>
      </c>
      <c r="B2150" s="9" t="s">
        <v>59</v>
      </c>
      <c r="C2150" t="s">
        <v>292</v>
      </c>
      <c r="D2150" s="9">
        <v>19580</v>
      </c>
      <c r="E2150" s="5" t="s">
        <v>599</v>
      </c>
      <c r="F2150" t="s">
        <v>293</v>
      </c>
      <c r="G2150">
        <v>2481</v>
      </c>
      <c r="H2150">
        <v>788</v>
      </c>
      <c r="I2150" s="8">
        <f t="shared" si="199"/>
        <v>0.31761386537686415</v>
      </c>
      <c r="J2150" s="17">
        <v>0.7</v>
      </c>
      <c r="K2150" s="12">
        <v>13.75</v>
      </c>
      <c r="L2150" s="2">
        <f t="shared" si="201"/>
        <v>948.69999999999982</v>
      </c>
      <c r="M2150" s="15">
        <f t="shared" si="200"/>
        <v>13044.624999999998</v>
      </c>
      <c r="N2150" t="str">
        <f t="shared" si="197"/>
        <v>ES</v>
      </c>
      <c r="O2150" t="str">
        <f t="shared" si="198"/>
        <v>Vitória</v>
      </c>
    </row>
    <row r="2151" spans="1:15" x14ac:dyDescent="0.3">
      <c r="A2151" s="10">
        <v>45962</v>
      </c>
      <c r="B2151" s="9" t="s">
        <v>59</v>
      </c>
      <c r="C2151" t="s">
        <v>292</v>
      </c>
      <c r="D2151" s="9">
        <v>19719</v>
      </c>
      <c r="E2151" s="5" t="s">
        <v>600</v>
      </c>
      <c r="F2151" t="s">
        <v>294</v>
      </c>
      <c r="G2151">
        <v>2016</v>
      </c>
      <c r="H2151">
        <v>732</v>
      </c>
      <c r="I2151" s="8">
        <f t="shared" si="199"/>
        <v>0.36309523809523808</v>
      </c>
      <c r="J2151" s="17">
        <v>0.7</v>
      </c>
      <c r="K2151" s="12">
        <v>13.75</v>
      </c>
      <c r="L2151" s="2">
        <f t="shared" si="201"/>
        <v>679.2</v>
      </c>
      <c r="M2151" s="15">
        <f t="shared" si="200"/>
        <v>9339</v>
      </c>
      <c r="N2151" t="str">
        <f t="shared" si="197"/>
        <v>ES</v>
      </c>
      <c r="O2151" t="str">
        <f t="shared" si="198"/>
        <v>Vitória</v>
      </c>
    </row>
    <row r="2152" spans="1:15" x14ac:dyDescent="0.3">
      <c r="A2152" s="10">
        <v>45962</v>
      </c>
      <c r="B2152" s="9" t="s">
        <v>3</v>
      </c>
      <c r="C2152" t="s">
        <v>193</v>
      </c>
      <c r="D2152" s="9">
        <v>19832</v>
      </c>
      <c r="E2152" s="5" t="s">
        <v>601</v>
      </c>
      <c r="F2152" t="s">
        <v>194</v>
      </c>
      <c r="G2152">
        <v>1528</v>
      </c>
      <c r="H2152">
        <v>454</v>
      </c>
      <c r="I2152" s="8">
        <f t="shared" si="199"/>
        <v>0.29712041884816753</v>
      </c>
      <c r="J2152" s="17">
        <v>0.7</v>
      </c>
      <c r="K2152" s="12">
        <v>13.75</v>
      </c>
      <c r="L2152" s="2">
        <f t="shared" si="201"/>
        <v>615.59999999999991</v>
      </c>
      <c r="M2152" s="15">
        <f t="shared" si="200"/>
        <v>8464.4999999999982</v>
      </c>
      <c r="N2152" t="str">
        <f t="shared" si="197"/>
        <v>SP</v>
      </c>
      <c r="O2152" t="str">
        <f t="shared" si="198"/>
        <v>Ribeirão Preto</v>
      </c>
    </row>
    <row r="2153" spans="1:15" x14ac:dyDescent="0.3">
      <c r="A2153" s="10">
        <v>45962</v>
      </c>
      <c r="B2153" s="9" t="s">
        <v>6</v>
      </c>
      <c r="C2153" t="s">
        <v>236</v>
      </c>
      <c r="D2153" s="9">
        <v>19606</v>
      </c>
      <c r="E2153" s="5" t="s">
        <v>602</v>
      </c>
      <c r="F2153" t="s">
        <v>237</v>
      </c>
      <c r="G2153">
        <v>2269</v>
      </c>
      <c r="H2153">
        <v>1142</v>
      </c>
      <c r="I2153" s="8">
        <f t="shared" si="199"/>
        <v>0.50330542089025998</v>
      </c>
      <c r="J2153" s="17">
        <v>0.7</v>
      </c>
      <c r="K2153" s="12">
        <v>13.75</v>
      </c>
      <c r="L2153" s="2">
        <f t="shared" si="201"/>
        <v>446.30000000000018</v>
      </c>
      <c r="M2153" s="15">
        <f t="shared" si="200"/>
        <v>6136.6250000000027</v>
      </c>
      <c r="N2153" t="str">
        <f t="shared" si="197"/>
        <v>PA</v>
      </c>
      <c r="O2153" t="str">
        <f t="shared" si="198"/>
        <v>Santarém</v>
      </c>
    </row>
    <row r="2154" spans="1:15" x14ac:dyDescent="0.3">
      <c r="A2154" s="10">
        <v>45962</v>
      </c>
      <c r="B2154" s="9" t="s">
        <v>14</v>
      </c>
      <c r="C2154" t="s">
        <v>29</v>
      </c>
      <c r="D2154" s="9">
        <v>19759</v>
      </c>
      <c r="E2154" s="5" t="s">
        <v>603</v>
      </c>
      <c r="F2154" t="s">
        <v>38</v>
      </c>
      <c r="G2154">
        <v>1990</v>
      </c>
      <c r="H2154">
        <v>791</v>
      </c>
      <c r="I2154" s="8">
        <f t="shared" si="199"/>
        <v>0.39748743718592966</v>
      </c>
      <c r="J2154" s="17">
        <v>0.7</v>
      </c>
      <c r="K2154" s="12">
        <v>13.75</v>
      </c>
      <c r="L2154" s="2">
        <f t="shared" si="201"/>
        <v>601.99999999999977</v>
      </c>
      <c r="M2154" s="15">
        <f t="shared" si="200"/>
        <v>8277.4999999999964</v>
      </c>
      <c r="N2154" t="str">
        <f t="shared" si="197"/>
        <v>MG</v>
      </c>
      <c r="O2154" t="str">
        <f t="shared" si="198"/>
        <v>Belo Horizonte</v>
      </c>
    </row>
    <row r="2155" spans="1:15" x14ac:dyDescent="0.3">
      <c r="A2155" s="10">
        <v>45962</v>
      </c>
      <c r="B2155" s="9" t="s">
        <v>61</v>
      </c>
      <c r="C2155" t="s">
        <v>328</v>
      </c>
      <c r="D2155" s="9">
        <v>19706</v>
      </c>
      <c r="E2155" s="5" t="s">
        <v>604</v>
      </c>
      <c r="F2155" t="s">
        <v>77</v>
      </c>
      <c r="G2155">
        <v>2272</v>
      </c>
      <c r="H2155">
        <v>1005</v>
      </c>
      <c r="I2155" s="8">
        <f t="shared" si="199"/>
        <v>0.44234154929577463</v>
      </c>
      <c r="J2155" s="17">
        <v>0.7</v>
      </c>
      <c r="K2155" s="12">
        <v>13.75</v>
      </c>
      <c r="L2155" s="2">
        <f t="shared" si="201"/>
        <v>585.40000000000009</v>
      </c>
      <c r="M2155" s="15">
        <f t="shared" si="200"/>
        <v>8049.2500000000009</v>
      </c>
      <c r="N2155" t="str">
        <f t="shared" si="197"/>
        <v>PB</v>
      </c>
      <c r="O2155" t="str">
        <f t="shared" si="198"/>
        <v>João Pessoa</v>
      </c>
    </row>
    <row r="2156" spans="1:15" x14ac:dyDescent="0.3">
      <c r="A2156" s="10">
        <v>45962</v>
      </c>
      <c r="B2156" s="9" t="s">
        <v>59</v>
      </c>
      <c r="C2156" t="s">
        <v>289</v>
      </c>
      <c r="D2156" s="9">
        <v>19581</v>
      </c>
      <c r="E2156" s="5" t="s">
        <v>616</v>
      </c>
      <c r="F2156" t="s">
        <v>290</v>
      </c>
      <c r="G2156">
        <v>2533</v>
      </c>
      <c r="H2156">
        <v>800</v>
      </c>
      <c r="I2156" s="8">
        <f t="shared" si="199"/>
        <v>0.31583103039873667</v>
      </c>
      <c r="J2156" s="17">
        <v>0.7</v>
      </c>
      <c r="K2156" s="12">
        <v>13.75</v>
      </c>
      <c r="L2156" s="2">
        <f t="shared" si="201"/>
        <v>973.10000000000014</v>
      </c>
      <c r="M2156" s="15">
        <f t="shared" si="200"/>
        <v>13380.125000000002</v>
      </c>
      <c r="N2156" t="str">
        <f t="shared" si="197"/>
        <v>ES</v>
      </c>
      <c r="O2156" t="str">
        <f t="shared" si="198"/>
        <v>Vila Velha</v>
      </c>
    </row>
    <row r="2157" spans="1:15" x14ac:dyDescent="0.3">
      <c r="A2157" s="10">
        <v>45962</v>
      </c>
      <c r="B2157" s="9" t="s">
        <v>15</v>
      </c>
      <c r="C2157" t="s">
        <v>171</v>
      </c>
      <c r="D2157" s="9">
        <v>19520</v>
      </c>
      <c r="E2157" s="5" t="s">
        <v>605</v>
      </c>
      <c r="F2157" t="s">
        <v>172</v>
      </c>
      <c r="G2157">
        <v>1467</v>
      </c>
      <c r="H2157">
        <v>603</v>
      </c>
      <c r="I2157" s="8">
        <f t="shared" si="199"/>
        <v>0.41104294478527609</v>
      </c>
      <c r="J2157" s="17">
        <v>0.7</v>
      </c>
      <c r="K2157" s="12">
        <v>13.75</v>
      </c>
      <c r="L2157" s="2">
        <f t="shared" si="201"/>
        <v>423.89999999999986</v>
      </c>
      <c r="M2157" s="15">
        <f t="shared" si="200"/>
        <v>5828.6249999999982</v>
      </c>
      <c r="N2157" t="str">
        <f t="shared" si="197"/>
        <v>RJ</v>
      </c>
      <c r="O2157" t="str">
        <f t="shared" si="198"/>
        <v>Petrópolis</v>
      </c>
    </row>
    <row r="2158" spans="1:15" x14ac:dyDescent="0.3">
      <c r="A2158" s="10">
        <v>45962</v>
      </c>
      <c r="B2158" s="9" t="s">
        <v>40</v>
      </c>
      <c r="C2158" t="s">
        <v>41</v>
      </c>
      <c r="D2158" s="9">
        <v>19868</v>
      </c>
      <c r="E2158" s="5" t="s">
        <v>606</v>
      </c>
      <c r="F2158" t="s">
        <v>43</v>
      </c>
      <c r="G2158">
        <v>2354</v>
      </c>
      <c r="H2158">
        <v>1851</v>
      </c>
      <c r="I2158" s="8">
        <f t="shared" si="199"/>
        <v>0.78632115548003401</v>
      </c>
      <c r="J2158" s="17">
        <v>0.7</v>
      </c>
      <c r="K2158" s="12">
        <v>13.75</v>
      </c>
      <c r="L2158" s="2">
        <f>G2158-H2158</f>
        <v>503</v>
      </c>
      <c r="M2158" s="15">
        <f t="shared" si="200"/>
        <v>6916.25</v>
      </c>
      <c r="N2158" t="str">
        <f t="shared" si="197"/>
        <v>RR</v>
      </c>
      <c r="O2158" t="str">
        <f t="shared" si="198"/>
        <v>Boa Vista</v>
      </c>
    </row>
    <row r="2159" spans="1:15" x14ac:dyDescent="0.3">
      <c r="A2159" s="10">
        <v>45962</v>
      </c>
      <c r="B2159" s="9" t="s">
        <v>78</v>
      </c>
      <c r="C2159" t="s">
        <v>323</v>
      </c>
      <c r="D2159" s="9">
        <v>19958</v>
      </c>
      <c r="E2159" s="5" t="s">
        <v>615</v>
      </c>
      <c r="F2159" t="s">
        <v>627</v>
      </c>
      <c r="G2159">
        <v>2060</v>
      </c>
      <c r="H2159">
        <v>1062</v>
      </c>
      <c r="I2159" s="8">
        <f t="shared" si="199"/>
        <v>0.51553398058252431</v>
      </c>
      <c r="J2159" s="17">
        <v>0.7</v>
      </c>
      <c r="K2159" s="12">
        <v>13.75</v>
      </c>
      <c r="L2159" s="2">
        <f t="shared" ref="L2159:L2222" si="202">H2159*J2159/I2159-H2159</f>
        <v>379.99999999999977</v>
      </c>
      <c r="M2159" s="15">
        <f t="shared" si="200"/>
        <v>5224.9999999999973</v>
      </c>
      <c r="N2159" t="str">
        <f t="shared" si="197"/>
        <v>MT</v>
      </c>
      <c r="O2159" t="str">
        <f t="shared" si="198"/>
        <v>Tangará da Serra</v>
      </c>
    </row>
    <row r="2160" spans="1:15" x14ac:dyDescent="0.3">
      <c r="A2160" s="10">
        <v>45962</v>
      </c>
      <c r="B2160" s="9" t="s">
        <v>15</v>
      </c>
      <c r="C2160" t="s">
        <v>151</v>
      </c>
      <c r="D2160" s="9">
        <v>19599</v>
      </c>
      <c r="E2160" s="5" t="s">
        <v>607</v>
      </c>
      <c r="F2160" t="s">
        <v>152</v>
      </c>
      <c r="G2160">
        <v>2852</v>
      </c>
      <c r="H2160">
        <v>1228</v>
      </c>
      <c r="I2160" s="8">
        <f t="shared" si="199"/>
        <v>0.43057503506311362</v>
      </c>
      <c r="J2160" s="17">
        <v>0.7</v>
      </c>
      <c r="K2160" s="12">
        <v>13.75</v>
      </c>
      <c r="L2160" s="2">
        <f t="shared" si="202"/>
        <v>768.39999999999964</v>
      </c>
      <c r="M2160" s="15">
        <f t="shared" si="200"/>
        <v>10565.499999999995</v>
      </c>
      <c r="N2160" t="str">
        <f t="shared" si="197"/>
        <v>RJ</v>
      </c>
      <c r="O2160" t="str">
        <f t="shared" si="198"/>
        <v>Nova Iguaçu</v>
      </c>
    </row>
    <row r="2161" spans="1:15" x14ac:dyDescent="0.3">
      <c r="A2161" s="10">
        <v>45962</v>
      </c>
      <c r="B2161" s="9" t="s">
        <v>3</v>
      </c>
      <c r="C2161" t="s">
        <v>248</v>
      </c>
      <c r="D2161" s="9">
        <v>19855</v>
      </c>
      <c r="E2161" s="5" t="s">
        <v>608</v>
      </c>
      <c r="F2161" t="s">
        <v>257</v>
      </c>
      <c r="G2161">
        <v>1390</v>
      </c>
      <c r="H2161">
        <v>494</v>
      </c>
      <c r="I2161" s="8">
        <f t="shared" si="199"/>
        <v>0.35539568345323741</v>
      </c>
      <c r="J2161" s="17">
        <v>0.7</v>
      </c>
      <c r="K2161" s="12">
        <v>13.75</v>
      </c>
      <c r="L2161" s="2">
        <f t="shared" si="202"/>
        <v>478.99999999999989</v>
      </c>
      <c r="M2161" s="15">
        <f t="shared" si="200"/>
        <v>6586.2499999999982</v>
      </c>
      <c r="N2161" t="str">
        <f t="shared" si="197"/>
        <v>SP</v>
      </c>
      <c r="O2161" t="str">
        <f t="shared" si="198"/>
        <v>São Paulo</v>
      </c>
    </row>
    <row r="2162" spans="1:15" x14ac:dyDescent="0.3">
      <c r="A2162" s="10">
        <v>45962</v>
      </c>
      <c r="B2162" s="9" t="s">
        <v>3</v>
      </c>
      <c r="C2162" t="s">
        <v>248</v>
      </c>
      <c r="D2162" s="9">
        <v>19821</v>
      </c>
      <c r="E2162" s="5" t="s">
        <v>609</v>
      </c>
      <c r="F2162" t="s">
        <v>256</v>
      </c>
      <c r="G2162">
        <v>1727</v>
      </c>
      <c r="H2162">
        <v>516</v>
      </c>
      <c r="I2162" s="8">
        <f t="shared" si="199"/>
        <v>0.29878401852924147</v>
      </c>
      <c r="J2162" s="17">
        <v>0.7</v>
      </c>
      <c r="K2162" s="12">
        <v>13.75</v>
      </c>
      <c r="L2162" s="2">
        <f t="shared" si="202"/>
        <v>692.89999999999986</v>
      </c>
      <c r="M2162" s="15">
        <f t="shared" si="200"/>
        <v>9527.3749999999982</v>
      </c>
      <c r="N2162" t="str">
        <f t="shared" si="197"/>
        <v>SP</v>
      </c>
      <c r="O2162" t="str">
        <f t="shared" si="198"/>
        <v>São Paulo</v>
      </c>
    </row>
    <row r="2163" spans="1:15" x14ac:dyDescent="0.3">
      <c r="A2163" s="10">
        <v>45962</v>
      </c>
      <c r="B2163" s="9" t="s">
        <v>14</v>
      </c>
      <c r="C2163" t="s">
        <v>283</v>
      </c>
      <c r="D2163" s="9">
        <v>19912</v>
      </c>
      <c r="E2163" s="5" t="s">
        <v>610</v>
      </c>
      <c r="F2163" t="s">
        <v>284</v>
      </c>
      <c r="G2163">
        <v>1557</v>
      </c>
      <c r="H2163">
        <v>735</v>
      </c>
      <c r="I2163" s="8">
        <f t="shared" si="199"/>
        <v>0.47206165703275532</v>
      </c>
      <c r="J2163" s="17">
        <v>0.7</v>
      </c>
      <c r="K2163" s="12">
        <v>13.75</v>
      </c>
      <c r="L2163" s="2">
        <f t="shared" si="202"/>
        <v>354.89999999999986</v>
      </c>
      <c r="M2163" s="15">
        <f t="shared" si="200"/>
        <v>4879.8749999999982</v>
      </c>
      <c r="N2163" t="str">
        <f t="shared" si="197"/>
        <v>MG</v>
      </c>
      <c r="O2163" t="str">
        <f t="shared" si="198"/>
        <v>Uberaba</v>
      </c>
    </row>
    <row r="2164" spans="1:15" x14ac:dyDescent="0.3">
      <c r="A2164" s="10">
        <v>45962</v>
      </c>
      <c r="B2164" s="9" t="s">
        <v>82</v>
      </c>
      <c r="C2164" t="s">
        <v>314</v>
      </c>
      <c r="D2164" s="9">
        <v>19772</v>
      </c>
      <c r="E2164" s="5" t="s">
        <v>613</v>
      </c>
      <c r="F2164" t="s">
        <v>96</v>
      </c>
      <c r="G2164">
        <v>1538</v>
      </c>
      <c r="H2164">
        <v>853</v>
      </c>
      <c r="I2164" s="8">
        <f t="shared" si="199"/>
        <v>0.5546163849154746</v>
      </c>
      <c r="J2164" s="17">
        <v>0.7</v>
      </c>
      <c r="K2164" s="12">
        <v>13.75</v>
      </c>
      <c r="L2164" s="2">
        <f t="shared" si="202"/>
        <v>223.59999999999991</v>
      </c>
      <c r="M2164" s="15">
        <f t="shared" si="200"/>
        <v>3074.4999999999986</v>
      </c>
      <c r="N2164" t="str">
        <f t="shared" si="197"/>
        <v>PR</v>
      </c>
      <c r="O2164" t="str">
        <f t="shared" si="198"/>
        <v>Foz do Iguaçu</v>
      </c>
    </row>
    <row r="2165" spans="1:15" x14ac:dyDescent="0.3">
      <c r="A2165" s="10">
        <v>45962</v>
      </c>
      <c r="B2165" s="9" t="s">
        <v>46</v>
      </c>
      <c r="C2165" t="s">
        <v>47</v>
      </c>
      <c r="D2165" s="9">
        <v>19666</v>
      </c>
      <c r="E2165" s="5" t="s">
        <v>617</v>
      </c>
      <c r="F2165" t="s">
        <v>49</v>
      </c>
      <c r="G2165">
        <v>2923</v>
      </c>
      <c r="H2165">
        <v>1185</v>
      </c>
      <c r="I2165" s="8">
        <f t="shared" si="199"/>
        <v>0.40540540540540543</v>
      </c>
      <c r="J2165" s="17">
        <v>0.7</v>
      </c>
      <c r="K2165" s="12">
        <v>13.75</v>
      </c>
      <c r="L2165" s="2">
        <f t="shared" si="202"/>
        <v>861.09999999999991</v>
      </c>
      <c r="M2165" s="15">
        <f t="shared" si="200"/>
        <v>11840.124999999998</v>
      </c>
      <c r="N2165" t="str">
        <f t="shared" si="197"/>
        <v>DF</v>
      </c>
      <c r="O2165" t="str">
        <f t="shared" si="198"/>
        <v>Brasília</v>
      </c>
    </row>
    <row r="2166" spans="1:15" x14ac:dyDescent="0.3">
      <c r="A2166" s="10">
        <v>45962</v>
      </c>
      <c r="B2166" s="9" t="s">
        <v>82</v>
      </c>
      <c r="C2166" t="s">
        <v>83</v>
      </c>
      <c r="D2166" s="9">
        <v>19547</v>
      </c>
      <c r="E2166" s="5" t="s">
        <v>618</v>
      </c>
      <c r="F2166" t="s">
        <v>87</v>
      </c>
      <c r="G2166">
        <v>2482</v>
      </c>
      <c r="H2166">
        <v>658</v>
      </c>
      <c r="I2166" s="8">
        <f t="shared" si="199"/>
        <v>0.26510878323932313</v>
      </c>
      <c r="J2166" s="17">
        <v>0.7</v>
      </c>
      <c r="K2166" s="12">
        <v>13.75</v>
      </c>
      <c r="L2166" s="2">
        <f t="shared" si="202"/>
        <v>1079.3999999999999</v>
      </c>
      <c r="M2166" s="15">
        <f t="shared" si="200"/>
        <v>14841.749999999998</v>
      </c>
      <c r="N2166" t="str">
        <f t="shared" si="197"/>
        <v>PR</v>
      </c>
      <c r="O2166" t="str">
        <f t="shared" si="198"/>
        <v>Curitiba</v>
      </c>
    </row>
    <row r="2167" spans="1:15" x14ac:dyDescent="0.3">
      <c r="A2167" s="10">
        <v>45962</v>
      </c>
      <c r="B2167" s="9" t="s">
        <v>82</v>
      </c>
      <c r="C2167" t="s">
        <v>83</v>
      </c>
      <c r="D2167" s="9">
        <v>19936</v>
      </c>
      <c r="E2167" s="5" t="s">
        <v>619</v>
      </c>
      <c r="F2167" t="s">
        <v>86</v>
      </c>
      <c r="G2167">
        <v>1900</v>
      </c>
      <c r="H2167">
        <v>535</v>
      </c>
      <c r="I2167" s="8">
        <f t="shared" si="199"/>
        <v>0.28157894736842104</v>
      </c>
      <c r="J2167" s="17">
        <v>0.7</v>
      </c>
      <c r="K2167" s="12">
        <v>13.75</v>
      </c>
      <c r="L2167" s="2">
        <f t="shared" si="202"/>
        <v>795</v>
      </c>
      <c r="M2167" s="15">
        <f t="shared" si="200"/>
        <v>10931.25</v>
      </c>
      <c r="N2167" t="str">
        <f t="shared" si="197"/>
        <v>PR</v>
      </c>
      <c r="O2167" t="str">
        <f t="shared" si="198"/>
        <v>Curitiba</v>
      </c>
    </row>
    <row r="2168" spans="1:15" x14ac:dyDescent="0.3">
      <c r="A2168" s="10">
        <v>45992</v>
      </c>
      <c r="B2168" s="9" t="s">
        <v>15</v>
      </c>
      <c r="C2168" t="s">
        <v>319</v>
      </c>
      <c r="D2168" s="9">
        <v>19685</v>
      </c>
      <c r="E2168" s="5" t="s">
        <v>359</v>
      </c>
      <c r="F2168" t="s">
        <v>198</v>
      </c>
      <c r="G2168">
        <v>1455</v>
      </c>
      <c r="H2168">
        <v>560</v>
      </c>
      <c r="I2168" s="8">
        <f t="shared" si="199"/>
        <v>0.38487972508591067</v>
      </c>
      <c r="J2168" s="17">
        <v>0.7</v>
      </c>
      <c r="K2168" s="12">
        <v>13.75</v>
      </c>
      <c r="L2168" s="2">
        <f t="shared" si="202"/>
        <v>458.5</v>
      </c>
      <c r="M2168" s="15">
        <f t="shared" si="200"/>
        <v>6304.375</v>
      </c>
      <c r="N2168" t="str">
        <f t="shared" si="197"/>
        <v>RJ</v>
      </c>
      <c r="O2168" t="str">
        <f t="shared" si="198"/>
        <v>Rio de Janeiro</v>
      </c>
    </row>
    <row r="2169" spans="1:15" x14ac:dyDescent="0.3">
      <c r="A2169" s="10">
        <v>45992</v>
      </c>
      <c r="B2169" s="9" t="s">
        <v>71</v>
      </c>
      <c r="C2169" t="s">
        <v>175</v>
      </c>
      <c r="D2169" s="9">
        <v>19540</v>
      </c>
      <c r="E2169" s="5" t="s">
        <v>370</v>
      </c>
      <c r="F2169" t="s">
        <v>176</v>
      </c>
      <c r="G2169">
        <v>4573</v>
      </c>
      <c r="H2169">
        <v>1996</v>
      </c>
      <c r="I2169" s="8">
        <f t="shared" si="199"/>
        <v>0.43647496173190464</v>
      </c>
      <c r="J2169" s="17">
        <v>0.7</v>
      </c>
      <c r="K2169" s="12">
        <v>13.75</v>
      </c>
      <c r="L2169" s="2">
        <f t="shared" si="202"/>
        <v>1205.0999999999999</v>
      </c>
      <c r="M2169" s="15">
        <f t="shared" si="200"/>
        <v>16570.125</v>
      </c>
      <c r="N2169" t="str">
        <f t="shared" si="197"/>
        <v>RS</v>
      </c>
      <c r="O2169" t="str">
        <f t="shared" si="198"/>
        <v>Porto Alegre</v>
      </c>
    </row>
    <row r="2170" spans="1:15" x14ac:dyDescent="0.3">
      <c r="A2170" s="10">
        <v>45992</v>
      </c>
      <c r="B2170" s="9" t="s">
        <v>15</v>
      </c>
      <c r="C2170" t="s">
        <v>319</v>
      </c>
      <c r="D2170" s="9">
        <v>19521</v>
      </c>
      <c r="E2170" s="5" t="s">
        <v>371</v>
      </c>
      <c r="F2170" t="s">
        <v>199</v>
      </c>
      <c r="G2170">
        <v>3365</v>
      </c>
      <c r="H2170">
        <v>1660</v>
      </c>
      <c r="I2170" s="8">
        <f t="shared" si="199"/>
        <v>0.49331352154531949</v>
      </c>
      <c r="J2170" s="17">
        <v>0.7</v>
      </c>
      <c r="K2170" s="12">
        <v>13.75</v>
      </c>
      <c r="L2170" s="2">
        <f t="shared" si="202"/>
        <v>695.5</v>
      </c>
      <c r="M2170" s="15">
        <f t="shared" si="200"/>
        <v>9563.125</v>
      </c>
      <c r="N2170" t="str">
        <f t="shared" si="197"/>
        <v>RJ</v>
      </c>
      <c r="O2170" t="str">
        <f t="shared" si="198"/>
        <v>Rio de Janeiro</v>
      </c>
    </row>
    <row r="2171" spans="1:15" x14ac:dyDescent="0.3">
      <c r="A2171" s="10">
        <v>45992</v>
      </c>
      <c r="B2171" s="9" t="s">
        <v>14</v>
      </c>
      <c r="C2171" t="s">
        <v>285</v>
      </c>
      <c r="D2171" s="9">
        <v>19563</v>
      </c>
      <c r="E2171" s="5" t="s">
        <v>374</v>
      </c>
      <c r="F2171" t="s">
        <v>286</v>
      </c>
      <c r="G2171">
        <v>3332</v>
      </c>
      <c r="H2171">
        <v>1214</v>
      </c>
      <c r="I2171" s="8">
        <f t="shared" si="199"/>
        <v>0.36434573829531813</v>
      </c>
      <c r="J2171" s="17">
        <v>0.7</v>
      </c>
      <c r="K2171" s="12">
        <v>13.75</v>
      </c>
      <c r="L2171" s="2">
        <f t="shared" si="202"/>
        <v>1118.3999999999996</v>
      </c>
      <c r="M2171" s="15">
        <f t="shared" si="200"/>
        <v>15377.999999999995</v>
      </c>
      <c r="N2171" t="str">
        <f t="shared" si="197"/>
        <v>MG</v>
      </c>
      <c r="O2171" t="str">
        <f t="shared" si="198"/>
        <v>Uberlândia</v>
      </c>
    </row>
    <row r="2172" spans="1:15" x14ac:dyDescent="0.3">
      <c r="A2172" s="10">
        <v>45992</v>
      </c>
      <c r="B2172" s="9" t="s">
        <v>6</v>
      </c>
      <c r="C2172" t="s">
        <v>26</v>
      </c>
      <c r="D2172" s="9">
        <v>19597</v>
      </c>
      <c r="E2172" s="5" t="s">
        <v>375</v>
      </c>
      <c r="F2172" t="s">
        <v>27</v>
      </c>
      <c r="G2172">
        <v>3395</v>
      </c>
      <c r="H2172">
        <v>1893</v>
      </c>
      <c r="I2172" s="8">
        <f t="shared" si="199"/>
        <v>0.55758468335787925</v>
      </c>
      <c r="J2172" s="17">
        <v>0.7</v>
      </c>
      <c r="K2172" s="12">
        <v>13.75</v>
      </c>
      <c r="L2172" s="2">
        <f t="shared" si="202"/>
        <v>483.49999999999955</v>
      </c>
      <c r="M2172" s="15">
        <f t="shared" si="200"/>
        <v>6648.1249999999936</v>
      </c>
      <c r="N2172" t="str">
        <f t="shared" si="197"/>
        <v>PA</v>
      </c>
      <c r="O2172" t="str">
        <f t="shared" si="198"/>
        <v>Belém</v>
      </c>
    </row>
    <row r="2173" spans="1:15" x14ac:dyDescent="0.3">
      <c r="A2173" s="10">
        <v>45992</v>
      </c>
      <c r="B2173" s="9" t="s">
        <v>15</v>
      </c>
      <c r="C2173" t="s">
        <v>296</v>
      </c>
      <c r="D2173" s="9">
        <v>19524</v>
      </c>
      <c r="E2173" s="5" t="s">
        <v>376</v>
      </c>
      <c r="F2173" t="s">
        <v>297</v>
      </c>
      <c r="G2173">
        <v>2410</v>
      </c>
      <c r="H2173">
        <v>1089</v>
      </c>
      <c r="I2173" s="8">
        <f t="shared" si="199"/>
        <v>0.45186721991701245</v>
      </c>
      <c r="J2173" s="17">
        <v>0.7</v>
      </c>
      <c r="K2173" s="12">
        <v>13.75</v>
      </c>
      <c r="L2173" s="2">
        <f t="shared" si="202"/>
        <v>597.99999999999977</v>
      </c>
      <c r="M2173" s="15">
        <f t="shared" si="200"/>
        <v>8222.4999999999964</v>
      </c>
      <c r="N2173" t="str">
        <f t="shared" si="197"/>
        <v>RJ</v>
      </c>
      <c r="O2173" t="str">
        <f t="shared" si="198"/>
        <v>Volta Redonda</v>
      </c>
    </row>
    <row r="2174" spans="1:15" x14ac:dyDescent="0.3">
      <c r="A2174" s="10">
        <v>45992</v>
      </c>
      <c r="B2174" s="9" t="s">
        <v>160</v>
      </c>
      <c r="C2174" t="s">
        <v>279</v>
      </c>
      <c r="D2174" s="9">
        <v>19564</v>
      </c>
      <c r="E2174" s="5" t="s">
        <v>378</v>
      </c>
      <c r="F2174" t="s">
        <v>280</v>
      </c>
      <c r="G2174">
        <v>1510</v>
      </c>
      <c r="H2174">
        <v>793</v>
      </c>
      <c r="I2174" s="8">
        <f t="shared" si="199"/>
        <v>0.52516556291390726</v>
      </c>
      <c r="J2174" s="17">
        <v>0.7</v>
      </c>
      <c r="K2174" s="12">
        <v>13.75</v>
      </c>
      <c r="L2174" s="2">
        <f t="shared" si="202"/>
        <v>263.99999999999977</v>
      </c>
      <c r="M2174" s="15">
        <f t="shared" si="200"/>
        <v>3629.9999999999968</v>
      </c>
      <c r="N2174" t="str">
        <f t="shared" si="197"/>
        <v>PI</v>
      </c>
      <c r="O2174" t="str">
        <f t="shared" si="198"/>
        <v>Teresina</v>
      </c>
    </row>
    <row r="2175" spans="1:15" x14ac:dyDescent="0.3">
      <c r="A2175" s="10">
        <v>45992</v>
      </c>
      <c r="B2175" s="9" t="s">
        <v>15</v>
      </c>
      <c r="C2175" t="s">
        <v>319</v>
      </c>
      <c r="D2175" s="9">
        <v>19536</v>
      </c>
      <c r="E2175" s="5" t="s">
        <v>379</v>
      </c>
      <c r="F2175" t="s">
        <v>200</v>
      </c>
      <c r="G2175">
        <v>2618</v>
      </c>
      <c r="H2175">
        <v>1041</v>
      </c>
      <c r="I2175" s="8">
        <f t="shared" si="199"/>
        <v>0.39763177998472116</v>
      </c>
      <c r="J2175" s="17">
        <v>0.7</v>
      </c>
      <c r="K2175" s="12">
        <v>13.75</v>
      </c>
      <c r="L2175" s="2">
        <f t="shared" si="202"/>
        <v>791.59999999999991</v>
      </c>
      <c r="M2175" s="15">
        <f t="shared" si="200"/>
        <v>10884.499999999998</v>
      </c>
      <c r="N2175" t="str">
        <f t="shared" si="197"/>
        <v>RJ</v>
      </c>
      <c r="O2175" t="str">
        <f t="shared" si="198"/>
        <v>Rio de Janeiro</v>
      </c>
    </row>
    <row r="2176" spans="1:15" x14ac:dyDescent="0.3">
      <c r="A2176" s="10">
        <v>45992</v>
      </c>
      <c r="B2176" s="9" t="s">
        <v>15</v>
      </c>
      <c r="C2176" t="s">
        <v>319</v>
      </c>
      <c r="D2176" s="9">
        <v>19727</v>
      </c>
      <c r="E2176" s="5" t="s">
        <v>380</v>
      </c>
      <c r="F2176" t="s">
        <v>201</v>
      </c>
      <c r="G2176">
        <v>1610</v>
      </c>
      <c r="H2176">
        <v>749</v>
      </c>
      <c r="I2176" s="8">
        <f t="shared" si="199"/>
        <v>0.4652173913043478</v>
      </c>
      <c r="J2176" s="17">
        <v>0.7</v>
      </c>
      <c r="K2176" s="12">
        <v>13.75</v>
      </c>
      <c r="L2176" s="2">
        <f t="shared" si="202"/>
        <v>378</v>
      </c>
      <c r="M2176" s="15">
        <f t="shared" si="200"/>
        <v>5197.5</v>
      </c>
      <c r="N2176" t="str">
        <f t="shared" si="197"/>
        <v>RJ</v>
      </c>
      <c r="O2176" t="str">
        <f t="shared" si="198"/>
        <v>Rio de Janeiro</v>
      </c>
    </row>
    <row r="2177" spans="1:15" x14ac:dyDescent="0.3">
      <c r="A2177" s="10">
        <v>45992</v>
      </c>
      <c r="B2177" s="9" t="s">
        <v>3</v>
      </c>
      <c r="C2177" t="s">
        <v>248</v>
      </c>
      <c r="D2177" s="9">
        <v>19572</v>
      </c>
      <c r="E2177" s="5" t="s">
        <v>381</v>
      </c>
      <c r="F2177" t="s">
        <v>249</v>
      </c>
      <c r="G2177">
        <v>4327</v>
      </c>
      <c r="H2177">
        <v>1940</v>
      </c>
      <c r="I2177" s="8">
        <f t="shared" si="199"/>
        <v>0.44834758493182342</v>
      </c>
      <c r="J2177" s="17">
        <v>0.7</v>
      </c>
      <c r="K2177" s="12">
        <v>13.75</v>
      </c>
      <c r="L2177" s="2">
        <f t="shared" si="202"/>
        <v>1088.9000000000001</v>
      </c>
      <c r="M2177" s="15">
        <f t="shared" si="200"/>
        <v>14972.375000000002</v>
      </c>
      <c r="N2177" t="str">
        <f t="shared" si="197"/>
        <v>SP</v>
      </c>
      <c r="O2177" t="str">
        <f t="shared" si="198"/>
        <v>São Paulo</v>
      </c>
    </row>
    <row r="2178" spans="1:15" x14ac:dyDescent="0.3">
      <c r="A2178" s="10">
        <v>45992</v>
      </c>
      <c r="B2178" s="9" t="s">
        <v>3</v>
      </c>
      <c r="C2178" t="s">
        <v>167</v>
      </c>
      <c r="D2178" s="9">
        <v>19578</v>
      </c>
      <c r="E2178" s="5" t="s">
        <v>382</v>
      </c>
      <c r="F2178" t="s">
        <v>168</v>
      </c>
      <c r="G2178">
        <v>2264</v>
      </c>
      <c r="H2178">
        <v>837</v>
      </c>
      <c r="I2178" s="8">
        <f t="shared" si="199"/>
        <v>0.36969964664310956</v>
      </c>
      <c r="J2178" s="17">
        <v>0.7</v>
      </c>
      <c r="K2178" s="12">
        <v>13.75</v>
      </c>
      <c r="L2178" s="2">
        <f t="shared" si="202"/>
        <v>747.8</v>
      </c>
      <c r="M2178" s="15">
        <f t="shared" si="200"/>
        <v>10282.25</v>
      </c>
      <c r="N2178" t="str">
        <f t="shared" ref="N2178:N2241" si="203">B2178</f>
        <v>SP</v>
      </c>
      <c r="O2178" t="str">
        <f t="shared" ref="O2178:O2241" si="204">C2178</f>
        <v>Perdizes</v>
      </c>
    </row>
    <row r="2179" spans="1:15" x14ac:dyDescent="0.3">
      <c r="A2179" s="10">
        <v>45992</v>
      </c>
      <c r="B2179" s="9" t="s">
        <v>3</v>
      </c>
      <c r="C2179" t="s">
        <v>248</v>
      </c>
      <c r="D2179" s="9">
        <v>19774</v>
      </c>
      <c r="E2179" s="5" t="s">
        <v>383</v>
      </c>
      <c r="F2179" t="s">
        <v>250</v>
      </c>
      <c r="G2179">
        <v>3095</v>
      </c>
      <c r="H2179">
        <v>1150</v>
      </c>
      <c r="I2179" s="8">
        <f t="shared" ref="I2179:I2242" si="205">H2179/G2179</f>
        <v>0.37156704361873988</v>
      </c>
      <c r="J2179" s="17">
        <v>0.7</v>
      </c>
      <c r="K2179" s="12">
        <v>13.75</v>
      </c>
      <c r="L2179" s="2">
        <f t="shared" si="202"/>
        <v>1016.5</v>
      </c>
      <c r="M2179" s="15">
        <f t="shared" ref="M2179:M2242" si="206">L2179*K2179</f>
        <v>13976.875</v>
      </c>
      <c r="N2179" t="str">
        <f t="shared" si="203"/>
        <v>SP</v>
      </c>
      <c r="O2179" t="str">
        <f t="shared" si="204"/>
        <v>São Paulo</v>
      </c>
    </row>
    <row r="2180" spans="1:15" x14ac:dyDescent="0.3">
      <c r="A2180" s="10">
        <v>45992</v>
      </c>
      <c r="B2180" s="9" t="s">
        <v>46</v>
      </c>
      <c r="C2180" t="s">
        <v>47</v>
      </c>
      <c r="D2180" s="9">
        <v>19551</v>
      </c>
      <c r="E2180" s="5" t="s">
        <v>384</v>
      </c>
      <c r="F2180" t="s">
        <v>48</v>
      </c>
      <c r="G2180">
        <v>2471</v>
      </c>
      <c r="H2180">
        <v>1023</v>
      </c>
      <c r="I2180" s="8">
        <f t="shared" si="205"/>
        <v>0.4140024281667341</v>
      </c>
      <c r="J2180" s="17">
        <v>0.7</v>
      </c>
      <c r="K2180" s="12">
        <v>13.75</v>
      </c>
      <c r="L2180" s="2">
        <f t="shared" si="202"/>
        <v>706.69999999999982</v>
      </c>
      <c r="M2180" s="15">
        <f t="shared" si="206"/>
        <v>9717.1249999999982</v>
      </c>
      <c r="N2180" t="str">
        <f t="shared" si="203"/>
        <v>DF</v>
      </c>
      <c r="O2180" t="str">
        <f t="shared" si="204"/>
        <v>Brasília</v>
      </c>
    </row>
    <row r="2181" spans="1:15" x14ac:dyDescent="0.3">
      <c r="A2181" s="10">
        <v>45992</v>
      </c>
      <c r="B2181" s="9" t="s">
        <v>15</v>
      </c>
      <c r="C2181" t="s">
        <v>151</v>
      </c>
      <c r="D2181" s="9">
        <v>19596</v>
      </c>
      <c r="E2181" s="5" t="s">
        <v>385</v>
      </c>
      <c r="F2181" t="s">
        <v>153</v>
      </c>
      <c r="G2181">
        <v>2531</v>
      </c>
      <c r="H2181">
        <v>1023</v>
      </c>
      <c r="I2181" s="8">
        <f t="shared" si="205"/>
        <v>0.40418806795732914</v>
      </c>
      <c r="J2181" s="17">
        <v>0.7</v>
      </c>
      <c r="K2181" s="12">
        <v>13.75</v>
      </c>
      <c r="L2181" s="2">
        <f t="shared" si="202"/>
        <v>748.69999999999959</v>
      </c>
      <c r="M2181" s="15">
        <f t="shared" si="206"/>
        <v>10294.624999999995</v>
      </c>
      <c r="N2181" t="str">
        <f t="shared" si="203"/>
        <v>RJ</v>
      </c>
      <c r="O2181" t="str">
        <f t="shared" si="204"/>
        <v>Nova Iguaçu</v>
      </c>
    </row>
    <row r="2182" spans="1:15" x14ac:dyDescent="0.3">
      <c r="A2182" s="10">
        <v>45992</v>
      </c>
      <c r="B2182" s="9" t="s">
        <v>15</v>
      </c>
      <c r="C2182" t="s">
        <v>319</v>
      </c>
      <c r="D2182" s="9">
        <v>19618</v>
      </c>
      <c r="E2182" s="5" t="s">
        <v>386</v>
      </c>
      <c r="F2182" t="s">
        <v>202</v>
      </c>
      <c r="G2182">
        <v>2455</v>
      </c>
      <c r="H2182">
        <v>1013</v>
      </c>
      <c r="I2182" s="8">
        <f t="shared" si="205"/>
        <v>0.41262729124236253</v>
      </c>
      <c r="J2182" s="17">
        <v>0.7</v>
      </c>
      <c r="K2182" s="12">
        <v>13.75</v>
      </c>
      <c r="L2182" s="2">
        <f t="shared" si="202"/>
        <v>705.49999999999977</v>
      </c>
      <c r="M2182" s="15">
        <f t="shared" si="206"/>
        <v>9700.6249999999964</v>
      </c>
      <c r="N2182" t="str">
        <f t="shared" si="203"/>
        <v>RJ</v>
      </c>
      <c r="O2182" t="str">
        <f t="shared" si="204"/>
        <v>Rio de Janeiro</v>
      </c>
    </row>
    <row r="2183" spans="1:15" x14ac:dyDescent="0.3">
      <c r="A2183" s="10">
        <v>45992</v>
      </c>
      <c r="B2183" s="9" t="s">
        <v>21</v>
      </c>
      <c r="C2183" t="s">
        <v>22</v>
      </c>
      <c r="D2183" s="9">
        <v>19741</v>
      </c>
      <c r="E2183" s="5" t="s">
        <v>387</v>
      </c>
      <c r="F2183" t="s">
        <v>23</v>
      </c>
      <c r="G2183">
        <v>1695</v>
      </c>
      <c r="H2183">
        <v>825</v>
      </c>
      <c r="I2183" s="8">
        <f t="shared" si="205"/>
        <v>0.48672566371681414</v>
      </c>
      <c r="J2183" s="17">
        <v>0.7</v>
      </c>
      <c r="K2183" s="12">
        <v>13.75</v>
      </c>
      <c r="L2183" s="2">
        <f t="shared" si="202"/>
        <v>361.5</v>
      </c>
      <c r="M2183" s="15">
        <f t="shared" si="206"/>
        <v>4970.625</v>
      </c>
      <c r="N2183" t="str">
        <f t="shared" si="203"/>
        <v>BA</v>
      </c>
      <c r="O2183" t="str">
        <f t="shared" si="204"/>
        <v>Barreiras</v>
      </c>
    </row>
    <row r="2184" spans="1:15" x14ac:dyDescent="0.3">
      <c r="A2184" s="10">
        <v>45992</v>
      </c>
      <c r="B2184" s="9" t="s">
        <v>74</v>
      </c>
      <c r="C2184" t="s">
        <v>169</v>
      </c>
      <c r="D2184" s="9">
        <v>19897</v>
      </c>
      <c r="E2184" s="5" t="s">
        <v>388</v>
      </c>
      <c r="F2184" t="s">
        <v>170</v>
      </c>
      <c r="G2184">
        <v>1805</v>
      </c>
      <c r="H2184">
        <v>821</v>
      </c>
      <c r="I2184" s="8">
        <f t="shared" si="205"/>
        <v>0.4548476454293629</v>
      </c>
      <c r="J2184" s="17">
        <v>0.7</v>
      </c>
      <c r="K2184" s="12">
        <v>13.75</v>
      </c>
      <c r="L2184" s="2">
        <f t="shared" si="202"/>
        <v>442.49999999999977</v>
      </c>
      <c r="M2184" s="15">
        <f t="shared" si="206"/>
        <v>6084.3749999999973</v>
      </c>
      <c r="N2184" t="str">
        <f t="shared" si="203"/>
        <v>PE</v>
      </c>
      <c r="O2184" t="str">
        <f t="shared" si="204"/>
        <v>Petrolina</v>
      </c>
    </row>
    <row r="2185" spans="1:15" x14ac:dyDescent="0.3">
      <c r="A2185" s="10">
        <v>45992</v>
      </c>
      <c r="B2185" s="9" t="s">
        <v>61</v>
      </c>
      <c r="C2185" t="s">
        <v>62</v>
      </c>
      <c r="D2185" s="9">
        <v>19633</v>
      </c>
      <c r="E2185" s="5" t="s">
        <v>389</v>
      </c>
      <c r="F2185" t="s">
        <v>63</v>
      </c>
      <c r="G2185">
        <v>1939</v>
      </c>
      <c r="H2185">
        <v>1122</v>
      </c>
      <c r="I2185" s="8">
        <f t="shared" si="205"/>
        <v>0.57864878803506958</v>
      </c>
      <c r="J2185" s="17">
        <v>0.7</v>
      </c>
      <c r="K2185" s="12">
        <v>13.75</v>
      </c>
      <c r="L2185" s="2">
        <f t="shared" si="202"/>
        <v>235.29999999999995</v>
      </c>
      <c r="M2185" s="15">
        <f t="shared" si="206"/>
        <v>3235.3749999999995</v>
      </c>
      <c r="N2185" t="str">
        <f t="shared" si="203"/>
        <v>PB</v>
      </c>
      <c r="O2185" t="str">
        <f t="shared" si="204"/>
        <v>Campina Grande</v>
      </c>
    </row>
    <row r="2186" spans="1:15" x14ac:dyDescent="0.3">
      <c r="A2186" s="10">
        <v>45992</v>
      </c>
      <c r="B2186" s="9" t="s">
        <v>6</v>
      </c>
      <c r="C2186" t="s">
        <v>26</v>
      </c>
      <c r="D2186" s="9">
        <v>19622</v>
      </c>
      <c r="E2186" s="5" t="s">
        <v>390</v>
      </c>
      <c r="F2186" t="s">
        <v>28</v>
      </c>
      <c r="G2186">
        <v>2447</v>
      </c>
      <c r="H2186">
        <v>1468</v>
      </c>
      <c r="I2186" s="8">
        <f t="shared" si="205"/>
        <v>0.59991826726604003</v>
      </c>
      <c r="J2186" s="17">
        <v>0.7</v>
      </c>
      <c r="K2186" s="12">
        <v>13.75</v>
      </c>
      <c r="L2186" s="2">
        <f t="shared" si="202"/>
        <v>244.89999999999986</v>
      </c>
      <c r="M2186" s="15">
        <f t="shared" si="206"/>
        <v>3367.3749999999982</v>
      </c>
      <c r="N2186" t="str">
        <f t="shared" si="203"/>
        <v>PA</v>
      </c>
      <c r="O2186" t="str">
        <f t="shared" si="204"/>
        <v>Belém</v>
      </c>
    </row>
    <row r="2187" spans="1:15" x14ac:dyDescent="0.3">
      <c r="A2187" s="10">
        <v>45992</v>
      </c>
      <c r="B2187" s="9" t="s">
        <v>15</v>
      </c>
      <c r="C2187" t="s">
        <v>319</v>
      </c>
      <c r="D2187" s="9">
        <v>19632</v>
      </c>
      <c r="E2187" s="5" t="s">
        <v>392</v>
      </c>
      <c r="F2187" t="s">
        <v>203</v>
      </c>
      <c r="G2187">
        <v>2581</v>
      </c>
      <c r="H2187">
        <v>1119</v>
      </c>
      <c r="I2187" s="8">
        <f t="shared" si="205"/>
        <v>0.43355288647810925</v>
      </c>
      <c r="J2187" s="17">
        <v>0.7</v>
      </c>
      <c r="K2187" s="12">
        <v>13.75</v>
      </c>
      <c r="L2187" s="2">
        <f t="shared" si="202"/>
        <v>687.7</v>
      </c>
      <c r="M2187" s="15">
        <f t="shared" si="206"/>
        <v>9455.875</v>
      </c>
      <c r="N2187" t="str">
        <f t="shared" si="203"/>
        <v>RJ</v>
      </c>
      <c r="O2187" t="str">
        <f t="shared" si="204"/>
        <v>Rio de Janeiro</v>
      </c>
    </row>
    <row r="2188" spans="1:15" x14ac:dyDescent="0.3">
      <c r="A2188" s="10">
        <v>45992</v>
      </c>
      <c r="B2188" s="9" t="s">
        <v>46</v>
      </c>
      <c r="C2188" t="s">
        <v>47</v>
      </c>
      <c r="D2188" s="9">
        <v>19552</v>
      </c>
      <c r="E2188" s="5" t="s">
        <v>393</v>
      </c>
      <c r="F2188" t="s">
        <v>50</v>
      </c>
      <c r="G2188">
        <v>4427</v>
      </c>
      <c r="H2188">
        <v>1987</v>
      </c>
      <c r="I2188" s="8">
        <f t="shared" si="205"/>
        <v>0.44883668398463972</v>
      </c>
      <c r="J2188" s="17">
        <v>0.7</v>
      </c>
      <c r="K2188" s="12">
        <v>13.75</v>
      </c>
      <c r="L2188" s="2">
        <f t="shared" si="202"/>
        <v>1111.8999999999996</v>
      </c>
      <c r="M2188" s="15">
        <f t="shared" si="206"/>
        <v>15288.624999999995</v>
      </c>
      <c r="N2188" t="str">
        <f t="shared" si="203"/>
        <v>DF</v>
      </c>
      <c r="O2188" t="str">
        <f t="shared" si="204"/>
        <v>Brasília</v>
      </c>
    </row>
    <row r="2189" spans="1:15" x14ac:dyDescent="0.3">
      <c r="A2189" s="10">
        <v>45992</v>
      </c>
      <c r="B2189" s="9" t="s">
        <v>15</v>
      </c>
      <c r="C2189" t="s">
        <v>191</v>
      </c>
      <c r="D2189" s="9">
        <v>19636</v>
      </c>
      <c r="E2189" s="5" t="s">
        <v>394</v>
      </c>
      <c r="F2189" t="s">
        <v>192</v>
      </c>
      <c r="G2189">
        <v>2499</v>
      </c>
      <c r="H2189">
        <v>1034</v>
      </c>
      <c r="I2189" s="8">
        <f t="shared" si="205"/>
        <v>0.41376550620248098</v>
      </c>
      <c r="J2189" s="17">
        <v>0.7</v>
      </c>
      <c r="K2189" s="12">
        <v>13.75</v>
      </c>
      <c r="L2189" s="2">
        <f t="shared" si="202"/>
        <v>715.3</v>
      </c>
      <c r="M2189" s="15">
        <f t="shared" si="206"/>
        <v>9835.375</v>
      </c>
      <c r="N2189" t="str">
        <f t="shared" si="203"/>
        <v>RJ</v>
      </c>
      <c r="O2189" t="str">
        <f t="shared" si="204"/>
        <v>Resende</v>
      </c>
    </row>
    <row r="2190" spans="1:15" x14ac:dyDescent="0.3">
      <c r="A2190" s="10">
        <v>45992</v>
      </c>
      <c r="B2190" s="9" t="s">
        <v>74</v>
      </c>
      <c r="C2190" t="s">
        <v>186</v>
      </c>
      <c r="D2190" s="9">
        <v>19649</v>
      </c>
      <c r="E2190" s="5" t="s">
        <v>395</v>
      </c>
      <c r="F2190" t="s">
        <v>187</v>
      </c>
      <c r="G2190">
        <v>3281</v>
      </c>
      <c r="H2190">
        <v>1358</v>
      </c>
      <c r="I2190" s="8">
        <f t="shared" si="205"/>
        <v>0.41389820176775372</v>
      </c>
      <c r="J2190" s="17">
        <v>0.7</v>
      </c>
      <c r="K2190" s="12">
        <v>13.75</v>
      </c>
      <c r="L2190" s="2">
        <f t="shared" si="202"/>
        <v>938.69999999999982</v>
      </c>
      <c r="M2190" s="15">
        <f t="shared" si="206"/>
        <v>12907.124999999998</v>
      </c>
      <c r="N2190" t="str">
        <f t="shared" si="203"/>
        <v>PE</v>
      </c>
      <c r="O2190" t="str">
        <f t="shared" si="204"/>
        <v>Recife</v>
      </c>
    </row>
    <row r="2191" spans="1:15" x14ac:dyDescent="0.3">
      <c r="A2191" s="10">
        <v>45992</v>
      </c>
      <c r="B2191" s="9" t="s">
        <v>74</v>
      </c>
      <c r="C2191" t="s">
        <v>186</v>
      </c>
      <c r="D2191" s="9">
        <v>19601</v>
      </c>
      <c r="E2191" s="5" t="s">
        <v>396</v>
      </c>
      <c r="F2191" t="s">
        <v>188</v>
      </c>
      <c r="G2191">
        <v>2771</v>
      </c>
      <c r="H2191">
        <v>1182</v>
      </c>
      <c r="I2191" s="8">
        <f t="shared" si="205"/>
        <v>0.42656080837242871</v>
      </c>
      <c r="J2191" s="17">
        <v>0.7</v>
      </c>
      <c r="K2191" s="12">
        <v>13.75</v>
      </c>
      <c r="L2191" s="2">
        <f t="shared" si="202"/>
        <v>757.7</v>
      </c>
      <c r="M2191" s="15">
        <f t="shared" si="206"/>
        <v>10418.375</v>
      </c>
      <c r="N2191" t="str">
        <f t="shared" si="203"/>
        <v>PE</v>
      </c>
      <c r="O2191" t="str">
        <f t="shared" si="204"/>
        <v>Recife</v>
      </c>
    </row>
    <row r="2192" spans="1:15" x14ac:dyDescent="0.3">
      <c r="A2192" s="10">
        <v>45992</v>
      </c>
      <c r="B2192" s="9" t="s">
        <v>74</v>
      </c>
      <c r="C2192" t="s">
        <v>186</v>
      </c>
      <c r="D2192" s="9">
        <v>19565</v>
      </c>
      <c r="E2192" s="5" t="s">
        <v>397</v>
      </c>
      <c r="F2192" t="s">
        <v>189</v>
      </c>
      <c r="G2192">
        <v>2879</v>
      </c>
      <c r="H2192">
        <v>998</v>
      </c>
      <c r="I2192" s="8">
        <f t="shared" si="205"/>
        <v>0.34664814171587355</v>
      </c>
      <c r="J2192" s="17">
        <v>0.7</v>
      </c>
      <c r="K2192" s="12">
        <v>13.75</v>
      </c>
      <c r="L2192" s="2">
        <f t="shared" si="202"/>
        <v>1017.3</v>
      </c>
      <c r="M2192" s="15">
        <f t="shared" si="206"/>
        <v>13987.875</v>
      </c>
      <c r="N2192" t="str">
        <f t="shared" si="203"/>
        <v>PE</v>
      </c>
      <c r="O2192" t="str">
        <f t="shared" si="204"/>
        <v>Recife</v>
      </c>
    </row>
    <row r="2193" spans="1:15" x14ac:dyDescent="0.3">
      <c r="A2193" s="10">
        <v>45992</v>
      </c>
      <c r="B2193" s="9" t="s">
        <v>74</v>
      </c>
      <c r="C2193" t="s">
        <v>186</v>
      </c>
      <c r="D2193" s="9">
        <v>19654</v>
      </c>
      <c r="E2193" s="5" t="s">
        <v>398</v>
      </c>
      <c r="F2193" t="s">
        <v>190</v>
      </c>
      <c r="G2193">
        <v>2490</v>
      </c>
      <c r="H2193">
        <v>906</v>
      </c>
      <c r="I2193" s="8">
        <f t="shared" si="205"/>
        <v>0.363855421686747</v>
      </c>
      <c r="J2193" s="17">
        <v>0.7</v>
      </c>
      <c r="K2193" s="12">
        <v>13.75</v>
      </c>
      <c r="L2193" s="2">
        <f t="shared" si="202"/>
        <v>836.99999999999977</v>
      </c>
      <c r="M2193" s="15">
        <f t="shared" si="206"/>
        <v>11508.749999999996</v>
      </c>
      <c r="N2193" t="str">
        <f t="shared" si="203"/>
        <v>PE</v>
      </c>
      <c r="O2193" t="str">
        <f t="shared" si="204"/>
        <v>Recife</v>
      </c>
    </row>
    <row r="2194" spans="1:15" x14ac:dyDescent="0.3">
      <c r="A2194" s="10">
        <v>45992</v>
      </c>
      <c r="B2194" s="9" t="s">
        <v>74</v>
      </c>
      <c r="C2194" t="s">
        <v>315</v>
      </c>
      <c r="D2194" s="9">
        <v>19624</v>
      </c>
      <c r="E2194" s="5" t="s">
        <v>399</v>
      </c>
      <c r="F2194" t="s">
        <v>116</v>
      </c>
      <c r="G2194">
        <v>1774</v>
      </c>
      <c r="H2194">
        <v>626</v>
      </c>
      <c r="I2194" s="8">
        <f t="shared" si="205"/>
        <v>0.35287485907553551</v>
      </c>
      <c r="J2194" s="17">
        <v>0.7</v>
      </c>
      <c r="K2194" s="12">
        <v>13.75</v>
      </c>
      <c r="L2194" s="2">
        <f t="shared" si="202"/>
        <v>615.79999999999995</v>
      </c>
      <c r="M2194" s="15">
        <f t="shared" si="206"/>
        <v>8467.25</v>
      </c>
      <c r="N2194" t="str">
        <f t="shared" si="203"/>
        <v>PE</v>
      </c>
      <c r="O2194" t="str">
        <f t="shared" si="204"/>
        <v>Jaboatão dos Guararapes</v>
      </c>
    </row>
    <row r="2195" spans="1:15" x14ac:dyDescent="0.3">
      <c r="A2195" s="10">
        <v>45992</v>
      </c>
      <c r="B2195" s="9" t="s">
        <v>15</v>
      </c>
      <c r="C2195" t="s">
        <v>143</v>
      </c>
      <c r="D2195" s="9">
        <v>19648</v>
      </c>
      <c r="E2195" s="5" t="s">
        <v>400</v>
      </c>
      <c r="F2195" t="s">
        <v>144</v>
      </c>
      <c r="G2195">
        <v>2020</v>
      </c>
      <c r="H2195">
        <v>619</v>
      </c>
      <c r="I2195" s="8">
        <f t="shared" si="205"/>
        <v>0.30643564356435643</v>
      </c>
      <c r="J2195" s="17">
        <v>0.7</v>
      </c>
      <c r="K2195" s="12">
        <v>13.75</v>
      </c>
      <c r="L2195" s="2">
        <f t="shared" si="202"/>
        <v>794.99999999999977</v>
      </c>
      <c r="M2195" s="15">
        <f t="shared" si="206"/>
        <v>10931.249999999996</v>
      </c>
      <c r="N2195" t="str">
        <f t="shared" si="203"/>
        <v>RJ</v>
      </c>
      <c r="O2195" t="str">
        <f t="shared" si="204"/>
        <v>Nilópolis</v>
      </c>
    </row>
    <row r="2196" spans="1:15" x14ac:dyDescent="0.3">
      <c r="A2196" s="10">
        <v>45992</v>
      </c>
      <c r="B2196" s="9" t="s">
        <v>15</v>
      </c>
      <c r="C2196" t="s">
        <v>57</v>
      </c>
      <c r="D2196" s="9">
        <v>19657</v>
      </c>
      <c r="E2196" s="5" t="s">
        <v>401</v>
      </c>
      <c r="F2196" t="s">
        <v>58</v>
      </c>
      <c r="G2196">
        <v>2103</v>
      </c>
      <c r="H2196">
        <v>937</v>
      </c>
      <c r="I2196" s="8">
        <f t="shared" si="205"/>
        <v>0.4455539705183072</v>
      </c>
      <c r="J2196" s="17">
        <v>0.7</v>
      </c>
      <c r="K2196" s="12">
        <v>13.75</v>
      </c>
      <c r="L2196" s="2">
        <f t="shared" si="202"/>
        <v>535.09999999999991</v>
      </c>
      <c r="M2196" s="15">
        <f t="shared" si="206"/>
        <v>7357.6249999999991</v>
      </c>
      <c r="N2196" t="str">
        <f t="shared" si="203"/>
        <v>RJ</v>
      </c>
      <c r="O2196" t="str">
        <f t="shared" si="204"/>
        <v>Cabo Frio</v>
      </c>
    </row>
    <row r="2197" spans="1:15" x14ac:dyDescent="0.3">
      <c r="A2197" s="10">
        <v>45992</v>
      </c>
      <c r="B2197" s="9" t="s">
        <v>82</v>
      </c>
      <c r="C2197" t="s">
        <v>119</v>
      </c>
      <c r="D2197" s="9">
        <v>19661</v>
      </c>
      <c r="E2197" s="5" t="s">
        <v>403</v>
      </c>
      <c r="F2197" t="s">
        <v>120</v>
      </c>
      <c r="G2197">
        <v>2752</v>
      </c>
      <c r="H2197">
        <v>1012</v>
      </c>
      <c r="I2197" s="8">
        <f t="shared" si="205"/>
        <v>0.36773255813953487</v>
      </c>
      <c r="J2197" s="17">
        <v>0.7</v>
      </c>
      <c r="K2197" s="12">
        <v>13.75</v>
      </c>
      <c r="L2197" s="2">
        <f t="shared" si="202"/>
        <v>914.40000000000009</v>
      </c>
      <c r="M2197" s="15">
        <f t="shared" si="206"/>
        <v>12573.000000000002</v>
      </c>
      <c r="N2197" t="str">
        <f t="shared" si="203"/>
        <v>PR</v>
      </c>
      <c r="O2197" t="str">
        <f t="shared" si="204"/>
        <v>Londrina</v>
      </c>
    </row>
    <row r="2198" spans="1:15" x14ac:dyDescent="0.3">
      <c r="A2198" s="10">
        <v>45992</v>
      </c>
      <c r="B2198" s="9" t="s">
        <v>183</v>
      </c>
      <c r="C2198" t="s">
        <v>184</v>
      </c>
      <c r="D2198" s="9">
        <v>19752</v>
      </c>
      <c r="E2198" s="5" t="s">
        <v>404</v>
      </c>
      <c r="F2198" t="s">
        <v>185</v>
      </c>
      <c r="G2198">
        <v>988</v>
      </c>
      <c r="H2198">
        <v>497</v>
      </c>
      <c r="I2198" s="8">
        <f t="shared" si="205"/>
        <v>0.50303643724696356</v>
      </c>
      <c r="J2198" s="17">
        <v>0.7</v>
      </c>
      <c r="K2198" s="12">
        <v>13.75</v>
      </c>
      <c r="L2198" s="2">
        <f t="shared" si="202"/>
        <v>194.59999999999991</v>
      </c>
      <c r="M2198" s="15">
        <f t="shared" si="206"/>
        <v>2675.7499999999986</v>
      </c>
      <c r="N2198" t="str">
        <f t="shared" si="203"/>
        <v>RO</v>
      </c>
      <c r="O2198" t="str">
        <f t="shared" si="204"/>
        <v>Porto Velho</v>
      </c>
    </row>
    <row r="2199" spans="1:15" x14ac:dyDescent="0.3">
      <c r="A2199" s="10">
        <v>45992</v>
      </c>
      <c r="B2199" s="9" t="s">
        <v>15</v>
      </c>
      <c r="C2199" t="s">
        <v>281</v>
      </c>
      <c r="D2199" s="9">
        <v>19671</v>
      </c>
      <c r="E2199" s="5" t="s">
        <v>405</v>
      </c>
      <c r="F2199" t="s">
        <v>282</v>
      </c>
      <c r="G2199">
        <v>3013</v>
      </c>
      <c r="H2199">
        <v>1323</v>
      </c>
      <c r="I2199" s="8">
        <f t="shared" si="205"/>
        <v>0.43909724527049454</v>
      </c>
      <c r="J2199" s="17">
        <v>0.7</v>
      </c>
      <c r="K2199" s="12">
        <v>13.75</v>
      </c>
      <c r="L2199" s="2">
        <f t="shared" si="202"/>
        <v>786.09999999999991</v>
      </c>
      <c r="M2199" s="15">
        <f t="shared" si="206"/>
        <v>10808.874999999998</v>
      </c>
      <c r="N2199" t="str">
        <f t="shared" si="203"/>
        <v>RJ</v>
      </c>
      <c r="O2199" t="str">
        <f t="shared" si="204"/>
        <v>Teresópolis</v>
      </c>
    </row>
    <row r="2200" spans="1:15" x14ac:dyDescent="0.3">
      <c r="A2200" s="10">
        <v>45992</v>
      </c>
      <c r="B2200" s="9" t="s">
        <v>3</v>
      </c>
      <c r="C2200" t="s">
        <v>248</v>
      </c>
      <c r="D2200" s="9">
        <v>19674</v>
      </c>
      <c r="E2200" s="5" t="s">
        <v>406</v>
      </c>
      <c r="F2200" t="s">
        <v>251</v>
      </c>
      <c r="G2200">
        <v>2162</v>
      </c>
      <c r="H2200">
        <v>777</v>
      </c>
      <c r="I2200" s="8">
        <f t="shared" si="205"/>
        <v>0.35938945420906571</v>
      </c>
      <c r="J2200" s="17">
        <v>0.7</v>
      </c>
      <c r="K2200" s="12">
        <v>13.75</v>
      </c>
      <c r="L2200" s="2">
        <f t="shared" si="202"/>
        <v>736.39999999999986</v>
      </c>
      <c r="M2200" s="15">
        <f t="shared" si="206"/>
        <v>10125.499999999998</v>
      </c>
      <c r="N2200" t="str">
        <f t="shared" si="203"/>
        <v>SP</v>
      </c>
      <c r="O2200" t="str">
        <f t="shared" si="204"/>
        <v>São Paulo</v>
      </c>
    </row>
    <row r="2201" spans="1:15" x14ac:dyDescent="0.3">
      <c r="A2201" s="10">
        <v>45992</v>
      </c>
      <c r="B2201" s="9" t="s">
        <v>3</v>
      </c>
      <c r="C2201" t="s">
        <v>248</v>
      </c>
      <c r="D2201" s="9">
        <v>19756</v>
      </c>
      <c r="E2201" s="5" t="s">
        <v>407</v>
      </c>
      <c r="F2201" t="s">
        <v>252</v>
      </c>
      <c r="G2201">
        <v>1486</v>
      </c>
      <c r="H2201">
        <v>550</v>
      </c>
      <c r="I2201" s="8">
        <f t="shared" si="205"/>
        <v>0.37012113055181695</v>
      </c>
      <c r="J2201" s="17">
        <v>0.7</v>
      </c>
      <c r="K2201" s="12">
        <v>13.75</v>
      </c>
      <c r="L2201" s="2">
        <f t="shared" si="202"/>
        <v>490.20000000000005</v>
      </c>
      <c r="M2201" s="15">
        <f t="shared" si="206"/>
        <v>6740.2500000000009</v>
      </c>
      <c r="N2201" t="str">
        <f t="shared" si="203"/>
        <v>SP</v>
      </c>
      <c r="O2201" t="str">
        <f t="shared" si="204"/>
        <v>São Paulo</v>
      </c>
    </row>
    <row r="2202" spans="1:15" x14ac:dyDescent="0.3">
      <c r="A2202" s="10">
        <v>45992</v>
      </c>
      <c r="B2202" s="9" t="s">
        <v>3</v>
      </c>
      <c r="C2202" t="s">
        <v>248</v>
      </c>
      <c r="D2202" s="9">
        <v>19809</v>
      </c>
      <c r="E2202" s="5" t="s">
        <v>408</v>
      </c>
      <c r="F2202" t="s">
        <v>253</v>
      </c>
      <c r="G2202">
        <v>2478</v>
      </c>
      <c r="H2202">
        <v>931</v>
      </c>
      <c r="I2202" s="8">
        <f t="shared" si="205"/>
        <v>0.37570621468926552</v>
      </c>
      <c r="J2202" s="17">
        <v>0.7</v>
      </c>
      <c r="K2202" s="12">
        <v>13.75</v>
      </c>
      <c r="L2202" s="2">
        <f t="shared" si="202"/>
        <v>803.59999999999991</v>
      </c>
      <c r="M2202" s="15">
        <f t="shared" si="206"/>
        <v>11049.499999999998</v>
      </c>
      <c r="N2202" t="str">
        <f t="shared" si="203"/>
        <v>SP</v>
      </c>
      <c r="O2202" t="str">
        <f t="shared" si="204"/>
        <v>São Paulo</v>
      </c>
    </row>
    <row r="2203" spans="1:15" x14ac:dyDescent="0.3">
      <c r="A2203" s="10">
        <v>45992</v>
      </c>
      <c r="B2203" s="9" t="s">
        <v>3</v>
      </c>
      <c r="C2203" t="s">
        <v>248</v>
      </c>
      <c r="D2203" s="9">
        <v>19579</v>
      </c>
      <c r="E2203" s="5" t="s">
        <v>409</v>
      </c>
      <c r="F2203" t="s">
        <v>254</v>
      </c>
      <c r="G2203">
        <v>1639</v>
      </c>
      <c r="H2203">
        <v>531</v>
      </c>
      <c r="I2203" s="8">
        <f t="shared" si="205"/>
        <v>0.32397803538743136</v>
      </c>
      <c r="J2203" s="17">
        <v>0.7</v>
      </c>
      <c r="K2203" s="12">
        <v>13.75</v>
      </c>
      <c r="L2203" s="2">
        <f t="shared" si="202"/>
        <v>616.29999999999995</v>
      </c>
      <c r="M2203" s="15">
        <f t="shared" si="206"/>
        <v>8474.125</v>
      </c>
      <c r="N2203" t="str">
        <f t="shared" si="203"/>
        <v>SP</v>
      </c>
      <c r="O2203" t="str">
        <f t="shared" si="204"/>
        <v>São Paulo</v>
      </c>
    </row>
    <row r="2204" spans="1:15" x14ac:dyDescent="0.3">
      <c r="A2204" s="10">
        <v>45992</v>
      </c>
      <c r="B2204" s="9" t="s">
        <v>126</v>
      </c>
      <c r="C2204" t="s">
        <v>127</v>
      </c>
      <c r="D2204" s="9">
        <v>19623</v>
      </c>
      <c r="E2204" s="5" t="s">
        <v>410</v>
      </c>
      <c r="F2204" t="s">
        <v>128</v>
      </c>
      <c r="G2204">
        <v>1801</v>
      </c>
      <c r="H2204">
        <v>877</v>
      </c>
      <c r="I2204" s="8">
        <f t="shared" si="205"/>
        <v>0.48695169350360912</v>
      </c>
      <c r="J2204" s="17">
        <v>0.7</v>
      </c>
      <c r="K2204" s="12">
        <v>13.75</v>
      </c>
      <c r="L2204" s="2">
        <f t="shared" si="202"/>
        <v>383.69999999999982</v>
      </c>
      <c r="M2204" s="15">
        <f t="shared" si="206"/>
        <v>5275.8749999999973</v>
      </c>
      <c r="N2204" t="str">
        <f t="shared" si="203"/>
        <v>AL</v>
      </c>
      <c r="O2204" t="str">
        <f t="shared" si="204"/>
        <v>Maceió</v>
      </c>
    </row>
    <row r="2205" spans="1:15" x14ac:dyDescent="0.3">
      <c r="A2205" s="10">
        <v>45992</v>
      </c>
      <c r="B2205" s="9" t="s">
        <v>46</v>
      </c>
      <c r="C2205" t="s">
        <v>47</v>
      </c>
      <c r="D2205" s="9">
        <v>19693</v>
      </c>
      <c r="E2205" s="5" t="s">
        <v>411</v>
      </c>
      <c r="F2205" t="s">
        <v>51</v>
      </c>
      <c r="G2205">
        <v>2580</v>
      </c>
      <c r="H2205">
        <v>822</v>
      </c>
      <c r="I2205" s="8">
        <f t="shared" si="205"/>
        <v>0.31860465116279069</v>
      </c>
      <c r="J2205" s="17">
        <v>0.7</v>
      </c>
      <c r="K2205" s="12">
        <v>13.75</v>
      </c>
      <c r="L2205" s="2">
        <f t="shared" si="202"/>
        <v>984</v>
      </c>
      <c r="M2205" s="15">
        <f t="shared" si="206"/>
        <v>13530</v>
      </c>
      <c r="N2205" t="str">
        <f t="shared" si="203"/>
        <v>DF</v>
      </c>
      <c r="O2205" t="str">
        <f t="shared" si="204"/>
        <v>Brasília</v>
      </c>
    </row>
    <row r="2206" spans="1:15" x14ac:dyDescent="0.3">
      <c r="A2206" s="10">
        <v>45992</v>
      </c>
      <c r="B2206" s="9" t="s">
        <v>78</v>
      </c>
      <c r="C2206" t="s">
        <v>79</v>
      </c>
      <c r="D2206" s="9">
        <v>19730</v>
      </c>
      <c r="E2206" s="5" t="s">
        <v>413</v>
      </c>
      <c r="F2206" t="s">
        <v>80</v>
      </c>
      <c r="G2206">
        <v>2932</v>
      </c>
      <c r="H2206">
        <v>1293</v>
      </c>
      <c r="I2206" s="8">
        <f t="shared" si="205"/>
        <v>0.44099590723055937</v>
      </c>
      <c r="J2206" s="17">
        <v>0.7</v>
      </c>
      <c r="K2206" s="12">
        <v>13.75</v>
      </c>
      <c r="L2206" s="2">
        <f t="shared" si="202"/>
        <v>759.39999999999964</v>
      </c>
      <c r="M2206" s="15">
        <f t="shared" si="206"/>
        <v>10441.749999999995</v>
      </c>
      <c r="N2206" t="str">
        <f t="shared" si="203"/>
        <v>MT</v>
      </c>
      <c r="O2206" t="str">
        <f t="shared" si="204"/>
        <v>Cuiabá</v>
      </c>
    </row>
    <row r="2207" spans="1:15" x14ac:dyDescent="0.3">
      <c r="A2207" s="10">
        <v>45992</v>
      </c>
      <c r="B2207" s="9" t="s">
        <v>78</v>
      </c>
      <c r="C2207" t="s">
        <v>79</v>
      </c>
      <c r="D2207" s="9">
        <v>19794</v>
      </c>
      <c r="E2207" s="5" t="s">
        <v>414</v>
      </c>
      <c r="F2207" t="s">
        <v>81</v>
      </c>
      <c r="G2207">
        <v>1810</v>
      </c>
      <c r="H2207">
        <v>742</v>
      </c>
      <c r="I2207" s="8">
        <f t="shared" si="205"/>
        <v>0.40994475138121544</v>
      </c>
      <c r="J2207" s="17">
        <v>0.7</v>
      </c>
      <c r="K2207" s="12">
        <v>13.75</v>
      </c>
      <c r="L2207" s="2">
        <f t="shared" si="202"/>
        <v>525</v>
      </c>
      <c r="M2207" s="15">
        <f t="shared" si="206"/>
        <v>7218.75</v>
      </c>
      <c r="N2207" t="str">
        <f t="shared" si="203"/>
        <v>MT</v>
      </c>
      <c r="O2207" t="str">
        <f t="shared" si="204"/>
        <v>Cuiabá</v>
      </c>
    </row>
    <row r="2208" spans="1:15" x14ac:dyDescent="0.3">
      <c r="A2208" s="10">
        <v>45992</v>
      </c>
      <c r="B2208" s="9" t="s">
        <v>7</v>
      </c>
      <c r="C2208" t="s">
        <v>99</v>
      </c>
      <c r="D2208" s="9">
        <v>19691</v>
      </c>
      <c r="E2208" s="5" t="s">
        <v>415</v>
      </c>
      <c r="F2208" t="s">
        <v>100</v>
      </c>
      <c r="G2208">
        <v>2507</v>
      </c>
      <c r="H2208">
        <v>1103</v>
      </c>
      <c r="I2208" s="8">
        <f t="shared" si="205"/>
        <v>0.43996808934982051</v>
      </c>
      <c r="J2208" s="17">
        <v>0.7</v>
      </c>
      <c r="K2208" s="12">
        <v>13.75</v>
      </c>
      <c r="L2208" s="2">
        <f t="shared" si="202"/>
        <v>651.89999999999986</v>
      </c>
      <c r="M2208" s="15">
        <f t="shared" si="206"/>
        <v>8963.6249999999982</v>
      </c>
      <c r="N2208" t="str">
        <f t="shared" si="203"/>
        <v>GO</v>
      </c>
      <c r="O2208" t="str">
        <f t="shared" si="204"/>
        <v>Goiânia</v>
      </c>
    </row>
    <row r="2209" spans="1:15" x14ac:dyDescent="0.3">
      <c r="A2209" s="10">
        <v>45992</v>
      </c>
      <c r="B2209" s="9" t="s">
        <v>15</v>
      </c>
      <c r="C2209" t="s">
        <v>319</v>
      </c>
      <c r="D2209" s="9">
        <v>19505</v>
      </c>
      <c r="E2209" s="5" t="s">
        <v>416</v>
      </c>
      <c r="F2209" t="s">
        <v>204</v>
      </c>
      <c r="G2209">
        <v>2284</v>
      </c>
      <c r="H2209">
        <v>847</v>
      </c>
      <c r="I2209" s="8">
        <f t="shared" si="205"/>
        <v>0.37084063047285465</v>
      </c>
      <c r="J2209" s="17">
        <v>0.7</v>
      </c>
      <c r="K2209" s="12">
        <v>13.75</v>
      </c>
      <c r="L2209" s="2">
        <f t="shared" si="202"/>
        <v>751.8</v>
      </c>
      <c r="M2209" s="15">
        <f t="shared" si="206"/>
        <v>10337.25</v>
      </c>
      <c r="N2209" t="str">
        <f t="shared" si="203"/>
        <v>RJ</v>
      </c>
      <c r="O2209" t="str">
        <f t="shared" si="204"/>
        <v>Rio de Janeiro</v>
      </c>
    </row>
    <row r="2210" spans="1:15" x14ac:dyDescent="0.3">
      <c r="A2210" s="10">
        <v>45992</v>
      </c>
      <c r="B2210" s="9" t="s">
        <v>15</v>
      </c>
      <c r="C2210" t="s">
        <v>319</v>
      </c>
      <c r="D2210" s="9">
        <v>19515</v>
      </c>
      <c r="E2210" s="5" t="s">
        <v>417</v>
      </c>
      <c r="F2210" t="s">
        <v>205</v>
      </c>
      <c r="G2210">
        <v>3376</v>
      </c>
      <c r="H2210">
        <v>1280</v>
      </c>
      <c r="I2210" s="8">
        <f t="shared" si="205"/>
        <v>0.37914691943127959</v>
      </c>
      <c r="J2210" s="17">
        <v>0.7</v>
      </c>
      <c r="K2210" s="12">
        <v>13.75</v>
      </c>
      <c r="L2210" s="2">
        <f t="shared" si="202"/>
        <v>1083.2000000000003</v>
      </c>
      <c r="M2210" s="15">
        <f t="shared" si="206"/>
        <v>14894.000000000004</v>
      </c>
      <c r="N2210" t="str">
        <f t="shared" si="203"/>
        <v>RJ</v>
      </c>
      <c r="O2210" t="str">
        <f t="shared" si="204"/>
        <v>Rio de Janeiro</v>
      </c>
    </row>
    <row r="2211" spans="1:15" x14ac:dyDescent="0.3">
      <c r="A2211" s="10">
        <v>45992</v>
      </c>
      <c r="B2211" s="9" t="s">
        <v>15</v>
      </c>
      <c r="C2211" t="s">
        <v>319</v>
      </c>
      <c r="D2211" s="9">
        <v>19519</v>
      </c>
      <c r="E2211" s="5" t="s">
        <v>418</v>
      </c>
      <c r="F2211" t="s">
        <v>206</v>
      </c>
      <c r="G2211">
        <v>6141</v>
      </c>
      <c r="H2211">
        <v>2453</v>
      </c>
      <c r="I2211" s="8">
        <f t="shared" si="205"/>
        <v>0.39944634424360853</v>
      </c>
      <c r="J2211" s="17">
        <v>0.7</v>
      </c>
      <c r="K2211" s="12">
        <v>13.75</v>
      </c>
      <c r="L2211" s="2">
        <f t="shared" si="202"/>
        <v>1845.6999999999998</v>
      </c>
      <c r="M2211" s="15">
        <f t="shared" si="206"/>
        <v>25378.374999999996</v>
      </c>
      <c r="N2211" t="str">
        <f t="shared" si="203"/>
        <v>RJ</v>
      </c>
      <c r="O2211" t="str">
        <f t="shared" si="204"/>
        <v>Rio de Janeiro</v>
      </c>
    </row>
    <row r="2212" spans="1:15" x14ac:dyDescent="0.3">
      <c r="A2212" s="10">
        <v>45992</v>
      </c>
      <c r="B2212" s="9" t="s">
        <v>15</v>
      </c>
      <c r="C2212" t="s">
        <v>319</v>
      </c>
      <c r="D2212" s="9">
        <v>19518</v>
      </c>
      <c r="E2212" s="5" t="s">
        <v>419</v>
      </c>
      <c r="F2212" t="s">
        <v>207</v>
      </c>
      <c r="G2212">
        <v>4326</v>
      </c>
      <c r="H2212">
        <v>1811</v>
      </c>
      <c r="I2212" s="8">
        <f t="shared" si="205"/>
        <v>0.41863153028201572</v>
      </c>
      <c r="J2212" s="17">
        <v>0.7</v>
      </c>
      <c r="K2212" s="12">
        <v>13.75</v>
      </c>
      <c r="L2212" s="2">
        <f t="shared" si="202"/>
        <v>1217.1999999999994</v>
      </c>
      <c r="M2212" s="15">
        <f t="shared" si="206"/>
        <v>16736.499999999993</v>
      </c>
      <c r="N2212" t="str">
        <f t="shared" si="203"/>
        <v>RJ</v>
      </c>
      <c r="O2212" t="str">
        <f t="shared" si="204"/>
        <v>Rio de Janeiro</v>
      </c>
    </row>
    <row r="2213" spans="1:15" x14ac:dyDescent="0.3">
      <c r="A2213" s="10">
        <v>45992</v>
      </c>
      <c r="B2213" s="9" t="s">
        <v>15</v>
      </c>
      <c r="C2213" t="s">
        <v>319</v>
      </c>
      <c r="D2213" s="9">
        <v>19507</v>
      </c>
      <c r="E2213" s="5" t="s">
        <v>420</v>
      </c>
      <c r="F2213" t="s">
        <v>208</v>
      </c>
      <c r="G2213">
        <v>3426</v>
      </c>
      <c r="H2213">
        <v>1195</v>
      </c>
      <c r="I2213" s="8">
        <f t="shared" si="205"/>
        <v>0.34880326911850557</v>
      </c>
      <c r="J2213" s="17">
        <v>0.7</v>
      </c>
      <c r="K2213" s="12">
        <v>13.75</v>
      </c>
      <c r="L2213" s="2">
        <f t="shared" si="202"/>
        <v>1203.1999999999998</v>
      </c>
      <c r="M2213" s="15">
        <f t="shared" si="206"/>
        <v>16543.999999999996</v>
      </c>
      <c r="N2213" t="str">
        <f t="shared" si="203"/>
        <v>RJ</v>
      </c>
      <c r="O2213" t="str">
        <f t="shared" si="204"/>
        <v>Rio de Janeiro</v>
      </c>
    </row>
    <row r="2214" spans="1:15" x14ac:dyDescent="0.3">
      <c r="A2214" s="10">
        <v>45992</v>
      </c>
      <c r="B2214" s="9" t="s">
        <v>15</v>
      </c>
      <c r="C2214" t="s">
        <v>319</v>
      </c>
      <c r="D2214" s="9">
        <v>19714</v>
      </c>
      <c r="E2214" s="5" t="s">
        <v>421</v>
      </c>
      <c r="F2214" t="s">
        <v>209</v>
      </c>
      <c r="G2214">
        <v>2541</v>
      </c>
      <c r="H2214">
        <v>891</v>
      </c>
      <c r="I2214" s="8">
        <f t="shared" si="205"/>
        <v>0.35064935064935066</v>
      </c>
      <c r="J2214" s="17">
        <v>0.7</v>
      </c>
      <c r="K2214" s="12">
        <v>13.75</v>
      </c>
      <c r="L2214" s="2">
        <f t="shared" si="202"/>
        <v>887.69999999999982</v>
      </c>
      <c r="M2214" s="15">
        <f t="shared" si="206"/>
        <v>12205.874999999998</v>
      </c>
      <c r="N2214" t="str">
        <f t="shared" si="203"/>
        <v>RJ</v>
      </c>
      <c r="O2214" t="str">
        <f t="shared" si="204"/>
        <v>Rio de Janeiro</v>
      </c>
    </row>
    <row r="2215" spans="1:15" x14ac:dyDescent="0.3">
      <c r="A2215" s="10">
        <v>45992</v>
      </c>
      <c r="B2215" s="9" t="s">
        <v>15</v>
      </c>
      <c r="C2215" t="s">
        <v>319</v>
      </c>
      <c r="D2215" s="9">
        <v>19844</v>
      </c>
      <c r="E2215" s="5" t="s">
        <v>428</v>
      </c>
      <c r="F2215" t="s">
        <v>210</v>
      </c>
      <c r="G2215">
        <v>2364</v>
      </c>
      <c r="H2215">
        <v>930</v>
      </c>
      <c r="I2215" s="8">
        <f t="shared" si="205"/>
        <v>0.39340101522842641</v>
      </c>
      <c r="J2215" s="17">
        <v>0.7</v>
      </c>
      <c r="K2215" s="12">
        <v>13.75</v>
      </c>
      <c r="L2215" s="2">
        <f t="shared" si="202"/>
        <v>724.8</v>
      </c>
      <c r="M2215" s="15">
        <f t="shared" si="206"/>
        <v>9966</v>
      </c>
      <c r="N2215" t="str">
        <f t="shared" si="203"/>
        <v>RJ</v>
      </c>
      <c r="O2215" t="str">
        <f t="shared" si="204"/>
        <v>Rio de Janeiro</v>
      </c>
    </row>
    <row r="2216" spans="1:15" x14ac:dyDescent="0.3">
      <c r="A2216" s="10">
        <v>45992</v>
      </c>
      <c r="B2216" s="9" t="s">
        <v>14</v>
      </c>
      <c r="C2216" t="s">
        <v>29</v>
      </c>
      <c r="D2216" s="9">
        <v>19793</v>
      </c>
      <c r="E2216" s="5" t="s">
        <v>611</v>
      </c>
      <c r="F2216" t="s">
        <v>39</v>
      </c>
      <c r="G2216">
        <v>1308</v>
      </c>
      <c r="H2216">
        <v>564</v>
      </c>
      <c r="I2216" s="8">
        <f t="shared" si="205"/>
        <v>0.43119266055045874</v>
      </c>
      <c r="J2216" s="17">
        <v>0.7</v>
      </c>
      <c r="K2216" s="12">
        <v>13.75</v>
      </c>
      <c r="L2216" s="2">
        <f t="shared" si="202"/>
        <v>351.5999999999998</v>
      </c>
      <c r="M2216" s="15">
        <f t="shared" si="206"/>
        <v>4834.4999999999973</v>
      </c>
      <c r="N2216" t="str">
        <f t="shared" si="203"/>
        <v>MG</v>
      </c>
      <c r="O2216" t="str">
        <f t="shared" si="204"/>
        <v>Belo Horizonte</v>
      </c>
    </row>
    <row r="2217" spans="1:15" x14ac:dyDescent="0.3">
      <c r="A2217" s="10">
        <v>45992</v>
      </c>
      <c r="B2217" s="9" t="s">
        <v>14</v>
      </c>
      <c r="C2217" t="s">
        <v>29</v>
      </c>
      <c r="D2217" s="9">
        <v>19704</v>
      </c>
      <c r="E2217" s="5" t="s">
        <v>429</v>
      </c>
      <c r="F2217" t="s">
        <v>30</v>
      </c>
      <c r="G2217">
        <v>3595</v>
      </c>
      <c r="H2217">
        <v>1903</v>
      </c>
      <c r="I2217" s="8">
        <f t="shared" si="205"/>
        <v>0.52934631432545198</v>
      </c>
      <c r="J2217" s="17">
        <v>0.7</v>
      </c>
      <c r="K2217" s="12">
        <v>13.75</v>
      </c>
      <c r="L2217" s="2">
        <f t="shared" si="202"/>
        <v>613.5</v>
      </c>
      <c r="M2217" s="15">
        <f t="shared" si="206"/>
        <v>8435.625</v>
      </c>
      <c r="N2217" t="str">
        <f t="shared" si="203"/>
        <v>MG</v>
      </c>
      <c r="O2217" t="str">
        <f t="shared" si="204"/>
        <v>Belo Horizonte</v>
      </c>
    </row>
    <row r="2218" spans="1:15" x14ac:dyDescent="0.3">
      <c r="A2218" s="10">
        <v>45992</v>
      </c>
      <c r="B2218" s="9" t="s">
        <v>15</v>
      </c>
      <c r="C2218" t="s">
        <v>319</v>
      </c>
      <c r="D2218" s="9">
        <v>19512</v>
      </c>
      <c r="E2218" s="5" t="s">
        <v>430</v>
      </c>
      <c r="F2218" t="s">
        <v>211</v>
      </c>
      <c r="G2218">
        <v>2321</v>
      </c>
      <c r="H2218">
        <v>928</v>
      </c>
      <c r="I2218" s="8">
        <f t="shared" si="205"/>
        <v>0.39982766049116758</v>
      </c>
      <c r="J2218" s="17">
        <v>0.7</v>
      </c>
      <c r="K2218" s="12">
        <v>13.75</v>
      </c>
      <c r="L2218" s="2">
        <f t="shared" si="202"/>
        <v>696.69999999999982</v>
      </c>
      <c r="M2218" s="15">
        <f t="shared" si="206"/>
        <v>9579.6249999999982</v>
      </c>
      <c r="N2218" t="str">
        <f t="shared" si="203"/>
        <v>RJ</v>
      </c>
      <c r="O2218" t="str">
        <f t="shared" si="204"/>
        <v>Rio de Janeiro</v>
      </c>
    </row>
    <row r="2219" spans="1:15" x14ac:dyDescent="0.3">
      <c r="A2219" s="10">
        <v>45992</v>
      </c>
      <c r="B2219" s="9" t="s">
        <v>14</v>
      </c>
      <c r="C2219" t="s">
        <v>29</v>
      </c>
      <c r="D2219" s="9">
        <v>19562</v>
      </c>
      <c r="E2219" s="5" t="s">
        <v>431</v>
      </c>
      <c r="F2219" t="s">
        <v>31</v>
      </c>
      <c r="G2219">
        <v>2132</v>
      </c>
      <c r="H2219">
        <v>994</v>
      </c>
      <c r="I2219" s="8">
        <f t="shared" si="205"/>
        <v>0.46622889305816134</v>
      </c>
      <c r="J2219" s="17">
        <v>0.7</v>
      </c>
      <c r="K2219" s="12">
        <v>13.75</v>
      </c>
      <c r="L2219" s="2">
        <f t="shared" si="202"/>
        <v>498.39999999999986</v>
      </c>
      <c r="M2219" s="15">
        <f t="shared" si="206"/>
        <v>6852.9999999999982</v>
      </c>
      <c r="N2219" t="str">
        <f t="shared" si="203"/>
        <v>MG</v>
      </c>
      <c r="O2219" t="str">
        <f t="shared" si="204"/>
        <v>Belo Horizonte</v>
      </c>
    </row>
    <row r="2220" spans="1:15" x14ac:dyDescent="0.3">
      <c r="A2220" s="10">
        <v>45992</v>
      </c>
      <c r="B2220" s="9" t="s">
        <v>14</v>
      </c>
      <c r="C2220" t="s">
        <v>29</v>
      </c>
      <c r="D2220" s="9">
        <v>19748</v>
      </c>
      <c r="E2220" s="5" t="s">
        <v>432</v>
      </c>
      <c r="F2220" t="s">
        <v>32</v>
      </c>
      <c r="G2220">
        <v>2014</v>
      </c>
      <c r="H2220">
        <v>929</v>
      </c>
      <c r="I2220" s="8">
        <f t="shared" si="205"/>
        <v>0.46127110228401191</v>
      </c>
      <c r="J2220" s="17">
        <v>0.7</v>
      </c>
      <c r="K2220" s="12">
        <v>13.75</v>
      </c>
      <c r="L2220" s="2">
        <f t="shared" si="202"/>
        <v>480.79999999999995</v>
      </c>
      <c r="M2220" s="15">
        <f t="shared" si="206"/>
        <v>6610.9999999999991</v>
      </c>
      <c r="N2220" t="str">
        <f t="shared" si="203"/>
        <v>MG</v>
      </c>
      <c r="O2220" t="str">
        <f t="shared" si="204"/>
        <v>Belo Horizonte</v>
      </c>
    </row>
    <row r="2221" spans="1:15" x14ac:dyDescent="0.3">
      <c r="A2221" s="10">
        <v>45992</v>
      </c>
      <c r="B2221" s="9" t="s">
        <v>14</v>
      </c>
      <c r="C2221" t="s">
        <v>29</v>
      </c>
      <c r="D2221" s="9">
        <v>19561</v>
      </c>
      <c r="E2221" s="5" t="s">
        <v>433</v>
      </c>
      <c r="F2221" t="s">
        <v>33</v>
      </c>
      <c r="G2221">
        <v>1430</v>
      </c>
      <c r="H2221">
        <v>528</v>
      </c>
      <c r="I2221" s="8">
        <f t="shared" si="205"/>
        <v>0.36923076923076925</v>
      </c>
      <c r="J2221" s="17">
        <v>0.7</v>
      </c>
      <c r="K2221" s="12">
        <v>13.75</v>
      </c>
      <c r="L2221" s="2">
        <f t="shared" si="202"/>
        <v>472.99999999999989</v>
      </c>
      <c r="M2221" s="15">
        <f t="shared" si="206"/>
        <v>6503.7499999999982</v>
      </c>
      <c r="N2221" t="str">
        <f t="shared" si="203"/>
        <v>MG</v>
      </c>
      <c r="O2221" t="str">
        <f t="shared" si="204"/>
        <v>Belo Horizonte</v>
      </c>
    </row>
    <row r="2222" spans="1:15" x14ac:dyDescent="0.3">
      <c r="A2222" s="10">
        <v>45992</v>
      </c>
      <c r="B2222" s="9" t="s">
        <v>14</v>
      </c>
      <c r="C2222" t="s">
        <v>29</v>
      </c>
      <c r="D2222" s="9">
        <v>19560</v>
      </c>
      <c r="E2222" s="5" t="s">
        <v>435</v>
      </c>
      <c r="F2222" t="s">
        <v>34</v>
      </c>
      <c r="G2222">
        <v>4031</v>
      </c>
      <c r="H2222">
        <v>1711</v>
      </c>
      <c r="I2222" s="8">
        <f t="shared" si="205"/>
        <v>0.42446043165467628</v>
      </c>
      <c r="J2222" s="17">
        <v>0.7</v>
      </c>
      <c r="K2222" s="12">
        <v>13.75</v>
      </c>
      <c r="L2222" s="2">
        <f t="shared" si="202"/>
        <v>1110.6999999999994</v>
      </c>
      <c r="M2222" s="15">
        <f t="shared" si="206"/>
        <v>15272.124999999991</v>
      </c>
      <c r="N2222" t="str">
        <f t="shared" si="203"/>
        <v>MG</v>
      </c>
      <c r="O2222" t="str">
        <f t="shared" si="204"/>
        <v>Belo Horizonte</v>
      </c>
    </row>
    <row r="2223" spans="1:15" x14ac:dyDescent="0.3">
      <c r="A2223" s="10">
        <v>45992</v>
      </c>
      <c r="B2223" s="9" t="s">
        <v>15</v>
      </c>
      <c r="C2223" t="s">
        <v>319</v>
      </c>
      <c r="D2223" s="9">
        <v>19508</v>
      </c>
      <c r="E2223" s="5" t="s">
        <v>444</v>
      </c>
      <c r="F2223" t="s">
        <v>212</v>
      </c>
      <c r="G2223">
        <v>2657</v>
      </c>
      <c r="H2223">
        <v>1246</v>
      </c>
      <c r="I2223" s="8">
        <f t="shared" si="205"/>
        <v>0.46894994354535191</v>
      </c>
      <c r="J2223" s="17">
        <v>0.7</v>
      </c>
      <c r="K2223" s="12">
        <v>13.75</v>
      </c>
      <c r="L2223" s="2">
        <f t="shared" ref="L2223:L2286" si="207">H2223*J2223/I2223-H2223</f>
        <v>613.89999999999986</v>
      </c>
      <c r="M2223" s="15">
        <f t="shared" si="206"/>
        <v>8441.1249999999982</v>
      </c>
      <c r="N2223" t="str">
        <f t="shared" si="203"/>
        <v>RJ</v>
      </c>
      <c r="O2223" t="str">
        <f t="shared" si="204"/>
        <v>Rio de Janeiro</v>
      </c>
    </row>
    <row r="2224" spans="1:15" x14ac:dyDescent="0.3">
      <c r="A2224" s="10">
        <v>45992</v>
      </c>
      <c r="B2224" s="9" t="s">
        <v>15</v>
      </c>
      <c r="C2224" t="s">
        <v>319</v>
      </c>
      <c r="D2224" s="9">
        <v>19894</v>
      </c>
      <c r="E2224" s="5" t="s">
        <v>446</v>
      </c>
      <c r="F2224" t="s">
        <v>213</v>
      </c>
      <c r="G2224">
        <v>2411</v>
      </c>
      <c r="H2224">
        <v>901</v>
      </c>
      <c r="I2224" s="8">
        <f t="shared" si="205"/>
        <v>0.37370385732061384</v>
      </c>
      <c r="J2224" s="17">
        <v>0.7</v>
      </c>
      <c r="K2224" s="12">
        <v>13.75</v>
      </c>
      <c r="L2224" s="2">
        <f t="shared" si="207"/>
        <v>786.69999999999982</v>
      </c>
      <c r="M2224" s="15">
        <f t="shared" si="206"/>
        <v>10817.124999999998</v>
      </c>
      <c r="N2224" t="str">
        <f t="shared" si="203"/>
        <v>RJ</v>
      </c>
      <c r="O2224" t="str">
        <f t="shared" si="204"/>
        <v>Rio de Janeiro</v>
      </c>
    </row>
    <row r="2225" spans="1:15" x14ac:dyDescent="0.3">
      <c r="A2225" s="10">
        <v>45992</v>
      </c>
      <c r="B2225" s="9" t="s">
        <v>15</v>
      </c>
      <c r="C2225" t="s">
        <v>319</v>
      </c>
      <c r="D2225" s="9">
        <v>19526</v>
      </c>
      <c r="E2225" s="5" t="s">
        <v>447</v>
      </c>
      <c r="F2225" t="s">
        <v>214</v>
      </c>
      <c r="G2225">
        <v>1827</v>
      </c>
      <c r="H2225">
        <v>699</v>
      </c>
      <c r="I2225" s="8">
        <f t="shared" si="205"/>
        <v>0.38259441707717567</v>
      </c>
      <c r="J2225" s="17">
        <v>0.7</v>
      </c>
      <c r="K2225" s="12">
        <v>13.75</v>
      </c>
      <c r="L2225" s="2">
        <f t="shared" si="207"/>
        <v>579.89999999999986</v>
      </c>
      <c r="M2225" s="15">
        <f t="shared" si="206"/>
        <v>7973.6249999999982</v>
      </c>
      <c r="N2225" t="str">
        <f t="shared" si="203"/>
        <v>RJ</v>
      </c>
      <c r="O2225" t="str">
        <f t="shared" si="204"/>
        <v>Rio de Janeiro</v>
      </c>
    </row>
    <row r="2226" spans="1:15" x14ac:dyDescent="0.3">
      <c r="A2226" s="10">
        <v>45992</v>
      </c>
      <c r="B2226" s="9" t="s">
        <v>15</v>
      </c>
      <c r="C2226" t="s">
        <v>319</v>
      </c>
      <c r="D2226" s="9">
        <v>19509</v>
      </c>
      <c r="E2226" s="5" t="s">
        <v>448</v>
      </c>
      <c r="F2226" t="s">
        <v>215</v>
      </c>
      <c r="G2226">
        <v>2716</v>
      </c>
      <c r="H2226">
        <v>954</v>
      </c>
      <c r="I2226" s="8">
        <f t="shared" si="205"/>
        <v>0.35125184094256257</v>
      </c>
      <c r="J2226" s="17">
        <v>0.7</v>
      </c>
      <c r="K2226" s="12">
        <v>13.75</v>
      </c>
      <c r="L2226" s="2">
        <f t="shared" si="207"/>
        <v>947.2</v>
      </c>
      <c r="M2226" s="15">
        <f t="shared" si="206"/>
        <v>13024</v>
      </c>
      <c r="N2226" t="str">
        <f t="shared" si="203"/>
        <v>RJ</v>
      </c>
      <c r="O2226" t="str">
        <f t="shared" si="204"/>
        <v>Rio de Janeiro</v>
      </c>
    </row>
    <row r="2227" spans="1:15" x14ac:dyDescent="0.3">
      <c r="A2227" s="10">
        <v>45992</v>
      </c>
      <c r="B2227" s="9" t="s">
        <v>15</v>
      </c>
      <c r="C2227" t="s">
        <v>319</v>
      </c>
      <c r="D2227" s="9">
        <v>19635</v>
      </c>
      <c r="E2227" s="5" t="s">
        <v>452</v>
      </c>
      <c r="F2227" t="s">
        <v>216</v>
      </c>
      <c r="G2227">
        <v>2155</v>
      </c>
      <c r="H2227">
        <v>1010</v>
      </c>
      <c r="I2227" s="8">
        <f t="shared" si="205"/>
        <v>0.46867749419953597</v>
      </c>
      <c r="J2227" s="17">
        <v>0.7</v>
      </c>
      <c r="K2227" s="12">
        <v>13.75</v>
      </c>
      <c r="L2227" s="2">
        <f t="shared" si="207"/>
        <v>498.5</v>
      </c>
      <c r="M2227" s="15">
        <f t="shared" si="206"/>
        <v>6854.375</v>
      </c>
      <c r="N2227" t="str">
        <f t="shared" si="203"/>
        <v>RJ</v>
      </c>
      <c r="O2227" t="str">
        <f t="shared" si="204"/>
        <v>Rio de Janeiro</v>
      </c>
    </row>
    <row r="2228" spans="1:15" x14ac:dyDescent="0.3">
      <c r="A2228" s="10">
        <v>45992</v>
      </c>
      <c r="B2228" s="9" t="s">
        <v>15</v>
      </c>
      <c r="C2228" t="s">
        <v>319</v>
      </c>
      <c r="D2228" s="9">
        <v>19665</v>
      </c>
      <c r="E2228" s="5" t="s">
        <v>453</v>
      </c>
      <c r="F2228" t="s">
        <v>217</v>
      </c>
      <c r="G2228">
        <v>2146</v>
      </c>
      <c r="H2228">
        <v>754</v>
      </c>
      <c r="I2228" s="8">
        <f t="shared" si="205"/>
        <v>0.35135135135135137</v>
      </c>
      <c r="J2228" s="17">
        <v>0.7</v>
      </c>
      <c r="K2228" s="12">
        <v>13.75</v>
      </c>
      <c r="L2228" s="2">
        <f t="shared" si="207"/>
        <v>748.19999999999982</v>
      </c>
      <c r="M2228" s="15">
        <f t="shared" si="206"/>
        <v>10287.749999999998</v>
      </c>
      <c r="N2228" t="str">
        <f t="shared" si="203"/>
        <v>RJ</v>
      </c>
      <c r="O2228" t="str">
        <f t="shared" si="204"/>
        <v>Rio de Janeiro</v>
      </c>
    </row>
    <row r="2229" spans="1:15" x14ac:dyDescent="0.3">
      <c r="A2229" s="10">
        <v>45992</v>
      </c>
      <c r="B2229" s="9" t="s">
        <v>15</v>
      </c>
      <c r="C2229" t="s">
        <v>319</v>
      </c>
      <c r="D2229" s="9">
        <v>19504</v>
      </c>
      <c r="E2229" s="5" t="s">
        <v>454</v>
      </c>
      <c r="F2229" t="s">
        <v>218</v>
      </c>
      <c r="G2229">
        <v>3072</v>
      </c>
      <c r="H2229">
        <v>1266</v>
      </c>
      <c r="I2229" s="8">
        <f t="shared" si="205"/>
        <v>0.412109375</v>
      </c>
      <c r="J2229" s="17">
        <v>0.7</v>
      </c>
      <c r="K2229" s="12">
        <v>13.75</v>
      </c>
      <c r="L2229" s="2">
        <f t="shared" si="207"/>
        <v>884.39999999999964</v>
      </c>
      <c r="M2229" s="15">
        <f t="shared" si="206"/>
        <v>12160.499999999995</v>
      </c>
      <c r="N2229" t="str">
        <f t="shared" si="203"/>
        <v>RJ</v>
      </c>
      <c r="O2229" t="str">
        <f t="shared" si="204"/>
        <v>Rio de Janeiro</v>
      </c>
    </row>
    <row r="2230" spans="1:15" x14ac:dyDescent="0.3">
      <c r="A2230" s="10">
        <v>45992</v>
      </c>
      <c r="B2230" s="9" t="s">
        <v>15</v>
      </c>
      <c r="C2230" t="s">
        <v>319</v>
      </c>
      <c r="D2230" s="9">
        <v>19511</v>
      </c>
      <c r="E2230" s="5" t="s">
        <v>455</v>
      </c>
      <c r="F2230" t="s">
        <v>219</v>
      </c>
      <c r="G2230">
        <v>2850</v>
      </c>
      <c r="H2230">
        <v>1104</v>
      </c>
      <c r="I2230" s="8">
        <f t="shared" si="205"/>
        <v>0.38736842105263158</v>
      </c>
      <c r="J2230" s="17">
        <v>0.7</v>
      </c>
      <c r="K2230" s="12">
        <v>13.75</v>
      </c>
      <c r="L2230" s="2">
        <f t="shared" si="207"/>
        <v>890.99999999999977</v>
      </c>
      <c r="M2230" s="15">
        <f t="shared" si="206"/>
        <v>12251.249999999996</v>
      </c>
      <c r="N2230" t="str">
        <f t="shared" si="203"/>
        <v>RJ</v>
      </c>
      <c r="O2230" t="str">
        <f t="shared" si="204"/>
        <v>Rio de Janeiro</v>
      </c>
    </row>
    <row r="2231" spans="1:15" x14ac:dyDescent="0.3">
      <c r="A2231" s="10">
        <v>45992</v>
      </c>
      <c r="B2231" s="9" t="s">
        <v>14</v>
      </c>
      <c r="C2231" t="s">
        <v>285</v>
      </c>
      <c r="D2231" s="9">
        <v>19698</v>
      </c>
      <c r="E2231" s="5" t="s">
        <v>456</v>
      </c>
      <c r="F2231" t="s">
        <v>331</v>
      </c>
      <c r="G2231">
        <v>687</v>
      </c>
      <c r="H2231">
        <v>261</v>
      </c>
      <c r="I2231" s="8">
        <f t="shared" si="205"/>
        <v>0.37991266375545851</v>
      </c>
      <c r="J2231" s="17">
        <v>0.7</v>
      </c>
      <c r="K2231" s="12">
        <v>13.75</v>
      </c>
      <c r="L2231" s="2">
        <f t="shared" si="207"/>
        <v>219.89999999999998</v>
      </c>
      <c r="M2231" s="15">
        <f t="shared" si="206"/>
        <v>3023.6249999999995</v>
      </c>
      <c r="N2231" t="str">
        <f t="shared" si="203"/>
        <v>MG</v>
      </c>
      <c r="O2231" t="str">
        <f t="shared" si="204"/>
        <v>Uberlândia</v>
      </c>
    </row>
    <row r="2232" spans="1:15" x14ac:dyDescent="0.3">
      <c r="A2232" s="10">
        <v>45992</v>
      </c>
      <c r="B2232" s="9" t="s">
        <v>15</v>
      </c>
      <c r="C2232" t="s">
        <v>319</v>
      </c>
      <c r="D2232" s="9">
        <v>19506</v>
      </c>
      <c r="E2232" s="5" t="s">
        <v>457</v>
      </c>
      <c r="F2232" t="s">
        <v>220</v>
      </c>
      <c r="G2232">
        <v>2565</v>
      </c>
      <c r="H2232">
        <v>880</v>
      </c>
      <c r="I2232" s="8">
        <f t="shared" si="205"/>
        <v>0.34307992202729043</v>
      </c>
      <c r="J2232" s="17">
        <v>0.7</v>
      </c>
      <c r="K2232" s="12">
        <v>13.75</v>
      </c>
      <c r="L2232" s="2">
        <f t="shared" si="207"/>
        <v>915.5</v>
      </c>
      <c r="M2232" s="15">
        <f t="shared" si="206"/>
        <v>12588.125</v>
      </c>
      <c r="N2232" t="str">
        <f t="shared" si="203"/>
        <v>RJ</v>
      </c>
      <c r="O2232" t="str">
        <f t="shared" si="204"/>
        <v>Rio de Janeiro</v>
      </c>
    </row>
    <row r="2233" spans="1:15" x14ac:dyDescent="0.3">
      <c r="A2233" s="10">
        <v>45992</v>
      </c>
      <c r="B2233" s="9" t="s">
        <v>7</v>
      </c>
      <c r="C2233" t="s">
        <v>8</v>
      </c>
      <c r="D2233" s="9">
        <v>19700</v>
      </c>
      <c r="E2233" s="5" t="s">
        <v>458</v>
      </c>
      <c r="F2233" t="s">
        <v>9</v>
      </c>
      <c r="G2233">
        <v>1816</v>
      </c>
      <c r="H2233">
        <v>724</v>
      </c>
      <c r="I2233" s="8">
        <f t="shared" si="205"/>
        <v>0.39867841409691629</v>
      </c>
      <c r="J2233" s="17">
        <v>0.7</v>
      </c>
      <c r="K2233" s="12">
        <v>13.75</v>
      </c>
      <c r="L2233" s="2">
        <f t="shared" si="207"/>
        <v>547.19999999999982</v>
      </c>
      <c r="M2233" s="15">
        <f t="shared" si="206"/>
        <v>7523.9999999999973</v>
      </c>
      <c r="N2233" t="str">
        <f t="shared" si="203"/>
        <v>GO</v>
      </c>
      <c r="O2233" t="str">
        <f t="shared" si="204"/>
        <v>Anápolis</v>
      </c>
    </row>
    <row r="2234" spans="1:15" x14ac:dyDescent="0.3">
      <c r="A2234" s="10">
        <v>45992</v>
      </c>
      <c r="B2234" s="9" t="s">
        <v>14</v>
      </c>
      <c r="C2234" t="s">
        <v>29</v>
      </c>
      <c r="D2234" s="9">
        <v>19697</v>
      </c>
      <c r="E2234" s="5" t="s">
        <v>459</v>
      </c>
      <c r="F2234" t="s">
        <v>37</v>
      </c>
      <c r="G2234">
        <v>1990</v>
      </c>
      <c r="H2234">
        <v>820</v>
      </c>
      <c r="I2234" s="8">
        <f t="shared" si="205"/>
        <v>0.4120603015075377</v>
      </c>
      <c r="J2234" s="17">
        <v>0.7</v>
      </c>
      <c r="K2234" s="12">
        <v>13.75</v>
      </c>
      <c r="L2234" s="2">
        <f t="shared" si="207"/>
        <v>573</v>
      </c>
      <c r="M2234" s="15">
        <f t="shared" si="206"/>
        <v>7878.75</v>
      </c>
      <c r="N2234" t="str">
        <f t="shared" si="203"/>
        <v>MG</v>
      </c>
      <c r="O2234" t="str">
        <f t="shared" si="204"/>
        <v>Belo Horizonte</v>
      </c>
    </row>
    <row r="2235" spans="1:15" x14ac:dyDescent="0.3">
      <c r="A2235" s="10">
        <v>45992</v>
      </c>
      <c r="B2235" s="9" t="s">
        <v>46</v>
      </c>
      <c r="C2235" t="s">
        <v>47</v>
      </c>
      <c r="D2235" s="9">
        <v>19722</v>
      </c>
      <c r="E2235" s="5" t="s">
        <v>460</v>
      </c>
      <c r="F2235" t="s">
        <v>52</v>
      </c>
      <c r="G2235">
        <v>1451</v>
      </c>
      <c r="H2235">
        <v>453</v>
      </c>
      <c r="I2235" s="8">
        <f t="shared" si="205"/>
        <v>0.3121984838042729</v>
      </c>
      <c r="J2235" s="17">
        <v>0.7</v>
      </c>
      <c r="K2235" s="12">
        <v>13.75</v>
      </c>
      <c r="L2235" s="2">
        <f t="shared" si="207"/>
        <v>562.69999999999993</v>
      </c>
      <c r="M2235" s="15">
        <f t="shared" si="206"/>
        <v>7737.1249999999991</v>
      </c>
      <c r="N2235" t="str">
        <f t="shared" si="203"/>
        <v>DF</v>
      </c>
      <c r="O2235" t="str">
        <f t="shared" si="204"/>
        <v>Brasília</v>
      </c>
    </row>
    <row r="2236" spans="1:15" x14ac:dyDescent="0.3">
      <c r="A2236" s="10">
        <v>45992</v>
      </c>
      <c r="B2236" s="9" t="s">
        <v>3</v>
      </c>
      <c r="C2236" t="s">
        <v>248</v>
      </c>
      <c r="D2236" s="9">
        <v>19716</v>
      </c>
      <c r="E2236" s="5" t="s">
        <v>461</v>
      </c>
      <c r="F2236" t="s">
        <v>262</v>
      </c>
      <c r="G2236">
        <v>1384</v>
      </c>
      <c r="H2236">
        <v>548</v>
      </c>
      <c r="I2236" s="8">
        <f t="shared" si="205"/>
        <v>0.39595375722543352</v>
      </c>
      <c r="J2236" s="17">
        <v>0.7</v>
      </c>
      <c r="K2236" s="12">
        <v>13.75</v>
      </c>
      <c r="L2236" s="2">
        <f t="shared" si="207"/>
        <v>420.79999999999995</v>
      </c>
      <c r="M2236" s="15">
        <f t="shared" si="206"/>
        <v>5785.9999999999991</v>
      </c>
      <c r="N2236" t="str">
        <f t="shared" si="203"/>
        <v>SP</v>
      </c>
      <c r="O2236" t="str">
        <f t="shared" si="204"/>
        <v>São Paulo</v>
      </c>
    </row>
    <row r="2237" spans="1:15" x14ac:dyDescent="0.3">
      <c r="A2237" s="10">
        <v>45992</v>
      </c>
      <c r="B2237" s="9" t="s">
        <v>3</v>
      </c>
      <c r="C2237" t="s">
        <v>17</v>
      </c>
      <c r="D2237" s="9">
        <v>19715</v>
      </c>
      <c r="E2237" s="5" t="s">
        <v>462</v>
      </c>
      <c r="F2237" t="s">
        <v>18</v>
      </c>
      <c r="G2237">
        <v>2146</v>
      </c>
      <c r="H2237">
        <v>1296</v>
      </c>
      <c r="I2237" s="8">
        <f t="shared" si="205"/>
        <v>0.60391425908667284</v>
      </c>
      <c r="J2237" s="17">
        <v>0.7</v>
      </c>
      <c r="K2237" s="12">
        <v>13.75</v>
      </c>
      <c r="L2237" s="2">
        <f t="shared" si="207"/>
        <v>206.20000000000005</v>
      </c>
      <c r="M2237" s="15">
        <f t="shared" si="206"/>
        <v>2835.2500000000005</v>
      </c>
      <c r="N2237" t="str">
        <f t="shared" si="203"/>
        <v>SP</v>
      </c>
      <c r="O2237" t="str">
        <f t="shared" si="204"/>
        <v>Atibaia</v>
      </c>
    </row>
    <row r="2238" spans="1:15" x14ac:dyDescent="0.3">
      <c r="A2238" s="10">
        <v>45992</v>
      </c>
      <c r="B2238" s="9" t="s">
        <v>21</v>
      </c>
      <c r="C2238" t="s">
        <v>324</v>
      </c>
      <c r="D2238" s="9">
        <v>19736</v>
      </c>
      <c r="E2238" s="5" t="s">
        <v>464</v>
      </c>
      <c r="F2238" t="s">
        <v>295</v>
      </c>
      <c r="G2238">
        <v>3435</v>
      </c>
      <c r="H2238">
        <v>1399</v>
      </c>
      <c r="I2238" s="8">
        <f t="shared" si="205"/>
        <v>0.40727802037845706</v>
      </c>
      <c r="J2238" s="17">
        <v>0.7</v>
      </c>
      <c r="K2238" s="12">
        <v>13.75</v>
      </c>
      <c r="L2238" s="2">
        <f t="shared" si="207"/>
        <v>1005.5</v>
      </c>
      <c r="M2238" s="15">
        <f t="shared" si="206"/>
        <v>13825.625</v>
      </c>
      <c r="N2238" t="str">
        <f t="shared" si="203"/>
        <v>BA</v>
      </c>
      <c r="O2238" t="str">
        <f t="shared" si="204"/>
        <v>Vitória da Conquista</v>
      </c>
    </row>
    <row r="2239" spans="1:15" x14ac:dyDescent="0.3">
      <c r="A2239" s="10">
        <v>45992</v>
      </c>
      <c r="B2239" s="9" t="s">
        <v>21</v>
      </c>
      <c r="C2239" t="s">
        <v>228</v>
      </c>
      <c r="D2239" s="9">
        <v>19740</v>
      </c>
      <c r="E2239" s="5" t="s">
        <v>465</v>
      </c>
      <c r="F2239" t="s">
        <v>229</v>
      </c>
      <c r="G2239">
        <v>2089</v>
      </c>
      <c r="H2239">
        <v>674</v>
      </c>
      <c r="I2239" s="8">
        <f t="shared" si="205"/>
        <v>0.32264241263762566</v>
      </c>
      <c r="J2239" s="17">
        <v>0.7</v>
      </c>
      <c r="K2239" s="12">
        <v>13.75</v>
      </c>
      <c r="L2239" s="2">
        <f t="shared" si="207"/>
        <v>788.29999999999973</v>
      </c>
      <c r="M2239" s="15">
        <f t="shared" si="206"/>
        <v>10839.124999999996</v>
      </c>
      <c r="N2239" t="str">
        <f t="shared" si="203"/>
        <v>BA</v>
      </c>
      <c r="O2239" t="str">
        <f t="shared" si="204"/>
        <v>Salvador</v>
      </c>
    </row>
    <row r="2240" spans="1:15" x14ac:dyDescent="0.3">
      <c r="A2240" s="10">
        <v>45992</v>
      </c>
      <c r="B2240" s="9" t="s">
        <v>21</v>
      </c>
      <c r="C2240" t="s">
        <v>317</v>
      </c>
      <c r="D2240" s="9">
        <v>19738</v>
      </c>
      <c r="E2240" s="5" t="s">
        <v>466</v>
      </c>
      <c r="F2240" t="s">
        <v>118</v>
      </c>
      <c r="G2240">
        <v>4595</v>
      </c>
      <c r="H2240">
        <v>2413</v>
      </c>
      <c r="I2240" s="8">
        <f t="shared" si="205"/>
        <v>0.52513601741022853</v>
      </c>
      <c r="J2240" s="17">
        <v>0.7</v>
      </c>
      <c r="K2240" s="12">
        <v>13.75</v>
      </c>
      <c r="L2240" s="2">
        <f t="shared" si="207"/>
        <v>803.49999999999955</v>
      </c>
      <c r="M2240" s="15">
        <f t="shared" si="206"/>
        <v>11048.124999999995</v>
      </c>
      <c r="N2240" t="str">
        <f t="shared" si="203"/>
        <v>BA</v>
      </c>
      <c r="O2240" t="str">
        <f t="shared" si="204"/>
        <v>Lauro de Freitas</v>
      </c>
    </row>
    <row r="2241" spans="1:15" x14ac:dyDescent="0.3">
      <c r="A2241" s="10">
        <v>45992</v>
      </c>
      <c r="B2241" s="9" t="s">
        <v>129</v>
      </c>
      <c r="C2241" t="s">
        <v>130</v>
      </c>
      <c r="D2241" s="9">
        <v>19742</v>
      </c>
      <c r="E2241" s="5" t="s">
        <v>467</v>
      </c>
      <c r="F2241" t="s">
        <v>131</v>
      </c>
      <c r="G2241">
        <v>1617</v>
      </c>
      <c r="H2241">
        <v>742</v>
      </c>
      <c r="I2241" s="8">
        <f t="shared" si="205"/>
        <v>0.45887445887445888</v>
      </c>
      <c r="J2241" s="17">
        <v>0.7</v>
      </c>
      <c r="K2241" s="12">
        <v>13.75</v>
      </c>
      <c r="L2241" s="2">
        <f t="shared" si="207"/>
        <v>389.89999999999986</v>
      </c>
      <c r="M2241" s="15">
        <f t="shared" si="206"/>
        <v>5361.1249999999982</v>
      </c>
      <c r="N2241" t="str">
        <f t="shared" si="203"/>
        <v>AM</v>
      </c>
      <c r="O2241" t="str">
        <f t="shared" si="204"/>
        <v>Manaus</v>
      </c>
    </row>
    <row r="2242" spans="1:15" x14ac:dyDescent="0.3">
      <c r="A2242" s="10">
        <v>45992</v>
      </c>
      <c r="B2242" s="9" t="s">
        <v>129</v>
      </c>
      <c r="C2242" t="s">
        <v>130</v>
      </c>
      <c r="D2242" s="9">
        <v>19785</v>
      </c>
      <c r="E2242" s="5" t="s">
        <v>468</v>
      </c>
      <c r="F2242" t="s">
        <v>132</v>
      </c>
      <c r="G2242">
        <v>1701</v>
      </c>
      <c r="H2242">
        <v>858</v>
      </c>
      <c r="I2242" s="8">
        <f t="shared" si="205"/>
        <v>0.50440917107583771</v>
      </c>
      <c r="J2242" s="17">
        <v>0.7</v>
      </c>
      <c r="K2242" s="12">
        <v>13.75</v>
      </c>
      <c r="L2242" s="2">
        <f t="shared" si="207"/>
        <v>332.69999999999982</v>
      </c>
      <c r="M2242" s="15">
        <f t="shared" si="206"/>
        <v>4574.6249999999973</v>
      </c>
      <c r="N2242" t="str">
        <f t="shared" ref="N2242:N2305" si="208">B2242</f>
        <v>AM</v>
      </c>
      <c r="O2242" t="str">
        <f t="shared" ref="O2242:O2305" si="209">C2242</f>
        <v>Manaus</v>
      </c>
    </row>
    <row r="2243" spans="1:15" x14ac:dyDescent="0.3">
      <c r="A2243" s="10">
        <v>45992</v>
      </c>
      <c r="B2243" s="9" t="s">
        <v>129</v>
      </c>
      <c r="C2243" t="s">
        <v>130</v>
      </c>
      <c r="D2243" s="9">
        <v>19843</v>
      </c>
      <c r="E2243" s="5" t="s">
        <v>469</v>
      </c>
      <c r="F2243" t="s">
        <v>133</v>
      </c>
      <c r="G2243">
        <v>1554</v>
      </c>
      <c r="H2243">
        <v>669</v>
      </c>
      <c r="I2243" s="8">
        <f t="shared" ref="I2243:I2306" si="210">H2243/G2243</f>
        <v>0.43050193050193047</v>
      </c>
      <c r="J2243" s="17">
        <v>0.7</v>
      </c>
      <c r="K2243" s="12">
        <v>13.75</v>
      </c>
      <c r="L2243" s="2">
        <f t="shared" si="207"/>
        <v>418.79999999999995</v>
      </c>
      <c r="M2243" s="15">
        <f t="shared" ref="M2243:M2306" si="211">L2243*K2243</f>
        <v>5758.4999999999991</v>
      </c>
      <c r="N2243" t="str">
        <f t="shared" si="208"/>
        <v>AM</v>
      </c>
      <c r="O2243" t="str">
        <f t="shared" si="209"/>
        <v>Manaus</v>
      </c>
    </row>
    <row r="2244" spans="1:15" x14ac:dyDescent="0.3">
      <c r="A2244" s="10">
        <v>45992</v>
      </c>
      <c r="B2244" s="9" t="s">
        <v>129</v>
      </c>
      <c r="C2244" t="s">
        <v>130</v>
      </c>
      <c r="D2244" s="9">
        <v>19879</v>
      </c>
      <c r="E2244" s="5" t="s">
        <v>470</v>
      </c>
      <c r="F2244" t="s">
        <v>134</v>
      </c>
      <c r="G2244">
        <v>1530</v>
      </c>
      <c r="H2244">
        <v>832</v>
      </c>
      <c r="I2244" s="8">
        <f t="shared" si="210"/>
        <v>0.54379084967320257</v>
      </c>
      <c r="J2244" s="17">
        <v>0.7</v>
      </c>
      <c r="K2244" s="12">
        <v>13.75</v>
      </c>
      <c r="L2244" s="2">
        <f t="shared" si="207"/>
        <v>239</v>
      </c>
      <c r="M2244" s="15">
        <f t="shared" si="211"/>
        <v>3286.25</v>
      </c>
      <c r="N2244" t="str">
        <f t="shared" si="208"/>
        <v>AM</v>
      </c>
      <c r="O2244" t="str">
        <f t="shared" si="209"/>
        <v>Manaus</v>
      </c>
    </row>
    <row r="2245" spans="1:15" x14ac:dyDescent="0.3">
      <c r="A2245" s="10">
        <v>45992</v>
      </c>
      <c r="B2245" s="9" t="s">
        <v>89</v>
      </c>
      <c r="C2245" t="s">
        <v>313</v>
      </c>
      <c r="D2245" s="9">
        <v>19735</v>
      </c>
      <c r="E2245" s="5" t="s">
        <v>471</v>
      </c>
      <c r="F2245" t="s">
        <v>90</v>
      </c>
      <c r="G2245">
        <v>296</v>
      </c>
      <c r="H2245">
        <v>123</v>
      </c>
      <c r="I2245" s="8">
        <f t="shared" si="210"/>
        <v>0.41554054054054052</v>
      </c>
      <c r="J2245" s="17">
        <v>0.7</v>
      </c>
      <c r="K2245" s="12">
        <v>13.75</v>
      </c>
      <c r="L2245" s="2">
        <f t="shared" si="207"/>
        <v>84.199999999999989</v>
      </c>
      <c r="M2245" s="15">
        <f t="shared" si="211"/>
        <v>1157.7499999999998</v>
      </c>
      <c r="N2245" t="str">
        <f t="shared" si="208"/>
        <v>CE</v>
      </c>
      <c r="O2245" t="str">
        <f t="shared" si="209"/>
        <v>FORTALEZA</v>
      </c>
    </row>
    <row r="2246" spans="1:15" x14ac:dyDescent="0.3">
      <c r="A2246" s="10">
        <v>45992</v>
      </c>
      <c r="B2246" s="9" t="s">
        <v>89</v>
      </c>
      <c r="C2246" t="s">
        <v>313</v>
      </c>
      <c r="D2246" s="9">
        <v>19607</v>
      </c>
      <c r="E2246" s="5" t="s">
        <v>472</v>
      </c>
      <c r="F2246" t="s">
        <v>91</v>
      </c>
      <c r="G2246">
        <v>1693</v>
      </c>
      <c r="H2246">
        <v>646</v>
      </c>
      <c r="I2246" s="8">
        <f t="shared" si="210"/>
        <v>0.38157117542823388</v>
      </c>
      <c r="J2246" s="17">
        <v>0.7</v>
      </c>
      <c r="K2246" s="12">
        <v>13.75</v>
      </c>
      <c r="L2246" s="2">
        <f t="shared" si="207"/>
        <v>539.10000000000014</v>
      </c>
      <c r="M2246" s="15">
        <f t="shared" si="211"/>
        <v>7412.6250000000018</v>
      </c>
      <c r="N2246" t="str">
        <f t="shared" si="208"/>
        <v>CE</v>
      </c>
      <c r="O2246" t="str">
        <f t="shared" si="209"/>
        <v>FORTALEZA</v>
      </c>
    </row>
    <row r="2247" spans="1:15" x14ac:dyDescent="0.3">
      <c r="A2247" s="10">
        <v>45992</v>
      </c>
      <c r="B2247" s="9" t="s">
        <v>89</v>
      </c>
      <c r="C2247" t="s">
        <v>313</v>
      </c>
      <c r="D2247" s="9">
        <v>19642</v>
      </c>
      <c r="E2247" s="5" t="s">
        <v>473</v>
      </c>
      <c r="F2247" t="s">
        <v>92</v>
      </c>
      <c r="G2247">
        <v>1599</v>
      </c>
      <c r="H2247">
        <v>704</v>
      </c>
      <c r="I2247" s="8">
        <f t="shared" si="210"/>
        <v>0.44027517198248906</v>
      </c>
      <c r="J2247" s="17">
        <v>0.7</v>
      </c>
      <c r="K2247" s="12">
        <v>13.75</v>
      </c>
      <c r="L2247" s="2">
        <f t="shared" si="207"/>
        <v>415.29999999999995</v>
      </c>
      <c r="M2247" s="15">
        <f t="shared" si="211"/>
        <v>5710.3749999999991</v>
      </c>
      <c r="N2247" t="str">
        <f t="shared" si="208"/>
        <v>CE</v>
      </c>
      <c r="O2247" t="str">
        <f t="shared" si="209"/>
        <v>FORTALEZA</v>
      </c>
    </row>
    <row r="2248" spans="1:15" x14ac:dyDescent="0.3">
      <c r="A2248" s="10">
        <v>45992</v>
      </c>
      <c r="B2248" s="9" t="s">
        <v>89</v>
      </c>
      <c r="C2248" t="s">
        <v>313</v>
      </c>
      <c r="D2248" s="9">
        <v>19725</v>
      </c>
      <c r="E2248" s="5" t="s">
        <v>474</v>
      </c>
      <c r="F2248" t="s">
        <v>93</v>
      </c>
      <c r="G2248">
        <v>1558</v>
      </c>
      <c r="H2248">
        <v>647</v>
      </c>
      <c r="I2248" s="8">
        <f t="shared" si="210"/>
        <v>0.41527599486521183</v>
      </c>
      <c r="J2248" s="17">
        <v>0.7</v>
      </c>
      <c r="K2248" s="12">
        <v>13.75</v>
      </c>
      <c r="L2248" s="2">
        <f t="shared" si="207"/>
        <v>443.59999999999991</v>
      </c>
      <c r="M2248" s="15">
        <f t="shared" si="211"/>
        <v>6099.4999999999991</v>
      </c>
      <c r="N2248" t="str">
        <f t="shared" si="208"/>
        <v>CE</v>
      </c>
      <c r="O2248" t="str">
        <f t="shared" si="209"/>
        <v>FORTALEZA</v>
      </c>
    </row>
    <row r="2249" spans="1:15" x14ac:dyDescent="0.3">
      <c r="A2249" s="10">
        <v>45992</v>
      </c>
      <c r="B2249" s="9" t="s">
        <v>89</v>
      </c>
      <c r="C2249" t="s">
        <v>313</v>
      </c>
      <c r="D2249" s="9">
        <v>19902</v>
      </c>
      <c r="E2249" s="5" t="s">
        <v>475</v>
      </c>
      <c r="F2249" t="s">
        <v>94</v>
      </c>
      <c r="G2249">
        <v>1630</v>
      </c>
      <c r="H2249">
        <v>824</v>
      </c>
      <c r="I2249" s="8">
        <f t="shared" si="210"/>
        <v>0.505521472392638</v>
      </c>
      <c r="J2249" s="17">
        <v>0.7</v>
      </c>
      <c r="K2249" s="12">
        <v>13.75</v>
      </c>
      <c r="L2249" s="2">
        <f t="shared" si="207"/>
        <v>317</v>
      </c>
      <c r="M2249" s="15">
        <f t="shared" si="211"/>
        <v>4358.75</v>
      </c>
      <c r="N2249" t="str">
        <f t="shared" si="208"/>
        <v>CE</v>
      </c>
      <c r="O2249" t="str">
        <f t="shared" si="209"/>
        <v>FORTALEZA</v>
      </c>
    </row>
    <row r="2250" spans="1:15" x14ac:dyDescent="0.3">
      <c r="A2250" s="10">
        <v>45992</v>
      </c>
      <c r="B2250" s="9" t="s">
        <v>89</v>
      </c>
      <c r="C2250" t="s">
        <v>313</v>
      </c>
      <c r="D2250" s="9">
        <v>19903</v>
      </c>
      <c r="E2250" s="5" t="s">
        <v>476</v>
      </c>
      <c r="F2250" t="s">
        <v>95</v>
      </c>
      <c r="G2250">
        <v>2296</v>
      </c>
      <c r="H2250">
        <v>1454</v>
      </c>
      <c r="I2250" s="8">
        <f t="shared" si="210"/>
        <v>0.63327526132404177</v>
      </c>
      <c r="J2250" s="17">
        <v>0.7</v>
      </c>
      <c r="K2250" s="12">
        <v>13.75</v>
      </c>
      <c r="L2250" s="2">
        <f t="shared" si="207"/>
        <v>153.20000000000005</v>
      </c>
      <c r="M2250" s="15">
        <f t="shared" si="211"/>
        <v>2106.5000000000005</v>
      </c>
      <c r="N2250" t="str">
        <f t="shared" si="208"/>
        <v>CE</v>
      </c>
      <c r="O2250" t="str">
        <f t="shared" si="209"/>
        <v>FORTALEZA</v>
      </c>
    </row>
    <row r="2251" spans="1:15" x14ac:dyDescent="0.3">
      <c r="A2251" s="10">
        <v>45992</v>
      </c>
      <c r="B2251" s="9" t="s">
        <v>82</v>
      </c>
      <c r="C2251" t="s">
        <v>135</v>
      </c>
      <c r="D2251" s="9">
        <v>19749</v>
      </c>
      <c r="E2251" s="5" t="s">
        <v>477</v>
      </c>
      <c r="F2251" t="s">
        <v>136</v>
      </c>
      <c r="G2251">
        <v>1501</v>
      </c>
      <c r="H2251">
        <v>557</v>
      </c>
      <c r="I2251" s="8">
        <f t="shared" si="210"/>
        <v>0.37108594270486345</v>
      </c>
      <c r="J2251" s="17">
        <v>0.7</v>
      </c>
      <c r="K2251" s="12">
        <v>13.75</v>
      </c>
      <c r="L2251" s="2">
        <f t="shared" si="207"/>
        <v>493.69999999999982</v>
      </c>
      <c r="M2251" s="15">
        <f t="shared" si="211"/>
        <v>6788.3749999999973</v>
      </c>
      <c r="N2251" t="str">
        <f t="shared" si="208"/>
        <v>PR</v>
      </c>
      <c r="O2251" t="str">
        <f t="shared" si="209"/>
        <v>Maringá</v>
      </c>
    </row>
    <row r="2252" spans="1:15" x14ac:dyDescent="0.3">
      <c r="A2252" s="10">
        <v>45992</v>
      </c>
      <c r="B2252" s="9" t="s">
        <v>82</v>
      </c>
      <c r="C2252" t="s">
        <v>83</v>
      </c>
      <c r="D2252" s="9">
        <v>19545</v>
      </c>
      <c r="E2252" s="5" t="s">
        <v>478</v>
      </c>
      <c r="F2252" t="s">
        <v>84</v>
      </c>
      <c r="G2252">
        <v>2661</v>
      </c>
      <c r="H2252">
        <v>1186</v>
      </c>
      <c r="I2252" s="8">
        <f t="shared" si="210"/>
        <v>0.44569710635099585</v>
      </c>
      <c r="J2252" s="17">
        <v>0.7</v>
      </c>
      <c r="K2252" s="12">
        <v>13.75</v>
      </c>
      <c r="L2252" s="2">
        <f t="shared" si="207"/>
        <v>676.69999999999982</v>
      </c>
      <c r="M2252" s="15">
        <f t="shared" si="211"/>
        <v>9304.6249999999982</v>
      </c>
      <c r="N2252" t="str">
        <f t="shared" si="208"/>
        <v>PR</v>
      </c>
      <c r="O2252" t="str">
        <f t="shared" si="209"/>
        <v>Curitiba</v>
      </c>
    </row>
    <row r="2253" spans="1:15" x14ac:dyDescent="0.3">
      <c r="A2253" s="10">
        <v>45992</v>
      </c>
      <c r="B2253" s="9" t="s">
        <v>82</v>
      </c>
      <c r="C2253" t="s">
        <v>83</v>
      </c>
      <c r="D2253" s="9">
        <v>19546</v>
      </c>
      <c r="E2253" s="5" t="s">
        <v>479</v>
      </c>
      <c r="F2253" t="s">
        <v>85</v>
      </c>
      <c r="G2253">
        <v>2093</v>
      </c>
      <c r="H2253">
        <v>845</v>
      </c>
      <c r="I2253" s="8">
        <f t="shared" si="210"/>
        <v>0.40372670807453415</v>
      </c>
      <c r="J2253" s="17">
        <v>0.7</v>
      </c>
      <c r="K2253" s="12">
        <v>13.75</v>
      </c>
      <c r="L2253" s="2">
        <f t="shared" si="207"/>
        <v>620.10000000000014</v>
      </c>
      <c r="M2253" s="15">
        <f t="shared" si="211"/>
        <v>8526.3750000000018</v>
      </c>
      <c r="N2253" t="str">
        <f t="shared" si="208"/>
        <v>PR</v>
      </c>
      <c r="O2253" t="str">
        <f t="shared" si="209"/>
        <v>Curitiba</v>
      </c>
    </row>
    <row r="2254" spans="1:15" x14ac:dyDescent="0.3">
      <c r="A2254" s="10">
        <v>45992</v>
      </c>
      <c r="B2254" s="9" t="s">
        <v>3</v>
      </c>
      <c r="C2254" t="s">
        <v>248</v>
      </c>
      <c r="D2254" s="9">
        <v>19753</v>
      </c>
      <c r="E2254" s="5" t="s">
        <v>483</v>
      </c>
      <c r="F2254" t="s">
        <v>265</v>
      </c>
      <c r="G2254">
        <v>2454</v>
      </c>
      <c r="H2254">
        <v>982</v>
      </c>
      <c r="I2254" s="8">
        <f t="shared" si="210"/>
        <v>0.40016299918500409</v>
      </c>
      <c r="J2254" s="17">
        <v>0.7</v>
      </c>
      <c r="K2254" s="12">
        <v>13.75</v>
      </c>
      <c r="L2254" s="2">
        <f t="shared" si="207"/>
        <v>735.8</v>
      </c>
      <c r="M2254" s="15">
        <f t="shared" si="211"/>
        <v>10117.25</v>
      </c>
      <c r="N2254" t="str">
        <f t="shared" si="208"/>
        <v>SP</v>
      </c>
      <c r="O2254" t="str">
        <f t="shared" si="209"/>
        <v>São Paulo</v>
      </c>
    </row>
    <row r="2255" spans="1:15" x14ac:dyDescent="0.3">
      <c r="A2255" s="10">
        <v>45992</v>
      </c>
      <c r="B2255" s="9" t="s">
        <v>7</v>
      </c>
      <c r="C2255" t="s">
        <v>99</v>
      </c>
      <c r="D2255" s="9">
        <v>19754</v>
      </c>
      <c r="E2255" s="5" t="s">
        <v>484</v>
      </c>
      <c r="F2255" t="s">
        <v>101</v>
      </c>
      <c r="G2255">
        <v>2982</v>
      </c>
      <c r="H2255">
        <v>1250</v>
      </c>
      <c r="I2255" s="8">
        <f t="shared" si="210"/>
        <v>0.41918175720992623</v>
      </c>
      <c r="J2255" s="17">
        <v>0.7</v>
      </c>
      <c r="K2255" s="12">
        <v>13.75</v>
      </c>
      <c r="L2255" s="2">
        <f t="shared" si="207"/>
        <v>837.40000000000009</v>
      </c>
      <c r="M2255" s="15">
        <f t="shared" si="211"/>
        <v>11514.250000000002</v>
      </c>
      <c r="N2255" t="str">
        <f t="shared" si="208"/>
        <v>GO</v>
      </c>
      <c r="O2255" t="str">
        <f t="shared" si="209"/>
        <v>Goiânia</v>
      </c>
    </row>
    <row r="2256" spans="1:15" x14ac:dyDescent="0.3">
      <c r="A2256" s="10">
        <v>45992</v>
      </c>
      <c r="B2256" s="9" t="s">
        <v>195</v>
      </c>
      <c r="C2256" t="s">
        <v>196</v>
      </c>
      <c r="D2256" s="9">
        <v>19762</v>
      </c>
      <c r="E2256" s="5" t="s">
        <v>486</v>
      </c>
      <c r="F2256" t="s">
        <v>197</v>
      </c>
      <c r="G2256">
        <v>1632</v>
      </c>
      <c r="H2256">
        <v>897</v>
      </c>
      <c r="I2256" s="8">
        <f t="shared" si="210"/>
        <v>0.54963235294117652</v>
      </c>
      <c r="J2256" s="17">
        <v>0.7</v>
      </c>
      <c r="K2256" s="12">
        <v>13.75</v>
      </c>
      <c r="L2256" s="2">
        <f t="shared" si="207"/>
        <v>245.39999999999986</v>
      </c>
      <c r="M2256" s="15">
        <f t="shared" si="211"/>
        <v>3374.2499999999982</v>
      </c>
      <c r="N2256" t="str">
        <f t="shared" si="208"/>
        <v>AC</v>
      </c>
      <c r="O2256" t="str">
        <f t="shared" si="209"/>
        <v>Rio Branco</v>
      </c>
    </row>
    <row r="2257" spans="1:15" x14ac:dyDescent="0.3">
      <c r="A2257" s="10">
        <v>45992</v>
      </c>
      <c r="B2257" s="9" t="s">
        <v>15</v>
      </c>
      <c r="C2257" t="s">
        <v>312</v>
      </c>
      <c r="D2257" s="9">
        <v>19687</v>
      </c>
      <c r="E2257" s="5" t="s">
        <v>488</v>
      </c>
      <c r="F2257" t="s">
        <v>88</v>
      </c>
      <c r="G2257">
        <v>2999</v>
      </c>
      <c r="H2257">
        <v>2498</v>
      </c>
      <c r="I2257" s="8">
        <f t="shared" si="210"/>
        <v>0.83294431477159048</v>
      </c>
      <c r="J2257" s="17">
        <v>0.7</v>
      </c>
      <c r="K2257" s="12">
        <v>13.75</v>
      </c>
      <c r="L2257" s="2">
        <f t="shared" si="207"/>
        <v>-398.69999999999982</v>
      </c>
      <c r="M2257" s="15">
        <f t="shared" si="211"/>
        <v>-5482.1249999999973</v>
      </c>
      <c r="N2257" t="str">
        <f t="shared" si="208"/>
        <v>RJ</v>
      </c>
      <c r="O2257" t="str">
        <f t="shared" si="209"/>
        <v>Duque de Caxias</v>
      </c>
    </row>
    <row r="2258" spans="1:15" x14ac:dyDescent="0.3">
      <c r="A2258" s="10">
        <v>45992</v>
      </c>
      <c r="B2258" s="9" t="s">
        <v>21</v>
      </c>
      <c r="C2258" t="s">
        <v>181</v>
      </c>
      <c r="D2258" s="9">
        <v>19778</v>
      </c>
      <c r="E2258" s="5" t="s">
        <v>489</v>
      </c>
      <c r="F2258" t="s">
        <v>182</v>
      </c>
      <c r="G2258">
        <v>1599</v>
      </c>
      <c r="H2258">
        <v>1049</v>
      </c>
      <c r="I2258" s="8">
        <f t="shared" si="210"/>
        <v>0.65603502188868046</v>
      </c>
      <c r="J2258" s="17">
        <v>0.7</v>
      </c>
      <c r="K2258" s="12">
        <v>13.75</v>
      </c>
      <c r="L2258" s="2">
        <f t="shared" si="207"/>
        <v>70.299999999999955</v>
      </c>
      <c r="M2258" s="15">
        <f t="shared" si="211"/>
        <v>966.62499999999932</v>
      </c>
      <c r="N2258" t="str">
        <f t="shared" si="208"/>
        <v>BA</v>
      </c>
      <c r="O2258" t="str">
        <f t="shared" si="209"/>
        <v>Porto Seguro</v>
      </c>
    </row>
    <row r="2259" spans="1:15" x14ac:dyDescent="0.3">
      <c r="A2259" s="10">
        <v>45992</v>
      </c>
      <c r="B2259" s="9" t="s">
        <v>40</v>
      </c>
      <c r="C2259" t="s">
        <v>41</v>
      </c>
      <c r="D2259" s="9">
        <v>19787</v>
      </c>
      <c r="E2259" s="5" t="s">
        <v>492</v>
      </c>
      <c r="F2259" t="s">
        <v>42</v>
      </c>
      <c r="G2259">
        <v>1067</v>
      </c>
      <c r="H2259">
        <v>655</v>
      </c>
      <c r="I2259" s="8">
        <f t="shared" si="210"/>
        <v>0.61387066541705715</v>
      </c>
      <c r="J2259" s="17">
        <v>0.7</v>
      </c>
      <c r="K2259" s="12">
        <v>13.75</v>
      </c>
      <c r="L2259" s="2">
        <f t="shared" si="207"/>
        <v>91.899999999999977</v>
      </c>
      <c r="M2259" s="15">
        <f t="shared" si="211"/>
        <v>1263.6249999999998</v>
      </c>
      <c r="N2259" t="str">
        <f t="shared" si="208"/>
        <v>RR</v>
      </c>
      <c r="O2259" t="str">
        <f t="shared" si="209"/>
        <v>Boa Vista</v>
      </c>
    </row>
    <row r="2260" spans="1:15" x14ac:dyDescent="0.3">
      <c r="A2260" s="10">
        <v>45992</v>
      </c>
      <c r="B2260" s="9" t="s">
        <v>71</v>
      </c>
      <c r="C2260" t="s">
        <v>175</v>
      </c>
      <c r="D2260" s="9">
        <v>19788</v>
      </c>
      <c r="E2260" s="5" t="s">
        <v>495</v>
      </c>
      <c r="F2260" t="s">
        <v>177</v>
      </c>
      <c r="G2260">
        <v>4200</v>
      </c>
      <c r="H2260">
        <v>1425</v>
      </c>
      <c r="I2260" s="8">
        <f t="shared" si="210"/>
        <v>0.3392857142857143</v>
      </c>
      <c r="J2260" s="17">
        <v>0.7</v>
      </c>
      <c r="K2260" s="12">
        <v>13.75</v>
      </c>
      <c r="L2260" s="2">
        <f t="shared" si="207"/>
        <v>1514.9999999999995</v>
      </c>
      <c r="M2260" s="15">
        <f t="shared" si="211"/>
        <v>20831.249999999993</v>
      </c>
      <c r="N2260" t="str">
        <f t="shared" si="208"/>
        <v>RS</v>
      </c>
      <c r="O2260" t="str">
        <f t="shared" si="209"/>
        <v>Porto Alegre</v>
      </c>
    </row>
    <row r="2261" spans="1:15" x14ac:dyDescent="0.3">
      <c r="A2261" s="10">
        <v>45992</v>
      </c>
      <c r="B2261" s="9" t="s">
        <v>21</v>
      </c>
      <c r="C2261" t="s">
        <v>228</v>
      </c>
      <c r="D2261" s="9">
        <v>19790</v>
      </c>
      <c r="E2261" s="5" t="s">
        <v>497</v>
      </c>
      <c r="F2261" t="s">
        <v>232</v>
      </c>
      <c r="G2261">
        <v>3386</v>
      </c>
      <c r="H2261">
        <v>1640</v>
      </c>
      <c r="I2261" s="8">
        <f t="shared" si="210"/>
        <v>0.48434731246308327</v>
      </c>
      <c r="J2261" s="17">
        <v>0.7</v>
      </c>
      <c r="K2261" s="12">
        <v>13.75</v>
      </c>
      <c r="L2261" s="2">
        <f t="shared" si="207"/>
        <v>730.20000000000027</v>
      </c>
      <c r="M2261" s="15">
        <f t="shared" si="211"/>
        <v>10040.250000000004</v>
      </c>
      <c r="N2261" t="str">
        <f t="shared" si="208"/>
        <v>BA</v>
      </c>
      <c r="O2261" t="str">
        <f t="shared" si="209"/>
        <v>Salvador</v>
      </c>
    </row>
    <row r="2262" spans="1:15" x14ac:dyDescent="0.3">
      <c r="A2262" s="10">
        <v>45992</v>
      </c>
      <c r="B2262" s="9" t="s">
        <v>71</v>
      </c>
      <c r="C2262" t="s">
        <v>175</v>
      </c>
      <c r="D2262" s="9">
        <v>19842</v>
      </c>
      <c r="E2262" s="5" t="s">
        <v>498</v>
      </c>
      <c r="F2262" t="s">
        <v>178</v>
      </c>
      <c r="G2262">
        <v>3279</v>
      </c>
      <c r="H2262">
        <v>1128</v>
      </c>
      <c r="I2262" s="8">
        <f t="shared" si="210"/>
        <v>0.34400731930466605</v>
      </c>
      <c r="J2262" s="17">
        <v>0.7</v>
      </c>
      <c r="K2262" s="12">
        <v>13.75</v>
      </c>
      <c r="L2262" s="2">
        <f t="shared" si="207"/>
        <v>1167.2999999999997</v>
      </c>
      <c r="M2262" s="15">
        <f t="shared" si="211"/>
        <v>16050.374999999996</v>
      </c>
      <c r="N2262" t="str">
        <f t="shared" si="208"/>
        <v>RS</v>
      </c>
      <c r="O2262" t="str">
        <f t="shared" si="209"/>
        <v>Porto Alegre</v>
      </c>
    </row>
    <row r="2263" spans="1:15" x14ac:dyDescent="0.3">
      <c r="A2263" s="10">
        <v>45992</v>
      </c>
      <c r="B2263" s="9" t="s">
        <v>59</v>
      </c>
      <c r="C2263" t="s">
        <v>289</v>
      </c>
      <c r="D2263" s="9">
        <v>19876</v>
      </c>
      <c r="E2263" s="5" t="s">
        <v>502</v>
      </c>
      <c r="F2263" t="s">
        <v>291</v>
      </c>
      <c r="G2263">
        <v>2697</v>
      </c>
      <c r="H2263">
        <v>944</v>
      </c>
      <c r="I2263" s="8">
        <f t="shared" si="210"/>
        <v>0.350018539117538</v>
      </c>
      <c r="J2263" s="17">
        <v>0.7</v>
      </c>
      <c r="K2263" s="12">
        <v>13.75</v>
      </c>
      <c r="L2263" s="2">
        <f t="shared" si="207"/>
        <v>943.89999999999986</v>
      </c>
      <c r="M2263" s="15">
        <f t="shared" si="211"/>
        <v>12978.624999999998</v>
      </c>
      <c r="N2263" t="str">
        <f t="shared" si="208"/>
        <v>ES</v>
      </c>
      <c r="O2263" t="str">
        <f t="shared" si="209"/>
        <v>Vila Velha</v>
      </c>
    </row>
    <row r="2264" spans="1:15" x14ac:dyDescent="0.3">
      <c r="A2264" s="10">
        <v>45992</v>
      </c>
      <c r="B2264" s="9" t="s">
        <v>71</v>
      </c>
      <c r="C2264" t="s">
        <v>175</v>
      </c>
      <c r="D2264" s="9">
        <v>19874</v>
      </c>
      <c r="E2264" s="5" t="s">
        <v>504</v>
      </c>
      <c r="F2264" t="s">
        <v>179</v>
      </c>
      <c r="G2264">
        <v>3517</v>
      </c>
      <c r="H2264">
        <v>1373</v>
      </c>
      <c r="I2264" s="8">
        <f t="shared" si="210"/>
        <v>0.39038953653682118</v>
      </c>
      <c r="J2264" s="17">
        <v>0.7</v>
      </c>
      <c r="K2264" s="12">
        <v>13.75</v>
      </c>
      <c r="L2264" s="2">
        <f t="shared" si="207"/>
        <v>1088.8999999999996</v>
      </c>
      <c r="M2264" s="15">
        <f t="shared" si="211"/>
        <v>14972.374999999995</v>
      </c>
      <c r="N2264" t="str">
        <f t="shared" si="208"/>
        <v>RS</v>
      </c>
      <c r="O2264" t="str">
        <f t="shared" si="209"/>
        <v>Porto Alegre</v>
      </c>
    </row>
    <row r="2265" spans="1:15" x14ac:dyDescent="0.3">
      <c r="A2265" s="10">
        <v>45992</v>
      </c>
      <c r="B2265" s="9" t="s">
        <v>3</v>
      </c>
      <c r="C2265" t="s">
        <v>165</v>
      </c>
      <c r="D2265" s="9">
        <v>19761</v>
      </c>
      <c r="E2265" s="5" t="s">
        <v>505</v>
      </c>
      <c r="F2265" t="s">
        <v>166</v>
      </c>
      <c r="G2265">
        <v>1534</v>
      </c>
      <c r="H2265">
        <v>678</v>
      </c>
      <c r="I2265" s="8">
        <f t="shared" si="210"/>
        <v>0.44198174706649285</v>
      </c>
      <c r="J2265" s="17">
        <v>0.7</v>
      </c>
      <c r="K2265" s="12">
        <v>13.75</v>
      </c>
      <c r="L2265" s="2">
        <f t="shared" si="207"/>
        <v>395.79999999999995</v>
      </c>
      <c r="M2265" s="15">
        <f t="shared" si="211"/>
        <v>5442.2499999999991</v>
      </c>
      <c r="N2265" t="str">
        <f t="shared" si="208"/>
        <v>SP</v>
      </c>
      <c r="O2265" t="str">
        <f t="shared" si="209"/>
        <v>Paulínia</v>
      </c>
    </row>
    <row r="2266" spans="1:15" x14ac:dyDescent="0.3">
      <c r="A2266" s="10">
        <v>45992</v>
      </c>
      <c r="B2266" s="9" t="s">
        <v>46</v>
      </c>
      <c r="C2266" t="s">
        <v>47</v>
      </c>
      <c r="D2266" s="9">
        <v>19881</v>
      </c>
      <c r="E2266" s="5" t="s">
        <v>507</v>
      </c>
      <c r="F2266" t="s">
        <v>54</v>
      </c>
      <c r="G2266">
        <v>599</v>
      </c>
      <c r="H2266">
        <v>255</v>
      </c>
      <c r="I2266" s="8">
        <f t="shared" si="210"/>
        <v>0.4257095158597663</v>
      </c>
      <c r="J2266" s="17">
        <v>0.7</v>
      </c>
      <c r="K2266" s="12">
        <v>13.75</v>
      </c>
      <c r="L2266" s="2">
        <f t="shared" si="207"/>
        <v>164.29999999999995</v>
      </c>
      <c r="M2266" s="15">
        <f t="shared" si="211"/>
        <v>2259.1249999999995</v>
      </c>
      <c r="N2266" t="str">
        <f t="shared" si="208"/>
        <v>DF</v>
      </c>
      <c r="O2266" t="str">
        <f t="shared" si="209"/>
        <v>Brasília</v>
      </c>
    </row>
    <row r="2267" spans="1:15" x14ac:dyDescent="0.3">
      <c r="A2267" s="10">
        <v>45992</v>
      </c>
      <c r="B2267" s="9" t="s">
        <v>3</v>
      </c>
      <c r="C2267" t="s">
        <v>64</v>
      </c>
      <c r="D2267" s="9">
        <v>19696</v>
      </c>
      <c r="E2267" s="5" t="s">
        <v>508</v>
      </c>
      <c r="F2267" t="s">
        <v>65</v>
      </c>
      <c r="G2267">
        <v>1083</v>
      </c>
      <c r="H2267">
        <v>381</v>
      </c>
      <c r="I2267" s="8">
        <f t="shared" si="210"/>
        <v>0.35180055401662053</v>
      </c>
      <c r="J2267" s="17">
        <v>0.7</v>
      </c>
      <c r="K2267" s="12">
        <v>13.75</v>
      </c>
      <c r="L2267" s="2">
        <f t="shared" si="207"/>
        <v>377.09999999999991</v>
      </c>
      <c r="M2267" s="15">
        <f t="shared" si="211"/>
        <v>5185.1249999999991</v>
      </c>
      <c r="N2267" t="str">
        <f t="shared" si="208"/>
        <v>SP</v>
      </c>
      <c r="O2267" t="str">
        <f t="shared" si="209"/>
        <v>Campinas</v>
      </c>
    </row>
    <row r="2268" spans="1:15" x14ac:dyDescent="0.3">
      <c r="A2268" s="10">
        <v>45992</v>
      </c>
      <c r="B2268" s="9" t="s">
        <v>71</v>
      </c>
      <c r="C2268" t="s">
        <v>72</v>
      </c>
      <c r="D2268" s="9">
        <v>19883</v>
      </c>
      <c r="E2268" s="5" t="s">
        <v>509</v>
      </c>
      <c r="F2268" t="s">
        <v>73</v>
      </c>
      <c r="G2268">
        <v>1670</v>
      </c>
      <c r="H2268">
        <v>756</v>
      </c>
      <c r="I2268" s="8">
        <f t="shared" si="210"/>
        <v>0.45269461077844314</v>
      </c>
      <c r="J2268" s="17">
        <v>0.7</v>
      </c>
      <c r="K2268" s="12">
        <v>13.75</v>
      </c>
      <c r="L2268" s="2">
        <f t="shared" si="207"/>
        <v>412.99999999999977</v>
      </c>
      <c r="M2268" s="15">
        <f t="shared" si="211"/>
        <v>5678.7499999999973</v>
      </c>
      <c r="N2268" t="str">
        <f t="shared" si="208"/>
        <v>RS</v>
      </c>
      <c r="O2268" t="str">
        <f t="shared" si="209"/>
        <v>Canoas</v>
      </c>
    </row>
    <row r="2269" spans="1:15" x14ac:dyDescent="0.3">
      <c r="A2269" s="10">
        <v>45992</v>
      </c>
      <c r="B2269" s="9" t="s">
        <v>15</v>
      </c>
      <c r="C2269" t="s">
        <v>319</v>
      </c>
      <c r="D2269" s="9">
        <v>19514</v>
      </c>
      <c r="E2269" s="5" t="s">
        <v>510</v>
      </c>
      <c r="F2269" t="s">
        <v>221</v>
      </c>
      <c r="G2269">
        <v>3235</v>
      </c>
      <c r="H2269">
        <v>1103</v>
      </c>
      <c r="I2269" s="8">
        <f t="shared" si="210"/>
        <v>0.34095826893353942</v>
      </c>
      <c r="J2269" s="17">
        <v>0.7</v>
      </c>
      <c r="K2269" s="12">
        <v>13.75</v>
      </c>
      <c r="L2269" s="2">
        <f t="shared" si="207"/>
        <v>1161.4999999999995</v>
      </c>
      <c r="M2269" s="15">
        <f t="shared" si="211"/>
        <v>15970.624999999995</v>
      </c>
      <c r="N2269" t="str">
        <f t="shared" si="208"/>
        <v>RJ</v>
      </c>
      <c r="O2269" t="str">
        <f t="shared" si="209"/>
        <v>Rio de Janeiro</v>
      </c>
    </row>
    <row r="2270" spans="1:15" x14ac:dyDescent="0.3">
      <c r="A2270" s="10">
        <v>45992</v>
      </c>
      <c r="B2270" s="9" t="s">
        <v>15</v>
      </c>
      <c r="C2270" t="s">
        <v>319</v>
      </c>
      <c r="D2270" s="9">
        <v>19600</v>
      </c>
      <c r="E2270" s="5" t="s">
        <v>511</v>
      </c>
      <c r="F2270" t="s">
        <v>222</v>
      </c>
      <c r="G2270">
        <v>2818</v>
      </c>
      <c r="H2270">
        <v>1121</v>
      </c>
      <c r="I2270" s="8">
        <f t="shared" si="210"/>
        <v>0.39779985805535839</v>
      </c>
      <c r="J2270" s="17">
        <v>0.7</v>
      </c>
      <c r="K2270" s="12">
        <v>13.75</v>
      </c>
      <c r="L2270" s="2">
        <f t="shared" si="207"/>
        <v>851.59999999999991</v>
      </c>
      <c r="M2270" s="15">
        <f t="shared" si="211"/>
        <v>11709.499999999998</v>
      </c>
      <c r="N2270" t="str">
        <f t="shared" si="208"/>
        <v>RJ</v>
      </c>
      <c r="O2270" t="str">
        <f t="shared" si="209"/>
        <v>Rio de Janeiro</v>
      </c>
    </row>
    <row r="2271" spans="1:15" x14ac:dyDescent="0.3">
      <c r="A2271" s="10">
        <v>45992</v>
      </c>
      <c r="B2271" s="9" t="s">
        <v>78</v>
      </c>
      <c r="C2271" t="s">
        <v>277</v>
      </c>
      <c r="D2271" s="9">
        <v>19896</v>
      </c>
      <c r="E2271" s="5" t="s">
        <v>512</v>
      </c>
      <c r="F2271" t="s">
        <v>278</v>
      </c>
      <c r="G2271">
        <v>1462</v>
      </c>
      <c r="H2271">
        <v>660</v>
      </c>
      <c r="I2271" s="8">
        <f t="shared" si="210"/>
        <v>0.45143638850889195</v>
      </c>
      <c r="J2271" s="17">
        <v>0.7</v>
      </c>
      <c r="K2271" s="12">
        <v>13.75</v>
      </c>
      <c r="L2271" s="2">
        <f t="shared" si="207"/>
        <v>363.39999999999986</v>
      </c>
      <c r="M2271" s="15">
        <f t="shared" si="211"/>
        <v>4996.7499999999982</v>
      </c>
      <c r="N2271" t="str">
        <f t="shared" si="208"/>
        <v>MT</v>
      </c>
      <c r="O2271" t="str">
        <f t="shared" si="209"/>
        <v>Sorriso</v>
      </c>
    </row>
    <row r="2272" spans="1:15" x14ac:dyDescent="0.3">
      <c r="A2272" s="10">
        <v>45992</v>
      </c>
      <c r="B2272" s="9" t="s">
        <v>14</v>
      </c>
      <c r="C2272" t="s">
        <v>287</v>
      </c>
      <c r="D2272" s="9">
        <v>19905</v>
      </c>
      <c r="E2272" s="5" t="s">
        <v>513</v>
      </c>
      <c r="F2272" t="s">
        <v>288</v>
      </c>
      <c r="G2272">
        <v>1061</v>
      </c>
      <c r="H2272">
        <v>543</v>
      </c>
      <c r="I2272" s="8">
        <f t="shared" si="210"/>
        <v>0.5117813383600377</v>
      </c>
      <c r="J2272" s="17">
        <v>0.7</v>
      </c>
      <c r="K2272" s="12">
        <v>13.75</v>
      </c>
      <c r="L2272" s="2">
        <f t="shared" si="207"/>
        <v>199.69999999999993</v>
      </c>
      <c r="M2272" s="15">
        <f t="shared" si="211"/>
        <v>2745.8749999999991</v>
      </c>
      <c r="N2272" t="str">
        <f t="shared" si="208"/>
        <v>MG</v>
      </c>
      <c r="O2272" t="str">
        <f t="shared" si="209"/>
        <v>Varginha</v>
      </c>
    </row>
    <row r="2273" spans="1:15" x14ac:dyDescent="0.3">
      <c r="A2273" s="10">
        <v>45992</v>
      </c>
      <c r="B2273" s="9" t="s">
        <v>3</v>
      </c>
      <c r="C2273" t="s">
        <v>12</v>
      </c>
      <c r="D2273" s="9">
        <v>19901</v>
      </c>
      <c r="E2273" s="5" t="s">
        <v>514</v>
      </c>
      <c r="F2273" t="s">
        <v>13</v>
      </c>
      <c r="G2273">
        <v>963</v>
      </c>
      <c r="H2273">
        <v>316</v>
      </c>
      <c r="I2273" s="8">
        <f t="shared" si="210"/>
        <v>0.32814122533748702</v>
      </c>
      <c r="J2273" s="17">
        <v>0.7</v>
      </c>
      <c r="K2273" s="12">
        <v>13.75</v>
      </c>
      <c r="L2273" s="2">
        <f t="shared" si="207"/>
        <v>358.1</v>
      </c>
      <c r="M2273" s="15">
        <f t="shared" si="211"/>
        <v>4923.875</v>
      </c>
      <c r="N2273" t="str">
        <f t="shared" si="208"/>
        <v>SP</v>
      </c>
      <c r="O2273" t="str">
        <f t="shared" si="209"/>
        <v>Araras</v>
      </c>
    </row>
    <row r="2274" spans="1:15" x14ac:dyDescent="0.3">
      <c r="A2274" s="10">
        <v>45992</v>
      </c>
      <c r="B2274" s="9" t="s">
        <v>14</v>
      </c>
      <c r="C2274" t="s">
        <v>137</v>
      </c>
      <c r="D2274" s="9">
        <v>19899</v>
      </c>
      <c r="E2274" s="5" t="s">
        <v>515</v>
      </c>
      <c r="F2274" t="s">
        <v>138</v>
      </c>
      <c r="G2274">
        <v>1333</v>
      </c>
      <c r="H2274">
        <v>608</v>
      </c>
      <c r="I2274" s="8">
        <f t="shared" si="210"/>
        <v>0.45611402850712679</v>
      </c>
      <c r="J2274" s="17">
        <v>0.7</v>
      </c>
      <c r="K2274" s="12">
        <v>13.75</v>
      </c>
      <c r="L2274" s="2">
        <f t="shared" si="207"/>
        <v>325.09999999999991</v>
      </c>
      <c r="M2274" s="15">
        <f t="shared" si="211"/>
        <v>4470.1249999999991</v>
      </c>
      <c r="N2274" t="str">
        <f t="shared" si="208"/>
        <v>MG</v>
      </c>
      <c r="O2274" t="str">
        <f t="shared" si="209"/>
        <v>Montes Claros</v>
      </c>
    </row>
    <row r="2275" spans="1:15" x14ac:dyDescent="0.3">
      <c r="A2275" s="10">
        <v>45992</v>
      </c>
      <c r="B2275" s="9" t="s">
        <v>14</v>
      </c>
      <c r="C2275" t="s">
        <v>137</v>
      </c>
      <c r="D2275" s="9">
        <v>19796</v>
      </c>
      <c r="E2275" s="5" t="s">
        <v>516</v>
      </c>
      <c r="F2275" t="s">
        <v>139</v>
      </c>
      <c r="G2275">
        <v>3095</v>
      </c>
      <c r="H2275">
        <v>1652</v>
      </c>
      <c r="I2275" s="8">
        <f t="shared" si="210"/>
        <v>0.53376413570274639</v>
      </c>
      <c r="J2275" s="17">
        <v>0.7</v>
      </c>
      <c r="K2275" s="12">
        <v>13.75</v>
      </c>
      <c r="L2275" s="2">
        <f t="shared" si="207"/>
        <v>514.49999999999955</v>
      </c>
      <c r="M2275" s="15">
        <f t="shared" si="211"/>
        <v>7074.3749999999936</v>
      </c>
      <c r="N2275" t="str">
        <f t="shared" si="208"/>
        <v>MG</v>
      </c>
      <c r="O2275" t="str">
        <f t="shared" si="209"/>
        <v>Montes Claros</v>
      </c>
    </row>
    <row r="2276" spans="1:15" x14ac:dyDescent="0.3">
      <c r="A2276" s="10">
        <v>45992</v>
      </c>
      <c r="B2276" s="9" t="s">
        <v>15</v>
      </c>
      <c r="C2276" t="s">
        <v>319</v>
      </c>
      <c r="D2276" s="9">
        <v>19528</v>
      </c>
      <c r="E2276" s="5" t="s">
        <v>517</v>
      </c>
      <c r="F2276" t="s">
        <v>223</v>
      </c>
      <c r="G2276">
        <v>2430</v>
      </c>
      <c r="H2276">
        <v>809</v>
      </c>
      <c r="I2276" s="8">
        <f t="shared" si="210"/>
        <v>0.33292181069958848</v>
      </c>
      <c r="J2276" s="17">
        <v>0.7</v>
      </c>
      <c r="K2276" s="12">
        <v>13.75</v>
      </c>
      <c r="L2276" s="2">
        <f t="shared" si="207"/>
        <v>891.99999999999977</v>
      </c>
      <c r="M2276" s="15">
        <f t="shared" si="211"/>
        <v>12264.999999999996</v>
      </c>
      <c r="N2276" t="str">
        <f t="shared" si="208"/>
        <v>RJ</v>
      </c>
      <c r="O2276" t="str">
        <f t="shared" si="209"/>
        <v>Rio de Janeiro</v>
      </c>
    </row>
    <row r="2277" spans="1:15" x14ac:dyDescent="0.3">
      <c r="A2277" s="10">
        <v>45992</v>
      </c>
      <c r="B2277" s="9" t="s">
        <v>6</v>
      </c>
      <c r="C2277" t="s">
        <v>158</v>
      </c>
      <c r="D2277" s="9">
        <v>19914</v>
      </c>
      <c r="E2277" s="5" t="s">
        <v>519</v>
      </c>
      <c r="F2277" t="s">
        <v>159</v>
      </c>
      <c r="G2277">
        <v>2382</v>
      </c>
      <c r="H2277">
        <v>1475</v>
      </c>
      <c r="I2277" s="8">
        <f t="shared" si="210"/>
        <v>0.61922753988245172</v>
      </c>
      <c r="J2277" s="17">
        <v>0.7</v>
      </c>
      <c r="K2277" s="12">
        <v>13.75</v>
      </c>
      <c r="L2277" s="2">
        <f t="shared" si="207"/>
        <v>192.40000000000009</v>
      </c>
      <c r="M2277" s="15">
        <f t="shared" si="211"/>
        <v>2645.5000000000014</v>
      </c>
      <c r="N2277" t="str">
        <f t="shared" si="208"/>
        <v>PA</v>
      </c>
      <c r="O2277" t="str">
        <f t="shared" si="209"/>
        <v>Parauapebas</v>
      </c>
    </row>
    <row r="2278" spans="1:15" x14ac:dyDescent="0.3">
      <c r="A2278" s="10">
        <v>45992</v>
      </c>
      <c r="B2278" s="9" t="s">
        <v>155</v>
      </c>
      <c r="C2278" t="s">
        <v>156</v>
      </c>
      <c r="D2278" s="9">
        <v>19916</v>
      </c>
      <c r="E2278" s="5" t="s">
        <v>520</v>
      </c>
      <c r="F2278" t="s">
        <v>157</v>
      </c>
      <c r="G2278">
        <v>1933</v>
      </c>
      <c r="H2278">
        <v>993</v>
      </c>
      <c r="I2278" s="8">
        <f t="shared" si="210"/>
        <v>0.51370926021727881</v>
      </c>
      <c r="J2278" s="17">
        <v>0.7</v>
      </c>
      <c r="K2278" s="12">
        <v>13.75</v>
      </c>
      <c r="L2278" s="2">
        <f t="shared" si="207"/>
        <v>360.09999999999991</v>
      </c>
      <c r="M2278" s="15">
        <f t="shared" si="211"/>
        <v>4951.3749999999991</v>
      </c>
      <c r="N2278" t="str">
        <f t="shared" si="208"/>
        <v>TO</v>
      </c>
      <c r="O2278" t="str">
        <f t="shared" si="209"/>
        <v>Palmas</v>
      </c>
    </row>
    <row r="2279" spans="1:15" x14ac:dyDescent="0.3">
      <c r="A2279" s="10">
        <v>45992</v>
      </c>
      <c r="B2279" s="9" t="s">
        <v>74</v>
      </c>
      <c r="C2279" t="s">
        <v>97</v>
      </c>
      <c r="D2279" s="9">
        <v>19911</v>
      </c>
      <c r="E2279" s="5" t="s">
        <v>522</v>
      </c>
      <c r="F2279" t="s">
        <v>98</v>
      </c>
      <c r="G2279">
        <v>2171</v>
      </c>
      <c r="H2279">
        <v>1441</v>
      </c>
      <c r="I2279" s="8">
        <f t="shared" si="210"/>
        <v>0.66374942422846617</v>
      </c>
      <c r="J2279" s="17">
        <v>0.7</v>
      </c>
      <c r="K2279" s="12">
        <v>13.75</v>
      </c>
      <c r="L2279" s="2">
        <f t="shared" si="207"/>
        <v>78.699999999999818</v>
      </c>
      <c r="M2279" s="15">
        <f t="shared" si="211"/>
        <v>1082.1249999999975</v>
      </c>
      <c r="N2279" t="str">
        <f t="shared" si="208"/>
        <v>PE</v>
      </c>
      <c r="O2279" t="str">
        <f t="shared" si="209"/>
        <v>Garanhuns</v>
      </c>
    </row>
    <row r="2280" spans="1:15" x14ac:dyDescent="0.3">
      <c r="A2280" s="10">
        <v>45992</v>
      </c>
      <c r="B2280" s="9" t="s">
        <v>21</v>
      </c>
      <c r="C2280" t="s">
        <v>121</v>
      </c>
      <c r="D2280" s="9">
        <v>19910</v>
      </c>
      <c r="E2280" s="5" t="s">
        <v>524</v>
      </c>
      <c r="F2280" t="s">
        <v>122</v>
      </c>
      <c r="G2280">
        <v>1206</v>
      </c>
      <c r="H2280">
        <v>686</v>
      </c>
      <c r="I2280" s="8">
        <f t="shared" si="210"/>
        <v>0.56882255389718073</v>
      </c>
      <c r="J2280" s="17">
        <v>0.7</v>
      </c>
      <c r="K2280" s="12">
        <v>13.75</v>
      </c>
      <c r="L2280" s="2">
        <f t="shared" si="207"/>
        <v>158.20000000000005</v>
      </c>
      <c r="M2280" s="15">
        <f t="shared" si="211"/>
        <v>2175.2500000000005</v>
      </c>
      <c r="N2280" t="str">
        <f t="shared" si="208"/>
        <v>BA</v>
      </c>
      <c r="O2280" t="str">
        <f t="shared" si="209"/>
        <v>Luís Eduardo Magalhães</v>
      </c>
    </row>
    <row r="2281" spans="1:15" x14ac:dyDescent="0.3">
      <c r="A2281" s="10">
        <v>45992</v>
      </c>
      <c r="B2281" s="9" t="s">
        <v>82</v>
      </c>
      <c r="C2281" t="s">
        <v>173</v>
      </c>
      <c r="D2281" s="9">
        <v>19926</v>
      </c>
      <c r="E2281" s="5" t="s">
        <v>525</v>
      </c>
      <c r="F2281" t="s">
        <v>174</v>
      </c>
      <c r="G2281">
        <v>1334</v>
      </c>
      <c r="H2281">
        <v>622</v>
      </c>
      <c r="I2281" s="8">
        <f t="shared" si="210"/>
        <v>0.46626686656671662</v>
      </c>
      <c r="J2281" s="17">
        <v>0.7</v>
      </c>
      <c r="K2281" s="12">
        <v>13.75</v>
      </c>
      <c r="L2281" s="2">
        <f t="shared" si="207"/>
        <v>311.79999999999995</v>
      </c>
      <c r="M2281" s="15">
        <f t="shared" si="211"/>
        <v>4287.2499999999991</v>
      </c>
      <c r="N2281" t="str">
        <f t="shared" si="208"/>
        <v>PR</v>
      </c>
      <c r="O2281" t="str">
        <f t="shared" si="209"/>
        <v>Ponta Grossa</v>
      </c>
    </row>
    <row r="2282" spans="1:15" x14ac:dyDescent="0.3">
      <c r="A2282" s="10">
        <v>45992</v>
      </c>
      <c r="B2282" s="9" t="s">
        <v>15</v>
      </c>
      <c r="C2282" t="s">
        <v>319</v>
      </c>
      <c r="D2282" s="9">
        <v>19523</v>
      </c>
      <c r="E2282" s="5" t="s">
        <v>526</v>
      </c>
      <c r="F2282" t="s">
        <v>224</v>
      </c>
      <c r="G2282">
        <v>3272</v>
      </c>
      <c r="H2282">
        <v>964</v>
      </c>
      <c r="I2282" s="8">
        <f t="shared" si="210"/>
        <v>0.29462102689486552</v>
      </c>
      <c r="J2282" s="17">
        <v>0.7</v>
      </c>
      <c r="K2282" s="12">
        <v>13.75</v>
      </c>
      <c r="L2282" s="2">
        <f t="shared" si="207"/>
        <v>1326.4</v>
      </c>
      <c r="M2282" s="15">
        <f t="shared" si="211"/>
        <v>18238</v>
      </c>
      <c r="N2282" t="str">
        <f t="shared" si="208"/>
        <v>RJ</v>
      </c>
      <c r="O2282" t="str">
        <f t="shared" si="209"/>
        <v>Rio de Janeiro</v>
      </c>
    </row>
    <row r="2283" spans="1:15" x14ac:dyDescent="0.3">
      <c r="A2283" s="10">
        <v>45992</v>
      </c>
      <c r="B2283" s="9" t="s">
        <v>15</v>
      </c>
      <c r="C2283" t="s">
        <v>319</v>
      </c>
      <c r="D2283" s="9">
        <v>19652</v>
      </c>
      <c r="E2283" s="5" t="s">
        <v>527</v>
      </c>
      <c r="F2283" t="s">
        <v>225</v>
      </c>
      <c r="G2283">
        <v>5060</v>
      </c>
      <c r="H2283">
        <v>1442</v>
      </c>
      <c r="I2283" s="8">
        <f t="shared" si="210"/>
        <v>0.28498023715415022</v>
      </c>
      <c r="J2283" s="17">
        <v>0.7</v>
      </c>
      <c r="K2283" s="12">
        <v>13.75</v>
      </c>
      <c r="L2283" s="2">
        <f t="shared" si="207"/>
        <v>2099.9999999999995</v>
      </c>
      <c r="M2283" s="15">
        <f t="shared" si="211"/>
        <v>28874.999999999993</v>
      </c>
      <c r="N2283" t="str">
        <f t="shared" si="208"/>
        <v>RJ</v>
      </c>
      <c r="O2283" t="str">
        <f t="shared" si="209"/>
        <v>Rio de Janeiro</v>
      </c>
    </row>
    <row r="2284" spans="1:15" x14ac:dyDescent="0.3">
      <c r="A2284" s="10">
        <v>45992</v>
      </c>
      <c r="B2284" s="9" t="s">
        <v>15</v>
      </c>
      <c r="C2284" t="s">
        <v>319</v>
      </c>
      <c r="D2284" s="9">
        <v>19529</v>
      </c>
      <c r="E2284" s="5" t="s">
        <v>528</v>
      </c>
      <c r="F2284" t="s">
        <v>226</v>
      </c>
      <c r="G2284">
        <v>5516</v>
      </c>
      <c r="H2284">
        <v>1759</v>
      </c>
      <c r="I2284" s="8">
        <f t="shared" si="210"/>
        <v>0.3188905003625816</v>
      </c>
      <c r="J2284" s="17">
        <v>0.7</v>
      </c>
      <c r="K2284" s="12">
        <v>13.75</v>
      </c>
      <c r="L2284" s="2">
        <f t="shared" si="207"/>
        <v>2102.1999999999998</v>
      </c>
      <c r="M2284" s="15">
        <f t="shared" si="211"/>
        <v>28905.249999999996</v>
      </c>
      <c r="N2284" t="str">
        <f t="shared" si="208"/>
        <v>RJ</v>
      </c>
      <c r="O2284" t="str">
        <f t="shared" si="209"/>
        <v>Rio de Janeiro</v>
      </c>
    </row>
    <row r="2285" spans="1:15" x14ac:dyDescent="0.3">
      <c r="A2285" s="10">
        <v>45992</v>
      </c>
      <c r="B2285" s="9" t="s">
        <v>3</v>
      </c>
      <c r="C2285" t="s">
        <v>248</v>
      </c>
      <c r="D2285" s="9">
        <v>19889</v>
      </c>
      <c r="E2285" s="5" t="s">
        <v>529</v>
      </c>
      <c r="F2285" t="s">
        <v>266</v>
      </c>
      <c r="G2285">
        <v>1450</v>
      </c>
      <c r="H2285">
        <v>548</v>
      </c>
      <c r="I2285" s="8">
        <f t="shared" si="210"/>
        <v>0.37793103448275861</v>
      </c>
      <c r="J2285" s="17">
        <v>0.7</v>
      </c>
      <c r="K2285" s="12">
        <v>13.75</v>
      </c>
      <c r="L2285" s="2">
        <f t="shared" si="207"/>
        <v>466.99999999999989</v>
      </c>
      <c r="M2285" s="15">
        <f t="shared" si="211"/>
        <v>6421.2499999999982</v>
      </c>
      <c r="N2285" t="str">
        <f t="shared" si="208"/>
        <v>SP</v>
      </c>
      <c r="O2285" t="str">
        <f t="shared" si="209"/>
        <v>São Paulo</v>
      </c>
    </row>
    <row r="2286" spans="1:15" x14ac:dyDescent="0.3">
      <c r="A2286" s="10">
        <v>45992</v>
      </c>
      <c r="B2286" s="9" t="s">
        <v>3</v>
      </c>
      <c r="C2286" t="s">
        <v>248</v>
      </c>
      <c r="D2286" s="9">
        <v>19888</v>
      </c>
      <c r="E2286" s="5" t="s">
        <v>530</v>
      </c>
      <c r="F2286" t="s">
        <v>267</v>
      </c>
      <c r="G2286">
        <v>1326</v>
      </c>
      <c r="H2286">
        <v>479</v>
      </c>
      <c r="I2286" s="8">
        <f t="shared" si="210"/>
        <v>0.36123680241327299</v>
      </c>
      <c r="J2286" s="17">
        <v>0.7</v>
      </c>
      <c r="K2286" s="12">
        <v>13.75</v>
      </c>
      <c r="L2286" s="2">
        <f t="shared" si="207"/>
        <v>449.19999999999993</v>
      </c>
      <c r="M2286" s="15">
        <f t="shared" si="211"/>
        <v>6176.4999999999991</v>
      </c>
      <c r="N2286" t="str">
        <f t="shared" si="208"/>
        <v>SP</v>
      </c>
      <c r="O2286" t="str">
        <f t="shared" si="209"/>
        <v>São Paulo</v>
      </c>
    </row>
    <row r="2287" spans="1:15" x14ac:dyDescent="0.3">
      <c r="A2287" s="10">
        <v>45992</v>
      </c>
      <c r="B2287" s="9" t="s">
        <v>82</v>
      </c>
      <c r="C2287" t="s">
        <v>106</v>
      </c>
      <c r="D2287" s="9">
        <v>19927</v>
      </c>
      <c r="E2287" s="5" t="s">
        <v>531</v>
      </c>
      <c r="F2287" t="s">
        <v>107</v>
      </c>
      <c r="G2287">
        <v>762</v>
      </c>
      <c r="H2287">
        <v>295</v>
      </c>
      <c r="I2287" s="8">
        <f t="shared" si="210"/>
        <v>0.38713910761154857</v>
      </c>
      <c r="J2287" s="17">
        <v>0.7</v>
      </c>
      <c r="K2287" s="12">
        <v>13.75</v>
      </c>
      <c r="L2287" s="2">
        <f t="shared" ref="L2287:L2350" si="212">H2287*J2287/I2287-H2287</f>
        <v>238.39999999999998</v>
      </c>
      <c r="M2287" s="15">
        <f t="shared" si="211"/>
        <v>3277.9999999999995</v>
      </c>
      <c r="N2287" t="str">
        <f t="shared" si="208"/>
        <v>PR</v>
      </c>
      <c r="O2287" t="str">
        <f t="shared" si="209"/>
        <v>Guarapuava</v>
      </c>
    </row>
    <row r="2288" spans="1:15" x14ac:dyDescent="0.3">
      <c r="A2288" s="10">
        <v>45992</v>
      </c>
      <c r="B2288" s="9" t="s">
        <v>3</v>
      </c>
      <c r="C2288" t="s">
        <v>44</v>
      </c>
      <c r="D2288" s="9">
        <v>19930</v>
      </c>
      <c r="E2288" s="5" t="s">
        <v>533</v>
      </c>
      <c r="F2288" t="s">
        <v>45</v>
      </c>
      <c r="G2288">
        <v>2809</v>
      </c>
      <c r="H2288">
        <v>1456</v>
      </c>
      <c r="I2288" s="8">
        <f t="shared" si="210"/>
        <v>0.51833392666429334</v>
      </c>
      <c r="J2288" s="17">
        <v>0.7</v>
      </c>
      <c r="K2288" s="12">
        <v>13.75</v>
      </c>
      <c r="L2288" s="2">
        <f t="shared" si="212"/>
        <v>510.29999999999995</v>
      </c>
      <c r="M2288" s="15">
        <f t="shared" si="211"/>
        <v>7016.6249999999991</v>
      </c>
      <c r="N2288" t="str">
        <f t="shared" si="208"/>
        <v>SP</v>
      </c>
      <c r="O2288" t="str">
        <f t="shared" si="209"/>
        <v>Botucatu</v>
      </c>
    </row>
    <row r="2289" spans="1:15" x14ac:dyDescent="0.3">
      <c r="A2289" s="10">
        <v>45992</v>
      </c>
      <c r="B2289" s="9" t="s">
        <v>15</v>
      </c>
      <c r="C2289" t="s">
        <v>319</v>
      </c>
      <c r="D2289" s="9">
        <v>19609</v>
      </c>
      <c r="E2289" s="5" t="s">
        <v>535</v>
      </c>
      <c r="F2289" t="s">
        <v>227</v>
      </c>
      <c r="G2289">
        <v>1953</v>
      </c>
      <c r="H2289">
        <v>874</v>
      </c>
      <c r="I2289" s="8">
        <f t="shared" si="210"/>
        <v>0.44751664106502814</v>
      </c>
      <c r="J2289" s="17">
        <v>0.7</v>
      </c>
      <c r="K2289" s="12">
        <v>13.75</v>
      </c>
      <c r="L2289" s="2">
        <f t="shared" si="212"/>
        <v>493.09999999999991</v>
      </c>
      <c r="M2289" s="15">
        <f t="shared" si="211"/>
        <v>6780.1249999999991</v>
      </c>
      <c r="N2289" t="str">
        <f t="shared" si="208"/>
        <v>RJ</v>
      </c>
      <c r="O2289" t="str">
        <f t="shared" si="209"/>
        <v>Rio de Janeiro</v>
      </c>
    </row>
    <row r="2290" spans="1:15" x14ac:dyDescent="0.3">
      <c r="A2290" s="10">
        <v>45992</v>
      </c>
      <c r="B2290" s="9" t="s">
        <v>3</v>
      </c>
      <c r="C2290" t="s">
        <v>4</v>
      </c>
      <c r="D2290" s="9">
        <v>19928</v>
      </c>
      <c r="E2290" s="5" t="s">
        <v>536</v>
      </c>
      <c r="F2290" t="s">
        <v>5</v>
      </c>
      <c r="G2290">
        <v>2331</v>
      </c>
      <c r="H2290">
        <v>1241</v>
      </c>
      <c r="I2290" s="8">
        <f t="shared" si="210"/>
        <v>0.53238953238953235</v>
      </c>
      <c r="J2290" s="17">
        <v>0.7</v>
      </c>
      <c r="K2290" s="12">
        <v>13.75</v>
      </c>
      <c r="L2290" s="2">
        <f t="shared" si="212"/>
        <v>390.70000000000005</v>
      </c>
      <c r="M2290" s="15">
        <f t="shared" si="211"/>
        <v>5372.1250000000009</v>
      </c>
      <c r="N2290" t="str">
        <f t="shared" si="208"/>
        <v>SP</v>
      </c>
      <c r="O2290" t="str">
        <f t="shared" si="209"/>
        <v>Americana</v>
      </c>
    </row>
    <row r="2291" spans="1:15" x14ac:dyDescent="0.3">
      <c r="A2291" s="10">
        <v>45992</v>
      </c>
      <c r="B2291" s="9" t="s">
        <v>15</v>
      </c>
      <c r="C2291" t="s">
        <v>149</v>
      </c>
      <c r="D2291" s="9">
        <v>19746</v>
      </c>
      <c r="E2291" s="5" t="s">
        <v>537</v>
      </c>
      <c r="F2291" t="s">
        <v>150</v>
      </c>
      <c r="G2291">
        <v>3277</v>
      </c>
      <c r="H2291">
        <v>2140</v>
      </c>
      <c r="I2291" s="8">
        <f t="shared" si="210"/>
        <v>0.65303631370155635</v>
      </c>
      <c r="J2291" s="17">
        <v>0.7</v>
      </c>
      <c r="K2291" s="12">
        <v>13.75</v>
      </c>
      <c r="L2291" s="2">
        <f t="shared" si="212"/>
        <v>153.89999999999964</v>
      </c>
      <c r="M2291" s="15">
        <f t="shared" si="211"/>
        <v>2116.124999999995</v>
      </c>
      <c r="N2291" t="str">
        <f t="shared" si="208"/>
        <v>RJ</v>
      </c>
      <c r="O2291" t="str">
        <f t="shared" si="209"/>
        <v>Nova Friburgo</v>
      </c>
    </row>
    <row r="2292" spans="1:15" x14ac:dyDescent="0.3">
      <c r="A2292" s="10">
        <v>45992</v>
      </c>
      <c r="B2292" s="9" t="s">
        <v>71</v>
      </c>
      <c r="C2292" t="s">
        <v>163</v>
      </c>
      <c r="D2292" s="9">
        <v>19933</v>
      </c>
      <c r="E2292" s="5" t="s">
        <v>538</v>
      </c>
      <c r="F2292" t="s">
        <v>164</v>
      </c>
      <c r="G2292">
        <v>388</v>
      </c>
      <c r="H2292">
        <v>96</v>
      </c>
      <c r="I2292" s="8">
        <f t="shared" si="210"/>
        <v>0.24742268041237114</v>
      </c>
      <c r="J2292" s="17">
        <v>0.7</v>
      </c>
      <c r="K2292" s="12">
        <v>13.75</v>
      </c>
      <c r="L2292" s="2">
        <f t="shared" si="212"/>
        <v>175.59999999999997</v>
      </c>
      <c r="M2292" s="15">
        <f t="shared" si="211"/>
        <v>2414.4999999999995</v>
      </c>
      <c r="N2292" t="str">
        <f t="shared" si="208"/>
        <v>RS</v>
      </c>
      <c r="O2292" t="str">
        <f t="shared" si="209"/>
        <v>Passo</v>
      </c>
    </row>
    <row r="2293" spans="1:15" x14ac:dyDescent="0.3">
      <c r="A2293" s="10">
        <v>45992</v>
      </c>
      <c r="B2293" s="9" t="s">
        <v>59</v>
      </c>
      <c r="C2293" t="s">
        <v>311</v>
      </c>
      <c r="D2293" s="9">
        <v>19944</v>
      </c>
      <c r="E2293" s="5" t="s">
        <v>539</v>
      </c>
      <c r="F2293" t="s">
        <v>60</v>
      </c>
      <c r="G2293">
        <v>2356</v>
      </c>
      <c r="H2293">
        <v>976</v>
      </c>
      <c r="I2293" s="8">
        <f t="shared" si="210"/>
        <v>0.4142614601018676</v>
      </c>
      <c r="J2293" s="17">
        <v>0.7</v>
      </c>
      <c r="K2293" s="12">
        <v>13.75</v>
      </c>
      <c r="L2293" s="2">
        <f t="shared" si="212"/>
        <v>673.19999999999982</v>
      </c>
      <c r="M2293" s="15">
        <f t="shared" si="211"/>
        <v>9256.4999999999982</v>
      </c>
      <c r="N2293" t="str">
        <f t="shared" si="208"/>
        <v>ES</v>
      </c>
      <c r="O2293" t="str">
        <f t="shared" si="209"/>
        <v>Cachoeira de Itapemirim</v>
      </c>
    </row>
    <row r="2294" spans="1:15" x14ac:dyDescent="0.3">
      <c r="A2294" s="10">
        <v>45992</v>
      </c>
      <c r="B2294" s="9" t="s">
        <v>21</v>
      </c>
      <c r="C2294" t="s">
        <v>228</v>
      </c>
      <c r="D2294" s="9">
        <v>19931</v>
      </c>
      <c r="E2294" s="5" t="s">
        <v>541</v>
      </c>
      <c r="F2294" t="s">
        <v>233</v>
      </c>
      <c r="G2294">
        <v>2222</v>
      </c>
      <c r="H2294">
        <v>1093</v>
      </c>
      <c r="I2294" s="8">
        <f t="shared" si="210"/>
        <v>0.4918991899189919</v>
      </c>
      <c r="J2294" s="17">
        <v>0.7</v>
      </c>
      <c r="K2294" s="12">
        <v>13.75</v>
      </c>
      <c r="L2294" s="2">
        <f t="shared" si="212"/>
        <v>462.39999999999986</v>
      </c>
      <c r="M2294" s="15">
        <f t="shared" si="211"/>
        <v>6357.9999999999982</v>
      </c>
      <c r="N2294" t="str">
        <f t="shared" si="208"/>
        <v>BA</v>
      </c>
      <c r="O2294" t="str">
        <f t="shared" si="209"/>
        <v>Salvador</v>
      </c>
    </row>
    <row r="2295" spans="1:15" x14ac:dyDescent="0.3">
      <c r="A2295" s="10">
        <v>45992</v>
      </c>
      <c r="B2295" s="9" t="s">
        <v>14</v>
      </c>
      <c r="C2295" t="s">
        <v>273</v>
      </c>
      <c r="D2295" s="9">
        <v>19937</v>
      </c>
      <c r="E2295" s="5" t="s">
        <v>542</v>
      </c>
      <c r="F2295" t="s">
        <v>274</v>
      </c>
      <c r="G2295">
        <v>794</v>
      </c>
      <c r="H2295">
        <v>370</v>
      </c>
      <c r="I2295" s="8">
        <f t="shared" si="210"/>
        <v>0.46599496221662468</v>
      </c>
      <c r="J2295" s="17">
        <v>0.7</v>
      </c>
      <c r="K2295" s="12">
        <v>13.75</v>
      </c>
      <c r="L2295" s="2">
        <f t="shared" si="212"/>
        <v>185.80000000000007</v>
      </c>
      <c r="M2295" s="15">
        <f t="shared" si="211"/>
        <v>2554.7500000000009</v>
      </c>
      <c r="N2295" t="str">
        <f t="shared" si="208"/>
        <v>MG</v>
      </c>
      <c r="O2295" t="str">
        <f t="shared" si="209"/>
        <v>Sete Lagoas</v>
      </c>
    </row>
    <row r="2296" spans="1:15" x14ac:dyDescent="0.3">
      <c r="A2296" s="10">
        <v>45992</v>
      </c>
      <c r="B2296" s="9" t="s">
        <v>46</v>
      </c>
      <c r="C2296" t="s">
        <v>102</v>
      </c>
      <c r="D2296" s="9">
        <v>19553</v>
      </c>
      <c r="E2296" s="5" t="s">
        <v>543</v>
      </c>
      <c r="F2296" t="s">
        <v>103</v>
      </c>
      <c r="G2296">
        <v>2046</v>
      </c>
      <c r="H2296">
        <v>754</v>
      </c>
      <c r="I2296" s="8">
        <f t="shared" si="210"/>
        <v>0.36852394916911047</v>
      </c>
      <c r="J2296" s="17">
        <v>0.7</v>
      </c>
      <c r="K2296" s="12">
        <v>13.75</v>
      </c>
      <c r="L2296" s="2">
        <f t="shared" si="212"/>
        <v>678.19999999999982</v>
      </c>
      <c r="M2296" s="15">
        <f t="shared" si="211"/>
        <v>9325.2499999999982</v>
      </c>
      <c r="N2296" t="str">
        <f t="shared" si="208"/>
        <v>DF</v>
      </c>
      <c r="O2296" t="str">
        <f t="shared" si="209"/>
        <v>Guará</v>
      </c>
    </row>
    <row r="2297" spans="1:15" x14ac:dyDescent="0.3">
      <c r="A2297" s="10">
        <v>45992</v>
      </c>
      <c r="B2297" s="9" t="s">
        <v>140</v>
      </c>
      <c r="C2297" t="s">
        <v>141</v>
      </c>
      <c r="D2297" s="9">
        <v>19940</v>
      </c>
      <c r="E2297" s="5" t="s">
        <v>545</v>
      </c>
      <c r="F2297" t="s">
        <v>142</v>
      </c>
      <c r="G2297">
        <v>2097</v>
      </c>
      <c r="H2297">
        <v>1235</v>
      </c>
      <c r="I2297" s="8">
        <f t="shared" si="210"/>
        <v>0.58893657606103955</v>
      </c>
      <c r="J2297" s="17">
        <v>0.7</v>
      </c>
      <c r="K2297" s="12">
        <v>13.75</v>
      </c>
      <c r="L2297" s="2">
        <f t="shared" si="212"/>
        <v>232.90000000000009</v>
      </c>
      <c r="M2297" s="15">
        <f t="shared" si="211"/>
        <v>3202.3750000000014</v>
      </c>
      <c r="N2297" t="str">
        <f t="shared" si="208"/>
        <v>RN</v>
      </c>
      <c r="O2297" t="str">
        <f t="shared" si="209"/>
        <v>Natal</v>
      </c>
    </row>
    <row r="2298" spans="1:15" x14ac:dyDescent="0.3">
      <c r="A2298" s="10">
        <v>45992</v>
      </c>
      <c r="B2298" s="9" t="s">
        <v>123</v>
      </c>
      <c r="C2298" t="s">
        <v>124</v>
      </c>
      <c r="D2298" s="9">
        <v>19945</v>
      </c>
      <c r="E2298" s="5" t="s">
        <v>546</v>
      </c>
      <c r="F2298" t="s">
        <v>125</v>
      </c>
      <c r="G2298">
        <v>2229</v>
      </c>
      <c r="H2298">
        <v>1739</v>
      </c>
      <c r="I2298" s="8">
        <f t="shared" si="210"/>
        <v>0.78017048003589051</v>
      </c>
      <c r="J2298" s="17">
        <v>0.7</v>
      </c>
      <c r="K2298" s="12">
        <v>13.75</v>
      </c>
      <c r="L2298" s="2">
        <f t="shared" si="212"/>
        <v>-178.70000000000005</v>
      </c>
      <c r="M2298" s="15">
        <f t="shared" si="211"/>
        <v>-2457.1250000000005</v>
      </c>
      <c r="N2298" t="str">
        <f t="shared" si="208"/>
        <v>AP</v>
      </c>
      <c r="O2298" t="str">
        <f t="shared" si="209"/>
        <v>Macapa</v>
      </c>
    </row>
    <row r="2299" spans="1:15" x14ac:dyDescent="0.3">
      <c r="A2299" s="10">
        <v>45992</v>
      </c>
      <c r="B2299" s="9" t="s">
        <v>21</v>
      </c>
      <c r="C2299" t="s">
        <v>228</v>
      </c>
      <c r="D2299" s="9">
        <v>19907</v>
      </c>
      <c r="E2299" s="5" t="s">
        <v>547</v>
      </c>
      <c r="F2299" t="s">
        <v>234</v>
      </c>
      <c r="G2299">
        <v>1475</v>
      </c>
      <c r="H2299">
        <v>705</v>
      </c>
      <c r="I2299" s="8">
        <f t="shared" si="210"/>
        <v>0.47796610169491527</v>
      </c>
      <c r="J2299" s="17">
        <v>0.7</v>
      </c>
      <c r="K2299" s="12">
        <v>13.75</v>
      </c>
      <c r="L2299" s="2">
        <f t="shared" si="212"/>
        <v>327.49999999999977</v>
      </c>
      <c r="M2299" s="15">
        <f t="shared" si="211"/>
        <v>4503.1249999999973</v>
      </c>
      <c r="N2299" t="str">
        <f t="shared" si="208"/>
        <v>BA</v>
      </c>
      <c r="O2299" t="str">
        <f t="shared" si="209"/>
        <v>Salvador</v>
      </c>
    </row>
    <row r="2300" spans="1:15" x14ac:dyDescent="0.3">
      <c r="A2300" s="10">
        <v>45992</v>
      </c>
      <c r="B2300" s="9" t="s">
        <v>15</v>
      </c>
      <c r="C2300" t="s">
        <v>145</v>
      </c>
      <c r="D2300" s="9">
        <v>19538</v>
      </c>
      <c r="E2300" s="5" t="s">
        <v>548</v>
      </c>
      <c r="F2300" t="s">
        <v>146</v>
      </c>
      <c r="G2300">
        <v>3432</v>
      </c>
      <c r="H2300">
        <v>1401</v>
      </c>
      <c r="I2300" s="8">
        <f t="shared" si="210"/>
        <v>0.40821678321678323</v>
      </c>
      <c r="J2300" s="17">
        <v>0.7</v>
      </c>
      <c r="K2300" s="12">
        <v>13.75</v>
      </c>
      <c r="L2300" s="2">
        <f t="shared" si="212"/>
        <v>1001.3999999999996</v>
      </c>
      <c r="M2300" s="15">
        <f t="shared" si="211"/>
        <v>13769.249999999995</v>
      </c>
      <c r="N2300" t="str">
        <f t="shared" si="208"/>
        <v>RJ</v>
      </c>
      <c r="O2300" t="str">
        <f t="shared" si="209"/>
        <v>Niterói</v>
      </c>
    </row>
    <row r="2301" spans="1:15" x14ac:dyDescent="0.3">
      <c r="A2301" s="10">
        <v>45992</v>
      </c>
      <c r="B2301" s="9" t="s">
        <v>71</v>
      </c>
      <c r="C2301" t="s">
        <v>175</v>
      </c>
      <c r="D2301" s="9">
        <v>19947</v>
      </c>
      <c r="E2301" s="5" t="s">
        <v>550</v>
      </c>
      <c r="F2301" t="s">
        <v>180</v>
      </c>
      <c r="G2301">
        <v>3139</v>
      </c>
      <c r="H2301">
        <v>1048</v>
      </c>
      <c r="I2301" s="8">
        <f t="shared" si="210"/>
        <v>0.33386428798980566</v>
      </c>
      <c r="J2301" s="17">
        <v>0.7</v>
      </c>
      <c r="K2301" s="12">
        <v>13.75</v>
      </c>
      <c r="L2301" s="2">
        <f t="shared" si="212"/>
        <v>1149.2999999999997</v>
      </c>
      <c r="M2301" s="15">
        <f t="shared" si="211"/>
        <v>15802.874999999996</v>
      </c>
      <c r="N2301" t="str">
        <f t="shared" si="208"/>
        <v>RS</v>
      </c>
      <c r="O2301" t="str">
        <f t="shared" si="209"/>
        <v>Porto Alegre</v>
      </c>
    </row>
    <row r="2302" spans="1:15" x14ac:dyDescent="0.3">
      <c r="A2302" s="10">
        <v>45992</v>
      </c>
      <c r="B2302" s="9" t="s">
        <v>14</v>
      </c>
      <c r="C2302" t="s">
        <v>114</v>
      </c>
      <c r="D2302" s="9">
        <v>19943</v>
      </c>
      <c r="E2302" s="5" t="s">
        <v>551</v>
      </c>
      <c r="F2302" t="s">
        <v>115</v>
      </c>
      <c r="G2302">
        <v>933</v>
      </c>
      <c r="H2302">
        <v>434</v>
      </c>
      <c r="I2302" s="8">
        <f t="shared" si="210"/>
        <v>0.46516613076098606</v>
      </c>
      <c r="J2302" s="17">
        <v>0.7</v>
      </c>
      <c r="K2302" s="12">
        <v>13.75</v>
      </c>
      <c r="L2302" s="2">
        <f t="shared" si="212"/>
        <v>219.09999999999991</v>
      </c>
      <c r="M2302" s="15">
        <f t="shared" si="211"/>
        <v>3012.6249999999986</v>
      </c>
      <c r="N2302" t="str">
        <f t="shared" si="208"/>
        <v>MG</v>
      </c>
      <c r="O2302" t="str">
        <f t="shared" si="209"/>
        <v>Ituiutaba</v>
      </c>
    </row>
    <row r="2303" spans="1:15" x14ac:dyDescent="0.3">
      <c r="A2303" s="10">
        <v>45992</v>
      </c>
      <c r="B2303" s="9" t="s">
        <v>244</v>
      </c>
      <c r="C2303" t="s">
        <v>245</v>
      </c>
      <c r="D2303" s="9">
        <v>19617</v>
      </c>
      <c r="E2303" s="5" t="s">
        <v>552</v>
      </c>
      <c r="F2303" t="s">
        <v>246</v>
      </c>
      <c r="G2303">
        <v>3636</v>
      </c>
      <c r="H2303">
        <v>1716</v>
      </c>
      <c r="I2303" s="8">
        <f t="shared" si="210"/>
        <v>0.47194719471947194</v>
      </c>
      <c r="J2303" s="17">
        <v>0.7</v>
      </c>
      <c r="K2303" s="12">
        <v>13.75</v>
      </c>
      <c r="L2303" s="2">
        <f t="shared" si="212"/>
        <v>829.19999999999982</v>
      </c>
      <c r="M2303" s="15">
        <f t="shared" si="211"/>
        <v>11401.499999999998</v>
      </c>
      <c r="N2303" t="str">
        <f t="shared" si="208"/>
        <v>MA</v>
      </c>
      <c r="O2303" t="str">
        <f t="shared" si="209"/>
        <v>São Luís</v>
      </c>
    </row>
    <row r="2304" spans="1:15" x14ac:dyDescent="0.3">
      <c r="A2304" s="10">
        <v>45992</v>
      </c>
      <c r="B2304" s="9" t="s">
        <v>244</v>
      </c>
      <c r="C2304" t="s">
        <v>245</v>
      </c>
      <c r="D2304" s="9">
        <v>19595</v>
      </c>
      <c r="E2304" s="5" t="s">
        <v>553</v>
      </c>
      <c r="F2304" t="s">
        <v>247</v>
      </c>
      <c r="G2304">
        <v>3644</v>
      </c>
      <c r="H2304">
        <v>1823</v>
      </c>
      <c r="I2304" s="8">
        <f t="shared" si="210"/>
        <v>0.50027442371020858</v>
      </c>
      <c r="J2304" s="17">
        <v>0.7</v>
      </c>
      <c r="K2304" s="12">
        <v>13.75</v>
      </c>
      <c r="L2304" s="2">
        <f t="shared" si="212"/>
        <v>727.79999999999973</v>
      </c>
      <c r="M2304" s="15">
        <f t="shared" si="211"/>
        <v>10007.249999999996</v>
      </c>
      <c r="N2304" t="str">
        <f t="shared" si="208"/>
        <v>MA</v>
      </c>
      <c r="O2304" t="str">
        <f t="shared" si="209"/>
        <v>São Luís</v>
      </c>
    </row>
    <row r="2305" spans="1:15" x14ac:dyDescent="0.3">
      <c r="A2305" s="10">
        <v>45992</v>
      </c>
      <c r="B2305" s="9" t="s">
        <v>3</v>
      </c>
      <c r="C2305" t="s">
        <v>10</v>
      </c>
      <c r="D2305" s="9">
        <v>19948</v>
      </c>
      <c r="E2305" s="5" t="s">
        <v>555</v>
      </c>
      <c r="F2305" t="s">
        <v>11</v>
      </c>
      <c r="G2305">
        <v>1585</v>
      </c>
      <c r="H2305">
        <v>621</v>
      </c>
      <c r="I2305" s="8">
        <f t="shared" si="210"/>
        <v>0.3917981072555205</v>
      </c>
      <c r="J2305" s="17">
        <v>0.7</v>
      </c>
      <c r="K2305" s="12">
        <v>13.75</v>
      </c>
      <c r="L2305" s="2">
        <f t="shared" si="212"/>
        <v>488.5</v>
      </c>
      <c r="M2305" s="15">
        <f t="shared" si="211"/>
        <v>6716.875</v>
      </c>
      <c r="N2305" t="str">
        <f t="shared" si="208"/>
        <v>SP</v>
      </c>
      <c r="O2305" t="str">
        <f t="shared" si="209"/>
        <v>Araraquara</v>
      </c>
    </row>
    <row r="2306" spans="1:15" x14ac:dyDescent="0.3">
      <c r="A2306" s="10">
        <v>45992</v>
      </c>
      <c r="B2306" s="9" t="s">
        <v>74</v>
      </c>
      <c r="C2306" t="s">
        <v>75</v>
      </c>
      <c r="D2306" s="9">
        <v>19798</v>
      </c>
      <c r="E2306" s="5" t="s">
        <v>556</v>
      </c>
      <c r="F2306" t="s">
        <v>76</v>
      </c>
      <c r="G2306">
        <v>3411</v>
      </c>
      <c r="H2306">
        <v>1729</v>
      </c>
      <c r="I2306" s="8">
        <f t="shared" si="210"/>
        <v>0.50688947522720607</v>
      </c>
      <c r="J2306" s="17">
        <v>0.7</v>
      </c>
      <c r="K2306" s="12">
        <v>13.75</v>
      </c>
      <c r="L2306" s="2">
        <f t="shared" si="212"/>
        <v>658.70000000000027</v>
      </c>
      <c r="M2306" s="15">
        <f t="shared" si="211"/>
        <v>9057.1250000000036</v>
      </c>
      <c r="N2306" t="str">
        <f t="shared" ref="N2306:N2369" si="213">B2306</f>
        <v>PE</v>
      </c>
      <c r="O2306" t="str">
        <f t="shared" ref="O2306:O2369" si="214">C2306</f>
        <v>Caruaru</v>
      </c>
    </row>
    <row r="2307" spans="1:15" x14ac:dyDescent="0.3">
      <c r="A2307" s="10">
        <v>45992</v>
      </c>
      <c r="B2307" s="9" t="s">
        <v>15</v>
      </c>
      <c r="C2307" t="s">
        <v>19</v>
      </c>
      <c r="D2307" s="9">
        <v>19694</v>
      </c>
      <c r="E2307" s="5" t="s">
        <v>557</v>
      </c>
      <c r="F2307" t="s">
        <v>20</v>
      </c>
      <c r="G2307">
        <v>2406</v>
      </c>
      <c r="H2307">
        <v>1372</v>
      </c>
      <c r="I2307" s="8">
        <f t="shared" ref="I2307:I2370" si="215">H2307/G2307</f>
        <v>0.57024106400665009</v>
      </c>
      <c r="J2307" s="17">
        <v>0.7</v>
      </c>
      <c r="K2307" s="12">
        <v>13.75</v>
      </c>
      <c r="L2307" s="2">
        <f t="shared" si="212"/>
        <v>312.19999999999982</v>
      </c>
      <c r="M2307" s="15">
        <f t="shared" ref="M2307:M2370" si="216">L2307*K2307</f>
        <v>4292.7499999999973</v>
      </c>
      <c r="N2307" t="str">
        <f t="shared" si="213"/>
        <v>RJ</v>
      </c>
      <c r="O2307" t="str">
        <f t="shared" si="214"/>
        <v>Barra Mansa</v>
      </c>
    </row>
    <row r="2308" spans="1:15" x14ac:dyDescent="0.3">
      <c r="A2308" s="10">
        <v>45992</v>
      </c>
      <c r="B2308" s="9" t="s">
        <v>14</v>
      </c>
      <c r="C2308" t="s">
        <v>112</v>
      </c>
      <c r="D2308" s="9">
        <v>19951</v>
      </c>
      <c r="E2308" s="5" t="s">
        <v>558</v>
      </c>
      <c r="F2308" t="s">
        <v>113</v>
      </c>
      <c r="G2308">
        <v>2232</v>
      </c>
      <c r="H2308">
        <v>845</v>
      </c>
      <c r="I2308" s="8">
        <f t="shared" si="215"/>
        <v>0.37858422939068098</v>
      </c>
      <c r="J2308" s="17">
        <v>0.7</v>
      </c>
      <c r="K2308" s="12">
        <v>13.75</v>
      </c>
      <c r="L2308" s="2">
        <f t="shared" si="212"/>
        <v>717.40000000000009</v>
      </c>
      <c r="M2308" s="15">
        <f t="shared" si="216"/>
        <v>9864.2500000000018</v>
      </c>
      <c r="N2308" t="str">
        <f t="shared" si="213"/>
        <v>MG</v>
      </c>
      <c r="O2308" t="str">
        <f t="shared" si="214"/>
        <v>Ipatinga</v>
      </c>
    </row>
    <row r="2309" spans="1:15" x14ac:dyDescent="0.3">
      <c r="A2309" s="10">
        <v>45992</v>
      </c>
      <c r="B2309" s="9" t="s">
        <v>160</v>
      </c>
      <c r="C2309" t="s">
        <v>161</v>
      </c>
      <c r="D2309" s="9">
        <v>19954</v>
      </c>
      <c r="E2309" s="5" t="s">
        <v>559</v>
      </c>
      <c r="F2309" t="s">
        <v>162</v>
      </c>
      <c r="G2309">
        <v>822</v>
      </c>
      <c r="H2309">
        <v>513</v>
      </c>
      <c r="I2309" s="8">
        <f t="shared" si="215"/>
        <v>0.62408759124087587</v>
      </c>
      <c r="J2309" s="17">
        <v>0.7</v>
      </c>
      <c r="K2309" s="12">
        <v>13.75</v>
      </c>
      <c r="L2309" s="2">
        <f t="shared" si="212"/>
        <v>62.399999999999977</v>
      </c>
      <c r="M2309" s="15">
        <f t="shared" si="216"/>
        <v>857.99999999999966</v>
      </c>
      <c r="N2309" t="str">
        <f t="shared" si="213"/>
        <v>PI</v>
      </c>
      <c r="O2309" t="str">
        <f t="shared" si="214"/>
        <v>Parnaíba</v>
      </c>
    </row>
    <row r="2310" spans="1:15" x14ac:dyDescent="0.3">
      <c r="A2310" s="10">
        <v>45992</v>
      </c>
      <c r="B2310" s="9" t="s">
        <v>14</v>
      </c>
      <c r="C2310" t="s">
        <v>316</v>
      </c>
      <c r="D2310" s="9">
        <v>19615</v>
      </c>
      <c r="E2310" s="5" t="s">
        <v>560</v>
      </c>
      <c r="F2310" t="s">
        <v>117</v>
      </c>
      <c r="G2310">
        <v>2697</v>
      </c>
      <c r="H2310">
        <v>992</v>
      </c>
      <c r="I2310" s="8">
        <f t="shared" si="215"/>
        <v>0.36781609195402298</v>
      </c>
      <c r="J2310" s="17">
        <v>0.7</v>
      </c>
      <c r="K2310" s="12">
        <v>13.75</v>
      </c>
      <c r="L2310" s="2">
        <f t="shared" si="212"/>
        <v>895.89999999999986</v>
      </c>
      <c r="M2310" s="15">
        <f t="shared" si="216"/>
        <v>12318.624999999998</v>
      </c>
      <c r="N2310" t="str">
        <f t="shared" si="213"/>
        <v>MG</v>
      </c>
      <c r="O2310" t="str">
        <f t="shared" si="214"/>
        <v>Juiz de Fora</v>
      </c>
    </row>
    <row r="2311" spans="1:15" x14ac:dyDescent="0.3">
      <c r="A2311" s="10">
        <v>45992</v>
      </c>
      <c r="B2311" s="9" t="s">
        <v>46</v>
      </c>
      <c r="C2311" t="s">
        <v>47</v>
      </c>
      <c r="D2311" s="9">
        <v>19647</v>
      </c>
      <c r="E2311" s="5" t="s">
        <v>561</v>
      </c>
      <c r="F2311" t="s">
        <v>55</v>
      </c>
      <c r="G2311">
        <v>1481</v>
      </c>
      <c r="H2311">
        <v>402</v>
      </c>
      <c r="I2311" s="8">
        <f t="shared" si="215"/>
        <v>0.27143821742066171</v>
      </c>
      <c r="J2311" s="17">
        <v>0.7</v>
      </c>
      <c r="K2311" s="12">
        <v>13.75</v>
      </c>
      <c r="L2311" s="2">
        <f t="shared" si="212"/>
        <v>634.70000000000005</v>
      </c>
      <c r="M2311" s="15">
        <f t="shared" si="216"/>
        <v>8727.125</v>
      </c>
      <c r="N2311" t="str">
        <f t="shared" si="213"/>
        <v>DF</v>
      </c>
      <c r="O2311" t="str">
        <f t="shared" si="214"/>
        <v>Brasília</v>
      </c>
    </row>
    <row r="2312" spans="1:15" x14ac:dyDescent="0.3">
      <c r="A2312" s="10">
        <v>45992</v>
      </c>
      <c r="B2312" s="9" t="s">
        <v>46</v>
      </c>
      <c r="C2312" t="s">
        <v>47</v>
      </c>
      <c r="D2312" s="9">
        <v>19898</v>
      </c>
      <c r="E2312" s="5" t="s">
        <v>562</v>
      </c>
      <c r="F2312" t="s">
        <v>56</v>
      </c>
      <c r="G2312">
        <v>1031</v>
      </c>
      <c r="H2312">
        <v>297</v>
      </c>
      <c r="I2312" s="8">
        <f t="shared" si="215"/>
        <v>0.28806983511154222</v>
      </c>
      <c r="J2312" s="17">
        <v>0.7</v>
      </c>
      <c r="K2312" s="12">
        <v>13.75</v>
      </c>
      <c r="L2312" s="2">
        <f t="shared" si="212"/>
        <v>424.69999999999982</v>
      </c>
      <c r="M2312" s="15">
        <f t="shared" si="216"/>
        <v>5839.6249999999973</v>
      </c>
      <c r="N2312" t="str">
        <f t="shared" si="213"/>
        <v>DF</v>
      </c>
      <c r="O2312" t="str">
        <f t="shared" si="214"/>
        <v>Brasília</v>
      </c>
    </row>
    <row r="2313" spans="1:15" x14ac:dyDescent="0.3">
      <c r="A2313" s="10">
        <v>45992</v>
      </c>
      <c r="B2313" s="9" t="s">
        <v>3</v>
      </c>
      <c r="C2313" t="s">
        <v>64</v>
      </c>
      <c r="D2313" s="9">
        <v>19616</v>
      </c>
      <c r="E2313" s="5" t="s">
        <v>563</v>
      </c>
      <c r="F2313" t="s">
        <v>66</v>
      </c>
      <c r="G2313">
        <v>3949</v>
      </c>
      <c r="H2313">
        <v>1448</v>
      </c>
      <c r="I2313" s="8">
        <f t="shared" si="215"/>
        <v>0.36667510762218281</v>
      </c>
      <c r="J2313" s="17">
        <v>0.7</v>
      </c>
      <c r="K2313" s="12">
        <v>13.75</v>
      </c>
      <c r="L2313" s="2">
        <f t="shared" si="212"/>
        <v>1316.2999999999997</v>
      </c>
      <c r="M2313" s="15">
        <f t="shared" si="216"/>
        <v>18099.124999999996</v>
      </c>
      <c r="N2313" t="str">
        <f t="shared" si="213"/>
        <v>SP</v>
      </c>
      <c r="O2313" t="str">
        <f t="shared" si="214"/>
        <v>Campinas</v>
      </c>
    </row>
    <row r="2314" spans="1:15" x14ac:dyDescent="0.3">
      <c r="A2314" s="10">
        <v>45992</v>
      </c>
      <c r="B2314" s="9" t="s">
        <v>3</v>
      </c>
      <c r="C2314" t="s">
        <v>64</v>
      </c>
      <c r="D2314" s="9">
        <v>19688</v>
      </c>
      <c r="E2314" s="5" t="s">
        <v>564</v>
      </c>
      <c r="F2314" t="s">
        <v>67</v>
      </c>
      <c r="G2314">
        <v>1971</v>
      </c>
      <c r="H2314">
        <v>669</v>
      </c>
      <c r="I2314" s="8">
        <f t="shared" si="215"/>
        <v>0.33942161339421612</v>
      </c>
      <c r="J2314" s="17">
        <v>0.7</v>
      </c>
      <c r="K2314" s="12">
        <v>13.75</v>
      </c>
      <c r="L2314" s="2">
        <f t="shared" si="212"/>
        <v>710.7</v>
      </c>
      <c r="M2314" s="15">
        <f t="shared" si="216"/>
        <v>9772.125</v>
      </c>
      <c r="N2314" t="str">
        <f t="shared" si="213"/>
        <v>SP</v>
      </c>
      <c r="O2314" t="str">
        <f t="shared" si="214"/>
        <v>Campinas</v>
      </c>
    </row>
    <row r="2315" spans="1:15" x14ac:dyDescent="0.3">
      <c r="A2315" s="10">
        <v>45992</v>
      </c>
      <c r="B2315" s="9" t="s">
        <v>3</v>
      </c>
      <c r="C2315" t="s">
        <v>275</v>
      </c>
      <c r="D2315" s="9">
        <v>19721</v>
      </c>
      <c r="E2315" s="5" t="s">
        <v>565</v>
      </c>
      <c r="F2315" t="s">
        <v>276</v>
      </c>
      <c r="G2315">
        <v>2125</v>
      </c>
      <c r="H2315">
        <v>892</v>
      </c>
      <c r="I2315" s="8">
        <f t="shared" si="215"/>
        <v>0.41976470588235293</v>
      </c>
      <c r="J2315" s="17">
        <v>0.7</v>
      </c>
      <c r="K2315" s="12">
        <v>13.75</v>
      </c>
      <c r="L2315" s="2">
        <f t="shared" si="212"/>
        <v>595.5</v>
      </c>
      <c r="M2315" s="15">
        <f t="shared" si="216"/>
        <v>8188.125</v>
      </c>
      <c r="N2315" t="str">
        <f t="shared" si="213"/>
        <v>SP</v>
      </c>
      <c r="O2315" t="str">
        <f t="shared" si="214"/>
        <v>Sorocaba</v>
      </c>
    </row>
    <row r="2316" spans="1:15" x14ac:dyDescent="0.3">
      <c r="A2316" s="10">
        <v>45992</v>
      </c>
      <c r="B2316" s="9" t="s">
        <v>3</v>
      </c>
      <c r="C2316" t="s">
        <v>248</v>
      </c>
      <c r="D2316" s="9">
        <v>19863</v>
      </c>
      <c r="E2316" s="5" t="s">
        <v>566</v>
      </c>
      <c r="F2316" t="s">
        <v>268</v>
      </c>
      <c r="G2316">
        <v>2149</v>
      </c>
      <c r="H2316">
        <v>747</v>
      </c>
      <c r="I2316" s="8">
        <f t="shared" si="215"/>
        <v>0.34760353652861797</v>
      </c>
      <c r="J2316" s="17">
        <v>0.7</v>
      </c>
      <c r="K2316" s="12">
        <v>13.75</v>
      </c>
      <c r="L2316" s="2">
        <f t="shared" si="212"/>
        <v>757.3</v>
      </c>
      <c r="M2316" s="15">
        <f t="shared" si="216"/>
        <v>10412.875</v>
      </c>
      <c r="N2316" t="str">
        <f t="shared" si="213"/>
        <v>SP</v>
      </c>
      <c r="O2316" t="str">
        <f t="shared" si="214"/>
        <v>São Paulo</v>
      </c>
    </row>
    <row r="2317" spans="1:15" x14ac:dyDescent="0.3">
      <c r="A2317" s="10">
        <v>45992</v>
      </c>
      <c r="B2317" s="9" t="s">
        <v>3</v>
      </c>
      <c r="C2317" t="s">
        <v>248</v>
      </c>
      <c r="D2317" s="9">
        <v>19817</v>
      </c>
      <c r="E2317" s="5" t="s">
        <v>567</v>
      </c>
      <c r="F2317" t="s">
        <v>269</v>
      </c>
      <c r="G2317">
        <v>1495</v>
      </c>
      <c r="H2317">
        <v>533</v>
      </c>
      <c r="I2317" s="8">
        <f t="shared" si="215"/>
        <v>0.35652173913043478</v>
      </c>
      <c r="J2317" s="17">
        <v>0.7</v>
      </c>
      <c r="K2317" s="12">
        <v>13.75</v>
      </c>
      <c r="L2317" s="2">
        <f t="shared" si="212"/>
        <v>513.5</v>
      </c>
      <c r="M2317" s="15">
        <f t="shared" si="216"/>
        <v>7060.625</v>
      </c>
      <c r="N2317" t="str">
        <f t="shared" si="213"/>
        <v>SP</v>
      </c>
      <c r="O2317" t="str">
        <f t="shared" si="214"/>
        <v>São Paulo</v>
      </c>
    </row>
    <row r="2318" spans="1:15" x14ac:dyDescent="0.3">
      <c r="A2318" s="10">
        <v>45992</v>
      </c>
      <c r="B2318" s="9" t="s">
        <v>3</v>
      </c>
      <c r="C2318" t="s">
        <v>248</v>
      </c>
      <c r="D2318" s="9">
        <v>19866</v>
      </c>
      <c r="E2318" s="5" t="s">
        <v>568</v>
      </c>
      <c r="F2318" t="s">
        <v>270</v>
      </c>
      <c r="G2318">
        <v>1495</v>
      </c>
      <c r="H2318">
        <v>532</v>
      </c>
      <c r="I2318" s="8">
        <f t="shared" si="215"/>
        <v>0.35585284280936452</v>
      </c>
      <c r="J2318" s="17">
        <v>0.7</v>
      </c>
      <c r="K2318" s="12">
        <v>13.75</v>
      </c>
      <c r="L2318" s="2">
        <f t="shared" si="212"/>
        <v>514.5</v>
      </c>
      <c r="M2318" s="15">
        <f t="shared" si="216"/>
        <v>7074.375</v>
      </c>
      <c r="N2318" t="str">
        <f t="shared" si="213"/>
        <v>SP</v>
      </c>
      <c r="O2318" t="str">
        <f t="shared" si="214"/>
        <v>São Paulo</v>
      </c>
    </row>
    <row r="2319" spans="1:15" x14ac:dyDescent="0.3">
      <c r="A2319" s="10">
        <v>45992</v>
      </c>
      <c r="B2319" s="9" t="s">
        <v>3</v>
      </c>
      <c r="C2319" t="s">
        <v>110</v>
      </c>
      <c r="D2319" s="9">
        <v>19884</v>
      </c>
      <c r="E2319" s="5" t="s">
        <v>577</v>
      </c>
      <c r="F2319" t="s">
        <v>111</v>
      </c>
      <c r="G2319">
        <v>1909</v>
      </c>
      <c r="H2319">
        <v>624</v>
      </c>
      <c r="I2319" s="8">
        <f t="shared" si="215"/>
        <v>0.32687270822420117</v>
      </c>
      <c r="J2319" s="17">
        <v>0.7</v>
      </c>
      <c r="K2319" s="12">
        <v>13.75</v>
      </c>
      <c r="L2319" s="2">
        <f t="shared" si="212"/>
        <v>712.29999999999973</v>
      </c>
      <c r="M2319" s="15">
        <f t="shared" si="216"/>
        <v>9794.1249999999964</v>
      </c>
      <c r="N2319" t="str">
        <f t="shared" si="213"/>
        <v>SP</v>
      </c>
      <c r="O2319" t="str">
        <f t="shared" si="214"/>
        <v>Guarulhos</v>
      </c>
    </row>
    <row r="2320" spans="1:15" x14ac:dyDescent="0.3">
      <c r="A2320" s="10">
        <v>45992</v>
      </c>
      <c r="B2320" s="9" t="s">
        <v>3</v>
      </c>
      <c r="C2320" t="s">
        <v>248</v>
      </c>
      <c r="D2320" s="9">
        <v>19859</v>
      </c>
      <c r="E2320" s="5" t="s">
        <v>578</v>
      </c>
      <c r="F2320" t="s">
        <v>258</v>
      </c>
      <c r="G2320">
        <v>1895</v>
      </c>
      <c r="H2320">
        <v>620</v>
      </c>
      <c r="I2320" s="8">
        <f t="shared" si="215"/>
        <v>0.32717678100263853</v>
      </c>
      <c r="J2320" s="17">
        <v>0.7</v>
      </c>
      <c r="K2320" s="12">
        <v>13.75</v>
      </c>
      <c r="L2320" s="2">
        <f t="shared" si="212"/>
        <v>706.5</v>
      </c>
      <c r="M2320" s="15">
        <f t="shared" si="216"/>
        <v>9714.375</v>
      </c>
      <c r="N2320" t="str">
        <f t="shared" si="213"/>
        <v>SP</v>
      </c>
      <c r="O2320" t="str">
        <f t="shared" si="214"/>
        <v>São Paulo</v>
      </c>
    </row>
    <row r="2321" spans="1:15" x14ac:dyDescent="0.3">
      <c r="A2321" s="10">
        <v>45992</v>
      </c>
      <c r="B2321" s="9" t="s">
        <v>3</v>
      </c>
      <c r="C2321" t="s">
        <v>248</v>
      </c>
      <c r="D2321" s="9">
        <v>19711</v>
      </c>
      <c r="E2321" s="5" t="s">
        <v>579</v>
      </c>
      <c r="F2321" t="s">
        <v>264</v>
      </c>
      <c r="G2321">
        <v>1480</v>
      </c>
      <c r="H2321">
        <v>573</v>
      </c>
      <c r="I2321" s="8">
        <f t="shared" si="215"/>
        <v>0.38716216216216215</v>
      </c>
      <c r="J2321" s="17">
        <v>0.7</v>
      </c>
      <c r="K2321" s="12">
        <v>13.75</v>
      </c>
      <c r="L2321" s="2">
        <f t="shared" si="212"/>
        <v>463</v>
      </c>
      <c r="M2321" s="15">
        <f t="shared" si="216"/>
        <v>6366.25</v>
      </c>
      <c r="N2321" t="str">
        <f t="shared" si="213"/>
        <v>SP</v>
      </c>
      <c r="O2321" t="str">
        <f t="shared" si="214"/>
        <v>São Paulo</v>
      </c>
    </row>
    <row r="2322" spans="1:15" x14ac:dyDescent="0.3">
      <c r="A2322" s="10">
        <v>45992</v>
      </c>
      <c r="B2322" s="9" t="s">
        <v>3</v>
      </c>
      <c r="C2322" t="s">
        <v>248</v>
      </c>
      <c r="D2322" s="9">
        <v>19763</v>
      </c>
      <c r="E2322" s="5" t="s">
        <v>580</v>
      </c>
      <c r="F2322" t="s">
        <v>263</v>
      </c>
      <c r="G2322">
        <v>1412</v>
      </c>
      <c r="H2322">
        <v>560</v>
      </c>
      <c r="I2322" s="8">
        <f t="shared" si="215"/>
        <v>0.39660056657223797</v>
      </c>
      <c r="J2322" s="17">
        <v>0.7</v>
      </c>
      <c r="K2322" s="12">
        <v>13.75</v>
      </c>
      <c r="L2322" s="2">
        <f t="shared" si="212"/>
        <v>428.4</v>
      </c>
      <c r="M2322" s="15">
        <f t="shared" si="216"/>
        <v>5890.5</v>
      </c>
      <c r="N2322" t="str">
        <f t="shared" si="213"/>
        <v>SP</v>
      </c>
      <c r="O2322" t="str">
        <f t="shared" si="214"/>
        <v>São Paulo</v>
      </c>
    </row>
    <row r="2323" spans="1:15" x14ac:dyDescent="0.3">
      <c r="A2323" s="10">
        <v>45992</v>
      </c>
      <c r="B2323" s="9" t="s">
        <v>68</v>
      </c>
      <c r="C2323" t="s">
        <v>69</v>
      </c>
      <c r="D2323" s="9">
        <v>19602</v>
      </c>
      <c r="E2323" s="5" t="s">
        <v>570</v>
      </c>
      <c r="F2323" t="s">
        <v>70</v>
      </c>
      <c r="G2323">
        <v>263</v>
      </c>
      <c r="H2323">
        <v>49</v>
      </c>
      <c r="I2323" s="8">
        <f t="shared" si="215"/>
        <v>0.18631178707224336</v>
      </c>
      <c r="J2323" s="17">
        <v>0.7</v>
      </c>
      <c r="K2323" s="12">
        <v>13.75</v>
      </c>
      <c r="L2323" s="2">
        <f t="shared" si="212"/>
        <v>135.09999999999997</v>
      </c>
      <c r="M2323" s="15">
        <f t="shared" si="216"/>
        <v>1857.6249999999995</v>
      </c>
      <c r="N2323" t="str">
        <f t="shared" si="213"/>
        <v>MS</v>
      </c>
      <c r="O2323" t="str">
        <f t="shared" si="214"/>
        <v>Campo Grande</v>
      </c>
    </row>
    <row r="2324" spans="1:15" x14ac:dyDescent="0.3">
      <c r="A2324" s="10">
        <v>45992</v>
      </c>
      <c r="B2324" s="9" t="s">
        <v>46</v>
      </c>
      <c r="C2324" t="s">
        <v>47</v>
      </c>
      <c r="D2324" s="9">
        <v>19755</v>
      </c>
      <c r="E2324" s="5" t="s">
        <v>581</v>
      </c>
      <c r="F2324" t="s">
        <v>53</v>
      </c>
      <c r="G2324">
        <v>946</v>
      </c>
      <c r="H2324">
        <v>317</v>
      </c>
      <c r="I2324" s="8">
        <f t="shared" si="215"/>
        <v>0.33509513742071884</v>
      </c>
      <c r="J2324" s="17">
        <v>0.7</v>
      </c>
      <c r="K2324" s="12">
        <v>13.75</v>
      </c>
      <c r="L2324" s="2">
        <f t="shared" si="212"/>
        <v>345.19999999999993</v>
      </c>
      <c r="M2324" s="15">
        <f t="shared" si="216"/>
        <v>4746.4999999999991</v>
      </c>
      <c r="N2324" t="str">
        <f t="shared" si="213"/>
        <v>DF</v>
      </c>
      <c r="O2324" t="str">
        <f t="shared" si="214"/>
        <v>Brasília</v>
      </c>
    </row>
    <row r="2325" spans="1:15" x14ac:dyDescent="0.3">
      <c r="A2325" s="10">
        <v>45992</v>
      </c>
      <c r="B2325" s="9" t="s">
        <v>14</v>
      </c>
      <c r="C2325" t="s">
        <v>29</v>
      </c>
      <c r="D2325" s="9">
        <v>19780</v>
      </c>
      <c r="E2325" s="5" t="s">
        <v>582</v>
      </c>
      <c r="F2325" t="s">
        <v>35</v>
      </c>
      <c r="G2325">
        <v>1771</v>
      </c>
      <c r="H2325">
        <v>1128</v>
      </c>
      <c r="I2325" s="8">
        <f t="shared" si="215"/>
        <v>0.63692828910220212</v>
      </c>
      <c r="J2325" s="17">
        <v>0.7</v>
      </c>
      <c r="K2325" s="12">
        <v>13.75</v>
      </c>
      <c r="L2325" s="2">
        <f t="shared" si="212"/>
        <v>111.69999999999982</v>
      </c>
      <c r="M2325" s="15">
        <f t="shared" si="216"/>
        <v>1535.8749999999975</v>
      </c>
      <c r="N2325" t="str">
        <f t="shared" si="213"/>
        <v>MG</v>
      </c>
      <c r="O2325" t="str">
        <f t="shared" si="214"/>
        <v>Belo Horizonte</v>
      </c>
    </row>
    <row r="2326" spans="1:15" x14ac:dyDescent="0.3">
      <c r="A2326" s="10">
        <v>45992</v>
      </c>
      <c r="B2326" s="9" t="s">
        <v>3</v>
      </c>
      <c r="C2326" t="s">
        <v>321</v>
      </c>
      <c r="D2326" s="9">
        <v>19825</v>
      </c>
      <c r="E2326" s="5" t="s">
        <v>583</v>
      </c>
      <c r="F2326" t="s">
        <v>241</v>
      </c>
      <c r="G2326">
        <v>1545</v>
      </c>
      <c r="H2326">
        <v>460</v>
      </c>
      <c r="I2326" s="8">
        <f t="shared" si="215"/>
        <v>0.29773462783171523</v>
      </c>
      <c r="J2326" s="17">
        <v>0.7</v>
      </c>
      <c r="K2326" s="12">
        <v>13.75</v>
      </c>
      <c r="L2326" s="2">
        <f t="shared" si="212"/>
        <v>621.5</v>
      </c>
      <c r="M2326" s="15">
        <f t="shared" si="216"/>
        <v>8545.625</v>
      </c>
      <c r="N2326" t="str">
        <f t="shared" si="213"/>
        <v>SP</v>
      </c>
      <c r="O2326" t="str">
        <f t="shared" si="214"/>
        <v>SÃO BERNARDO DO CAMPO</v>
      </c>
    </row>
    <row r="2327" spans="1:15" x14ac:dyDescent="0.3">
      <c r="A2327" s="10">
        <v>45992</v>
      </c>
      <c r="B2327" s="9" t="s">
        <v>3</v>
      </c>
      <c r="C2327" t="s">
        <v>320</v>
      </c>
      <c r="D2327" s="9">
        <v>19847</v>
      </c>
      <c r="E2327" s="5" t="s">
        <v>584</v>
      </c>
      <c r="F2327" t="s">
        <v>238</v>
      </c>
      <c r="G2327">
        <v>1863</v>
      </c>
      <c r="H2327">
        <v>575</v>
      </c>
      <c r="I2327" s="8">
        <f t="shared" si="215"/>
        <v>0.30864197530864196</v>
      </c>
      <c r="J2327" s="17">
        <v>0.7</v>
      </c>
      <c r="K2327" s="12">
        <v>13.75</v>
      </c>
      <c r="L2327" s="2">
        <f t="shared" si="212"/>
        <v>729.10000000000014</v>
      </c>
      <c r="M2327" s="15">
        <f t="shared" si="216"/>
        <v>10025.125000000002</v>
      </c>
      <c r="N2327" t="str">
        <f t="shared" si="213"/>
        <v>SP</v>
      </c>
      <c r="O2327" t="str">
        <f t="shared" si="214"/>
        <v>SANTO ANDRÉ</v>
      </c>
    </row>
    <row r="2328" spans="1:15" x14ac:dyDescent="0.3">
      <c r="A2328" s="10">
        <v>45992</v>
      </c>
      <c r="B2328" s="9" t="s">
        <v>3</v>
      </c>
      <c r="C2328" t="s">
        <v>248</v>
      </c>
      <c r="D2328" s="9">
        <v>19890</v>
      </c>
      <c r="E2328" s="5" t="s">
        <v>585</v>
      </c>
      <c r="F2328" t="s">
        <v>259</v>
      </c>
      <c r="G2328">
        <v>1071</v>
      </c>
      <c r="H2328">
        <v>355</v>
      </c>
      <c r="I2328" s="8">
        <f t="shared" si="215"/>
        <v>0.33146591970121381</v>
      </c>
      <c r="J2328" s="17">
        <v>0.7</v>
      </c>
      <c r="K2328" s="12">
        <v>13.75</v>
      </c>
      <c r="L2328" s="2">
        <f t="shared" si="212"/>
        <v>394.69999999999993</v>
      </c>
      <c r="M2328" s="15">
        <f t="shared" si="216"/>
        <v>5427.1249999999991</v>
      </c>
      <c r="N2328" t="str">
        <f t="shared" si="213"/>
        <v>SP</v>
      </c>
      <c r="O2328" t="str">
        <f t="shared" si="214"/>
        <v>São Paulo</v>
      </c>
    </row>
    <row r="2329" spans="1:15" x14ac:dyDescent="0.3">
      <c r="A2329" s="10">
        <v>45992</v>
      </c>
      <c r="B2329" s="9" t="s">
        <v>3</v>
      </c>
      <c r="C2329" t="s">
        <v>239</v>
      </c>
      <c r="D2329" s="9">
        <v>19708</v>
      </c>
      <c r="E2329" s="5" t="s">
        <v>586</v>
      </c>
      <c r="F2329" t="s">
        <v>240</v>
      </c>
      <c r="G2329">
        <v>2560</v>
      </c>
      <c r="H2329">
        <v>1010</v>
      </c>
      <c r="I2329" s="8">
        <f t="shared" si="215"/>
        <v>0.39453125</v>
      </c>
      <c r="J2329" s="17">
        <v>0.7</v>
      </c>
      <c r="K2329" s="12">
        <v>13.75</v>
      </c>
      <c r="L2329" s="2">
        <f t="shared" si="212"/>
        <v>782</v>
      </c>
      <c r="M2329" s="15">
        <f t="shared" si="216"/>
        <v>10752.5</v>
      </c>
      <c r="N2329" t="str">
        <f t="shared" si="213"/>
        <v>SP</v>
      </c>
      <c r="O2329" t="str">
        <f t="shared" si="214"/>
        <v>Santos</v>
      </c>
    </row>
    <row r="2330" spans="1:15" x14ac:dyDescent="0.3">
      <c r="A2330" s="10">
        <v>45992</v>
      </c>
      <c r="B2330" s="9" t="s">
        <v>3</v>
      </c>
      <c r="C2330" t="s">
        <v>318</v>
      </c>
      <c r="D2330" s="9">
        <v>19745</v>
      </c>
      <c r="E2330" s="5" t="s">
        <v>587</v>
      </c>
      <c r="F2330" t="s">
        <v>154</v>
      </c>
      <c r="G2330">
        <v>2061</v>
      </c>
      <c r="H2330">
        <v>892</v>
      </c>
      <c r="I2330" s="8">
        <f t="shared" si="215"/>
        <v>0.43279961183891313</v>
      </c>
      <c r="J2330" s="17">
        <v>0.7</v>
      </c>
      <c r="K2330" s="12">
        <v>13.75</v>
      </c>
      <c r="L2330" s="2">
        <f t="shared" si="212"/>
        <v>550.70000000000005</v>
      </c>
      <c r="M2330" s="15">
        <f t="shared" si="216"/>
        <v>7572.1250000000009</v>
      </c>
      <c r="N2330" t="str">
        <f t="shared" si="213"/>
        <v>SP</v>
      </c>
      <c r="O2330" t="str">
        <f t="shared" si="214"/>
        <v>OSASCO</v>
      </c>
    </row>
    <row r="2331" spans="1:15" x14ac:dyDescent="0.3">
      <c r="A2331" s="10">
        <v>45992</v>
      </c>
      <c r="B2331" s="9" t="s">
        <v>3</v>
      </c>
      <c r="C2331" t="s">
        <v>248</v>
      </c>
      <c r="D2331" s="9">
        <v>19710</v>
      </c>
      <c r="E2331" s="5" t="s">
        <v>588</v>
      </c>
      <c r="F2331" t="s">
        <v>261</v>
      </c>
      <c r="G2331">
        <v>1597</v>
      </c>
      <c r="H2331">
        <v>710</v>
      </c>
      <c r="I2331" s="8">
        <f t="shared" si="215"/>
        <v>0.44458359423919852</v>
      </c>
      <c r="J2331" s="17">
        <v>0.7</v>
      </c>
      <c r="K2331" s="12">
        <v>13.75</v>
      </c>
      <c r="L2331" s="2">
        <f t="shared" si="212"/>
        <v>407.89999999999986</v>
      </c>
      <c r="M2331" s="15">
        <f t="shared" si="216"/>
        <v>5608.6249999999982</v>
      </c>
      <c r="N2331" t="str">
        <f t="shared" si="213"/>
        <v>SP</v>
      </c>
      <c r="O2331" t="str">
        <f t="shared" si="214"/>
        <v>São Paulo</v>
      </c>
    </row>
    <row r="2332" spans="1:15" x14ac:dyDescent="0.3">
      <c r="A2332" s="10">
        <v>45992</v>
      </c>
      <c r="B2332" s="9" t="s">
        <v>3</v>
      </c>
      <c r="C2332" t="s">
        <v>248</v>
      </c>
      <c r="D2332" s="9">
        <v>19891</v>
      </c>
      <c r="E2332" s="5" t="s">
        <v>612</v>
      </c>
      <c r="F2332" t="s">
        <v>260</v>
      </c>
      <c r="G2332">
        <v>1379</v>
      </c>
      <c r="H2332">
        <v>658</v>
      </c>
      <c r="I2332" s="8">
        <f t="shared" si="215"/>
        <v>0.47715736040609136</v>
      </c>
      <c r="J2332" s="17">
        <v>0.7</v>
      </c>
      <c r="K2332" s="12">
        <v>13.75</v>
      </c>
      <c r="L2332" s="2">
        <f t="shared" si="212"/>
        <v>307.29999999999995</v>
      </c>
      <c r="M2332" s="15">
        <f t="shared" si="216"/>
        <v>4225.3749999999991</v>
      </c>
      <c r="N2332" t="str">
        <f t="shared" si="213"/>
        <v>SP</v>
      </c>
      <c r="O2332" t="str">
        <f t="shared" si="214"/>
        <v>São Paulo</v>
      </c>
    </row>
    <row r="2333" spans="1:15" x14ac:dyDescent="0.3">
      <c r="A2333" s="10">
        <v>45992</v>
      </c>
      <c r="B2333" s="9" t="s">
        <v>3</v>
      </c>
      <c r="C2333" t="s">
        <v>322</v>
      </c>
      <c r="D2333" s="9">
        <v>19808</v>
      </c>
      <c r="E2333" s="5" t="s">
        <v>589</v>
      </c>
      <c r="F2333" t="s">
        <v>243</v>
      </c>
      <c r="G2333">
        <v>1689</v>
      </c>
      <c r="H2333">
        <v>457</v>
      </c>
      <c r="I2333" s="8">
        <f t="shared" si="215"/>
        <v>0.27057430432208407</v>
      </c>
      <c r="J2333" s="17">
        <v>0.7</v>
      </c>
      <c r="K2333" s="12">
        <v>13.75</v>
      </c>
      <c r="L2333" s="2">
        <f t="shared" si="212"/>
        <v>725.3</v>
      </c>
      <c r="M2333" s="15">
        <f t="shared" si="216"/>
        <v>9972.875</v>
      </c>
      <c r="N2333" t="str">
        <f t="shared" si="213"/>
        <v>SP</v>
      </c>
      <c r="O2333" t="str">
        <f t="shared" si="214"/>
        <v>São Caetano do Sul</v>
      </c>
    </row>
    <row r="2334" spans="1:15" x14ac:dyDescent="0.3">
      <c r="A2334" s="10">
        <v>45992</v>
      </c>
      <c r="B2334" s="9" t="s">
        <v>3</v>
      </c>
      <c r="C2334" t="s">
        <v>248</v>
      </c>
      <c r="D2334" s="9">
        <v>19804</v>
      </c>
      <c r="E2334" s="5" t="s">
        <v>590</v>
      </c>
      <c r="F2334" t="s">
        <v>255</v>
      </c>
      <c r="G2334">
        <v>1467</v>
      </c>
      <c r="H2334">
        <v>482</v>
      </c>
      <c r="I2334" s="8">
        <f t="shared" si="215"/>
        <v>0.32856169052488071</v>
      </c>
      <c r="J2334" s="17">
        <v>0.7</v>
      </c>
      <c r="K2334" s="12">
        <v>13.75</v>
      </c>
      <c r="L2334" s="2">
        <f t="shared" si="212"/>
        <v>544.89999999999986</v>
      </c>
      <c r="M2334" s="15">
        <f t="shared" si="216"/>
        <v>7492.3749999999982</v>
      </c>
      <c r="N2334" t="str">
        <f t="shared" si="213"/>
        <v>SP</v>
      </c>
      <c r="O2334" t="str">
        <f t="shared" si="214"/>
        <v>São Paulo</v>
      </c>
    </row>
    <row r="2335" spans="1:15" x14ac:dyDescent="0.3">
      <c r="A2335" s="10">
        <v>45992</v>
      </c>
      <c r="B2335" s="9" t="s">
        <v>3</v>
      </c>
      <c r="C2335" t="s">
        <v>321</v>
      </c>
      <c r="D2335" s="9">
        <v>19820</v>
      </c>
      <c r="E2335" s="5" t="s">
        <v>591</v>
      </c>
      <c r="F2335" t="s">
        <v>242</v>
      </c>
      <c r="G2335">
        <v>1150</v>
      </c>
      <c r="H2335">
        <v>358</v>
      </c>
      <c r="I2335" s="8">
        <f t="shared" si="215"/>
        <v>0.31130434782608696</v>
      </c>
      <c r="J2335" s="17">
        <v>0.7</v>
      </c>
      <c r="K2335" s="12">
        <v>13.75</v>
      </c>
      <c r="L2335" s="2">
        <f t="shared" si="212"/>
        <v>447</v>
      </c>
      <c r="M2335" s="15">
        <f t="shared" si="216"/>
        <v>6146.25</v>
      </c>
      <c r="N2335" t="str">
        <f t="shared" si="213"/>
        <v>SP</v>
      </c>
      <c r="O2335" t="str">
        <f t="shared" si="214"/>
        <v>SÃO BERNARDO DO CAMPO</v>
      </c>
    </row>
    <row r="2336" spans="1:15" x14ac:dyDescent="0.3">
      <c r="A2336" s="10">
        <v>45992</v>
      </c>
      <c r="B2336" s="9" t="s">
        <v>3</v>
      </c>
      <c r="C2336" t="s">
        <v>24</v>
      </c>
      <c r="D2336" s="9">
        <v>19805</v>
      </c>
      <c r="E2336" s="5" t="s">
        <v>592</v>
      </c>
      <c r="F2336" t="s">
        <v>25</v>
      </c>
      <c r="G2336">
        <v>1783</v>
      </c>
      <c r="H2336">
        <v>897</v>
      </c>
      <c r="I2336" s="8">
        <f t="shared" si="215"/>
        <v>0.50308468872686485</v>
      </c>
      <c r="J2336" s="17">
        <v>0.7</v>
      </c>
      <c r="K2336" s="12">
        <v>13.75</v>
      </c>
      <c r="L2336" s="2">
        <f t="shared" si="212"/>
        <v>351.09999999999991</v>
      </c>
      <c r="M2336" s="15">
        <f t="shared" si="216"/>
        <v>4827.6249999999991</v>
      </c>
      <c r="N2336" t="str">
        <f t="shared" si="213"/>
        <v>SP</v>
      </c>
      <c r="O2336" t="str">
        <f t="shared" si="214"/>
        <v>Barueri</v>
      </c>
    </row>
    <row r="2337" spans="1:15" x14ac:dyDescent="0.3">
      <c r="A2337" s="10">
        <v>45992</v>
      </c>
      <c r="B2337" s="9" t="s">
        <v>14</v>
      </c>
      <c r="C2337" t="s">
        <v>29</v>
      </c>
      <c r="D2337" s="9">
        <v>19720</v>
      </c>
      <c r="E2337" s="5" t="s">
        <v>593</v>
      </c>
      <c r="F2337" t="s">
        <v>36</v>
      </c>
      <c r="G2337">
        <v>1322</v>
      </c>
      <c r="H2337">
        <v>507</v>
      </c>
      <c r="I2337" s="8">
        <f t="shared" si="215"/>
        <v>0.38350983358547658</v>
      </c>
      <c r="J2337" s="17">
        <v>0.7</v>
      </c>
      <c r="K2337" s="12">
        <v>13.75</v>
      </c>
      <c r="L2337" s="2">
        <f t="shared" si="212"/>
        <v>418.39999999999986</v>
      </c>
      <c r="M2337" s="15">
        <f t="shared" si="216"/>
        <v>5752.9999999999982</v>
      </c>
      <c r="N2337" t="str">
        <f t="shared" si="213"/>
        <v>MG</v>
      </c>
      <c r="O2337" t="str">
        <f t="shared" si="214"/>
        <v>Belo Horizonte</v>
      </c>
    </row>
    <row r="2338" spans="1:15" x14ac:dyDescent="0.3">
      <c r="A2338" s="10">
        <v>45992</v>
      </c>
      <c r="B2338" s="9" t="s">
        <v>3</v>
      </c>
      <c r="C2338" t="s">
        <v>108</v>
      </c>
      <c r="D2338" s="9">
        <v>19877</v>
      </c>
      <c r="E2338" s="5" t="s">
        <v>594</v>
      </c>
      <c r="F2338" t="s">
        <v>109</v>
      </c>
      <c r="G2338">
        <v>2800</v>
      </c>
      <c r="H2338">
        <v>1095</v>
      </c>
      <c r="I2338" s="8">
        <f t="shared" si="215"/>
        <v>0.39107142857142857</v>
      </c>
      <c r="J2338" s="17">
        <v>0.7</v>
      </c>
      <c r="K2338" s="12">
        <v>13.75</v>
      </c>
      <c r="L2338" s="2">
        <f t="shared" si="212"/>
        <v>865</v>
      </c>
      <c r="M2338" s="15">
        <f t="shared" si="216"/>
        <v>11893.75</v>
      </c>
      <c r="N2338" t="str">
        <f t="shared" si="213"/>
        <v>SP</v>
      </c>
      <c r="O2338" t="str">
        <f t="shared" si="214"/>
        <v>Guarujá</v>
      </c>
    </row>
    <row r="2339" spans="1:15" x14ac:dyDescent="0.3">
      <c r="A2339" s="10">
        <v>45992</v>
      </c>
      <c r="B2339" s="9" t="s">
        <v>15</v>
      </c>
      <c r="C2339" t="s">
        <v>332</v>
      </c>
      <c r="D2339" s="9">
        <v>19679</v>
      </c>
      <c r="E2339" s="5" t="s">
        <v>571</v>
      </c>
      <c r="F2339" t="s">
        <v>333</v>
      </c>
      <c r="G2339">
        <v>774</v>
      </c>
      <c r="H2339">
        <v>362</v>
      </c>
      <c r="I2339" s="8">
        <f t="shared" si="215"/>
        <v>0.46770025839793283</v>
      </c>
      <c r="J2339" s="17">
        <v>0.7</v>
      </c>
      <c r="K2339" s="12">
        <v>13.75</v>
      </c>
      <c r="L2339" s="2">
        <f t="shared" si="212"/>
        <v>179.79999999999995</v>
      </c>
      <c r="M2339" s="15">
        <f t="shared" si="216"/>
        <v>2472.2499999999995</v>
      </c>
      <c r="N2339" t="str">
        <f t="shared" si="213"/>
        <v>RJ</v>
      </c>
      <c r="O2339" t="str">
        <f t="shared" si="214"/>
        <v>Macaé</v>
      </c>
    </row>
    <row r="2340" spans="1:15" x14ac:dyDescent="0.3">
      <c r="A2340" s="10">
        <v>45992</v>
      </c>
      <c r="B2340" s="9" t="s">
        <v>59</v>
      </c>
      <c r="C2340" t="s">
        <v>104</v>
      </c>
      <c r="D2340" s="9">
        <v>19872</v>
      </c>
      <c r="E2340" s="5" t="s">
        <v>572</v>
      </c>
      <c r="F2340" t="s">
        <v>105</v>
      </c>
      <c r="G2340">
        <v>3932</v>
      </c>
      <c r="H2340">
        <v>1946</v>
      </c>
      <c r="I2340" s="8">
        <f t="shared" si="215"/>
        <v>0.49491353001017296</v>
      </c>
      <c r="J2340" s="17">
        <v>0.7</v>
      </c>
      <c r="K2340" s="12">
        <v>13.75</v>
      </c>
      <c r="L2340" s="2">
        <f t="shared" si="212"/>
        <v>806.39999999999964</v>
      </c>
      <c r="M2340" s="15">
        <f t="shared" si="216"/>
        <v>11087.999999999995</v>
      </c>
      <c r="N2340" t="str">
        <f t="shared" si="213"/>
        <v>ES</v>
      </c>
      <c r="O2340" t="str">
        <f t="shared" si="214"/>
        <v>Guarapari</v>
      </c>
    </row>
    <row r="2341" spans="1:15" x14ac:dyDescent="0.3">
      <c r="A2341" s="10">
        <v>45992</v>
      </c>
      <c r="B2341" s="9" t="s">
        <v>15</v>
      </c>
      <c r="C2341" t="s">
        <v>145</v>
      </c>
      <c r="D2341" s="9">
        <v>19513</v>
      </c>
      <c r="E2341" s="5" t="s">
        <v>574</v>
      </c>
      <c r="F2341" t="s">
        <v>147</v>
      </c>
      <c r="G2341">
        <v>3134</v>
      </c>
      <c r="H2341">
        <v>1071</v>
      </c>
      <c r="I2341" s="8">
        <f t="shared" si="215"/>
        <v>0.34173580089342692</v>
      </c>
      <c r="J2341" s="17">
        <v>0.7</v>
      </c>
      <c r="K2341" s="12">
        <v>13.75</v>
      </c>
      <c r="L2341" s="2">
        <f t="shared" si="212"/>
        <v>1122.7999999999997</v>
      </c>
      <c r="M2341" s="15">
        <f t="shared" si="216"/>
        <v>15438.499999999996</v>
      </c>
      <c r="N2341" t="str">
        <f t="shared" si="213"/>
        <v>RJ</v>
      </c>
      <c r="O2341" t="str">
        <f t="shared" si="214"/>
        <v>Niterói</v>
      </c>
    </row>
    <row r="2342" spans="1:15" x14ac:dyDescent="0.3">
      <c r="A2342" s="10">
        <v>45992</v>
      </c>
      <c r="B2342" s="9" t="s">
        <v>15</v>
      </c>
      <c r="C2342" t="s">
        <v>145</v>
      </c>
      <c r="D2342" s="9">
        <v>19525</v>
      </c>
      <c r="E2342" s="5" t="s">
        <v>575</v>
      </c>
      <c r="F2342" t="s">
        <v>148</v>
      </c>
      <c r="G2342">
        <v>3710</v>
      </c>
      <c r="H2342">
        <v>1479</v>
      </c>
      <c r="I2342" s="8">
        <f t="shared" si="215"/>
        <v>0.39865229110512129</v>
      </c>
      <c r="J2342" s="17">
        <v>0.7</v>
      </c>
      <c r="K2342" s="12">
        <v>13.75</v>
      </c>
      <c r="L2342" s="2">
        <f t="shared" si="212"/>
        <v>1118</v>
      </c>
      <c r="M2342" s="15">
        <f t="shared" si="216"/>
        <v>15372.5</v>
      </c>
      <c r="N2342" t="str">
        <f t="shared" si="213"/>
        <v>RJ</v>
      </c>
      <c r="O2342" t="str">
        <f t="shared" si="214"/>
        <v>Niterói</v>
      </c>
    </row>
    <row r="2343" spans="1:15" x14ac:dyDescent="0.3">
      <c r="A2343" s="10">
        <v>45992</v>
      </c>
      <c r="B2343" s="9" t="s">
        <v>71</v>
      </c>
      <c r="C2343" t="s">
        <v>308</v>
      </c>
      <c r="D2343" s="9">
        <v>19956</v>
      </c>
      <c r="E2343" s="5" t="s">
        <v>614</v>
      </c>
      <c r="F2343" t="s">
        <v>309</v>
      </c>
      <c r="G2343">
        <v>1214</v>
      </c>
      <c r="H2343">
        <v>516</v>
      </c>
      <c r="I2343" s="8">
        <f t="shared" si="215"/>
        <v>0.42504118616144976</v>
      </c>
      <c r="J2343" s="17">
        <v>0.7</v>
      </c>
      <c r="K2343" s="12">
        <v>13.75</v>
      </c>
      <c r="L2343" s="2">
        <f t="shared" si="212"/>
        <v>333.79999999999995</v>
      </c>
      <c r="M2343" s="15">
        <f t="shared" si="216"/>
        <v>4589.7499999999991</v>
      </c>
      <c r="N2343" t="str">
        <f t="shared" si="213"/>
        <v>RS</v>
      </c>
      <c r="O2343" t="str">
        <f t="shared" si="214"/>
        <v>Lajeado</v>
      </c>
    </row>
    <row r="2344" spans="1:15" x14ac:dyDescent="0.3">
      <c r="A2344" s="10">
        <v>45992</v>
      </c>
      <c r="B2344" s="9" t="s">
        <v>15</v>
      </c>
      <c r="C2344" t="s">
        <v>310</v>
      </c>
      <c r="D2344" s="9">
        <v>19908</v>
      </c>
      <c r="E2344" s="5" t="s">
        <v>595</v>
      </c>
      <c r="F2344" t="s">
        <v>16</v>
      </c>
      <c r="G2344">
        <v>1797</v>
      </c>
      <c r="H2344">
        <v>931</v>
      </c>
      <c r="I2344" s="8">
        <f t="shared" si="215"/>
        <v>0.51808569838619922</v>
      </c>
      <c r="J2344" s="17">
        <v>0.7</v>
      </c>
      <c r="K2344" s="12">
        <v>13.75</v>
      </c>
      <c r="L2344" s="2">
        <f t="shared" si="212"/>
        <v>326.89999999999986</v>
      </c>
      <c r="M2344" s="15">
        <f t="shared" si="216"/>
        <v>4494.8749999999982</v>
      </c>
      <c r="N2344" t="str">
        <f t="shared" si="213"/>
        <v>RJ</v>
      </c>
      <c r="O2344" t="str">
        <f t="shared" si="214"/>
        <v>Armação dos Búzios</v>
      </c>
    </row>
    <row r="2345" spans="1:15" x14ac:dyDescent="0.3">
      <c r="A2345" s="10">
        <v>45992</v>
      </c>
      <c r="B2345" s="9" t="s">
        <v>21</v>
      </c>
      <c r="C2345" t="s">
        <v>228</v>
      </c>
      <c r="D2345" s="9">
        <v>19625</v>
      </c>
      <c r="E2345" s="5" t="s">
        <v>596</v>
      </c>
      <c r="F2345" t="s">
        <v>231</v>
      </c>
      <c r="G2345">
        <v>2996</v>
      </c>
      <c r="H2345">
        <v>1389</v>
      </c>
      <c r="I2345" s="8">
        <f t="shared" si="215"/>
        <v>0.4636181575433912</v>
      </c>
      <c r="J2345" s="17">
        <v>0.7</v>
      </c>
      <c r="K2345" s="12">
        <v>13.75</v>
      </c>
      <c r="L2345" s="2">
        <f t="shared" si="212"/>
        <v>708.19999999999982</v>
      </c>
      <c r="M2345" s="15">
        <f t="shared" si="216"/>
        <v>9737.7499999999982</v>
      </c>
      <c r="N2345" t="str">
        <f t="shared" si="213"/>
        <v>BA</v>
      </c>
      <c r="O2345" t="str">
        <f t="shared" si="214"/>
        <v>Salvador</v>
      </c>
    </row>
    <row r="2346" spans="1:15" x14ac:dyDescent="0.3">
      <c r="A2346" s="10">
        <v>45992</v>
      </c>
      <c r="B2346" s="9" t="s">
        <v>21</v>
      </c>
      <c r="C2346" t="s">
        <v>228</v>
      </c>
      <c r="D2346" s="9">
        <v>19771</v>
      </c>
      <c r="E2346" s="5" t="s">
        <v>576</v>
      </c>
      <c r="F2346" t="s">
        <v>235</v>
      </c>
      <c r="G2346">
        <v>2023</v>
      </c>
      <c r="H2346">
        <v>856</v>
      </c>
      <c r="I2346" s="8">
        <f t="shared" si="215"/>
        <v>0.42313395946613941</v>
      </c>
      <c r="J2346" s="17">
        <v>0.7</v>
      </c>
      <c r="K2346" s="12">
        <v>13.75</v>
      </c>
      <c r="L2346" s="2">
        <f t="shared" si="212"/>
        <v>560.09999999999991</v>
      </c>
      <c r="M2346" s="15">
        <f t="shared" si="216"/>
        <v>7701.3749999999991</v>
      </c>
      <c r="N2346" t="str">
        <f t="shared" si="213"/>
        <v>BA</v>
      </c>
      <c r="O2346" t="str">
        <f t="shared" si="214"/>
        <v>Salvador</v>
      </c>
    </row>
    <row r="2347" spans="1:15" x14ac:dyDescent="0.3">
      <c r="A2347" s="10">
        <v>45992</v>
      </c>
      <c r="B2347" s="9" t="s">
        <v>21</v>
      </c>
      <c r="C2347" t="s">
        <v>228</v>
      </c>
      <c r="D2347" s="9">
        <v>19689</v>
      </c>
      <c r="E2347" s="5" t="s">
        <v>597</v>
      </c>
      <c r="F2347" t="s">
        <v>230</v>
      </c>
      <c r="G2347">
        <v>2466</v>
      </c>
      <c r="H2347">
        <v>1269</v>
      </c>
      <c r="I2347" s="8">
        <f t="shared" si="215"/>
        <v>0.51459854014598538</v>
      </c>
      <c r="J2347" s="17">
        <v>0.7</v>
      </c>
      <c r="K2347" s="12">
        <v>13.75</v>
      </c>
      <c r="L2347" s="2">
        <f t="shared" si="212"/>
        <v>457.20000000000005</v>
      </c>
      <c r="M2347" s="15">
        <f t="shared" si="216"/>
        <v>6286.5000000000009</v>
      </c>
      <c r="N2347" t="str">
        <f t="shared" si="213"/>
        <v>BA</v>
      </c>
      <c r="O2347" t="str">
        <f t="shared" si="214"/>
        <v>Salvador</v>
      </c>
    </row>
    <row r="2348" spans="1:15" x14ac:dyDescent="0.3">
      <c r="A2348" s="10">
        <v>45992</v>
      </c>
      <c r="B2348" s="9" t="s">
        <v>59</v>
      </c>
      <c r="C2348" t="s">
        <v>271</v>
      </c>
      <c r="D2348" s="9">
        <v>19775</v>
      </c>
      <c r="E2348" s="5" t="s">
        <v>598</v>
      </c>
      <c r="F2348" t="s">
        <v>272</v>
      </c>
      <c r="G2348">
        <v>1374</v>
      </c>
      <c r="H2348">
        <v>587</v>
      </c>
      <c r="I2348" s="8">
        <f t="shared" si="215"/>
        <v>0.42721979621542938</v>
      </c>
      <c r="J2348" s="17">
        <v>0.7</v>
      </c>
      <c r="K2348" s="12">
        <v>13.75</v>
      </c>
      <c r="L2348" s="2">
        <f t="shared" si="212"/>
        <v>374.79999999999995</v>
      </c>
      <c r="M2348" s="15">
        <f t="shared" si="216"/>
        <v>5153.4999999999991</v>
      </c>
      <c r="N2348" t="str">
        <f t="shared" si="213"/>
        <v>ES</v>
      </c>
      <c r="O2348" t="str">
        <f t="shared" si="214"/>
        <v>Serra</v>
      </c>
    </row>
    <row r="2349" spans="1:15" x14ac:dyDescent="0.3">
      <c r="A2349" s="10">
        <v>45992</v>
      </c>
      <c r="B2349" s="9" t="s">
        <v>59</v>
      </c>
      <c r="C2349" t="s">
        <v>292</v>
      </c>
      <c r="D2349" s="9">
        <v>19580</v>
      </c>
      <c r="E2349" s="5" t="s">
        <v>599</v>
      </c>
      <c r="F2349" t="s">
        <v>293</v>
      </c>
      <c r="G2349">
        <v>2337</v>
      </c>
      <c r="H2349">
        <v>818</v>
      </c>
      <c r="I2349" s="8">
        <f t="shared" si="215"/>
        <v>0.3500213949507916</v>
      </c>
      <c r="J2349" s="17">
        <v>0.7</v>
      </c>
      <c r="K2349" s="12">
        <v>13.75</v>
      </c>
      <c r="L2349" s="2">
        <f t="shared" si="212"/>
        <v>817.89999999999986</v>
      </c>
      <c r="M2349" s="15">
        <f t="shared" si="216"/>
        <v>11246.124999999998</v>
      </c>
      <c r="N2349" t="str">
        <f t="shared" si="213"/>
        <v>ES</v>
      </c>
      <c r="O2349" t="str">
        <f t="shared" si="214"/>
        <v>Vitória</v>
      </c>
    </row>
    <row r="2350" spans="1:15" x14ac:dyDescent="0.3">
      <c r="A2350" s="10">
        <v>45992</v>
      </c>
      <c r="B2350" s="9" t="s">
        <v>59</v>
      </c>
      <c r="C2350" t="s">
        <v>292</v>
      </c>
      <c r="D2350" s="9">
        <v>19719</v>
      </c>
      <c r="E2350" s="5" t="s">
        <v>600</v>
      </c>
      <c r="F2350" t="s">
        <v>294</v>
      </c>
      <c r="G2350">
        <v>1888</v>
      </c>
      <c r="H2350">
        <v>679</v>
      </c>
      <c r="I2350" s="8">
        <f t="shared" si="215"/>
        <v>0.35963983050847459</v>
      </c>
      <c r="J2350" s="17">
        <v>0.7</v>
      </c>
      <c r="K2350" s="12">
        <v>13.75</v>
      </c>
      <c r="L2350" s="2">
        <f t="shared" si="212"/>
        <v>642.59999999999991</v>
      </c>
      <c r="M2350" s="15">
        <f t="shared" si="216"/>
        <v>8835.7499999999982</v>
      </c>
      <c r="N2350" t="str">
        <f t="shared" si="213"/>
        <v>ES</v>
      </c>
      <c r="O2350" t="str">
        <f t="shared" si="214"/>
        <v>Vitória</v>
      </c>
    </row>
    <row r="2351" spans="1:15" x14ac:dyDescent="0.3">
      <c r="A2351" s="10">
        <v>45992</v>
      </c>
      <c r="B2351" s="9" t="s">
        <v>3</v>
      </c>
      <c r="C2351" t="s">
        <v>193</v>
      </c>
      <c r="D2351" s="9">
        <v>19832</v>
      </c>
      <c r="E2351" s="5" t="s">
        <v>601</v>
      </c>
      <c r="F2351" t="s">
        <v>194</v>
      </c>
      <c r="G2351">
        <v>1301</v>
      </c>
      <c r="H2351">
        <v>440</v>
      </c>
      <c r="I2351" s="8">
        <f t="shared" si="215"/>
        <v>0.33820138355111451</v>
      </c>
      <c r="J2351" s="17">
        <v>0.7</v>
      </c>
      <c r="K2351" s="12">
        <v>13.75</v>
      </c>
      <c r="L2351" s="2">
        <f t="shared" ref="L2351:L2369" si="217">H2351*J2351/I2351-H2351</f>
        <v>470.70000000000005</v>
      </c>
      <c r="M2351" s="15">
        <f t="shared" si="216"/>
        <v>6472.1250000000009</v>
      </c>
      <c r="N2351" t="str">
        <f t="shared" si="213"/>
        <v>SP</v>
      </c>
      <c r="O2351" t="str">
        <f t="shared" si="214"/>
        <v>Ribeirão Preto</v>
      </c>
    </row>
    <row r="2352" spans="1:15" x14ac:dyDescent="0.3">
      <c r="A2352" s="10">
        <v>45992</v>
      </c>
      <c r="B2352" s="9" t="s">
        <v>6</v>
      </c>
      <c r="C2352" t="s">
        <v>236</v>
      </c>
      <c r="D2352" s="9">
        <v>19606</v>
      </c>
      <c r="E2352" s="5" t="s">
        <v>602</v>
      </c>
      <c r="F2352" t="s">
        <v>237</v>
      </c>
      <c r="G2352">
        <v>2400</v>
      </c>
      <c r="H2352">
        <v>1331</v>
      </c>
      <c r="I2352" s="8">
        <f t="shared" si="215"/>
        <v>0.55458333333333332</v>
      </c>
      <c r="J2352" s="17">
        <v>0.7</v>
      </c>
      <c r="K2352" s="12">
        <v>13.75</v>
      </c>
      <c r="L2352" s="2">
        <f t="shared" si="217"/>
        <v>349</v>
      </c>
      <c r="M2352" s="15">
        <f t="shared" si="216"/>
        <v>4798.75</v>
      </c>
      <c r="N2352" t="str">
        <f t="shared" si="213"/>
        <v>PA</v>
      </c>
      <c r="O2352" t="str">
        <f t="shared" si="214"/>
        <v>Santarém</v>
      </c>
    </row>
    <row r="2353" spans="1:15" x14ac:dyDescent="0.3">
      <c r="A2353" s="10">
        <v>45992</v>
      </c>
      <c r="B2353" s="9" t="s">
        <v>14</v>
      </c>
      <c r="C2353" t="s">
        <v>29</v>
      </c>
      <c r="D2353" s="9">
        <v>19759</v>
      </c>
      <c r="E2353" s="5" t="s">
        <v>603</v>
      </c>
      <c r="F2353" t="s">
        <v>38</v>
      </c>
      <c r="G2353">
        <v>1873</v>
      </c>
      <c r="H2353">
        <v>797</v>
      </c>
      <c r="I2353" s="8">
        <f t="shared" si="215"/>
        <v>0.42552055525894289</v>
      </c>
      <c r="J2353" s="17">
        <v>0.7</v>
      </c>
      <c r="K2353" s="12">
        <v>13.75</v>
      </c>
      <c r="L2353" s="2">
        <f t="shared" si="217"/>
        <v>514.09999999999991</v>
      </c>
      <c r="M2353" s="15">
        <f t="shared" si="216"/>
        <v>7068.8749999999991</v>
      </c>
      <c r="N2353" t="str">
        <f t="shared" si="213"/>
        <v>MG</v>
      </c>
      <c r="O2353" t="str">
        <f t="shared" si="214"/>
        <v>Belo Horizonte</v>
      </c>
    </row>
    <row r="2354" spans="1:15" x14ac:dyDescent="0.3">
      <c r="A2354" s="10">
        <v>45992</v>
      </c>
      <c r="B2354" s="9" t="s">
        <v>61</v>
      </c>
      <c r="C2354" t="s">
        <v>328</v>
      </c>
      <c r="D2354" s="9">
        <v>19706</v>
      </c>
      <c r="E2354" s="5" t="s">
        <v>604</v>
      </c>
      <c r="F2354" t="s">
        <v>77</v>
      </c>
      <c r="G2354">
        <v>2313</v>
      </c>
      <c r="H2354">
        <v>1156</v>
      </c>
      <c r="I2354" s="8">
        <f t="shared" si="215"/>
        <v>0.49978383052313013</v>
      </c>
      <c r="J2354" s="17">
        <v>0.7</v>
      </c>
      <c r="K2354" s="12">
        <v>13.75</v>
      </c>
      <c r="L2354" s="2">
        <f t="shared" si="217"/>
        <v>463.09999999999991</v>
      </c>
      <c r="M2354" s="15">
        <f t="shared" si="216"/>
        <v>6367.6249999999991</v>
      </c>
      <c r="N2354" t="str">
        <f t="shared" si="213"/>
        <v>PB</v>
      </c>
      <c r="O2354" t="str">
        <f t="shared" si="214"/>
        <v>João Pessoa</v>
      </c>
    </row>
    <row r="2355" spans="1:15" x14ac:dyDescent="0.3">
      <c r="A2355" s="10">
        <v>45992</v>
      </c>
      <c r="B2355" s="9" t="s">
        <v>59</v>
      </c>
      <c r="C2355" t="s">
        <v>289</v>
      </c>
      <c r="D2355" s="9">
        <v>19581</v>
      </c>
      <c r="E2355" s="5" t="s">
        <v>616</v>
      </c>
      <c r="F2355" t="s">
        <v>290</v>
      </c>
      <c r="G2355">
        <v>2332</v>
      </c>
      <c r="H2355">
        <v>761</v>
      </c>
      <c r="I2355" s="8">
        <f t="shared" si="215"/>
        <v>0.32632933104631218</v>
      </c>
      <c r="J2355" s="17">
        <v>0.7</v>
      </c>
      <c r="K2355" s="12">
        <v>13.75</v>
      </c>
      <c r="L2355" s="2">
        <f t="shared" si="217"/>
        <v>871.39999999999986</v>
      </c>
      <c r="M2355" s="15">
        <f t="shared" si="216"/>
        <v>11981.749999999998</v>
      </c>
      <c r="N2355" t="str">
        <f t="shared" si="213"/>
        <v>ES</v>
      </c>
      <c r="O2355" t="str">
        <f t="shared" si="214"/>
        <v>Vila Velha</v>
      </c>
    </row>
    <row r="2356" spans="1:15" x14ac:dyDescent="0.3">
      <c r="A2356" s="10">
        <v>45992</v>
      </c>
      <c r="B2356" s="9" t="s">
        <v>15</v>
      </c>
      <c r="C2356" t="s">
        <v>171</v>
      </c>
      <c r="D2356" s="9">
        <v>19520</v>
      </c>
      <c r="E2356" s="5" t="s">
        <v>605</v>
      </c>
      <c r="F2356" t="s">
        <v>172</v>
      </c>
      <c r="G2356">
        <v>1290</v>
      </c>
      <c r="H2356">
        <v>657</v>
      </c>
      <c r="I2356" s="8">
        <f t="shared" si="215"/>
        <v>0.50930232558139532</v>
      </c>
      <c r="J2356" s="17">
        <v>0.7</v>
      </c>
      <c r="K2356" s="12">
        <v>13.75</v>
      </c>
      <c r="L2356" s="2">
        <f t="shared" si="217"/>
        <v>246</v>
      </c>
      <c r="M2356" s="15">
        <f t="shared" si="216"/>
        <v>3382.5</v>
      </c>
      <c r="N2356" t="str">
        <f t="shared" si="213"/>
        <v>RJ</v>
      </c>
      <c r="O2356" t="str">
        <f t="shared" si="214"/>
        <v>Petrópolis</v>
      </c>
    </row>
    <row r="2357" spans="1:15" x14ac:dyDescent="0.3">
      <c r="A2357" s="10">
        <v>45992</v>
      </c>
      <c r="B2357" s="9" t="s">
        <v>40</v>
      </c>
      <c r="C2357" t="s">
        <v>41</v>
      </c>
      <c r="D2357" s="9">
        <v>19868</v>
      </c>
      <c r="E2357" s="5" t="s">
        <v>606</v>
      </c>
      <c r="F2357" t="s">
        <v>43</v>
      </c>
      <c r="G2357">
        <v>2559</v>
      </c>
      <c r="H2357">
        <v>2065</v>
      </c>
      <c r="I2357" s="8">
        <f t="shared" si="215"/>
        <v>0.80695584212583038</v>
      </c>
      <c r="J2357" s="17">
        <v>0.7</v>
      </c>
      <c r="K2357" s="12">
        <v>13.75</v>
      </c>
      <c r="L2357" s="2">
        <f t="shared" si="217"/>
        <v>-273.70000000000005</v>
      </c>
      <c r="M2357" s="15">
        <f t="shared" si="216"/>
        <v>-3763.3750000000005</v>
      </c>
      <c r="N2357" t="str">
        <f t="shared" si="213"/>
        <v>RR</v>
      </c>
      <c r="O2357" t="str">
        <f t="shared" si="214"/>
        <v>Boa Vista</v>
      </c>
    </row>
    <row r="2358" spans="1:15" x14ac:dyDescent="0.3">
      <c r="A2358" s="10">
        <v>45992</v>
      </c>
      <c r="B2358" s="9" t="s">
        <v>78</v>
      </c>
      <c r="C2358" t="s">
        <v>323</v>
      </c>
      <c r="D2358" s="9">
        <v>19958</v>
      </c>
      <c r="E2358" s="5" t="s">
        <v>615</v>
      </c>
      <c r="F2358" t="s">
        <v>627</v>
      </c>
      <c r="G2358">
        <v>1865</v>
      </c>
      <c r="H2358">
        <v>1010</v>
      </c>
      <c r="I2358" s="8">
        <f t="shared" si="215"/>
        <v>0.54155495978552282</v>
      </c>
      <c r="J2358" s="17">
        <v>0.7</v>
      </c>
      <c r="K2358" s="12">
        <v>13.75</v>
      </c>
      <c r="L2358" s="2">
        <f t="shared" si="217"/>
        <v>295.5</v>
      </c>
      <c r="M2358" s="15">
        <f t="shared" si="216"/>
        <v>4063.125</v>
      </c>
      <c r="N2358" t="str">
        <f t="shared" si="213"/>
        <v>MT</v>
      </c>
      <c r="O2358" t="str">
        <f t="shared" si="214"/>
        <v>Tangará da Serra</v>
      </c>
    </row>
    <row r="2359" spans="1:15" x14ac:dyDescent="0.3">
      <c r="A2359" s="10">
        <v>45992</v>
      </c>
      <c r="B2359" s="9" t="s">
        <v>15</v>
      </c>
      <c r="C2359" t="s">
        <v>151</v>
      </c>
      <c r="D2359" s="9">
        <v>19599</v>
      </c>
      <c r="E2359" s="5" t="s">
        <v>607</v>
      </c>
      <c r="F2359" t="s">
        <v>152</v>
      </c>
      <c r="G2359">
        <v>2651</v>
      </c>
      <c r="H2359">
        <v>1290</v>
      </c>
      <c r="I2359" s="8">
        <f t="shared" si="215"/>
        <v>0.4866088268577895</v>
      </c>
      <c r="J2359" s="17">
        <v>0.7</v>
      </c>
      <c r="K2359" s="12">
        <v>13.75</v>
      </c>
      <c r="L2359" s="2">
        <f t="shared" si="217"/>
        <v>565.69999999999982</v>
      </c>
      <c r="M2359" s="15">
        <f t="shared" si="216"/>
        <v>7778.3749999999973</v>
      </c>
      <c r="N2359" t="str">
        <f t="shared" si="213"/>
        <v>RJ</v>
      </c>
      <c r="O2359" t="str">
        <f t="shared" si="214"/>
        <v>Nova Iguaçu</v>
      </c>
    </row>
    <row r="2360" spans="1:15" x14ac:dyDescent="0.3">
      <c r="A2360" s="10">
        <v>45992</v>
      </c>
      <c r="B2360" s="9" t="s">
        <v>3</v>
      </c>
      <c r="C2360" t="s">
        <v>248</v>
      </c>
      <c r="D2360" s="9">
        <v>19855</v>
      </c>
      <c r="E2360" s="5" t="s">
        <v>608</v>
      </c>
      <c r="F2360" t="s">
        <v>257</v>
      </c>
      <c r="G2360">
        <v>1318</v>
      </c>
      <c r="H2360">
        <v>487</v>
      </c>
      <c r="I2360" s="8">
        <f t="shared" si="215"/>
        <v>0.36949924127465855</v>
      </c>
      <c r="J2360" s="17">
        <v>0.7</v>
      </c>
      <c r="K2360" s="12">
        <v>13.75</v>
      </c>
      <c r="L2360" s="2">
        <f t="shared" si="217"/>
        <v>435.6</v>
      </c>
      <c r="M2360" s="15">
        <f t="shared" si="216"/>
        <v>5989.5</v>
      </c>
      <c r="N2360" t="str">
        <f t="shared" si="213"/>
        <v>SP</v>
      </c>
      <c r="O2360" t="str">
        <f t="shared" si="214"/>
        <v>São Paulo</v>
      </c>
    </row>
    <row r="2361" spans="1:15" x14ac:dyDescent="0.3">
      <c r="A2361" s="10">
        <v>45992</v>
      </c>
      <c r="B2361" s="9" t="s">
        <v>3</v>
      </c>
      <c r="C2361" t="s">
        <v>248</v>
      </c>
      <c r="D2361" s="9">
        <v>19821</v>
      </c>
      <c r="E2361" s="5" t="s">
        <v>609</v>
      </c>
      <c r="F2361" t="s">
        <v>256</v>
      </c>
      <c r="G2361">
        <v>1543</v>
      </c>
      <c r="H2361">
        <v>556</v>
      </c>
      <c r="I2361" s="8">
        <f t="shared" si="215"/>
        <v>0.36033700583279327</v>
      </c>
      <c r="J2361" s="17">
        <v>0.7</v>
      </c>
      <c r="K2361" s="12">
        <v>13.75</v>
      </c>
      <c r="L2361" s="2">
        <f t="shared" si="217"/>
        <v>524.09999999999991</v>
      </c>
      <c r="M2361" s="15">
        <f t="shared" si="216"/>
        <v>7206.3749999999991</v>
      </c>
      <c r="N2361" t="str">
        <f t="shared" si="213"/>
        <v>SP</v>
      </c>
      <c r="O2361" t="str">
        <f t="shared" si="214"/>
        <v>São Paulo</v>
      </c>
    </row>
    <row r="2362" spans="1:15" x14ac:dyDescent="0.3">
      <c r="A2362" s="10">
        <v>45992</v>
      </c>
      <c r="B2362" s="9" t="s">
        <v>14</v>
      </c>
      <c r="C2362" t="s">
        <v>283</v>
      </c>
      <c r="D2362" s="9">
        <v>19912</v>
      </c>
      <c r="E2362" s="5" t="s">
        <v>610</v>
      </c>
      <c r="F2362" t="s">
        <v>284</v>
      </c>
      <c r="G2362">
        <v>1443</v>
      </c>
      <c r="H2362">
        <v>724</v>
      </c>
      <c r="I2362" s="8">
        <f t="shared" si="215"/>
        <v>0.50173250173250172</v>
      </c>
      <c r="J2362" s="17">
        <v>0.7</v>
      </c>
      <c r="K2362" s="12">
        <v>13.75</v>
      </c>
      <c r="L2362" s="2">
        <f t="shared" si="217"/>
        <v>286.09999999999991</v>
      </c>
      <c r="M2362" s="15">
        <f t="shared" si="216"/>
        <v>3933.8749999999986</v>
      </c>
      <c r="N2362" t="str">
        <f t="shared" si="213"/>
        <v>MG</v>
      </c>
      <c r="O2362" t="str">
        <f t="shared" si="214"/>
        <v>Uberaba</v>
      </c>
    </row>
    <row r="2363" spans="1:15" x14ac:dyDescent="0.3">
      <c r="A2363" s="10">
        <v>45992</v>
      </c>
      <c r="B2363" s="9" t="s">
        <v>6</v>
      </c>
      <c r="C2363" t="s">
        <v>26</v>
      </c>
      <c r="D2363" s="9">
        <v>19959</v>
      </c>
      <c r="E2363" s="5" t="s">
        <v>620</v>
      </c>
      <c r="F2363" t="s">
        <v>327</v>
      </c>
      <c r="G2363">
        <v>113</v>
      </c>
      <c r="H2363">
        <v>75</v>
      </c>
      <c r="I2363" s="8">
        <f t="shared" si="215"/>
        <v>0.66371681415929207</v>
      </c>
      <c r="J2363" s="17">
        <v>0.7</v>
      </c>
      <c r="K2363" s="12">
        <v>13.75</v>
      </c>
      <c r="L2363" s="2">
        <f t="shared" si="217"/>
        <v>4.0999999999999943</v>
      </c>
      <c r="M2363" s="15">
        <f t="shared" si="216"/>
        <v>56.374999999999922</v>
      </c>
      <c r="N2363" t="str">
        <f t="shared" si="213"/>
        <v>PA</v>
      </c>
      <c r="O2363" t="str">
        <f t="shared" si="214"/>
        <v>Belém</v>
      </c>
    </row>
    <row r="2364" spans="1:15" x14ac:dyDescent="0.3">
      <c r="A2364" s="10">
        <v>45992</v>
      </c>
      <c r="B2364" s="9" t="s">
        <v>15</v>
      </c>
      <c r="C2364" t="s">
        <v>329</v>
      </c>
      <c r="D2364" s="9">
        <v>19962</v>
      </c>
      <c r="E2364" s="5" t="s">
        <v>621</v>
      </c>
      <c r="F2364" t="s">
        <v>330</v>
      </c>
      <c r="G2364">
        <v>2198</v>
      </c>
      <c r="H2364">
        <v>1156</v>
      </c>
      <c r="I2364" s="8">
        <f t="shared" si="215"/>
        <v>0.52593266606005462</v>
      </c>
      <c r="J2364" s="17">
        <v>0.7</v>
      </c>
      <c r="K2364" s="12">
        <v>13.75</v>
      </c>
      <c r="L2364" s="2">
        <f t="shared" si="217"/>
        <v>382.59999999999968</v>
      </c>
      <c r="M2364" s="15">
        <f t="shared" si="216"/>
        <v>5260.7499999999955</v>
      </c>
      <c r="N2364" t="str">
        <f t="shared" si="213"/>
        <v>RJ</v>
      </c>
      <c r="O2364" t="str">
        <f t="shared" si="214"/>
        <v>Araruama</v>
      </c>
    </row>
    <row r="2365" spans="1:15" x14ac:dyDescent="0.3">
      <c r="A2365" s="10">
        <v>45992</v>
      </c>
      <c r="B2365" s="9" t="s">
        <v>82</v>
      </c>
      <c r="C2365" t="s">
        <v>314</v>
      </c>
      <c r="D2365" s="9">
        <v>19772</v>
      </c>
      <c r="E2365" s="5" t="s">
        <v>613</v>
      </c>
      <c r="F2365" t="s">
        <v>96</v>
      </c>
      <c r="G2365">
        <v>1525</v>
      </c>
      <c r="H2365">
        <v>911</v>
      </c>
      <c r="I2365" s="8">
        <f t="shared" si="215"/>
        <v>0.59737704918032786</v>
      </c>
      <c r="J2365" s="17">
        <v>0.7</v>
      </c>
      <c r="K2365" s="12">
        <v>13.75</v>
      </c>
      <c r="L2365" s="2">
        <f t="shared" si="217"/>
        <v>156.5</v>
      </c>
      <c r="M2365" s="15">
        <f t="shared" si="216"/>
        <v>2151.875</v>
      </c>
      <c r="N2365" t="str">
        <f t="shared" si="213"/>
        <v>PR</v>
      </c>
      <c r="O2365" t="str">
        <f t="shared" si="214"/>
        <v>Foz do Iguaçu</v>
      </c>
    </row>
    <row r="2366" spans="1:15" x14ac:dyDescent="0.3">
      <c r="A2366" s="10">
        <v>45992</v>
      </c>
      <c r="B2366" s="9" t="s">
        <v>46</v>
      </c>
      <c r="C2366" t="s">
        <v>47</v>
      </c>
      <c r="D2366" s="9">
        <v>19666</v>
      </c>
      <c r="E2366" s="5" t="s">
        <v>617</v>
      </c>
      <c r="F2366" t="s">
        <v>49</v>
      </c>
      <c r="G2366">
        <v>2606</v>
      </c>
      <c r="H2366">
        <v>1149</v>
      </c>
      <c r="I2366" s="8">
        <f t="shared" si="215"/>
        <v>0.44090560245587107</v>
      </c>
      <c r="J2366" s="17">
        <v>0.7</v>
      </c>
      <c r="K2366" s="12">
        <v>13.75</v>
      </c>
      <c r="L2366" s="2">
        <f t="shared" si="217"/>
        <v>675.19999999999982</v>
      </c>
      <c r="M2366" s="15">
        <f t="shared" si="216"/>
        <v>9283.9999999999982</v>
      </c>
      <c r="N2366" t="str">
        <f t="shared" si="213"/>
        <v>DF</v>
      </c>
      <c r="O2366" t="str">
        <f t="shared" si="214"/>
        <v>Brasília</v>
      </c>
    </row>
    <row r="2367" spans="1:15" x14ac:dyDescent="0.3">
      <c r="A2367" s="10">
        <v>45992</v>
      </c>
      <c r="B2367" s="9" t="s">
        <v>14</v>
      </c>
      <c r="C2367" t="s">
        <v>325</v>
      </c>
      <c r="D2367" s="9">
        <v>19961</v>
      </c>
      <c r="E2367" s="5" t="s">
        <v>622</v>
      </c>
      <c r="F2367" t="s">
        <v>326</v>
      </c>
      <c r="G2367">
        <v>1849</v>
      </c>
      <c r="H2367">
        <v>782</v>
      </c>
      <c r="I2367" s="8">
        <f t="shared" si="215"/>
        <v>0.42293131422390479</v>
      </c>
      <c r="J2367" s="17">
        <v>0.7</v>
      </c>
      <c r="K2367" s="12">
        <v>13.75</v>
      </c>
      <c r="L2367" s="2">
        <f t="shared" si="217"/>
        <v>512.29999999999995</v>
      </c>
      <c r="M2367" s="15">
        <f t="shared" si="216"/>
        <v>7044.1249999999991</v>
      </c>
      <c r="N2367" t="str">
        <f t="shared" si="213"/>
        <v>MG</v>
      </c>
      <c r="O2367" t="str">
        <f t="shared" si="214"/>
        <v>Coronel Fabriciano</v>
      </c>
    </row>
    <row r="2368" spans="1:15" x14ac:dyDescent="0.3">
      <c r="A2368" s="10">
        <v>45992</v>
      </c>
      <c r="B2368" s="9" t="s">
        <v>82</v>
      </c>
      <c r="C2368" t="s">
        <v>83</v>
      </c>
      <c r="D2368" s="9">
        <v>19547</v>
      </c>
      <c r="E2368" s="5" t="s">
        <v>618</v>
      </c>
      <c r="F2368" t="s">
        <v>87</v>
      </c>
      <c r="G2368">
        <v>2194</v>
      </c>
      <c r="H2368">
        <v>621</v>
      </c>
      <c r="I2368" s="8">
        <f t="shared" si="215"/>
        <v>0.28304466727438471</v>
      </c>
      <c r="J2368" s="17">
        <v>0.7</v>
      </c>
      <c r="K2368" s="12">
        <v>13.75</v>
      </c>
      <c r="L2368" s="2">
        <f t="shared" si="217"/>
        <v>914.79999999999973</v>
      </c>
      <c r="M2368" s="15">
        <f t="shared" si="216"/>
        <v>12578.499999999996</v>
      </c>
      <c r="N2368" t="str">
        <f t="shared" si="213"/>
        <v>PR</v>
      </c>
      <c r="O2368" t="str">
        <f t="shared" si="214"/>
        <v>Curitiba</v>
      </c>
    </row>
    <row r="2369" spans="1:15" x14ac:dyDescent="0.3">
      <c r="A2369" s="10">
        <v>45992</v>
      </c>
      <c r="B2369" s="9" t="s">
        <v>82</v>
      </c>
      <c r="C2369" t="s">
        <v>83</v>
      </c>
      <c r="D2369" s="9">
        <v>19936</v>
      </c>
      <c r="E2369" s="5" t="s">
        <v>619</v>
      </c>
      <c r="F2369" t="s">
        <v>86</v>
      </c>
      <c r="G2369">
        <v>1586</v>
      </c>
      <c r="H2369">
        <v>454</v>
      </c>
      <c r="I2369" s="8">
        <f t="shared" si="215"/>
        <v>0.28625472887767972</v>
      </c>
      <c r="J2369" s="17">
        <v>0.7</v>
      </c>
      <c r="K2369" s="12">
        <v>13.75</v>
      </c>
      <c r="L2369" s="2">
        <f t="shared" si="217"/>
        <v>656.19999999999982</v>
      </c>
      <c r="M2369" s="15">
        <f t="shared" si="216"/>
        <v>9022.7499999999982</v>
      </c>
      <c r="N2369" t="str">
        <f t="shared" si="213"/>
        <v>PR</v>
      </c>
      <c r="O2369" t="str">
        <f t="shared" si="214"/>
        <v>Curitiba</v>
      </c>
    </row>
    <row r="2370" spans="1:15" x14ac:dyDescent="0.3">
      <c r="A2370" s="10">
        <v>46023</v>
      </c>
      <c r="B2370" s="9" t="s">
        <v>15</v>
      </c>
      <c r="C2370" t="s">
        <v>319</v>
      </c>
      <c r="D2370" s="9">
        <v>19685</v>
      </c>
      <c r="E2370" s="5" t="s">
        <v>359</v>
      </c>
      <c r="F2370" t="s">
        <v>198</v>
      </c>
      <c r="G2370">
        <v>1138</v>
      </c>
      <c r="H2370">
        <v>458</v>
      </c>
      <c r="I2370" s="8">
        <f t="shared" si="215"/>
        <v>0.4024604569420035</v>
      </c>
      <c r="J2370" s="17">
        <v>0.7</v>
      </c>
      <c r="K2370" s="12">
        <v>13.75</v>
      </c>
      <c r="L2370" s="2">
        <v>338.59999999999991</v>
      </c>
      <c r="M2370" s="15">
        <f t="shared" si="216"/>
        <v>4655.7499999999991</v>
      </c>
      <c r="N2370" t="str">
        <f t="shared" ref="N2370:N2433" si="218">B2370</f>
        <v>RJ</v>
      </c>
      <c r="O2370" t="str">
        <f t="shared" ref="O2370:O2433" si="219">C2370</f>
        <v>Rio de Janeiro</v>
      </c>
    </row>
    <row r="2371" spans="1:15" x14ac:dyDescent="0.3">
      <c r="A2371" s="10">
        <v>46023</v>
      </c>
      <c r="B2371" s="9" t="s">
        <v>71</v>
      </c>
      <c r="C2371" t="s">
        <v>175</v>
      </c>
      <c r="D2371" s="9">
        <v>19540</v>
      </c>
      <c r="E2371" s="5" t="s">
        <v>370</v>
      </c>
      <c r="F2371" t="s">
        <v>176</v>
      </c>
      <c r="G2371">
        <v>3883</v>
      </c>
      <c r="H2371">
        <v>1722</v>
      </c>
      <c r="I2371" s="8">
        <f t="shared" ref="I2371:I2434" si="220">H2371/G2371</f>
        <v>0.44347154262168426</v>
      </c>
      <c r="J2371" s="17">
        <v>0.7</v>
      </c>
      <c r="K2371" s="12">
        <v>13.75</v>
      </c>
      <c r="L2371" s="2">
        <v>996.09999999999991</v>
      </c>
      <c r="M2371" s="15">
        <f t="shared" ref="M2371:M2434" si="221">L2371*K2371</f>
        <v>13696.374999999998</v>
      </c>
      <c r="N2371" t="str">
        <f t="shared" si="218"/>
        <v>RS</v>
      </c>
      <c r="O2371" t="str">
        <f t="shared" si="219"/>
        <v>Porto Alegre</v>
      </c>
    </row>
    <row r="2372" spans="1:15" x14ac:dyDescent="0.3">
      <c r="A2372" s="10">
        <v>46023</v>
      </c>
      <c r="B2372" s="9" t="s">
        <v>15</v>
      </c>
      <c r="C2372" t="s">
        <v>319</v>
      </c>
      <c r="D2372" s="9">
        <v>19521</v>
      </c>
      <c r="E2372" s="5" t="s">
        <v>371</v>
      </c>
      <c r="F2372" t="s">
        <v>199</v>
      </c>
      <c r="G2372">
        <v>3487</v>
      </c>
      <c r="H2372">
        <v>1784</v>
      </c>
      <c r="I2372" s="8">
        <f t="shared" si="220"/>
        <v>0.51161456839690278</v>
      </c>
      <c r="J2372" s="17">
        <v>0.7</v>
      </c>
      <c r="K2372" s="12">
        <v>13.75</v>
      </c>
      <c r="L2372" s="2">
        <v>656.90000000000009</v>
      </c>
      <c r="M2372" s="15">
        <f t="shared" si="221"/>
        <v>9032.3750000000018</v>
      </c>
      <c r="N2372" t="str">
        <f t="shared" si="218"/>
        <v>RJ</v>
      </c>
      <c r="O2372" t="str">
        <f t="shared" si="219"/>
        <v>Rio de Janeiro</v>
      </c>
    </row>
    <row r="2373" spans="1:15" x14ac:dyDescent="0.3">
      <c r="A2373" s="10">
        <v>46023</v>
      </c>
      <c r="B2373" s="9" t="s">
        <v>14</v>
      </c>
      <c r="C2373" t="s">
        <v>285</v>
      </c>
      <c r="D2373" s="9">
        <v>19563</v>
      </c>
      <c r="E2373" s="5" t="s">
        <v>374</v>
      </c>
      <c r="F2373" t="s">
        <v>286</v>
      </c>
      <c r="G2373">
        <v>3258</v>
      </c>
      <c r="H2373">
        <v>1059</v>
      </c>
      <c r="I2373" s="8">
        <f t="shared" si="220"/>
        <v>0.32504604051565378</v>
      </c>
      <c r="J2373" s="17">
        <v>0.7</v>
      </c>
      <c r="K2373" s="12">
        <v>13.75</v>
      </c>
      <c r="L2373" s="2">
        <v>1221.5999999999999</v>
      </c>
      <c r="M2373" s="15">
        <f t="shared" si="221"/>
        <v>16797</v>
      </c>
      <c r="N2373" t="str">
        <f t="shared" si="218"/>
        <v>MG</v>
      </c>
      <c r="O2373" t="str">
        <f t="shared" si="219"/>
        <v>Uberlândia</v>
      </c>
    </row>
    <row r="2374" spans="1:15" x14ac:dyDescent="0.3">
      <c r="A2374" s="10">
        <v>46023</v>
      </c>
      <c r="B2374" s="9" t="s">
        <v>6</v>
      </c>
      <c r="C2374" t="s">
        <v>26</v>
      </c>
      <c r="D2374" s="9">
        <v>19597</v>
      </c>
      <c r="E2374" s="5" t="s">
        <v>375</v>
      </c>
      <c r="F2374" t="s">
        <v>27</v>
      </c>
      <c r="G2374">
        <v>3226</v>
      </c>
      <c r="H2374">
        <v>1711</v>
      </c>
      <c r="I2374" s="8">
        <f t="shared" si="220"/>
        <v>0.53037817730936143</v>
      </c>
      <c r="J2374" s="17">
        <v>0.7</v>
      </c>
      <c r="K2374" s="12">
        <v>13.75</v>
      </c>
      <c r="L2374" s="2">
        <v>547.19999999999982</v>
      </c>
      <c r="M2374" s="15">
        <f t="shared" si="221"/>
        <v>7523.9999999999973</v>
      </c>
      <c r="N2374" t="str">
        <f t="shared" si="218"/>
        <v>PA</v>
      </c>
      <c r="O2374" t="str">
        <f t="shared" si="219"/>
        <v>Belém</v>
      </c>
    </row>
    <row r="2375" spans="1:15" x14ac:dyDescent="0.3">
      <c r="A2375" s="10">
        <v>46023</v>
      </c>
      <c r="B2375" s="9" t="s">
        <v>15</v>
      </c>
      <c r="C2375" t="s">
        <v>296</v>
      </c>
      <c r="D2375" s="9">
        <v>19524</v>
      </c>
      <c r="E2375" s="5" t="s">
        <v>376</v>
      </c>
      <c r="F2375" t="s">
        <v>297</v>
      </c>
      <c r="G2375">
        <v>2353</v>
      </c>
      <c r="H2375">
        <v>1022</v>
      </c>
      <c r="I2375" s="8">
        <f t="shared" si="220"/>
        <v>0.43433914152146197</v>
      </c>
      <c r="J2375" s="17">
        <v>0.7</v>
      </c>
      <c r="K2375" s="12">
        <v>13.75</v>
      </c>
      <c r="L2375" s="2">
        <v>625.09999999999991</v>
      </c>
      <c r="M2375" s="15">
        <f t="shared" si="221"/>
        <v>8595.1249999999982</v>
      </c>
      <c r="N2375" t="str">
        <f t="shared" si="218"/>
        <v>RJ</v>
      </c>
      <c r="O2375" t="str">
        <f t="shared" si="219"/>
        <v>Volta Redonda</v>
      </c>
    </row>
    <row r="2376" spans="1:15" x14ac:dyDescent="0.3">
      <c r="A2376" s="10">
        <v>46023</v>
      </c>
      <c r="B2376" s="9" t="s">
        <v>160</v>
      </c>
      <c r="C2376" t="s">
        <v>279</v>
      </c>
      <c r="D2376" s="9">
        <v>19564</v>
      </c>
      <c r="E2376" s="5" t="s">
        <v>378</v>
      </c>
      <c r="F2376" t="s">
        <v>280</v>
      </c>
      <c r="G2376">
        <v>1501</v>
      </c>
      <c r="H2376">
        <v>730</v>
      </c>
      <c r="I2376" s="8">
        <f t="shared" si="220"/>
        <v>0.48634243837441704</v>
      </c>
      <c r="J2376" s="17">
        <v>0.7</v>
      </c>
      <c r="K2376" s="12">
        <v>13.75</v>
      </c>
      <c r="L2376" s="2">
        <v>320.69999999999982</v>
      </c>
      <c r="M2376" s="15">
        <f t="shared" si="221"/>
        <v>4409.6249999999973</v>
      </c>
      <c r="N2376" t="str">
        <f t="shared" si="218"/>
        <v>PI</v>
      </c>
      <c r="O2376" t="str">
        <f t="shared" si="219"/>
        <v>Teresina</v>
      </c>
    </row>
    <row r="2377" spans="1:15" x14ac:dyDescent="0.3">
      <c r="A2377" s="10">
        <v>46023</v>
      </c>
      <c r="B2377" s="9" t="s">
        <v>15</v>
      </c>
      <c r="C2377" t="s">
        <v>319</v>
      </c>
      <c r="D2377" s="9">
        <v>19536</v>
      </c>
      <c r="E2377" s="5" t="s">
        <v>379</v>
      </c>
      <c r="F2377" t="s">
        <v>200</v>
      </c>
      <c r="G2377">
        <v>2546</v>
      </c>
      <c r="H2377">
        <v>946</v>
      </c>
      <c r="I2377" s="8">
        <f t="shared" si="220"/>
        <v>0.37156323644933231</v>
      </c>
      <c r="J2377" s="17">
        <v>0.7</v>
      </c>
      <c r="K2377" s="12">
        <v>13.75</v>
      </c>
      <c r="L2377" s="2">
        <v>836.19999999999959</v>
      </c>
      <c r="M2377" s="15">
        <f t="shared" si="221"/>
        <v>11497.749999999995</v>
      </c>
      <c r="N2377" t="str">
        <f t="shared" si="218"/>
        <v>RJ</v>
      </c>
      <c r="O2377" t="str">
        <f t="shared" si="219"/>
        <v>Rio de Janeiro</v>
      </c>
    </row>
    <row r="2378" spans="1:15" x14ac:dyDescent="0.3">
      <c r="A2378" s="10">
        <v>46023</v>
      </c>
      <c r="B2378" s="9" t="s">
        <v>15</v>
      </c>
      <c r="C2378" t="s">
        <v>319</v>
      </c>
      <c r="D2378" s="9">
        <v>19727</v>
      </c>
      <c r="E2378" s="5" t="s">
        <v>380</v>
      </c>
      <c r="F2378" t="s">
        <v>201</v>
      </c>
      <c r="G2378">
        <v>1538</v>
      </c>
      <c r="H2378">
        <v>675</v>
      </c>
      <c r="I2378" s="8">
        <f t="shared" si="220"/>
        <v>0.43888166449934979</v>
      </c>
      <c r="J2378" s="17">
        <v>0.7</v>
      </c>
      <c r="K2378" s="12">
        <v>13.75</v>
      </c>
      <c r="L2378" s="2">
        <v>401.59999999999991</v>
      </c>
      <c r="M2378" s="15">
        <f t="shared" si="221"/>
        <v>5521.9999999999991</v>
      </c>
      <c r="N2378" t="str">
        <f t="shared" si="218"/>
        <v>RJ</v>
      </c>
      <c r="O2378" t="str">
        <f t="shared" si="219"/>
        <v>Rio de Janeiro</v>
      </c>
    </row>
    <row r="2379" spans="1:15" x14ac:dyDescent="0.3">
      <c r="A2379" s="10">
        <v>46023</v>
      </c>
      <c r="B2379" s="9" t="s">
        <v>3</v>
      </c>
      <c r="C2379" t="s">
        <v>248</v>
      </c>
      <c r="D2379" s="9">
        <v>19572</v>
      </c>
      <c r="E2379" s="5" t="s">
        <v>381</v>
      </c>
      <c r="F2379" t="s">
        <v>249</v>
      </c>
      <c r="G2379">
        <v>4462</v>
      </c>
      <c r="H2379">
        <v>2053</v>
      </c>
      <c r="I2379" s="8">
        <f t="shared" si="220"/>
        <v>0.46010757507844013</v>
      </c>
      <c r="J2379" s="17">
        <v>0.7</v>
      </c>
      <c r="K2379" s="12">
        <v>13.75</v>
      </c>
      <c r="L2379" s="2">
        <v>1070.4000000000001</v>
      </c>
      <c r="M2379" s="15">
        <f t="shared" si="221"/>
        <v>14718.000000000002</v>
      </c>
      <c r="N2379" t="str">
        <f t="shared" si="218"/>
        <v>SP</v>
      </c>
      <c r="O2379" t="str">
        <f t="shared" si="219"/>
        <v>São Paulo</v>
      </c>
    </row>
    <row r="2380" spans="1:15" x14ac:dyDescent="0.3">
      <c r="A2380" s="10">
        <v>46023</v>
      </c>
      <c r="B2380" s="9" t="s">
        <v>3</v>
      </c>
      <c r="C2380" t="s">
        <v>167</v>
      </c>
      <c r="D2380" s="9">
        <v>19578</v>
      </c>
      <c r="E2380" s="5" t="s">
        <v>382</v>
      </c>
      <c r="F2380" t="s">
        <v>168</v>
      </c>
      <c r="G2380">
        <v>2106</v>
      </c>
      <c r="H2380">
        <v>749</v>
      </c>
      <c r="I2380" s="8">
        <f t="shared" si="220"/>
        <v>0.35565052231718897</v>
      </c>
      <c r="J2380" s="17">
        <v>0.7</v>
      </c>
      <c r="K2380" s="12">
        <v>13.75</v>
      </c>
      <c r="L2380" s="2">
        <v>725.2</v>
      </c>
      <c r="M2380" s="15">
        <f t="shared" si="221"/>
        <v>9971.5</v>
      </c>
      <c r="N2380" t="str">
        <f t="shared" si="218"/>
        <v>SP</v>
      </c>
      <c r="O2380" t="str">
        <f t="shared" si="219"/>
        <v>Perdizes</v>
      </c>
    </row>
    <row r="2381" spans="1:15" x14ac:dyDescent="0.3">
      <c r="A2381" s="10">
        <v>46023</v>
      </c>
      <c r="B2381" s="9" t="s">
        <v>3</v>
      </c>
      <c r="C2381" t="s">
        <v>248</v>
      </c>
      <c r="D2381" s="9">
        <v>19774</v>
      </c>
      <c r="E2381" s="5" t="s">
        <v>383</v>
      </c>
      <c r="F2381" t="s">
        <v>250</v>
      </c>
      <c r="G2381">
        <v>2590</v>
      </c>
      <c r="H2381">
        <v>937</v>
      </c>
      <c r="I2381" s="8">
        <f t="shared" si="220"/>
        <v>0.36177606177606175</v>
      </c>
      <c r="J2381" s="17">
        <v>0.7</v>
      </c>
      <c r="K2381" s="12">
        <v>13.75</v>
      </c>
      <c r="L2381" s="2">
        <v>876</v>
      </c>
      <c r="M2381" s="15">
        <f t="shared" si="221"/>
        <v>12045</v>
      </c>
      <c r="N2381" t="str">
        <f t="shared" si="218"/>
        <v>SP</v>
      </c>
      <c r="O2381" t="str">
        <f t="shared" si="219"/>
        <v>São Paulo</v>
      </c>
    </row>
    <row r="2382" spans="1:15" x14ac:dyDescent="0.3">
      <c r="A2382" s="10">
        <v>46023</v>
      </c>
      <c r="B2382" s="9" t="s">
        <v>46</v>
      </c>
      <c r="C2382" t="s">
        <v>47</v>
      </c>
      <c r="D2382" s="9">
        <v>19551</v>
      </c>
      <c r="E2382" s="5" t="s">
        <v>384</v>
      </c>
      <c r="F2382" t="s">
        <v>48</v>
      </c>
      <c r="G2382">
        <v>2456</v>
      </c>
      <c r="H2382">
        <v>914</v>
      </c>
      <c r="I2382" s="8">
        <f t="shared" si="220"/>
        <v>0.37214983713355049</v>
      </c>
      <c r="J2382" s="17">
        <v>0.7</v>
      </c>
      <c r="K2382" s="12">
        <v>13.75</v>
      </c>
      <c r="L2382" s="2">
        <v>805.19999999999982</v>
      </c>
      <c r="M2382" s="15">
        <f t="shared" si="221"/>
        <v>11071.499999999998</v>
      </c>
      <c r="N2382" t="str">
        <f t="shared" si="218"/>
        <v>DF</v>
      </c>
      <c r="O2382" t="str">
        <f t="shared" si="219"/>
        <v>Brasília</v>
      </c>
    </row>
    <row r="2383" spans="1:15" x14ac:dyDescent="0.3">
      <c r="A2383" s="10">
        <v>46023</v>
      </c>
      <c r="B2383" s="9" t="s">
        <v>15</v>
      </c>
      <c r="C2383" t="s">
        <v>151</v>
      </c>
      <c r="D2383" s="9">
        <v>19596</v>
      </c>
      <c r="E2383" s="5" t="s">
        <v>385</v>
      </c>
      <c r="F2383" t="s">
        <v>153</v>
      </c>
      <c r="G2383">
        <v>2180</v>
      </c>
      <c r="H2383">
        <v>934</v>
      </c>
      <c r="I2383" s="8">
        <f t="shared" si="220"/>
        <v>0.42844036697247706</v>
      </c>
      <c r="J2383" s="17">
        <v>0.7</v>
      </c>
      <c r="K2383" s="12">
        <v>13.75</v>
      </c>
      <c r="L2383" s="2">
        <v>592</v>
      </c>
      <c r="M2383" s="15">
        <f t="shared" si="221"/>
        <v>8140</v>
      </c>
      <c r="N2383" t="str">
        <f t="shared" si="218"/>
        <v>RJ</v>
      </c>
      <c r="O2383" t="str">
        <f t="shared" si="219"/>
        <v>Nova Iguaçu</v>
      </c>
    </row>
    <row r="2384" spans="1:15" x14ac:dyDescent="0.3">
      <c r="A2384" s="10">
        <v>46023</v>
      </c>
      <c r="B2384" s="9" t="s">
        <v>15</v>
      </c>
      <c r="C2384" t="s">
        <v>319</v>
      </c>
      <c r="D2384" s="9">
        <v>19618</v>
      </c>
      <c r="E2384" s="5" t="s">
        <v>386</v>
      </c>
      <c r="F2384" t="s">
        <v>202</v>
      </c>
      <c r="G2384">
        <v>2359</v>
      </c>
      <c r="H2384">
        <v>940</v>
      </c>
      <c r="I2384" s="8">
        <f t="shared" si="220"/>
        <v>0.39847392963119965</v>
      </c>
      <c r="J2384" s="17">
        <v>0.7</v>
      </c>
      <c r="K2384" s="12">
        <v>13.75</v>
      </c>
      <c r="L2384" s="2">
        <v>711.3</v>
      </c>
      <c r="M2384" s="15">
        <f t="shared" si="221"/>
        <v>9780.375</v>
      </c>
      <c r="N2384" t="str">
        <f t="shared" si="218"/>
        <v>RJ</v>
      </c>
      <c r="O2384" t="str">
        <f t="shared" si="219"/>
        <v>Rio de Janeiro</v>
      </c>
    </row>
    <row r="2385" spans="1:15" x14ac:dyDescent="0.3">
      <c r="A2385" s="10">
        <v>46023</v>
      </c>
      <c r="B2385" s="9" t="s">
        <v>21</v>
      </c>
      <c r="C2385" t="s">
        <v>22</v>
      </c>
      <c r="D2385" s="9">
        <v>19741</v>
      </c>
      <c r="E2385" s="5" t="s">
        <v>387</v>
      </c>
      <c r="F2385" t="s">
        <v>23</v>
      </c>
      <c r="G2385">
        <v>1694</v>
      </c>
      <c r="H2385">
        <v>829</v>
      </c>
      <c r="I2385" s="8">
        <f t="shared" si="220"/>
        <v>0.48937426210153484</v>
      </c>
      <c r="J2385" s="17">
        <v>0.7</v>
      </c>
      <c r="K2385" s="12">
        <v>13.75</v>
      </c>
      <c r="L2385" s="2">
        <v>356.79999999999995</v>
      </c>
      <c r="M2385" s="15">
        <f t="shared" si="221"/>
        <v>4905.9999999999991</v>
      </c>
      <c r="N2385" t="str">
        <f t="shared" si="218"/>
        <v>BA</v>
      </c>
      <c r="O2385" t="str">
        <f t="shared" si="219"/>
        <v>Barreiras</v>
      </c>
    </row>
    <row r="2386" spans="1:15" x14ac:dyDescent="0.3">
      <c r="A2386" s="10">
        <v>46023</v>
      </c>
      <c r="B2386" s="9" t="s">
        <v>74</v>
      </c>
      <c r="C2386" t="s">
        <v>169</v>
      </c>
      <c r="D2386" s="9">
        <v>19897</v>
      </c>
      <c r="E2386" s="5" t="s">
        <v>388</v>
      </c>
      <c r="F2386" t="s">
        <v>170</v>
      </c>
      <c r="G2386">
        <v>1790</v>
      </c>
      <c r="H2386">
        <v>791</v>
      </c>
      <c r="I2386" s="8">
        <f t="shared" si="220"/>
        <v>0.44189944134078213</v>
      </c>
      <c r="J2386" s="17">
        <v>0.7</v>
      </c>
      <c r="K2386" s="12">
        <v>13.75</v>
      </c>
      <c r="L2386" s="2">
        <v>461.99999999999977</v>
      </c>
      <c r="M2386" s="15">
        <f t="shared" si="221"/>
        <v>6352.4999999999973</v>
      </c>
      <c r="N2386" t="str">
        <f t="shared" si="218"/>
        <v>PE</v>
      </c>
      <c r="O2386" t="str">
        <f t="shared" si="219"/>
        <v>Petrolina</v>
      </c>
    </row>
    <row r="2387" spans="1:15" x14ac:dyDescent="0.3">
      <c r="A2387" s="10">
        <v>46023</v>
      </c>
      <c r="B2387" s="9" t="s">
        <v>61</v>
      </c>
      <c r="C2387" t="s">
        <v>62</v>
      </c>
      <c r="D2387" s="9">
        <v>19633</v>
      </c>
      <c r="E2387" s="5" t="s">
        <v>389</v>
      </c>
      <c r="F2387" t="s">
        <v>63</v>
      </c>
      <c r="G2387">
        <v>638</v>
      </c>
      <c r="H2387">
        <v>365</v>
      </c>
      <c r="I2387" s="8">
        <f t="shared" si="220"/>
        <v>0.57210031347962387</v>
      </c>
      <c r="J2387" s="17">
        <v>0.7</v>
      </c>
      <c r="K2387" s="12">
        <v>13.75</v>
      </c>
      <c r="L2387" s="2">
        <v>81.599999999999909</v>
      </c>
      <c r="M2387" s="15">
        <f t="shared" si="221"/>
        <v>1121.9999999999986</v>
      </c>
      <c r="N2387" t="str">
        <f t="shared" si="218"/>
        <v>PB</v>
      </c>
      <c r="O2387" t="str">
        <f t="shared" si="219"/>
        <v>Campina Grande</v>
      </c>
    </row>
    <row r="2388" spans="1:15" x14ac:dyDescent="0.3">
      <c r="A2388" s="10">
        <v>46023</v>
      </c>
      <c r="B2388" s="9" t="s">
        <v>6</v>
      </c>
      <c r="C2388" t="s">
        <v>26</v>
      </c>
      <c r="D2388" s="9">
        <v>19622</v>
      </c>
      <c r="E2388" s="5" t="s">
        <v>390</v>
      </c>
      <c r="F2388" t="s">
        <v>28</v>
      </c>
      <c r="G2388">
        <v>2224</v>
      </c>
      <c r="H2388">
        <v>1232</v>
      </c>
      <c r="I2388" s="8">
        <f t="shared" si="220"/>
        <v>0.5539568345323741</v>
      </c>
      <c r="J2388" s="17">
        <v>0.7</v>
      </c>
      <c r="K2388" s="12">
        <v>13.75</v>
      </c>
      <c r="L2388" s="2">
        <v>324.79999999999995</v>
      </c>
      <c r="M2388" s="15">
        <f t="shared" si="221"/>
        <v>4465.9999999999991</v>
      </c>
      <c r="N2388" t="str">
        <f t="shared" si="218"/>
        <v>PA</v>
      </c>
      <c r="O2388" t="str">
        <f t="shared" si="219"/>
        <v>Belém</v>
      </c>
    </row>
    <row r="2389" spans="1:15" x14ac:dyDescent="0.3">
      <c r="A2389" s="10">
        <v>46023</v>
      </c>
      <c r="B2389" s="9" t="s">
        <v>15</v>
      </c>
      <c r="C2389" t="s">
        <v>319</v>
      </c>
      <c r="D2389" s="9">
        <v>19632</v>
      </c>
      <c r="E2389" s="5" t="s">
        <v>392</v>
      </c>
      <c r="F2389" t="s">
        <v>203</v>
      </c>
      <c r="G2389">
        <v>2817</v>
      </c>
      <c r="H2389">
        <v>1316</v>
      </c>
      <c r="I2389" s="8">
        <f t="shared" si="220"/>
        <v>0.46716364927227549</v>
      </c>
      <c r="J2389" s="17">
        <v>0.7</v>
      </c>
      <c r="K2389" s="12">
        <v>13.75</v>
      </c>
      <c r="L2389" s="2">
        <v>655.89999999999986</v>
      </c>
      <c r="M2389" s="15">
        <f t="shared" si="221"/>
        <v>9018.6249999999982</v>
      </c>
      <c r="N2389" t="str">
        <f t="shared" si="218"/>
        <v>RJ</v>
      </c>
      <c r="O2389" t="str">
        <f t="shared" si="219"/>
        <v>Rio de Janeiro</v>
      </c>
    </row>
    <row r="2390" spans="1:15" x14ac:dyDescent="0.3">
      <c r="A2390" s="10">
        <v>46023</v>
      </c>
      <c r="B2390" s="9" t="s">
        <v>46</v>
      </c>
      <c r="C2390" t="s">
        <v>47</v>
      </c>
      <c r="D2390" s="9">
        <v>19552</v>
      </c>
      <c r="E2390" s="5" t="s">
        <v>393</v>
      </c>
      <c r="F2390" t="s">
        <v>50</v>
      </c>
      <c r="G2390">
        <v>4279</v>
      </c>
      <c r="H2390">
        <v>1925</v>
      </c>
      <c r="I2390" s="8">
        <f t="shared" si="220"/>
        <v>0.44987146529562982</v>
      </c>
      <c r="J2390" s="17">
        <v>0.7</v>
      </c>
      <c r="K2390" s="12">
        <v>13.75</v>
      </c>
      <c r="L2390" s="2">
        <v>1070.3000000000002</v>
      </c>
      <c r="M2390" s="15">
        <f t="shared" si="221"/>
        <v>14716.625000000002</v>
      </c>
      <c r="N2390" t="str">
        <f t="shared" si="218"/>
        <v>DF</v>
      </c>
      <c r="O2390" t="str">
        <f t="shared" si="219"/>
        <v>Brasília</v>
      </c>
    </row>
    <row r="2391" spans="1:15" x14ac:dyDescent="0.3">
      <c r="A2391" s="10">
        <v>46023</v>
      </c>
      <c r="B2391" s="9" t="s">
        <v>15</v>
      </c>
      <c r="C2391" t="s">
        <v>191</v>
      </c>
      <c r="D2391" s="9">
        <v>19636</v>
      </c>
      <c r="E2391" s="5" t="s">
        <v>394</v>
      </c>
      <c r="F2391" t="s">
        <v>192</v>
      </c>
      <c r="G2391">
        <v>2626</v>
      </c>
      <c r="H2391">
        <v>996</v>
      </c>
      <c r="I2391" s="8">
        <f t="shared" si="220"/>
        <v>0.37928408225437926</v>
      </c>
      <c r="J2391" s="17">
        <v>0.7</v>
      </c>
      <c r="K2391" s="12">
        <v>13.75</v>
      </c>
      <c r="L2391" s="2">
        <v>842.19999999999982</v>
      </c>
      <c r="M2391" s="15">
        <f t="shared" si="221"/>
        <v>11580.249999999998</v>
      </c>
      <c r="N2391" t="str">
        <f t="shared" si="218"/>
        <v>RJ</v>
      </c>
      <c r="O2391" t="str">
        <f t="shared" si="219"/>
        <v>Resende</v>
      </c>
    </row>
    <row r="2392" spans="1:15" x14ac:dyDescent="0.3">
      <c r="A2392" s="10">
        <v>46023</v>
      </c>
      <c r="B2392" s="9" t="s">
        <v>74</v>
      </c>
      <c r="C2392" t="s">
        <v>186</v>
      </c>
      <c r="D2392" s="9">
        <v>19649</v>
      </c>
      <c r="E2392" s="5" t="s">
        <v>395</v>
      </c>
      <c r="F2392" t="s">
        <v>187</v>
      </c>
      <c r="G2392">
        <v>3266</v>
      </c>
      <c r="H2392">
        <v>1415</v>
      </c>
      <c r="I2392" s="8">
        <f t="shared" si="220"/>
        <v>0.43325168401714637</v>
      </c>
      <c r="J2392" s="17">
        <v>0.7</v>
      </c>
      <c r="K2392" s="12">
        <v>13.75</v>
      </c>
      <c r="L2392" s="2">
        <v>871.19999999999982</v>
      </c>
      <c r="M2392" s="15">
        <f t="shared" si="221"/>
        <v>11978.999999999998</v>
      </c>
      <c r="N2392" t="str">
        <f t="shared" si="218"/>
        <v>PE</v>
      </c>
      <c r="O2392" t="str">
        <f t="shared" si="219"/>
        <v>Recife</v>
      </c>
    </row>
    <row r="2393" spans="1:15" x14ac:dyDescent="0.3">
      <c r="A2393" s="10">
        <v>46023</v>
      </c>
      <c r="B2393" s="9" t="s">
        <v>74</v>
      </c>
      <c r="C2393" t="s">
        <v>186</v>
      </c>
      <c r="D2393" s="9">
        <v>19601</v>
      </c>
      <c r="E2393" s="5" t="s">
        <v>396</v>
      </c>
      <c r="F2393" t="s">
        <v>188</v>
      </c>
      <c r="G2393">
        <v>2825</v>
      </c>
      <c r="H2393">
        <v>1276</v>
      </c>
      <c r="I2393" s="8">
        <f t="shared" si="220"/>
        <v>0.45168141592920352</v>
      </c>
      <c r="J2393" s="17">
        <v>0.7</v>
      </c>
      <c r="K2393" s="12">
        <v>13.75</v>
      </c>
      <c r="L2393" s="2">
        <v>701.5</v>
      </c>
      <c r="M2393" s="15">
        <f t="shared" si="221"/>
        <v>9645.625</v>
      </c>
      <c r="N2393" t="str">
        <f t="shared" si="218"/>
        <v>PE</v>
      </c>
      <c r="O2393" t="str">
        <f t="shared" si="219"/>
        <v>Recife</v>
      </c>
    </row>
    <row r="2394" spans="1:15" x14ac:dyDescent="0.3">
      <c r="A2394" s="10">
        <v>46023</v>
      </c>
      <c r="B2394" s="9" t="s">
        <v>74</v>
      </c>
      <c r="C2394" t="s">
        <v>186</v>
      </c>
      <c r="D2394" s="9">
        <v>19565</v>
      </c>
      <c r="E2394" s="5" t="s">
        <v>397</v>
      </c>
      <c r="F2394" t="s">
        <v>189</v>
      </c>
      <c r="G2394">
        <v>2757</v>
      </c>
      <c r="H2394">
        <v>1031</v>
      </c>
      <c r="I2394" s="8">
        <f t="shared" si="220"/>
        <v>0.37395719985491477</v>
      </c>
      <c r="J2394" s="17">
        <v>0.7</v>
      </c>
      <c r="K2394" s="12">
        <v>13.75</v>
      </c>
      <c r="L2394" s="2">
        <v>898.89999999999986</v>
      </c>
      <c r="M2394" s="15">
        <f t="shared" si="221"/>
        <v>12359.874999999998</v>
      </c>
      <c r="N2394" t="str">
        <f t="shared" si="218"/>
        <v>PE</v>
      </c>
      <c r="O2394" t="str">
        <f t="shared" si="219"/>
        <v>Recife</v>
      </c>
    </row>
    <row r="2395" spans="1:15" x14ac:dyDescent="0.3">
      <c r="A2395" s="10">
        <v>46023</v>
      </c>
      <c r="B2395" s="9" t="s">
        <v>74</v>
      </c>
      <c r="C2395" t="s">
        <v>186</v>
      </c>
      <c r="D2395" s="9">
        <v>19654</v>
      </c>
      <c r="E2395" s="5" t="s">
        <v>398</v>
      </c>
      <c r="F2395" t="s">
        <v>190</v>
      </c>
      <c r="G2395">
        <v>2265</v>
      </c>
      <c r="H2395">
        <v>866</v>
      </c>
      <c r="I2395" s="8">
        <f t="shared" si="220"/>
        <v>0.38233995584988961</v>
      </c>
      <c r="J2395" s="17">
        <v>0.7</v>
      </c>
      <c r="K2395" s="12">
        <v>13.75</v>
      </c>
      <c r="L2395" s="2">
        <v>719.49999999999977</v>
      </c>
      <c r="M2395" s="15">
        <f t="shared" si="221"/>
        <v>9893.1249999999964</v>
      </c>
      <c r="N2395" t="str">
        <f t="shared" si="218"/>
        <v>PE</v>
      </c>
      <c r="O2395" t="str">
        <f t="shared" si="219"/>
        <v>Recife</v>
      </c>
    </row>
    <row r="2396" spans="1:15" x14ac:dyDescent="0.3">
      <c r="A2396" s="10">
        <v>46023</v>
      </c>
      <c r="B2396" s="9" t="s">
        <v>74</v>
      </c>
      <c r="C2396" t="s">
        <v>315</v>
      </c>
      <c r="D2396" s="9">
        <v>19624</v>
      </c>
      <c r="E2396" s="5" t="s">
        <v>399</v>
      </c>
      <c r="F2396" t="s">
        <v>116</v>
      </c>
      <c r="G2396">
        <v>1801</v>
      </c>
      <c r="H2396">
        <v>677</v>
      </c>
      <c r="I2396" s="8">
        <f t="shared" si="220"/>
        <v>0.37590227651304831</v>
      </c>
      <c r="J2396" s="17">
        <v>0.7</v>
      </c>
      <c r="K2396" s="12">
        <v>13.75</v>
      </c>
      <c r="L2396" s="2">
        <v>583.70000000000005</v>
      </c>
      <c r="M2396" s="15">
        <f t="shared" si="221"/>
        <v>8025.8750000000009</v>
      </c>
      <c r="N2396" t="str">
        <f t="shared" si="218"/>
        <v>PE</v>
      </c>
      <c r="O2396" t="str">
        <f t="shared" si="219"/>
        <v>Jaboatão dos Guararapes</v>
      </c>
    </row>
    <row r="2397" spans="1:15" x14ac:dyDescent="0.3">
      <c r="A2397" s="10">
        <v>46023</v>
      </c>
      <c r="B2397" s="9" t="s">
        <v>15</v>
      </c>
      <c r="C2397" t="s">
        <v>143</v>
      </c>
      <c r="D2397" s="9">
        <v>19648</v>
      </c>
      <c r="E2397" s="5" t="s">
        <v>400</v>
      </c>
      <c r="F2397" t="s">
        <v>144</v>
      </c>
      <c r="G2397">
        <v>1733</v>
      </c>
      <c r="H2397">
        <v>510</v>
      </c>
      <c r="I2397" s="8">
        <f t="shared" si="220"/>
        <v>0.29428736295441432</v>
      </c>
      <c r="J2397" s="17">
        <v>0.7</v>
      </c>
      <c r="K2397" s="12">
        <v>13.75</v>
      </c>
      <c r="L2397" s="2">
        <v>703.09999999999991</v>
      </c>
      <c r="M2397" s="15">
        <f t="shared" si="221"/>
        <v>9667.6249999999982</v>
      </c>
      <c r="N2397" t="str">
        <f t="shared" si="218"/>
        <v>RJ</v>
      </c>
      <c r="O2397" t="str">
        <f t="shared" si="219"/>
        <v>Nilópolis</v>
      </c>
    </row>
    <row r="2398" spans="1:15" x14ac:dyDescent="0.3">
      <c r="A2398" s="10">
        <v>46023</v>
      </c>
      <c r="B2398" s="9" t="s">
        <v>15</v>
      </c>
      <c r="C2398" t="s">
        <v>57</v>
      </c>
      <c r="D2398" s="9">
        <v>19657</v>
      </c>
      <c r="E2398" s="5" t="s">
        <v>401</v>
      </c>
      <c r="F2398" t="s">
        <v>58</v>
      </c>
      <c r="G2398">
        <v>2626</v>
      </c>
      <c r="H2398">
        <v>1166</v>
      </c>
      <c r="I2398" s="8">
        <f t="shared" si="220"/>
        <v>0.44402132520944404</v>
      </c>
      <c r="J2398" s="17">
        <v>0.7</v>
      </c>
      <c r="K2398" s="12">
        <v>13.75</v>
      </c>
      <c r="L2398" s="2">
        <v>672.19999999999982</v>
      </c>
      <c r="M2398" s="15">
        <f t="shared" si="221"/>
        <v>9242.7499999999982</v>
      </c>
      <c r="N2398" t="str">
        <f t="shared" si="218"/>
        <v>RJ</v>
      </c>
      <c r="O2398" t="str">
        <f t="shared" si="219"/>
        <v>Cabo Frio</v>
      </c>
    </row>
    <row r="2399" spans="1:15" x14ac:dyDescent="0.3">
      <c r="A2399" s="10">
        <v>46023</v>
      </c>
      <c r="B2399" s="9" t="s">
        <v>82</v>
      </c>
      <c r="C2399" t="s">
        <v>119</v>
      </c>
      <c r="D2399" s="9">
        <v>19661</v>
      </c>
      <c r="E2399" s="5" t="s">
        <v>403</v>
      </c>
      <c r="F2399" t="s">
        <v>120</v>
      </c>
      <c r="G2399">
        <v>2654</v>
      </c>
      <c r="H2399">
        <v>837</v>
      </c>
      <c r="I2399" s="8">
        <f t="shared" si="220"/>
        <v>0.31537302185380556</v>
      </c>
      <c r="J2399" s="17">
        <v>0.7</v>
      </c>
      <c r="K2399" s="12">
        <v>13.75</v>
      </c>
      <c r="L2399" s="2">
        <v>1020.8</v>
      </c>
      <c r="M2399" s="15">
        <f t="shared" si="221"/>
        <v>14036</v>
      </c>
      <c r="N2399" t="str">
        <f t="shared" si="218"/>
        <v>PR</v>
      </c>
      <c r="O2399" t="str">
        <f t="shared" si="219"/>
        <v>Londrina</v>
      </c>
    </row>
    <row r="2400" spans="1:15" x14ac:dyDescent="0.3">
      <c r="A2400" s="10">
        <v>46023</v>
      </c>
      <c r="B2400" s="9" t="s">
        <v>183</v>
      </c>
      <c r="C2400" t="s">
        <v>184</v>
      </c>
      <c r="D2400" s="9">
        <v>19752</v>
      </c>
      <c r="E2400" s="5" t="s">
        <v>404</v>
      </c>
      <c r="F2400" t="s">
        <v>185</v>
      </c>
      <c r="G2400">
        <v>885</v>
      </c>
      <c r="H2400">
        <v>399</v>
      </c>
      <c r="I2400" s="8">
        <f t="shared" si="220"/>
        <v>0.45084745762711864</v>
      </c>
      <c r="J2400" s="17">
        <v>0.7</v>
      </c>
      <c r="K2400" s="12">
        <v>13.75</v>
      </c>
      <c r="L2400" s="2">
        <v>220.49999999999989</v>
      </c>
      <c r="M2400" s="15">
        <f t="shared" si="221"/>
        <v>3031.8749999999986</v>
      </c>
      <c r="N2400" t="str">
        <f t="shared" si="218"/>
        <v>RO</v>
      </c>
      <c r="O2400" t="str">
        <f t="shared" si="219"/>
        <v>Porto Velho</v>
      </c>
    </row>
    <row r="2401" spans="1:15" x14ac:dyDescent="0.3">
      <c r="A2401" s="10">
        <v>46023</v>
      </c>
      <c r="B2401" s="9" t="s">
        <v>15</v>
      </c>
      <c r="C2401" t="s">
        <v>281</v>
      </c>
      <c r="D2401" s="9">
        <v>19671</v>
      </c>
      <c r="E2401" s="5" t="s">
        <v>405</v>
      </c>
      <c r="F2401" t="s">
        <v>282</v>
      </c>
      <c r="G2401">
        <v>2770</v>
      </c>
      <c r="H2401">
        <v>1195</v>
      </c>
      <c r="I2401" s="8">
        <f t="shared" si="220"/>
        <v>0.43140794223826717</v>
      </c>
      <c r="J2401" s="17">
        <v>0.7</v>
      </c>
      <c r="K2401" s="12">
        <v>13.75</v>
      </c>
      <c r="L2401" s="2">
        <v>744</v>
      </c>
      <c r="M2401" s="15">
        <f t="shared" si="221"/>
        <v>10230</v>
      </c>
      <c r="N2401" t="str">
        <f t="shared" si="218"/>
        <v>RJ</v>
      </c>
      <c r="O2401" t="str">
        <f t="shared" si="219"/>
        <v>Teresópolis</v>
      </c>
    </row>
    <row r="2402" spans="1:15" x14ac:dyDescent="0.3">
      <c r="A2402" s="10">
        <v>46023</v>
      </c>
      <c r="B2402" s="9" t="s">
        <v>3</v>
      </c>
      <c r="C2402" t="s">
        <v>248</v>
      </c>
      <c r="D2402" s="9">
        <v>19674</v>
      </c>
      <c r="E2402" s="5" t="s">
        <v>406</v>
      </c>
      <c r="F2402" t="s">
        <v>251</v>
      </c>
      <c r="G2402">
        <v>1926</v>
      </c>
      <c r="H2402">
        <v>612</v>
      </c>
      <c r="I2402" s="8">
        <f t="shared" si="220"/>
        <v>0.31775700934579437</v>
      </c>
      <c r="J2402" s="17">
        <v>0.7</v>
      </c>
      <c r="K2402" s="12">
        <v>13.75</v>
      </c>
      <c r="L2402" s="2">
        <v>736.2</v>
      </c>
      <c r="M2402" s="15">
        <f t="shared" si="221"/>
        <v>10122.75</v>
      </c>
      <c r="N2402" t="str">
        <f t="shared" si="218"/>
        <v>SP</v>
      </c>
      <c r="O2402" t="str">
        <f t="shared" si="219"/>
        <v>São Paulo</v>
      </c>
    </row>
    <row r="2403" spans="1:15" x14ac:dyDescent="0.3">
      <c r="A2403" s="10">
        <v>46023</v>
      </c>
      <c r="B2403" s="9" t="s">
        <v>3</v>
      </c>
      <c r="C2403" t="s">
        <v>248</v>
      </c>
      <c r="D2403" s="9">
        <v>19756</v>
      </c>
      <c r="E2403" s="5" t="s">
        <v>407</v>
      </c>
      <c r="F2403" t="s">
        <v>252</v>
      </c>
      <c r="G2403">
        <v>1532</v>
      </c>
      <c r="H2403">
        <v>551</v>
      </c>
      <c r="I2403" s="8">
        <f t="shared" si="220"/>
        <v>0.35966057441253263</v>
      </c>
      <c r="J2403" s="17">
        <v>0.7</v>
      </c>
      <c r="K2403" s="12">
        <v>13.75</v>
      </c>
      <c r="L2403" s="2">
        <v>521.40000000000009</v>
      </c>
      <c r="M2403" s="15">
        <f t="shared" si="221"/>
        <v>7169.2500000000009</v>
      </c>
      <c r="N2403" t="str">
        <f t="shared" si="218"/>
        <v>SP</v>
      </c>
      <c r="O2403" t="str">
        <f t="shared" si="219"/>
        <v>São Paulo</v>
      </c>
    </row>
    <row r="2404" spans="1:15" x14ac:dyDescent="0.3">
      <c r="A2404" s="10">
        <v>46023</v>
      </c>
      <c r="B2404" s="9" t="s">
        <v>3</v>
      </c>
      <c r="C2404" t="s">
        <v>248</v>
      </c>
      <c r="D2404" s="9">
        <v>19809</v>
      </c>
      <c r="E2404" s="5" t="s">
        <v>408</v>
      </c>
      <c r="F2404" t="s">
        <v>253</v>
      </c>
      <c r="G2404">
        <v>2253</v>
      </c>
      <c r="H2404">
        <v>784</v>
      </c>
      <c r="I2404" s="8">
        <f t="shared" si="220"/>
        <v>0.34798047048379938</v>
      </c>
      <c r="J2404" s="17">
        <v>0.7</v>
      </c>
      <c r="K2404" s="12">
        <v>13.75</v>
      </c>
      <c r="L2404" s="2">
        <v>793.09999999999991</v>
      </c>
      <c r="M2404" s="15">
        <f t="shared" si="221"/>
        <v>10905.124999999998</v>
      </c>
      <c r="N2404" t="str">
        <f t="shared" si="218"/>
        <v>SP</v>
      </c>
      <c r="O2404" t="str">
        <f t="shared" si="219"/>
        <v>São Paulo</v>
      </c>
    </row>
    <row r="2405" spans="1:15" x14ac:dyDescent="0.3">
      <c r="A2405" s="10">
        <v>46023</v>
      </c>
      <c r="B2405" s="9" t="s">
        <v>3</v>
      </c>
      <c r="C2405" t="s">
        <v>248</v>
      </c>
      <c r="D2405" s="9">
        <v>19579</v>
      </c>
      <c r="E2405" s="5" t="s">
        <v>409</v>
      </c>
      <c r="F2405" t="s">
        <v>254</v>
      </c>
      <c r="G2405">
        <v>1644</v>
      </c>
      <c r="H2405">
        <v>593</v>
      </c>
      <c r="I2405" s="8">
        <f t="shared" si="220"/>
        <v>0.36070559610705594</v>
      </c>
      <c r="J2405" s="17">
        <v>0.7</v>
      </c>
      <c r="K2405" s="12">
        <v>13.75</v>
      </c>
      <c r="L2405" s="2">
        <v>557.79999999999995</v>
      </c>
      <c r="M2405" s="15">
        <f t="shared" si="221"/>
        <v>7669.7499999999991</v>
      </c>
      <c r="N2405" t="str">
        <f t="shared" si="218"/>
        <v>SP</v>
      </c>
      <c r="O2405" t="str">
        <f t="shared" si="219"/>
        <v>São Paulo</v>
      </c>
    </row>
    <row r="2406" spans="1:15" x14ac:dyDescent="0.3">
      <c r="A2406" s="10">
        <v>46023</v>
      </c>
      <c r="B2406" s="9" t="s">
        <v>126</v>
      </c>
      <c r="C2406" t="s">
        <v>127</v>
      </c>
      <c r="D2406" s="9">
        <v>19623</v>
      </c>
      <c r="E2406" s="5" t="s">
        <v>410</v>
      </c>
      <c r="F2406" t="s">
        <v>128</v>
      </c>
      <c r="G2406">
        <v>2014</v>
      </c>
      <c r="H2406">
        <v>975</v>
      </c>
      <c r="I2406" s="8">
        <f t="shared" si="220"/>
        <v>0.48411122144985103</v>
      </c>
      <c r="J2406" s="17">
        <v>0.7</v>
      </c>
      <c r="K2406" s="12">
        <v>13.75</v>
      </c>
      <c r="L2406" s="2">
        <v>434.79999999999995</v>
      </c>
      <c r="M2406" s="15">
        <f t="shared" si="221"/>
        <v>5978.4999999999991</v>
      </c>
      <c r="N2406" t="str">
        <f t="shared" si="218"/>
        <v>AL</v>
      </c>
      <c r="O2406" t="str">
        <f t="shared" si="219"/>
        <v>Maceió</v>
      </c>
    </row>
    <row r="2407" spans="1:15" x14ac:dyDescent="0.3">
      <c r="A2407" s="10">
        <v>46023</v>
      </c>
      <c r="B2407" s="9" t="s">
        <v>46</v>
      </c>
      <c r="C2407" t="s">
        <v>47</v>
      </c>
      <c r="D2407" s="9">
        <v>19693</v>
      </c>
      <c r="E2407" s="5" t="s">
        <v>411</v>
      </c>
      <c r="F2407" t="s">
        <v>51</v>
      </c>
      <c r="G2407">
        <v>2405</v>
      </c>
      <c r="H2407">
        <v>738</v>
      </c>
      <c r="I2407" s="8">
        <f t="shared" si="220"/>
        <v>0.30686070686070688</v>
      </c>
      <c r="J2407" s="17">
        <v>0.7</v>
      </c>
      <c r="K2407" s="12">
        <v>13.75</v>
      </c>
      <c r="L2407" s="2">
        <v>945.5</v>
      </c>
      <c r="M2407" s="15">
        <f t="shared" si="221"/>
        <v>13000.625</v>
      </c>
      <c r="N2407" t="str">
        <f t="shared" si="218"/>
        <v>DF</v>
      </c>
      <c r="O2407" t="str">
        <f t="shared" si="219"/>
        <v>Brasília</v>
      </c>
    </row>
    <row r="2408" spans="1:15" x14ac:dyDescent="0.3">
      <c r="A2408" s="10">
        <v>46023</v>
      </c>
      <c r="B2408" s="9" t="s">
        <v>78</v>
      </c>
      <c r="C2408" t="s">
        <v>79</v>
      </c>
      <c r="D2408" s="9">
        <v>19730</v>
      </c>
      <c r="E2408" s="5" t="s">
        <v>413</v>
      </c>
      <c r="F2408" t="s">
        <v>80</v>
      </c>
      <c r="G2408">
        <v>2140</v>
      </c>
      <c r="H2408">
        <v>859</v>
      </c>
      <c r="I2408" s="8">
        <f t="shared" si="220"/>
        <v>0.40140186915887849</v>
      </c>
      <c r="J2408" s="17">
        <v>0.7</v>
      </c>
      <c r="K2408" s="12">
        <v>13.75</v>
      </c>
      <c r="L2408" s="2">
        <v>639</v>
      </c>
      <c r="M2408" s="15">
        <f t="shared" si="221"/>
        <v>8786.25</v>
      </c>
      <c r="N2408" t="str">
        <f t="shared" si="218"/>
        <v>MT</v>
      </c>
      <c r="O2408" t="str">
        <f t="shared" si="219"/>
        <v>Cuiabá</v>
      </c>
    </row>
    <row r="2409" spans="1:15" x14ac:dyDescent="0.3">
      <c r="A2409" s="10">
        <v>46023</v>
      </c>
      <c r="B2409" s="9" t="s">
        <v>78</v>
      </c>
      <c r="C2409" t="s">
        <v>79</v>
      </c>
      <c r="D2409" s="9">
        <v>19794</v>
      </c>
      <c r="E2409" s="5" t="s">
        <v>414</v>
      </c>
      <c r="F2409" t="s">
        <v>81</v>
      </c>
      <c r="G2409">
        <v>1499</v>
      </c>
      <c r="H2409">
        <v>561</v>
      </c>
      <c r="I2409" s="8">
        <f t="shared" si="220"/>
        <v>0.37424949966644427</v>
      </c>
      <c r="J2409" s="17">
        <v>0.7</v>
      </c>
      <c r="K2409" s="12">
        <v>13.75</v>
      </c>
      <c r="L2409" s="2">
        <v>488.29999999999995</v>
      </c>
      <c r="M2409" s="15">
        <f t="shared" si="221"/>
        <v>6714.1249999999991</v>
      </c>
      <c r="N2409" t="str">
        <f t="shared" si="218"/>
        <v>MT</v>
      </c>
      <c r="O2409" t="str">
        <f t="shared" si="219"/>
        <v>Cuiabá</v>
      </c>
    </row>
    <row r="2410" spans="1:15" x14ac:dyDescent="0.3">
      <c r="A2410" s="10">
        <v>46023</v>
      </c>
      <c r="B2410" s="9" t="s">
        <v>7</v>
      </c>
      <c r="C2410" t="s">
        <v>99</v>
      </c>
      <c r="D2410" s="9">
        <v>19691</v>
      </c>
      <c r="E2410" s="5" t="s">
        <v>415</v>
      </c>
      <c r="F2410" t="s">
        <v>100</v>
      </c>
      <c r="G2410">
        <v>2604</v>
      </c>
      <c r="H2410">
        <v>1143</v>
      </c>
      <c r="I2410" s="8">
        <f t="shared" si="220"/>
        <v>0.43894009216589863</v>
      </c>
      <c r="J2410" s="17">
        <v>0.7</v>
      </c>
      <c r="K2410" s="12">
        <v>13.75</v>
      </c>
      <c r="L2410" s="2">
        <v>679.79999999999973</v>
      </c>
      <c r="M2410" s="15">
        <f t="shared" si="221"/>
        <v>9347.2499999999964</v>
      </c>
      <c r="N2410" t="str">
        <f t="shared" si="218"/>
        <v>GO</v>
      </c>
      <c r="O2410" t="str">
        <f t="shared" si="219"/>
        <v>Goiânia</v>
      </c>
    </row>
    <row r="2411" spans="1:15" x14ac:dyDescent="0.3">
      <c r="A2411" s="10">
        <v>46023</v>
      </c>
      <c r="B2411" s="9" t="s">
        <v>15</v>
      </c>
      <c r="C2411" t="s">
        <v>319</v>
      </c>
      <c r="D2411" s="9">
        <v>19505</v>
      </c>
      <c r="E2411" s="5" t="s">
        <v>416</v>
      </c>
      <c r="F2411" t="s">
        <v>204</v>
      </c>
      <c r="G2411">
        <v>2373</v>
      </c>
      <c r="H2411">
        <v>870</v>
      </c>
      <c r="I2411" s="8">
        <f t="shared" si="220"/>
        <v>0.36662452591656131</v>
      </c>
      <c r="J2411" s="17">
        <v>0.7</v>
      </c>
      <c r="K2411" s="12">
        <v>13.75</v>
      </c>
      <c r="L2411" s="2">
        <v>791.10000000000014</v>
      </c>
      <c r="M2411" s="15">
        <f t="shared" si="221"/>
        <v>10877.625000000002</v>
      </c>
      <c r="N2411" t="str">
        <f t="shared" si="218"/>
        <v>RJ</v>
      </c>
      <c r="O2411" t="str">
        <f t="shared" si="219"/>
        <v>Rio de Janeiro</v>
      </c>
    </row>
    <row r="2412" spans="1:15" x14ac:dyDescent="0.3">
      <c r="A2412" s="10">
        <v>46023</v>
      </c>
      <c r="B2412" s="9" t="s">
        <v>15</v>
      </c>
      <c r="C2412" t="s">
        <v>319</v>
      </c>
      <c r="D2412" s="9">
        <v>19515</v>
      </c>
      <c r="E2412" s="5" t="s">
        <v>417</v>
      </c>
      <c r="F2412" t="s">
        <v>205</v>
      </c>
      <c r="G2412">
        <v>3661</v>
      </c>
      <c r="H2412">
        <v>1376</v>
      </c>
      <c r="I2412" s="8">
        <f t="shared" si="220"/>
        <v>0.37585359191477741</v>
      </c>
      <c r="J2412" s="17">
        <v>0.7</v>
      </c>
      <c r="K2412" s="12">
        <v>13.75</v>
      </c>
      <c r="L2412" s="2">
        <v>1186.6999999999998</v>
      </c>
      <c r="M2412" s="15">
        <f t="shared" si="221"/>
        <v>16317.124999999998</v>
      </c>
      <c r="N2412" t="str">
        <f t="shared" si="218"/>
        <v>RJ</v>
      </c>
      <c r="O2412" t="str">
        <f t="shared" si="219"/>
        <v>Rio de Janeiro</v>
      </c>
    </row>
    <row r="2413" spans="1:15" x14ac:dyDescent="0.3">
      <c r="A2413" s="10">
        <v>46023</v>
      </c>
      <c r="B2413" s="9" t="s">
        <v>15</v>
      </c>
      <c r="C2413" t="s">
        <v>319</v>
      </c>
      <c r="D2413" s="9">
        <v>19519</v>
      </c>
      <c r="E2413" s="5" t="s">
        <v>418</v>
      </c>
      <c r="F2413" t="s">
        <v>206</v>
      </c>
      <c r="G2413">
        <v>6487</v>
      </c>
      <c r="H2413">
        <v>2636</v>
      </c>
      <c r="I2413" s="8">
        <f t="shared" si="220"/>
        <v>0.40635116386619391</v>
      </c>
      <c r="J2413" s="17">
        <v>0.7</v>
      </c>
      <c r="K2413" s="12">
        <v>13.75</v>
      </c>
      <c r="L2413" s="2">
        <v>1904.8999999999996</v>
      </c>
      <c r="M2413" s="15">
        <f t="shared" si="221"/>
        <v>26192.374999999996</v>
      </c>
      <c r="N2413" t="str">
        <f t="shared" si="218"/>
        <v>RJ</v>
      </c>
      <c r="O2413" t="str">
        <f t="shared" si="219"/>
        <v>Rio de Janeiro</v>
      </c>
    </row>
    <row r="2414" spans="1:15" x14ac:dyDescent="0.3">
      <c r="A2414" s="10">
        <v>46023</v>
      </c>
      <c r="B2414" s="9" t="s">
        <v>15</v>
      </c>
      <c r="C2414" t="s">
        <v>319</v>
      </c>
      <c r="D2414" s="9">
        <v>19518</v>
      </c>
      <c r="E2414" s="5" t="s">
        <v>419</v>
      </c>
      <c r="F2414" t="s">
        <v>207</v>
      </c>
      <c r="G2414">
        <v>4681</v>
      </c>
      <c r="H2414">
        <v>1931</v>
      </c>
      <c r="I2414" s="8">
        <f t="shared" si="220"/>
        <v>0.41251869258705404</v>
      </c>
      <c r="J2414" s="17">
        <v>0.7</v>
      </c>
      <c r="K2414" s="12">
        <v>13.75</v>
      </c>
      <c r="L2414" s="2">
        <v>1345.6999999999998</v>
      </c>
      <c r="M2414" s="15">
        <f t="shared" si="221"/>
        <v>18503.374999999996</v>
      </c>
      <c r="N2414" t="str">
        <f t="shared" si="218"/>
        <v>RJ</v>
      </c>
      <c r="O2414" t="str">
        <f t="shared" si="219"/>
        <v>Rio de Janeiro</v>
      </c>
    </row>
    <row r="2415" spans="1:15" x14ac:dyDescent="0.3">
      <c r="A2415" s="10">
        <v>46023</v>
      </c>
      <c r="B2415" s="9" t="s">
        <v>15</v>
      </c>
      <c r="C2415" t="s">
        <v>319</v>
      </c>
      <c r="D2415" s="9">
        <v>19507</v>
      </c>
      <c r="E2415" s="5" t="s">
        <v>420</v>
      </c>
      <c r="F2415" t="s">
        <v>208</v>
      </c>
      <c r="G2415">
        <v>3436</v>
      </c>
      <c r="H2415">
        <v>1225</v>
      </c>
      <c r="I2415" s="8">
        <f t="shared" si="220"/>
        <v>0.35651920838183937</v>
      </c>
      <c r="J2415" s="17">
        <v>0.7</v>
      </c>
      <c r="K2415" s="12">
        <v>13.75</v>
      </c>
      <c r="L2415" s="2">
        <v>1180.1999999999998</v>
      </c>
      <c r="M2415" s="15">
        <f t="shared" si="221"/>
        <v>16227.749999999998</v>
      </c>
      <c r="N2415" t="str">
        <f t="shared" si="218"/>
        <v>RJ</v>
      </c>
      <c r="O2415" t="str">
        <f t="shared" si="219"/>
        <v>Rio de Janeiro</v>
      </c>
    </row>
    <row r="2416" spans="1:15" x14ac:dyDescent="0.3">
      <c r="A2416" s="10">
        <v>46023</v>
      </c>
      <c r="B2416" s="9" t="s">
        <v>15</v>
      </c>
      <c r="C2416" t="s">
        <v>319</v>
      </c>
      <c r="D2416" s="9">
        <v>19714</v>
      </c>
      <c r="E2416" s="5" t="s">
        <v>421</v>
      </c>
      <c r="F2416" t="s">
        <v>209</v>
      </c>
      <c r="G2416">
        <v>2516</v>
      </c>
      <c r="H2416">
        <v>894</v>
      </c>
      <c r="I2416" s="8">
        <f t="shared" si="220"/>
        <v>0.35532591414944353</v>
      </c>
      <c r="J2416" s="17">
        <v>0.7</v>
      </c>
      <c r="K2416" s="12">
        <v>13.75</v>
      </c>
      <c r="L2416" s="2">
        <v>867.2</v>
      </c>
      <c r="M2416" s="15">
        <f t="shared" si="221"/>
        <v>11924</v>
      </c>
      <c r="N2416" t="str">
        <f t="shared" si="218"/>
        <v>RJ</v>
      </c>
      <c r="O2416" t="str">
        <f t="shared" si="219"/>
        <v>Rio de Janeiro</v>
      </c>
    </row>
    <row r="2417" spans="1:15" x14ac:dyDescent="0.3">
      <c r="A2417" s="10">
        <v>46023</v>
      </c>
      <c r="B2417" s="9" t="s">
        <v>15</v>
      </c>
      <c r="C2417" t="s">
        <v>319</v>
      </c>
      <c r="D2417" s="9">
        <v>19844</v>
      </c>
      <c r="E2417" s="5" t="s">
        <v>428</v>
      </c>
      <c r="F2417" t="s">
        <v>210</v>
      </c>
      <c r="G2417">
        <v>2359</v>
      </c>
      <c r="H2417">
        <v>900</v>
      </c>
      <c r="I2417" s="8">
        <f t="shared" si="220"/>
        <v>0.3815175922000848</v>
      </c>
      <c r="J2417" s="17">
        <v>0.7</v>
      </c>
      <c r="K2417" s="12">
        <v>13.75</v>
      </c>
      <c r="L2417" s="2">
        <v>751.3</v>
      </c>
      <c r="M2417" s="15">
        <f t="shared" si="221"/>
        <v>10330.375</v>
      </c>
      <c r="N2417" t="str">
        <f t="shared" si="218"/>
        <v>RJ</v>
      </c>
      <c r="O2417" t="str">
        <f t="shared" si="219"/>
        <v>Rio de Janeiro</v>
      </c>
    </row>
    <row r="2418" spans="1:15" x14ac:dyDescent="0.3">
      <c r="A2418" s="10">
        <v>46023</v>
      </c>
      <c r="B2418" s="9" t="s">
        <v>14</v>
      </c>
      <c r="C2418" t="s">
        <v>29</v>
      </c>
      <c r="D2418" s="9">
        <v>19793</v>
      </c>
      <c r="E2418" s="5" t="s">
        <v>611</v>
      </c>
      <c r="F2418" t="s">
        <v>39</v>
      </c>
      <c r="G2418">
        <v>1486</v>
      </c>
      <c r="H2418">
        <v>650</v>
      </c>
      <c r="I2418" s="8">
        <f t="shared" si="220"/>
        <v>0.43741588156123823</v>
      </c>
      <c r="J2418" s="17">
        <v>0.7</v>
      </c>
      <c r="K2418" s="12">
        <v>13.75</v>
      </c>
      <c r="L2418" s="2">
        <v>390.19999999999982</v>
      </c>
      <c r="M2418" s="15">
        <f t="shared" si="221"/>
        <v>5365.2499999999973</v>
      </c>
      <c r="N2418" t="str">
        <f t="shared" si="218"/>
        <v>MG</v>
      </c>
      <c r="O2418" t="str">
        <f t="shared" si="219"/>
        <v>Belo Horizonte</v>
      </c>
    </row>
    <row r="2419" spans="1:15" x14ac:dyDescent="0.3">
      <c r="A2419" s="10">
        <v>46023</v>
      </c>
      <c r="B2419" s="9" t="s">
        <v>14</v>
      </c>
      <c r="C2419" t="s">
        <v>29</v>
      </c>
      <c r="D2419" s="9">
        <v>19704</v>
      </c>
      <c r="E2419" s="5" t="s">
        <v>429</v>
      </c>
      <c r="F2419" t="s">
        <v>30</v>
      </c>
      <c r="G2419">
        <v>3544</v>
      </c>
      <c r="H2419">
        <v>1754</v>
      </c>
      <c r="I2419" s="8">
        <f t="shared" si="220"/>
        <v>0.49492099322799099</v>
      </c>
      <c r="J2419" s="17">
        <v>0.7</v>
      </c>
      <c r="K2419" s="12">
        <v>13.75</v>
      </c>
      <c r="L2419" s="2">
        <v>726.79999999999973</v>
      </c>
      <c r="M2419" s="15">
        <f t="shared" si="221"/>
        <v>9993.4999999999964</v>
      </c>
      <c r="N2419" t="str">
        <f t="shared" si="218"/>
        <v>MG</v>
      </c>
      <c r="O2419" t="str">
        <f t="shared" si="219"/>
        <v>Belo Horizonte</v>
      </c>
    </row>
    <row r="2420" spans="1:15" x14ac:dyDescent="0.3">
      <c r="A2420" s="10">
        <v>46023</v>
      </c>
      <c r="B2420" s="9" t="s">
        <v>15</v>
      </c>
      <c r="C2420" t="s">
        <v>319</v>
      </c>
      <c r="D2420" s="9">
        <v>19512</v>
      </c>
      <c r="E2420" s="5" t="s">
        <v>430</v>
      </c>
      <c r="F2420" t="s">
        <v>211</v>
      </c>
      <c r="G2420">
        <v>2101</v>
      </c>
      <c r="H2420">
        <v>808</v>
      </c>
      <c r="I2420" s="8">
        <f t="shared" si="220"/>
        <v>0.38457877201332696</v>
      </c>
      <c r="J2420" s="17">
        <v>0.7</v>
      </c>
      <c r="K2420" s="12">
        <v>13.75</v>
      </c>
      <c r="L2420" s="2">
        <v>662.69999999999982</v>
      </c>
      <c r="M2420" s="15">
        <f t="shared" si="221"/>
        <v>9112.1249999999982</v>
      </c>
      <c r="N2420" t="str">
        <f t="shared" si="218"/>
        <v>RJ</v>
      </c>
      <c r="O2420" t="str">
        <f t="shared" si="219"/>
        <v>Rio de Janeiro</v>
      </c>
    </row>
    <row r="2421" spans="1:15" x14ac:dyDescent="0.3">
      <c r="A2421" s="10">
        <v>46023</v>
      </c>
      <c r="B2421" s="9" t="s">
        <v>14</v>
      </c>
      <c r="C2421" t="s">
        <v>29</v>
      </c>
      <c r="D2421" s="9">
        <v>19562</v>
      </c>
      <c r="E2421" s="5" t="s">
        <v>431</v>
      </c>
      <c r="F2421" t="s">
        <v>31</v>
      </c>
      <c r="G2421">
        <v>2067</v>
      </c>
      <c r="H2421">
        <v>965</v>
      </c>
      <c r="I2421" s="8">
        <f t="shared" si="220"/>
        <v>0.46686018384131589</v>
      </c>
      <c r="J2421" s="17">
        <v>0.7</v>
      </c>
      <c r="K2421" s="12">
        <v>13.75</v>
      </c>
      <c r="L2421" s="2">
        <v>481.90000000000009</v>
      </c>
      <c r="M2421" s="15">
        <f t="shared" si="221"/>
        <v>6626.1250000000009</v>
      </c>
      <c r="N2421" t="str">
        <f t="shared" si="218"/>
        <v>MG</v>
      </c>
      <c r="O2421" t="str">
        <f t="shared" si="219"/>
        <v>Belo Horizonte</v>
      </c>
    </row>
    <row r="2422" spans="1:15" x14ac:dyDescent="0.3">
      <c r="A2422" s="10">
        <v>46023</v>
      </c>
      <c r="B2422" s="9" t="s">
        <v>14</v>
      </c>
      <c r="C2422" t="s">
        <v>29</v>
      </c>
      <c r="D2422" s="9">
        <v>19748</v>
      </c>
      <c r="E2422" s="5" t="s">
        <v>432</v>
      </c>
      <c r="F2422" t="s">
        <v>32</v>
      </c>
      <c r="G2422">
        <v>2095</v>
      </c>
      <c r="H2422">
        <v>920</v>
      </c>
      <c r="I2422" s="8">
        <f t="shared" si="220"/>
        <v>0.43914081145584727</v>
      </c>
      <c r="J2422" s="17">
        <v>0.7</v>
      </c>
      <c r="K2422" s="12">
        <v>13.75</v>
      </c>
      <c r="L2422" s="2">
        <v>546.5</v>
      </c>
      <c r="M2422" s="15">
        <f t="shared" si="221"/>
        <v>7514.375</v>
      </c>
      <c r="N2422" t="str">
        <f t="shared" si="218"/>
        <v>MG</v>
      </c>
      <c r="O2422" t="str">
        <f t="shared" si="219"/>
        <v>Belo Horizonte</v>
      </c>
    </row>
    <row r="2423" spans="1:15" x14ac:dyDescent="0.3">
      <c r="A2423" s="10">
        <v>46023</v>
      </c>
      <c r="B2423" s="9" t="s">
        <v>14</v>
      </c>
      <c r="C2423" t="s">
        <v>29</v>
      </c>
      <c r="D2423" s="9">
        <v>19561</v>
      </c>
      <c r="E2423" s="5" t="s">
        <v>433</v>
      </c>
      <c r="F2423" t="s">
        <v>33</v>
      </c>
      <c r="G2423">
        <v>1611</v>
      </c>
      <c r="H2423">
        <v>608</v>
      </c>
      <c r="I2423" s="8">
        <f t="shared" si="220"/>
        <v>0.37740533829919304</v>
      </c>
      <c r="J2423" s="17">
        <v>0.7</v>
      </c>
      <c r="K2423" s="12">
        <v>13.75</v>
      </c>
      <c r="L2423" s="2">
        <v>519.70000000000005</v>
      </c>
      <c r="M2423" s="15">
        <f t="shared" si="221"/>
        <v>7145.8750000000009</v>
      </c>
      <c r="N2423" t="str">
        <f t="shared" si="218"/>
        <v>MG</v>
      </c>
      <c r="O2423" t="str">
        <f t="shared" si="219"/>
        <v>Belo Horizonte</v>
      </c>
    </row>
    <row r="2424" spans="1:15" x14ac:dyDescent="0.3">
      <c r="A2424" s="10">
        <v>46023</v>
      </c>
      <c r="B2424" s="9" t="s">
        <v>14</v>
      </c>
      <c r="C2424" t="s">
        <v>29</v>
      </c>
      <c r="D2424" s="9">
        <v>19560</v>
      </c>
      <c r="E2424" s="5" t="s">
        <v>435</v>
      </c>
      <c r="F2424" t="s">
        <v>34</v>
      </c>
      <c r="G2424">
        <v>4036</v>
      </c>
      <c r="H2424">
        <v>1730</v>
      </c>
      <c r="I2424" s="8">
        <f t="shared" si="220"/>
        <v>0.42864222001982161</v>
      </c>
      <c r="J2424" s="17">
        <v>0.7</v>
      </c>
      <c r="K2424" s="12">
        <v>13.75</v>
      </c>
      <c r="L2424" s="2">
        <v>1095.1999999999998</v>
      </c>
      <c r="M2424" s="15">
        <f t="shared" si="221"/>
        <v>15058.999999999998</v>
      </c>
      <c r="N2424" t="str">
        <f t="shared" si="218"/>
        <v>MG</v>
      </c>
      <c r="O2424" t="str">
        <f t="shared" si="219"/>
        <v>Belo Horizonte</v>
      </c>
    </row>
    <row r="2425" spans="1:15" x14ac:dyDescent="0.3">
      <c r="A2425" s="10">
        <v>46023</v>
      </c>
      <c r="B2425" s="9" t="s">
        <v>15</v>
      </c>
      <c r="C2425" t="s">
        <v>319</v>
      </c>
      <c r="D2425" s="9">
        <v>19508</v>
      </c>
      <c r="E2425" s="5" t="s">
        <v>444</v>
      </c>
      <c r="F2425" t="s">
        <v>212</v>
      </c>
      <c r="G2425">
        <v>2733</v>
      </c>
      <c r="H2425">
        <v>1186</v>
      </c>
      <c r="I2425" s="8">
        <f t="shared" si="220"/>
        <v>0.43395536040980609</v>
      </c>
      <c r="J2425" s="17">
        <v>0.7</v>
      </c>
      <c r="K2425" s="12">
        <v>13.75</v>
      </c>
      <c r="L2425" s="2">
        <v>727.09999999999968</v>
      </c>
      <c r="M2425" s="15">
        <f t="shared" si="221"/>
        <v>9997.6249999999964</v>
      </c>
      <c r="N2425" t="str">
        <f t="shared" si="218"/>
        <v>RJ</v>
      </c>
      <c r="O2425" t="str">
        <f t="shared" si="219"/>
        <v>Rio de Janeiro</v>
      </c>
    </row>
    <row r="2426" spans="1:15" x14ac:dyDescent="0.3">
      <c r="A2426" s="10">
        <v>46023</v>
      </c>
      <c r="B2426" s="9" t="s">
        <v>15</v>
      </c>
      <c r="C2426" t="s">
        <v>319</v>
      </c>
      <c r="D2426" s="9">
        <v>19894</v>
      </c>
      <c r="E2426" s="5" t="s">
        <v>446</v>
      </c>
      <c r="F2426" t="s">
        <v>213</v>
      </c>
      <c r="G2426">
        <v>2531</v>
      </c>
      <c r="H2426">
        <v>934</v>
      </c>
      <c r="I2426" s="8">
        <f t="shared" si="220"/>
        <v>0.36902410114579215</v>
      </c>
      <c r="J2426" s="17">
        <v>0.7</v>
      </c>
      <c r="K2426" s="12">
        <v>13.75</v>
      </c>
      <c r="L2426" s="2">
        <v>837.7</v>
      </c>
      <c r="M2426" s="15">
        <f t="shared" si="221"/>
        <v>11518.375</v>
      </c>
      <c r="N2426" t="str">
        <f t="shared" si="218"/>
        <v>RJ</v>
      </c>
      <c r="O2426" t="str">
        <f t="shared" si="219"/>
        <v>Rio de Janeiro</v>
      </c>
    </row>
    <row r="2427" spans="1:15" x14ac:dyDescent="0.3">
      <c r="A2427" s="10">
        <v>46023</v>
      </c>
      <c r="B2427" s="9" t="s">
        <v>15</v>
      </c>
      <c r="C2427" t="s">
        <v>319</v>
      </c>
      <c r="D2427" s="9">
        <v>19526</v>
      </c>
      <c r="E2427" s="5" t="s">
        <v>447</v>
      </c>
      <c r="F2427" t="s">
        <v>214</v>
      </c>
      <c r="G2427">
        <v>1723</v>
      </c>
      <c r="H2427">
        <v>652</v>
      </c>
      <c r="I2427" s="8">
        <f t="shared" si="220"/>
        <v>0.3784097504352873</v>
      </c>
      <c r="J2427" s="17">
        <v>0.7</v>
      </c>
      <c r="K2427" s="12">
        <v>13.75</v>
      </c>
      <c r="L2427" s="2">
        <v>554.09999999999991</v>
      </c>
      <c r="M2427" s="15">
        <f t="shared" si="221"/>
        <v>7618.8749999999991</v>
      </c>
      <c r="N2427" t="str">
        <f t="shared" si="218"/>
        <v>RJ</v>
      </c>
      <c r="O2427" t="str">
        <f t="shared" si="219"/>
        <v>Rio de Janeiro</v>
      </c>
    </row>
    <row r="2428" spans="1:15" x14ac:dyDescent="0.3">
      <c r="A2428" s="10">
        <v>46023</v>
      </c>
      <c r="B2428" s="9" t="s">
        <v>15</v>
      </c>
      <c r="C2428" t="s">
        <v>319</v>
      </c>
      <c r="D2428" s="9">
        <v>19509</v>
      </c>
      <c r="E2428" s="5" t="s">
        <v>448</v>
      </c>
      <c r="F2428" t="s">
        <v>215</v>
      </c>
      <c r="G2428">
        <v>2809</v>
      </c>
      <c r="H2428">
        <v>1004</v>
      </c>
      <c r="I2428" s="8">
        <f t="shared" si="220"/>
        <v>0.35742257030971875</v>
      </c>
      <c r="J2428" s="17">
        <v>0.7</v>
      </c>
      <c r="K2428" s="12">
        <v>13.75</v>
      </c>
      <c r="L2428" s="2">
        <v>962.3</v>
      </c>
      <c r="M2428" s="15">
        <f t="shared" si="221"/>
        <v>13231.625</v>
      </c>
      <c r="N2428" t="str">
        <f t="shared" si="218"/>
        <v>RJ</v>
      </c>
      <c r="O2428" t="str">
        <f t="shared" si="219"/>
        <v>Rio de Janeiro</v>
      </c>
    </row>
    <row r="2429" spans="1:15" x14ac:dyDescent="0.3">
      <c r="A2429" s="10">
        <v>46023</v>
      </c>
      <c r="B2429" s="9" t="s">
        <v>15</v>
      </c>
      <c r="C2429" t="s">
        <v>319</v>
      </c>
      <c r="D2429" s="9">
        <v>19635</v>
      </c>
      <c r="E2429" s="5" t="s">
        <v>452</v>
      </c>
      <c r="F2429" t="s">
        <v>216</v>
      </c>
      <c r="G2429">
        <v>2038</v>
      </c>
      <c r="H2429">
        <v>901</v>
      </c>
      <c r="I2429" s="8">
        <f t="shared" si="220"/>
        <v>0.44210009813542689</v>
      </c>
      <c r="J2429" s="17">
        <v>0.7</v>
      </c>
      <c r="K2429" s="12">
        <v>13.75</v>
      </c>
      <c r="L2429" s="2">
        <v>525.59999999999991</v>
      </c>
      <c r="M2429" s="15">
        <f t="shared" si="221"/>
        <v>7226.9999999999991</v>
      </c>
      <c r="N2429" t="str">
        <f t="shared" si="218"/>
        <v>RJ</v>
      </c>
      <c r="O2429" t="str">
        <f t="shared" si="219"/>
        <v>Rio de Janeiro</v>
      </c>
    </row>
    <row r="2430" spans="1:15" x14ac:dyDescent="0.3">
      <c r="A2430" s="10">
        <v>46023</v>
      </c>
      <c r="B2430" s="9" t="s">
        <v>15</v>
      </c>
      <c r="C2430" t="s">
        <v>319</v>
      </c>
      <c r="D2430" s="9">
        <v>19665</v>
      </c>
      <c r="E2430" s="5" t="s">
        <v>453</v>
      </c>
      <c r="F2430" t="s">
        <v>217</v>
      </c>
      <c r="G2430">
        <v>2014</v>
      </c>
      <c r="H2430">
        <v>754</v>
      </c>
      <c r="I2430" s="8">
        <f t="shared" si="220"/>
        <v>0.3743793445878848</v>
      </c>
      <c r="J2430" s="17">
        <v>0.7</v>
      </c>
      <c r="K2430" s="12">
        <v>13.75</v>
      </c>
      <c r="L2430" s="2">
        <v>655.8</v>
      </c>
      <c r="M2430" s="15">
        <f t="shared" si="221"/>
        <v>9017.25</v>
      </c>
      <c r="N2430" t="str">
        <f t="shared" si="218"/>
        <v>RJ</v>
      </c>
      <c r="O2430" t="str">
        <f t="shared" si="219"/>
        <v>Rio de Janeiro</v>
      </c>
    </row>
    <row r="2431" spans="1:15" x14ac:dyDescent="0.3">
      <c r="A2431" s="10">
        <v>46023</v>
      </c>
      <c r="B2431" s="9" t="s">
        <v>15</v>
      </c>
      <c r="C2431" t="s">
        <v>319</v>
      </c>
      <c r="D2431" s="9">
        <v>19504</v>
      </c>
      <c r="E2431" s="5" t="s">
        <v>454</v>
      </c>
      <c r="F2431" t="s">
        <v>218</v>
      </c>
      <c r="G2431">
        <v>3200</v>
      </c>
      <c r="H2431">
        <v>1407</v>
      </c>
      <c r="I2431" s="8">
        <f t="shared" si="220"/>
        <v>0.43968750000000001</v>
      </c>
      <c r="J2431" s="17">
        <v>0.7</v>
      </c>
      <c r="K2431" s="12">
        <v>13.75</v>
      </c>
      <c r="L2431" s="2">
        <v>833</v>
      </c>
      <c r="M2431" s="15">
        <f t="shared" si="221"/>
        <v>11453.75</v>
      </c>
      <c r="N2431" t="str">
        <f t="shared" si="218"/>
        <v>RJ</v>
      </c>
      <c r="O2431" t="str">
        <f t="shared" si="219"/>
        <v>Rio de Janeiro</v>
      </c>
    </row>
    <row r="2432" spans="1:15" x14ac:dyDescent="0.3">
      <c r="A2432" s="10">
        <v>46023</v>
      </c>
      <c r="B2432" s="9" t="s">
        <v>15</v>
      </c>
      <c r="C2432" t="s">
        <v>319</v>
      </c>
      <c r="D2432" s="9">
        <v>19511</v>
      </c>
      <c r="E2432" s="5" t="s">
        <v>455</v>
      </c>
      <c r="F2432" t="s">
        <v>219</v>
      </c>
      <c r="G2432">
        <v>2747</v>
      </c>
      <c r="H2432">
        <v>1101</v>
      </c>
      <c r="I2432" s="8">
        <f t="shared" si="220"/>
        <v>0.40080087368037859</v>
      </c>
      <c r="J2432" s="17">
        <v>0.7</v>
      </c>
      <c r="K2432" s="12">
        <v>13.75</v>
      </c>
      <c r="L2432" s="2">
        <v>821.89999999999986</v>
      </c>
      <c r="M2432" s="15">
        <f t="shared" si="221"/>
        <v>11301.124999999998</v>
      </c>
      <c r="N2432" t="str">
        <f t="shared" si="218"/>
        <v>RJ</v>
      </c>
      <c r="O2432" t="str">
        <f t="shared" si="219"/>
        <v>Rio de Janeiro</v>
      </c>
    </row>
    <row r="2433" spans="1:15" x14ac:dyDescent="0.3">
      <c r="A2433" s="10">
        <v>46023</v>
      </c>
      <c r="B2433" s="9" t="s">
        <v>15</v>
      </c>
      <c r="C2433" t="s">
        <v>319</v>
      </c>
      <c r="D2433" s="9">
        <v>19506</v>
      </c>
      <c r="E2433" s="5" t="s">
        <v>457</v>
      </c>
      <c r="F2433" t="s">
        <v>220</v>
      </c>
      <c r="G2433">
        <v>2620</v>
      </c>
      <c r="H2433">
        <v>920</v>
      </c>
      <c r="I2433" s="8">
        <f t="shared" si="220"/>
        <v>0.35114503816793891</v>
      </c>
      <c r="J2433" s="17">
        <v>0.7</v>
      </c>
      <c r="K2433" s="12">
        <v>13.75</v>
      </c>
      <c r="L2433" s="2">
        <v>914.00000000000023</v>
      </c>
      <c r="M2433" s="15">
        <f t="shared" si="221"/>
        <v>12567.500000000004</v>
      </c>
      <c r="N2433" t="str">
        <f t="shared" si="218"/>
        <v>RJ</v>
      </c>
      <c r="O2433" t="str">
        <f t="shared" si="219"/>
        <v>Rio de Janeiro</v>
      </c>
    </row>
    <row r="2434" spans="1:15" x14ac:dyDescent="0.3">
      <c r="A2434" s="10">
        <v>46023</v>
      </c>
      <c r="B2434" s="9" t="s">
        <v>7</v>
      </c>
      <c r="C2434" t="s">
        <v>8</v>
      </c>
      <c r="D2434" s="9">
        <v>19700</v>
      </c>
      <c r="E2434" s="5" t="s">
        <v>458</v>
      </c>
      <c r="F2434" t="s">
        <v>9</v>
      </c>
      <c r="G2434">
        <v>1867</v>
      </c>
      <c r="H2434">
        <v>704</v>
      </c>
      <c r="I2434" s="8">
        <f t="shared" si="220"/>
        <v>0.37707552222817353</v>
      </c>
      <c r="J2434" s="17">
        <v>0.7</v>
      </c>
      <c r="K2434" s="12">
        <v>13.75</v>
      </c>
      <c r="L2434" s="2">
        <v>602.89999999999986</v>
      </c>
      <c r="M2434" s="15">
        <f t="shared" si="221"/>
        <v>8289.8749999999982</v>
      </c>
      <c r="N2434" t="str">
        <f t="shared" ref="N2434:N2497" si="222">B2434</f>
        <v>GO</v>
      </c>
      <c r="O2434" t="str">
        <f t="shared" ref="O2434:O2497" si="223">C2434</f>
        <v>Anápolis</v>
      </c>
    </row>
    <row r="2435" spans="1:15" x14ac:dyDescent="0.3">
      <c r="A2435" s="10">
        <v>46023</v>
      </c>
      <c r="B2435" s="9" t="s">
        <v>14</v>
      </c>
      <c r="C2435" t="s">
        <v>29</v>
      </c>
      <c r="D2435" s="9">
        <v>19697</v>
      </c>
      <c r="E2435" s="5" t="s">
        <v>459</v>
      </c>
      <c r="F2435" t="s">
        <v>37</v>
      </c>
      <c r="G2435">
        <v>1871</v>
      </c>
      <c r="H2435">
        <v>753</v>
      </c>
      <c r="I2435" s="8">
        <f t="shared" ref="I2435:I2498" si="224">H2435/G2435</f>
        <v>0.40245857830037413</v>
      </c>
      <c r="J2435" s="17">
        <v>0.7</v>
      </c>
      <c r="K2435" s="12">
        <v>13.75</v>
      </c>
      <c r="L2435" s="2">
        <v>556.70000000000005</v>
      </c>
      <c r="M2435" s="15">
        <f t="shared" ref="M2435:M2498" si="225">L2435*K2435</f>
        <v>7654.6250000000009</v>
      </c>
      <c r="N2435" t="str">
        <f t="shared" si="222"/>
        <v>MG</v>
      </c>
      <c r="O2435" t="str">
        <f t="shared" si="223"/>
        <v>Belo Horizonte</v>
      </c>
    </row>
    <row r="2436" spans="1:15" x14ac:dyDescent="0.3">
      <c r="A2436" s="10">
        <v>46023</v>
      </c>
      <c r="B2436" s="9" t="s">
        <v>46</v>
      </c>
      <c r="C2436" t="s">
        <v>47</v>
      </c>
      <c r="D2436" s="9">
        <v>19722</v>
      </c>
      <c r="E2436" s="5" t="s">
        <v>460</v>
      </c>
      <c r="F2436" t="s">
        <v>52</v>
      </c>
      <c r="G2436">
        <v>1595</v>
      </c>
      <c r="H2436">
        <v>477</v>
      </c>
      <c r="I2436" s="8">
        <f t="shared" si="224"/>
        <v>0.29905956112852666</v>
      </c>
      <c r="J2436" s="17">
        <v>0.7</v>
      </c>
      <c r="K2436" s="12">
        <v>13.75</v>
      </c>
      <c r="L2436" s="2">
        <v>639.49999999999977</v>
      </c>
      <c r="M2436" s="15">
        <f t="shared" si="225"/>
        <v>8793.1249999999964</v>
      </c>
      <c r="N2436" t="str">
        <f t="shared" si="222"/>
        <v>DF</v>
      </c>
      <c r="O2436" t="str">
        <f t="shared" si="223"/>
        <v>Brasília</v>
      </c>
    </row>
    <row r="2437" spans="1:15" x14ac:dyDescent="0.3">
      <c r="A2437" s="10">
        <v>46023</v>
      </c>
      <c r="B2437" s="9" t="s">
        <v>3</v>
      </c>
      <c r="C2437" t="s">
        <v>248</v>
      </c>
      <c r="D2437" s="9">
        <v>19716</v>
      </c>
      <c r="E2437" s="5" t="s">
        <v>461</v>
      </c>
      <c r="F2437" t="s">
        <v>262</v>
      </c>
      <c r="G2437">
        <v>1743</v>
      </c>
      <c r="H2437">
        <v>701</v>
      </c>
      <c r="I2437" s="8">
        <f t="shared" si="224"/>
        <v>0.40218014916810096</v>
      </c>
      <c r="J2437" s="17">
        <v>0.7</v>
      </c>
      <c r="K2437" s="12">
        <v>13.75</v>
      </c>
      <c r="L2437" s="2">
        <v>519.09999999999991</v>
      </c>
      <c r="M2437" s="15">
        <f t="shared" si="225"/>
        <v>7137.6249999999991</v>
      </c>
      <c r="N2437" t="str">
        <f t="shared" si="222"/>
        <v>SP</v>
      </c>
      <c r="O2437" t="str">
        <f t="shared" si="223"/>
        <v>São Paulo</v>
      </c>
    </row>
    <row r="2438" spans="1:15" x14ac:dyDescent="0.3">
      <c r="A2438" s="10">
        <v>46023</v>
      </c>
      <c r="B2438" s="9" t="s">
        <v>3</v>
      </c>
      <c r="C2438" t="s">
        <v>17</v>
      </c>
      <c r="D2438" s="9">
        <v>19715</v>
      </c>
      <c r="E2438" s="5" t="s">
        <v>462</v>
      </c>
      <c r="F2438" t="s">
        <v>18</v>
      </c>
      <c r="G2438">
        <v>1977</v>
      </c>
      <c r="H2438">
        <v>1141</v>
      </c>
      <c r="I2438" s="8">
        <f t="shared" si="224"/>
        <v>0.57713707637835099</v>
      </c>
      <c r="J2438" s="17">
        <v>0.7</v>
      </c>
      <c r="K2438" s="12">
        <v>13.75</v>
      </c>
      <c r="L2438" s="2">
        <v>242.90000000000009</v>
      </c>
      <c r="M2438" s="15">
        <f t="shared" si="225"/>
        <v>3339.8750000000014</v>
      </c>
      <c r="N2438" t="str">
        <f t="shared" si="222"/>
        <v>SP</v>
      </c>
      <c r="O2438" t="str">
        <f t="shared" si="223"/>
        <v>Atibaia</v>
      </c>
    </row>
    <row r="2439" spans="1:15" x14ac:dyDescent="0.3">
      <c r="A2439" s="10">
        <v>46023</v>
      </c>
      <c r="B2439" s="9" t="s">
        <v>21</v>
      </c>
      <c r="C2439" t="s">
        <v>324</v>
      </c>
      <c r="D2439" s="9">
        <v>19736</v>
      </c>
      <c r="E2439" s="5" t="s">
        <v>464</v>
      </c>
      <c r="F2439" t="s">
        <v>295</v>
      </c>
      <c r="G2439">
        <v>3524</v>
      </c>
      <c r="H2439">
        <v>1368</v>
      </c>
      <c r="I2439" s="8">
        <f t="shared" si="224"/>
        <v>0.38819523269012485</v>
      </c>
      <c r="J2439" s="17">
        <v>0.7</v>
      </c>
      <c r="K2439" s="12">
        <v>13.75</v>
      </c>
      <c r="L2439" s="2">
        <v>1098.7999999999997</v>
      </c>
      <c r="M2439" s="15">
        <f t="shared" si="225"/>
        <v>15108.499999999996</v>
      </c>
      <c r="N2439" t="str">
        <f t="shared" si="222"/>
        <v>BA</v>
      </c>
      <c r="O2439" t="str">
        <f t="shared" si="223"/>
        <v>Vitória da Conquista</v>
      </c>
    </row>
    <row r="2440" spans="1:15" x14ac:dyDescent="0.3">
      <c r="A2440" s="10">
        <v>46023</v>
      </c>
      <c r="B2440" s="9" t="s">
        <v>21</v>
      </c>
      <c r="C2440" t="s">
        <v>228</v>
      </c>
      <c r="D2440" s="9">
        <v>19740</v>
      </c>
      <c r="E2440" s="5" t="s">
        <v>465</v>
      </c>
      <c r="F2440" t="s">
        <v>229</v>
      </c>
      <c r="G2440">
        <v>2125</v>
      </c>
      <c r="H2440">
        <v>739</v>
      </c>
      <c r="I2440" s="8">
        <f t="shared" si="224"/>
        <v>0.34776470588235292</v>
      </c>
      <c r="J2440" s="17">
        <v>0.7</v>
      </c>
      <c r="K2440" s="12">
        <v>13.75</v>
      </c>
      <c r="L2440" s="2">
        <v>748.5</v>
      </c>
      <c r="M2440" s="15">
        <f t="shared" si="225"/>
        <v>10291.875</v>
      </c>
      <c r="N2440" t="str">
        <f t="shared" si="222"/>
        <v>BA</v>
      </c>
      <c r="O2440" t="str">
        <f t="shared" si="223"/>
        <v>Salvador</v>
      </c>
    </row>
    <row r="2441" spans="1:15" x14ac:dyDescent="0.3">
      <c r="A2441" s="10">
        <v>46023</v>
      </c>
      <c r="B2441" s="9" t="s">
        <v>21</v>
      </c>
      <c r="C2441" t="s">
        <v>317</v>
      </c>
      <c r="D2441" s="9">
        <v>19738</v>
      </c>
      <c r="E2441" s="5" t="s">
        <v>466</v>
      </c>
      <c r="F2441" t="s">
        <v>118</v>
      </c>
      <c r="G2441">
        <v>4806</v>
      </c>
      <c r="H2441">
        <v>2535</v>
      </c>
      <c r="I2441" s="8">
        <f t="shared" si="224"/>
        <v>0.52746566791510607</v>
      </c>
      <c r="J2441" s="17">
        <v>0.7</v>
      </c>
      <c r="K2441" s="12">
        <v>13.75</v>
      </c>
      <c r="L2441" s="2">
        <v>829.20000000000027</v>
      </c>
      <c r="M2441" s="15">
        <f t="shared" si="225"/>
        <v>11401.500000000004</v>
      </c>
      <c r="N2441" t="str">
        <f t="shared" si="222"/>
        <v>BA</v>
      </c>
      <c r="O2441" t="str">
        <f t="shared" si="223"/>
        <v>Lauro de Freitas</v>
      </c>
    </row>
    <row r="2442" spans="1:15" x14ac:dyDescent="0.3">
      <c r="A2442" s="10">
        <v>46023</v>
      </c>
      <c r="B2442" s="9" t="s">
        <v>129</v>
      </c>
      <c r="C2442" t="s">
        <v>130</v>
      </c>
      <c r="D2442" s="9">
        <v>19742</v>
      </c>
      <c r="E2442" s="5" t="s">
        <v>467</v>
      </c>
      <c r="F2442" t="s">
        <v>131</v>
      </c>
      <c r="G2442">
        <v>1525</v>
      </c>
      <c r="H2442">
        <v>740</v>
      </c>
      <c r="I2442" s="8">
        <f t="shared" si="224"/>
        <v>0.48524590163934428</v>
      </c>
      <c r="J2442" s="17">
        <v>0.7</v>
      </c>
      <c r="K2442" s="12">
        <v>13.75</v>
      </c>
      <c r="L2442" s="2">
        <v>327.5</v>
      </c>
      <c r="M2442" s="15">
        <f t="shared" si="225"/>
        <v>4503.125</v>
      </c>
      <c r="N2442" t="str">
        <f t="shared" si="222"/>
        <v>AM</v>
      </c>
      <c r="O2442" t="str">
        <f t="shared" si="223"/>
        <v>Manaus</v>
      </c>
    </row>
    <row r="2443" spans="1:15" x14ac:dyDescent="0.3">
      <c r="A2443" s="10">
        <v>46023</v>
      </c>
      <c r="B2443" s="9" t="s">
        <v>129</v>
      </c>
      <c r="C2443" t="s">
        <v>130</v>
      </c>
      <c r="D2443" s="9">
        <v>19785</v>
      </c>
      <c r="E2443" s="5" t="s">
        <v>468</v>
      </c>
      <c r="F2443" t="s">
        <v>132</v>
      </c>
      <c r="G2443">
        <v>1711</v>
      </c>
      <c r="H2443">
        <v>826</v>
      </c>
      <c r="I2443" s="8">
        <f t="shared" si="224"/>
        <v>0.48275862068965519</v>
      </c>
      <c r="J2443" s="17">
        <v>0.7</v>
      </c>
      <c r="K2443" s="12">
        <v>13.75</v>
      </c>
      <c r="L2443" s="2">
        <v>371.69999999999982</v>
      </c>
      <c r="M2443" s="15">
        <f t="shared" si="225"/>
        <v>5110.8749999999973</v>
      </c>
      <c r="N2443" t="str">
        <f t="shared" si="222"/>
        <v>AM</v>
      </c>
      <c r="O2443" t="str">
        <f t="shared" si="223"/>
        <v>Manaus</v>
      </c>
    </row>
    <row r="2444" spans="1:15" x14ac:dyDescent="0.3">
      <c r="A2444" s="10">
        <v>46023</v>
      </c>
      <c r="B2444" s="9" t="s">
        <v>129</v>
      </c>
      <c r="C2444" t="s">
        <v>130</v>
      </c>
      <c r="D2444" s="9">
        <v>19843</v>
      </c>
      <c r="E2444" s="5" t="s">
        <v>469</v>
      </c>
      <c r="F2444" t="s">
        <v>133</v>
      </c>
      <c r="G2444">
        <v>1503</v>
      </c>
      <c r="H2444">
        <v>604</v>
      </c>
      <c r="I2444" s="8">
        <f t="shared" si="224"/>
        <v>0.40186294078509649</v>
      </c>
      <c r="J2444" s="17">
        <v>0.7</v>
      </c>
      <c r="K2444" s="12">
        <v>13.75</v>
      </c>
      <c r="L2444" s="2">
        <v>448.09999999999991</v>
      </c>
      <c r="M2444" s="15">
        <f t="shared" si="225"/>
        <v>6161.3749999999991</v>
      </c>
      <c r="N2444" t="str">
        <f t="shared" si="222"/>
        <v>AM</v>
      </c>
      <c r="O2444" t="str">
        <f t="shared" si="223"/>
        <v>Manaus</v>
      </c>
    </row>
    <row r="2445" spans="1:15" x14ac:dyDescent="0.3">
      <c r="A2445" s="10">
        <v>46023</v>
      </c>
      <c r="B2445" s="9" t="s">
        <v>129</v>
      </c>
      <c r="C2445" t="s">
        <v>130</v>
      </c>
      <c r="D2445" s="9">
        <v>19879</v>
      </c>
      <c r="E2445" s="5" t="s">
        <v>470</v>
      </c>
      <c r="F2445" t="s">
        <v>134</v>
      </c>
      <c r="G2445">
        <v>1381</v>
      </c>
      <c r="H2445">
        <v>728</v>
      </c>
      <c r="I2445" s="8">
        <f t="shared" si="224"/>
        <v>0.52715423606082545</v>
      </c>
      <c r="J2445" s="17">
        <v>0.7</v>
      </c>
      <c r="K2445" s="12">
        <v>13.75</v>
      </c>
      <c r="L2445" s="2">
        <v>238.70000000000005</v>
      </c>
      <c r="M2445" s="15">
        <f t="shared" si="225"/>
        <v>3282.1250000000005</v>
      </c>
      <c r="N2445" t="str">
        <f t="shared" si="222"/>
        <v>AM</v>
      </c>
      <c r="O2445" t="str">
        <f t="shared" si="223"/>
        <v>Manaus</v>
      </c>
    </row>
    <row r="2446" spans="1:15" x14ac:dyDescent="0.3">
      <c r="A2446" s="10">
        <v>46023</v>
      </c>
      <c r="B2446" s="9" t="s">
        <v>89</v>
      </c>
      <c r="C2446" t="s">
        <v>313</v>
      </c>
      <c r="D2446" s="9">
        <v>19735</v>
      </c>
      <c r="E2446" s="5" t="s">
        <v>471</v>
      </c>
      <c r="F2446" t="s">
        <v>90</v>
      </c>
      <c r="G2446">
        <v>395</v>
      </c>
      <c r="H2446">
        <v>144</v>
      </c>
      <c r="I2446" s="8">
        <f t="shared" si="224"/>
        <v>0.36455696202531646</v>
      </c>
      <c r="J2446" s="17">
        <v>0.7</v>
      </c>
      <c r="K2446" s="12">
        <v>13.75</v>
      </c>
      <c r="L2446" s="2">
        <v>132.5</v>
      </c>
      <c r="M2446" s="15">
        <f t="shared" si="225"/>
        <v>1821.875</v>
      </c>
      <c r="N2446" t="str">
        <f t="shared" si="222"/>
        <v>CE</v>
      </c>
      <c r="O2446" t="str">
        <f t="shared" si="223"/>
        <v>FORTALEZA</v>
      </c>
    </row>
    <row r="2447" spans="1:15" x14ac:dyDescent="0.3">
      <c r="A2447" s="10">
        <v>46023</v>
      </c>
      <c r="B2447" s="9" t="s">
        <v>89</v>
      </c>
      <c r="C2447" t="s">
        <v>313</v>
      </c>
      <c r="D2447" s="9">
        <v>19607</v>
      </c>
      <c r="E2447" s="5" t="s">
        <v>472</v>
      </c>
      <c r="F2447" t="s">
        <v>91</v>
      </c>
      <c r="G2447">
        <v>1815</v>
      </c>
      <c r="H2447">
        <v>571</v>
      </c>
      <c r="I2447" s="8">
        <f t="shared" si="224"/>
        <v>0.31460055096418732</v>
      </c>
      <c r="J2447" s="17">
        <v>0.7</v>
      </c>
      <c r="K2447" s="12">
        <v>13.75</v>
      </c>
      <c r="L2447" s="2">
        <v>699.5</v>
      </c>
      <c r="M2447" s="15">
        <f t="shared" si="225"/>
        <v>9618.125</v>
      </c>
      <c r="N2447" t="str">
        <f t="shared" si="222"/>
        <v>CE</v>
      </c>
      <c r="O2447" t="str">
        <f t="shared" si="223"/>
        <v>FORTALEZA</v>
      </c>
    </row>
    <row r="2448" spans="1:15" x14ac:dyDescent="0.3">
      <c r="A2448" s="10">
        <v>46023</v>
      </c>
      <c r="B2448" s="9" t="s">
        <v>89</v>
      </c>
      <c r="C2448" t="s">
        <v>313</v>
      </c>
      <c r="D2448" s="9">
        <v>19642</v>
      </c>
      <c r="E2448" s="5" t="s">
        <v>473</v>
      </c>
      <c r="F2448" t="s">
        <v>92</v>
      </c>
      <c r="G2448">
        <v>1700</v>
      </c>
      <c r="H2448">
        <v>704</v>
      </c>
      <c r="I2448" s="8">
        <f t="shared" si="224"/>
        <v>0.41411764705882353</v>
      </c>
      <c r="J2448" s="17">
        <v>0.7</v>
      </c>
      <c r="K2448" s="12">
        <v>13.75</v>
      </c>
      <c r="L2448" s="2">
        <v>485.99999999999977</v>
      </c>
      <c r="M2448" s="15">
        <f t="shared" si="225"/>
        <v>6682.4999999999973</v>
      </c>
      <c r="N2448" t="str">
        <f t="shared" si="222"/>
        <v>CE</v>
      </c>
      <c r="O2448" t="str">
        <f t="shared" si="223"/>
        <v>FORTALEZA</v>
      </c>
    </row>
    <row r="2449" spans="1:15" x14ac:dyDescent="0.3">
      <c r="A2449" s="10">
        <v>46023</v>
      </c>
      <c r="B2449" s="9" t="s">
        <v>89</v>
      </c>
      <c r="C2449" t="s">
        <v>313</v>
      </c>
      <c r="D2449" s="9">
        <v>19725</v>
      </c>
      <c r="E2449" s="5" t="s">
        <v>474</v>
      </c>
      <c r="F2449" t="s">
        <v>93</v>
      </c>
      <c r="G2449">
        <v>1662</v>
      </c>
      <c r="H2449">
        <v>718</v>
      </c>
      <c r="I2449" s="8">
        <f t="shared" si="224"/>
        <v>0.43200962695547535</v>
      </c>
      <c r="J2449" s="17">
        <v>0.7</v>
      </c>
      <c r="K2449" s="12">
        <v>13.75</v>
      </c>
      <c r="L2449" s="2">
        <v>445.39999999999986</v>
      </c>
      <c r="M2449" s="15">
        <f t="shared" si="225"/>
        <v>6124.2499999999982</v>
      </c>
      <c r="N2449" t="str">
        <f t="shared" si="222"/>
        <v>CE</v>
      </c>
      <c r="O2449" t="str">
        <f t="shared" si="223"/>
        <v>FORTALEZA</v>
      </c>
    </row>
    <row r="2450" spans="1:15" x14ac:dyDescent="0.3">
      <c r="A2450" s="10">
        <v>46023</v>
      </c>
      <c r="B2450" s="9" t="s">
        <v>89</v>
      </c>
      <c r="C2450" t="s">
        <v>313</v>
      </c>
      <c r="D2450" s="9">
        <v>19902</v>
      </c>
      <c r="E2450" s="5" t="s">
        <v>475</v>
      </c>
      <c r="F2450" t="s">
        <v>94</v>
      </c>
      <c r="G2450">
        <v>2209</v>
      </c>
      <c r="H2450">
        <v>1187</v>
      </c>
      <c r="I2450" s="8">
        <f t="shared" si="224"/>
        <v>0.53734721593481216</v>
      </c>
      <c r="J2450" s="17">
        <v>0.7</v>
      </c>
      <c r="K2450" s="12">
        <v>13.75</v>
      </c>
      <c r="L2450" s="2">
        <v>359.29999999999995</v>
      </c>
      <c r="M2450" s="15">
        <f t="shared" si="225"/>
        <v>4940.3749999999991</v>
      </c>
      <c r="N2450" t="str">
        <f t="shared" si="222"/>
        <v>CE</v>
      </c>
      <c r="O2450" t="str">
        <f t="shared" si="223"/>
        <v>FORTALEZA</v>
      </c>
    </row>
    <row r="2451" spans="1:15" x14ac:dyDescent="0.3">
      <c r="A2451" s="10">
        <v>46023</v>
      </c>
      <c r="B2451" s="9" t="s">
        <v>89</v>
      </c>
      <c r="C2451" t="s">
        <v>313</v>
      </c>
      <c r="D2451" s="9">
        <v>19903</v>
      </c>
      <c r="E2451" s="5" t="s">
        <v>476</v>
      </c>
      <c r="F2451" t="s">
        <v>95</v>
      </c>
      <c r="G2451">
        <v>2749</v>
      </c>
      <c r="H2451">
        <v>1798</v>
      </c>
      <c r="I2451" s="8">
        <f t="shared" si="224"/>
        <v>0.65405602037104404</v>
      </c>
      <c r="J2451" s="17">
        <v>0.7</v>
      </c>
      <c r="K2451" s="12">
        <v>13.75</v>
      </c>
      <c r="L2451" s="2">
        <v>126.29999999999973</v>
      </c>
      <c r="M2451" s="15">
        <f t="shared" si="225"/>
        <v>1736.6249999999964</v>
      </c>
      <c r="N2451" t="str">
        <f t="shared" si="222"/>
        <v>CE</v>
      </c>
      <c r="O2451" t="str">
        <f t="shared" si="223"/>
        <v>FORTALEZA</v>
      </c>
    </row>
    <row r="2452" spans="1:15" x14ac:dyDescent="0.3">
      <c r="A2452" s="10">
        <v>46023</v>
      </c>
      <c r="B2452" s="9" t="s">
        <v>82</v>
      </c>
      <c r="C2452" t="s">
        <v>135</v>
      </c>
      <c r="D2452" s="9">
        <v>19749</v>
      </c>
      <c r="E2452" s="5" t="s">
        <v>477</v>
      </c>
      <c r="F2452" t="s">
        <v>136</v>
      </c>
      <c r="G2452">
        <v>1604</v>
      </c>
      <c r="H2452">
        <v>591</v>
      </c>
      <c r="I2452" s="8">
        <f t="shared" si="224"/>
        <v>0.36845386533665836</v>
      </c>
      <c r="J2452" s="17">
        <v>0.7</v>
      </c>
      <c r="K2452" s="12">
        <v>13.75</v>
      </c>
      <c r="L2452" s="2">
        <v>531.79999999999995</v>
      </c>
      <c r="M2452" s="15">
        <f t="shared" si="225"/>
        <v>7312.2499999999991</v>
      </c>
      <c r="N2452" t="str">
        <f t="shared" si="222"/>
        <v>PR</v>
      </c>
      <c r="O2452" t="str">
        <f t="shared" si="223"/>
        <v>Maringá</v>
      </c>
    </row>
    <row r="2453" spans="1:15" x14ac:dyDescent="0.3">
      <c r="A2453" s="10">
        <v>46023</v>
      </c>
      <c r="B2453" s="9" t="s">
        <v>82</v>
      </c>
      <c r="C2453" t="s">
        <v>83</v>
      </c>
      <c r="D2453" s="9">
        <v>19545</v>
      </c>
      <c r="E2453" s="5" t="s">
        <v>478</v>
      </c>
      <c r="F2453" t="s">
        <v>84</v>
      </c>
      <c r="G2453">
        <v>2167</v>
      </c>
      <c r="H2453">
        <v>959</v>
      </c>
      <c r="I2453" s="8">
        <f t="shared" si="224"/>
        <v>0.4425473004153207</v>
      </c>
      <c r="J2453" s="17">
        <v>0.7</v>
      </c>
      <c r="K2453" s="12">
        <v>13.75</v>
      </c>
      <c r="L2453" s="2">
        <v>557.89999999999986</v>
      </c>
      <c r="M2453" s="15">
        <f t="shared" si="225"/>
        <v>7671.1249999999982</v>
      </c>
      <c r="N2453" t="str">
        <f t="shared" si="222"/>
        <v>PR</v>
      </c>
      <c r="O2453" t="str">
        <f t="shared" si="223"/>
        <v>Curitiba</v>
      </c>
    </row>
    <row r="2454" spans="1:15" x14ac:dyDescent="0.3">
      <c r="A2454" s="10">
        <v>46023</v>
      </c>
      <c r="B2454" s="9" t="s">
        <v>82</v>
      </c>
      <c r="C2454" t="s">
        <v>83</v>
      </c>
      <c r="D2454" s="9">
        <v>19546</v>
      </c>
      <c r="E2454" s="5" t="s">
        <v>479</v>
      </c>
      <c r="F2454" t="s">
        <v>85</v>
      </c>
      <c r="G2454">
        <v>2169</v>
      </c>
      <c r="H2454">
        <v>797</v>
      </c>
      <c r="I2454" s="8">
        <f t="shared" si="224"/>
        <v>0.3674504379898571</v>
      </c>
      <c r="J2454" s="17">
        <v>0.7</v>
      </c>
      <c r="K2454" s="12">
        <v>13.75</v>
      </c>
      <c r="L2454" s="2">
        <v>721.29999999999973</v>
      </c>
      <c r="M2454" s="15">
        <f t="shared" si="225"/>
        <v>9917.8749999999964</v>
      </c>
      <c r="N2454" t="str">
        <f t="shared" si="222"/>
        <v>PR</v>
      </c>
      <c r="O2454" t="str">
        <f t="shared" si="223"/>
        <v>Curitiba</v>
      </c>
    </row>
    <row r="2455" spans="1:15" x14ac:dyDescent="0.3">
      <c r="A2455" s="10">
        <v>46023</v>
      </c>
      <c r="B2455" s="9" t="s">
        <v>3</v>
      </c>
      <c r="C2455" t="s">
        <v>248</v>
      </c>
      <c r="D2455" s="9">
        <v>19753</v>
      </c>
      <c r="E2455" s="5" t="s">
        <v>483</v>
      </c>
      <c r="F2455" t="s">
        <v>265</v>
      </c>
      <c r="G2455">
        <v>2411</v>
      </c>
      <c r="H2455">
        <v>1010</v>
      </c>
      <c r="I2455" s="8">
        <f t="shared" si="224"/>
        <v>0.41891331397760267</v>
      </c>
      <c r="J2455" s="17">
        <v>0.7</v>
      </c>
      <c r="K2455" s="12">
        <v>13.75</v>
      </c>
      <c r="L2455" s="2">
        <v>677.69999999999982</v>
      </c>
      <c r="M2455" s="15">
        <f t="shared" si="225"/>
        <v>9318.3749999999982</v>
      </c>
      <c r="N2455" t="str">
        <f t="shared" si="222"/>
        <v>SP</v>
      </c>
      <c r="O2455" t="str">
        <f t="shared" si="223"/>
        <v>São Paulo</v>
      </c>
    </row>
    <row r="2456" spans="1:15" x14ac:dyDescent="0.3">
      <c r="A2456" s="10">
        <v>46023</v>
      </c>
      <c r="B2456" s="9" t="s">
        <v>7</v>
      </c>
      <c r="C2456" t="s">
        <v>99</v>
      </c>
      <c r="D2456" s="9">
        <v>19754</v>
      </c>
      <c r="E2456" s="5" t="s">
        <v>484</v>
      </c>
      <c r="F2456" t="s">
        <v>101</v>
      </c>
      <c r="G2456">
        <v>2925</v>
      </c>
      <c r="H2456">
        <v>1062</v>
      </c>
      <c r="I2456" s="8">
        <f t="shared" si="224"/>
        <v>0.36307692307692307</v>
      </c>
      <c r="J2456" s="17">
        <v>0.7</v>
      </c>
      <c r="K2456" s="12">
        <v>13.75</v>
      </c>
      <c r="L2456" s="2">
        <v>985.5</v>
      </c>
      <c r="M2456" s="15">
        <f t="shared" si="225"/>
        <v>13550.625</v>
      </c>
      <c r="N2456" t="str">
        <f t="shared" si="222"/>
        <v>GO</v>
      </c>
      <c r="O2456" t="str">
        <f t="shared" si="223"/>
        <v>Goiânia</v>
      </c>
    </row>
    <row r="2457" spans="1:15" x14ac:dyDescent="0.3">
      <c r="A2457" s="10">
        <v>46023</v>
      </c>
      <c r="B2457" s="9" t="s">
        <v>195</v>
      </c>
      <c r="C2457" t="s">
        <v>196</v>
      </c>
      <c r="D2457" s="9">
        <v>19762</v>
      </c>
      <c r="E2457" s="5" t="s">
        <v>486</v>
      </c>
      <c r="F2457" t="s">
        <v>197</v>
      </c>
      <c r="G2457">
        <v>1355</v>
      </c>
      <c r="H2457">
        <v>662</v>
      </c>
      <c r="I2457" s="8">
        <f t="shared" si="224"/>
        <v>0.48856088560885608</v>
      </c>
      <c r="J2457" s="17">
        <v>0.7</v>
      </c>
      <c r="K2457" s="12">
        <v>13.75</v>
      </c>
      <c r="L2457" s="2">
        <v>286.5</v>
      </c>
      <c r="M2457" s="15">
        <f t="shared" si="225"/>
        <v>3939.375</v>
      </c>
      <c r="N2457" t="str">
        <f t="shared" si="222"/>
        <v>AC</v>
      </c>
      <c r="O2457" t="str">
        <f t="shared" si="223"/>
        <v>Rio Branco</v>
      </c>
    </row>
    <row r="2458" spans="1:15" x14ac:dyDescent="0.3">
      <c r="A2458" s="10">
        <v>46023</v>
      </c>
      <c r="B2458" s="9" t="s">
        <v>15</v>
      </c>
      <c r="C2458" t="s">
        <v>312</v>
      </c>
      <c r="D2458" s="9">
        <v>19687</v>
      </c>
      <c r="E2458" s="5" t="s">
        <v>488</v>
      </c>
      <c r="F2458" t="s">
        <v>88</v>
      </c>
      <c r="G2458">
        <v>2020</v>
      </c>
      <c r="H2458">
        <v>1578</v>
      </c>
      <c r="I2458" s="8">
        <f t="shared" si="224"/>
        <v>0.78118811881188122</v>
      </c>
      <c r="J2458" s="17">
        <v>0.7</v>
      </c>
      <c r="K2458" s="12">
        <v>13.75</v>
      </c>
      <c r="L2458" s="2">
        <v>442</v>
      </c>
      <c r="M2458" s="15">
        <f t="shared" si="225"/>
        <v>6077.5</v>
      </c>
      <c r="N2458" t="str">
        <f t="shared" si="222"/>
        <v>RJ</v>
      </c>
      <c r="O2458" t="str">
        <f t="shared" si="223"/>
        <v>Duque de Caxias</v>
      </c>
    </row>
    <row r="2459" spans="1:15" x14ac:dyDescent="0.3">
      <c r="A2459" s="10">
        <v>46023</v>
      </c>
      <c r="B2459" s="9" t="s">
        <v>21</v>
      </c>
      <c r="C2459" t="s">
        <v>181</v>
      </c>
      <c r="D2459" s="9">
        <v>19778</v>
      </c>
      <c r="E2459" s="5" t="s">
        <v>489</v>
      </c>
      <c r="F2459" t="s">
        <v>182</v>
      </c>
      <c r="G2459">
        <v>2005</v>
      </c>
      <c r="H2459">
        <v>1368</v>
      </c>
      <c r="I2459" s="8">
        <f t="shared" si="224"/>
        <v>0.68229426433915208</v>
      </c>
      <c r="J2459" s="17">
        <v>0.7</v>
      </c>
      <c r="K2459" s="12">
        <v>13.75</v>
      </c>
      <c r="L2459" s="2">
        <v>35.5</v>
      </c>
      <c r="M2459" s="15">
        <f t="shared" si="225"/>
        <v>488.125</v>
      </c>
      <c r="N2459" t="str">
        <f t="shared" si="222"/>
        <v>BA</v>
      </c>
      <c r="O2459" t="str">
        <f t="shared" si="223"/>
        <v>Porto Seguro</v>
      </c>
    </row>
    <row r="2460" spans="1:15" x14ac:dyDescent="0.3">
      <c r="A2460" s="10">
        <v>46023</v>
      </c>
      <c r="B2460" s="9" t="s">
        <v>40</v>
      </c>
      <c r="C2460" t="s">
        <v>41</v>
      </c>
      <c r="D2460" s="9">
        <v>19787</v>
      </c>
      <c r="E2460" s="5" t="s">
        <v>492</v>
      </c>
      <c r="F2460" t="s">
        <v>42</v>
      </c>
      <c r="G2460">
        <v>972</v>
      </c>
      <c r="H2460">
        <v>598</v>
      </c>
      <c r="I2460" s="8">
        <f t="shared" si="224"/>
        <v>0.6152263374485597</v>
      </c>
      <c r="J2460" s="17">
        <v>0.7</v>
      </c>
      <c r="K2460" s="12">
        <v>13.75</v>
      </c>
      <c r="L2460" s="2">
        <v>82.399999999999864</v>
      </c>
      <c r="M2460" s="15">
        <f t="shared" si="225"/>
        <v>1132.9999999999982</v>
      </c>
      <c r="N2460" t="str">
        <f t="shared" si="222"/>
        <v>RR</v>
      </c>
      <c r="O2460" t="str">
        <f t="shared" si="223"/>
        <v>Boa Vista</v>
      </c>
    </row>
    <row r="2461" spans="1:15" x14ac:dyDescent="0.3">
      <c r="A2461" s="10">
        <v>46023</v>
      </c>
      <c r="B2461" s="9" t="s">
        <v>71</v>
      </c>
      <c r="C2461" t="s">
        <v>175</v>
      </c>
      <c r="D2461" s="9">
        <v>19788</v>
      </c>
      <c r="E2461" s="5" t="s">
        <v>495</v>
      </c>
      <c r="F2461" t="s">
        <v>177</v>
      </c>
      <c r="G2461">
        <v>3868</v>
      </c>
      <c r="H2461">
        <v>1313</v>
      </c>
      <c r="I2461" s="8">
        <f t="shared" si="224"/>
        <v>0.33945191313340228</v>
      </c>
      <c r="J2461" s="17">
        <v>0.7</v>
      </c>
      <c r="K2461" s="12">
        <v>13.75</v>
      </c>
      <c r="L2461" s="2">
        <v>1394.5999999999995</v>
      </c>
      <c r="M2461" s="15">
        <f t="shared" si="225"/>
        <v>19175.749999999993</v>
      </c>
      <c r="N2461" t="str">
        <f t="shared" si="222"/>
        <v>RS</v>
      </c>
      <c r="O2461" t="str">
        <f t="shared" si="223"/>
        <v>Porto Alegre</v>
      </c>
    </row>
    <row r="2462" spans="1:15" x14ac:dyDescent="0.3">
      <c r="A2462" s="10">
        <v>46023</v>
      </c>
      <c r="B2462" s="9" t="s">
        <v>21</v>
      </c>
      <c r="C2462" t="s">
        <v>228</v>
      </c>
      <c r="D2462" s="9">
        <v>19790</v>
      </c>
      <c r="E2462" s="5" t="s">
        <v>497</v>
      </c>
      <c r="F2462" t="s">
        <v>232</v>
      </c>
      <c r="G2462">
        <v>3319</v>
      </c>
      <c r="H2462">
        <v>1686</v>
      </c>
      <c r="I2462" s="8">
        <f t="shared" si="224"/>
        <v>0.50798433263031029</v>
      </c>
      <c r="J2462" s="17">
        <v>0.7</v>
      </c>
      <c r="K2462" s="12">
        <v>13.75</v>
      </c>
      <c r="L2462" s="2">
        <v>637.29999999999973</v>
      </c>
      <c r="M2462" s="15">
        <f t="shared" si="225"/>
        <v>8762.8749999999964</v>
      </c>
      <c r="N2462" t="str">
        <f t="shared" si="222"/>
        <v>BA</v>
      </c>
      <c r="O2462" t="str">
        <f t="shared" si="223"/>
        <v>Salvador</v>
      </c>
    </row>
    <row r="2463" spans="1:15" x14ac:dyDescent="0.3">
      <c r="A2463" s="10">
        <v>46023</v>
      </c>
      <c r="B2463" s="9" t="s">
        <v>71</v>
      </c>
      <c r="C2463" t="s">
        <v>175</v>
      </c>
      <c r="D2463" s="9">
        <v>19842</v>
      </c>
      <c r="E2463" s="5" t="s">
        <v>498</v>
      </c>
      <c r="F2463" t="s">
        <v>178</v>
      </c>
      <c r="G2463">
        <v>3141</v>
      </c>
      <c r="H2463">
        <v>1048</v>
      </c>
      <c r="I2463" s="8">
        <f t="shared" si="224"/>
        <v>0.33365170327921045</v>
      </c>
      <c r="J2463" s="17">
        <v>0.7</v>
      </c>
      <c r="K2463" s="12">
        <v>13.75</v>
      </c>
      <c r="L2463" s="2">
        <v>1150.6999999999998</v>
      </c>
      <c r="M2463" s="15">
        <f t="shared" si="225"/>
        <v>15822.124999999998</v>
      </c>
      <c r="N2463" t="str">
        <f t="shared" si="222"/>
        <v>RS</v>
      </c>
      <c r="O2463" t="str">
        <f t="shared" si="223"/>
        <v>Porto Alegre</v>
      </c>
    </row>
    <row r="2464" spans="1:15" x14ac:dyDescent="0.3">
      <c r="A2464" s="10">
        <v>46023</v>
      </c>
      <c r="B2464" s="9" t="s">
        <v>59</v>
      </c>
      <c r="C2464" t="s">
        <v>289</v>
      </c>
      <c r="D2464" s="9">
        <v>19876</v>
      </c>
      <c r="E2464" s="5" t="s">
        <v>502</v>
      </c>
      <c r="F2464" t="s">
        <v>291</v>
      </c>
      <c r="G2464">
        <v>3001</v>
      </c>
      <c r="H2464">
        <v>1029</v>
      </c>
      <c r="I2464" s="8">
        <f t="shared" si="224"/>
        <v>0.34288570476507829</v>
      </c>
      <c r="J2464" s="17">
        <v>0.7</v>
      </c>
      <c r="K2464" s="12">
        <v>13.75</v>
      </c>
      <c r="L2464" s="2">
        <v>1071.6999999999998</v>
      </c>
      <c r="M2464" s="15">
        <f t="shared" si="225"/>
        <v>14735.874999999998</v>
      </c>
      <c r="N2464" t="str">
        <f t="shared" si="222"/>
        <v>ES</v>
      </c>
      <c r="O2464" t="str">
        <f t="shared" si="223"/>
        <v>Vila Velha</v>
      </c>
    </row>
    <row r="2465" spans="1:15" x14ac:dyDescent="0.3">
      <c r="A2465" s="10">
        <v>46023</v>
      </c>
      <c r="B2465" s="9" t="s">
        <v>71</v>
      </c>
      <c r="C2465" t="s">
        <v>175</v>
      </c>
      <c r="D2465" s="9">
        <v>19874</v>
      </c>
      <c r="E2465" s="5" t="s">
        <v>504</v>
      </c>
      <c r="F2465" t="s">
        <v>179</v>
      </c>
      <c r="G2465">
        <v>3480</v>
      </c>
      <c r="H2465">
        <v>1281</v>
      </c>
      <c r="I2465" s="8">
        <f t="shared" si="224"/>
        <v>0.36810344827586206</v>
      </c>
      <c r="J2465" s="17">
        <v>0.7</v>
      </c>
      <c r="K2465" s="12">
        <v>13.75</v>
      </c>
      <c r="L2465" s="2">
        <v>1155</v>
      </c>
      <c r="M2465" s="15">
        <f t="shared" si="225"/>
        <v>15881.25</v>
      </c>
      <c r="N2465" t="str">
        <f t="shared" si="222"/>
        <v>RS</v>
      </c>
      <c r="O2465" t="str">
        <f t="shared" si="223"/>
        <v>Porto Alegre</v>
      </c>
    </row>
    <row r="2466" spans="1:15" x14ac:dyDescent="0.3">
      <c r="A2466" s="10">
        <v>46023</v>
      </c>
      <c r="B2466" s="9" t="s">
        <v>3</v>
      </c>
      <c r="C2466" t="s">
        <v>165</v>
      </c>
      <c r="D2466" s="9">
        <v>19761</v>
      </c>
      <c r="E2466" s="5" t="s">
        <v>505</v>
      </c>
      <c r="F2466" t="s">
        <v>166</v>
      </c>
      <c r="G2466">
        <v>1492</v>
      </c>
      <c r="H2466">
        <v>633</v>
      </c>
      <c r="I2466" s="8">
        <f t="shared" si="224"/>
        <v>0.42426273458445041</v>
      </c>
      <c r="J2466" s="17">
        <v>0.7</v>
      </c>
      <c r="K2466" s="12">
        <v>13.75</v>
      </c>
      <c r="L2466" s="2">
        <v>411.39999999999986</v>
      </c>
      <c r="M2466" s="15">
        <f t="shared" si="225"/>
        <v>5656.7499999999982</v>
      </c>
      <c r="N2466" t="str">
        <f t="shared" si="222"/>
        <v>SP</v>
      </c>
      <c r="O2466" t="str">
        <f t="shared" si="223"/>
        <v>Paulínia</v>
      </c>
    </row>
    <row r="2467" spans="1:15" x14ac:dyDescent="0.3">
      <c r="A2467" s="10">
        <v>46023</v>
      </c>
      <c r="B2467" s="9" t="s">
        <v>46</v>
      </c>
      <c r="C2467" t="s">
        <v>47</v>
      </c>
      <c r="D2467" s="9">
        <v>19881</v>
      </c>
      <c r="E2467" s="5" t="s">
        <v>507</v>
      </c>
      <c r="F2467" t="s">
        <v>54</v>
      </c>
      <c r="G2467">
        <v>2963</v>
      </c>
      <c r="H2467">
        <v>1148</v>
      </c>
      <c r="I2467" s="8">
        <f t="shared" si="224"/>
        <v>0.38744515693553833</v>
      </c>
      <c r="J2467" s="17">
        <v>0.7</v>
      </c>
      <c r="K2467" s="12">
        <v>13.75</v>
      </c>
      <c r="L2467" s="2">
        <v>926.09999999999945</v>
      </c>
      <c r="M2467" s="15">
        <f t="shared" si="225"/>
        <v>12733.874999999993</v>
      </c>
      <c r="N2467" t="str">
        <f t="shared" si="222"/>
        <v>DF</v>
      </c>
      <c r="O2467" t="str">
        <f t="shared" si="223"/>
        <v>Brasília</v>
      </c>
    </row>
    <row r="2468" spans="1:15" x14ac:dyDescent="0.3">
      <c r="A2468" s="10">
        <v>46023</v>
      </c>
      <c r="B2468" s="9" t="s">
        <v>3</v>
      </c>
      <c r="C2468" t="s">
        <v>64</v>
      </c>
      <c r="D2468" s="9">
        <v>19696</v>
      </c>
      <c r="E2468" s="5" t="s">
        <v>508</v>
      </c>
      <c r="F2468" t="s">
        <v>65</v>
      </c>
      <c r="G2468">
        <v>1038</v>
      </c>
      <c r="H2468">
        <v>326</v>
      </c>
      <c r="I2468" s="8">
        <f t="shared" si="224"/>
        <v>0.31406551059730248</v>
      </c>
      <c r="J2468" s="17">
        <v>0.7</v>
      </c>
      <c r="K2468" s="12">
        <v>13.75</v>
      </c>
      <c r="L2468" s="2">
        <v>400.6</v>
      </c>
      <c r="M2468" s="15">
        <f t="shared" si="225"/>
        <v>5508.25</v>
      </c>
      <c r="N2468" t="str">
        <f t="shared" si="222"/>
        <v>SP</v>
      </c>
      <c r="O2468" t="str">
        <f t="shared" si="223"/>
        <v>Campinas</v>
      </c>
    </row>
    <row r="2469" spans="1:15" x14ac:dyDescent="0.3">
      <c r="A2469" s="10">
        <v>46023</v>
      </c>
      <c r="B2469" s="9" t="s">
        <v>71</v>
      </c>
      <c r="C2469" t="s">
        <v>72</v>
      </c>
      <c r="D2469" s="9">
        <v>19883</v>
      </c>
      <c r="E2469" s="5" t="s">
        <v>509</v>
      </c>
      <c r="F2469" t="s">
        <v>73</v>
      </c>
      <c r="G2469">
        <v>1535</v>
      </c>
      <c r="H2469">
        <v>626</v>
      </c>
      <c r="I2469" s="8">
        <f t="shared" si="224"/>
        <v>0.40781758957654723</v>
      </c>
      <c r="J2469" s="17">
        <v>0.7</v>
      </c>
      <c r="K2469" s="12">
        <v>13.75</v>
      </c>
      <c r="L2469" s="2">
        <v>448.5</v>
      </c>
      <c r="M2469" s="15">
        <f t="shared" si="225"/>
        <v>6166.875</v>
      </c>
      <c r="N2469" t="str">
        <f t="shared" si="222"/>
        <v>RS</v>
      </c>
      <c r="O2469" t="str">
        <f t="shared" si="223"/>
        <v>Canoas</v>
      </c>
    </row>
    <row r="2470" spans="1:15" x14ac:dyDescent="0.3">
      <c r="A2470" s="10">
        <v>46023</v>
      </c>
      <c r="B2470" s="9" t="s">
        <v>15</v>
      </c>
      <c r="C2470" t="s">
        <v>319</v>
      </c>
      <c r="D2470" s="9">
        <v>19514</v>
      </c>
      <c r="E2470" s="5" t="s">
        <v>510</v>
      </c>
      <c r="F2470" t="s">
        <v>221</v>
      </c>
      <c r="G2470">
        <v>3337</v>
      </c>
      <c r="H2470">
        <v>1158</v>
      </c>
      <c r="I2470" s="8">
        <f t="shared" si="224"/>
        <v>0.34701827989211864</v>
      </c>
      <c r="J2470" s="17">
        <v>0.7</v>
      </c>
      <c r="K2470" s="12">
        <v>13.75</v>
      </c>
      <c r="L2470" s="2">
        <v>1177.9000000000001</v>
      </c>
      <c r="M2470" s="15">
        <f t="shared" si="225"/>
        <v>16196.125000000002</v>
      </c>
      <c r="N2470" t="str">
        <f t="shared" si="222"/>
        <v>RJ</v>
      </c>
      <c r="O2470" t="str">
        <f t="shared" si="223"/>
        <v>Rio de Janeiro</v>
      </c>
    </row>
    <row r="2471" spans="1:15" x14ac:dyDescent="0.3">
      <c r="A2471" s="10">
        <v>46023</v>
      </c>
      <c r="B2471" s="9" t="s">
        <v>15</v>
      </c>
      <c r="C2471" t="s">
        <v>319</v>
      </c>
      <c r="D2471" s="9">
        <v>19600</v>
      </c>
      <c r="E2471" s="5" t="s">
        <v>511</v>
      </c>
      <c r="F2471" t="s">
        <v>222</v>
      </c>
      <c r="G2471">
        <v>2586</v>
      </c>
      <c r="H2471">
        <v>987</v>
      </c>
      <c r="I2471" s="8">
        <f t="shared" si="224"/>
        <v>0.38167053364269143</v>
      </c>
      <c r="J2471" s="17">
        <v>0.7</v>
      </c>
      <c r="K2471" s="12">
        <v>13.75</v>
      </c>
      <c r="L2471" s="2">
        <v>823.19999999999982</v>
      </c>
      <c r="M2471" s="15">
        <f t="shared" si="225"/>
        <v>11318.999999999998</v>
      </c>
      <c r="N2471" t="str">
        <f t="shared" si="222"/>
        <v>RJ</v>
      </c>
      <c r="O2471" t="str">
        <f t="shared" si="223"/>
        <v>Rio de Janeiro</v>
      </c>
    </row>
    <row r="2472" spans="1:15" x14ac:dyDescent="0.3">
      <c r="A2472" s="10">
        <v>46023</v>
      </c>
      <c r="B2472" s="9" t="s">
        <v>78</v>
      </c>
      <c r="C2472" t="s">
        <v>277</v>
      </c>
      <c r="D2472" s="9">
        <v>19896</v>
      </c>
      <c r="E2472" s="5" t="s">
        <v>512</v>
      </c>
      <c r="F2472" t="s">
        <v>278</v>
      </c>
      <c r="G2472">
        <v>1495</v>
      </c>
      <c r="H2472">
        <v>708</v>
      </c>
      <c r="I2472" s="8">
        <f t="shared" si="224"/>
        <v>0.47357859531772573</v>
      </c>
      <c r="J2472" s="17">
        <v>0.7</v>
      </c>
      <c r="K2472" s="12">
        <v>13.75</v>
      </c>
      <c r="L2472" s="2">
        <v>338.5</v>
      </c>
      <c r="M2472" s="15">
        <f t="shared" si="225"/>
        <v>4654.375</v>
      </c>
      <c r="N2472" t="str">
        <f t="shared" si="222"/>
        <v>MT</v>
      </c>
      <c r="O2472" t="str">
        <f t="shared" si="223"/>
        <v>Sorriso</v>
      </c>
    </row>
    <row r="2473" spans="1:15" x14ac:dyDescent="0.3">
      <c r="A2473" s="10">
        <v>46023</v>
      </c>
      <c r="B2473" s="9" t="s">
        <v>14</v>
      </c>
      <c r="C2473" t="s">
        <v>287</v>
      </c>
      <c r="D2473" s="9">
        <v>19905</v>
      </c>
      <c r="E2473" s="5" t="s">
        <v>513</v>
      </c>
      <c r="F2473" t="s">
        <v>288</v>
      </c>
      <c r="G2473">
        <v>1297</v>
      </c>
      <c r="H2473">
        <v>590</v>
      </c>
      <c r="I2473" s="8">
        <f t="shared" si="224"/>
        <v>0.45489591364687743</v>
      </c>
      <c r="J2473" s="17">
        <v>0.7</v>
      </c>
      <c r="K2473" s="12">
        <v>13.75</v>
      </c>
      <c r="L2473" s="2">
        <v>317.89999999999998</v>
      </c>
      <c r="M2473" s="15">
        <f t="shared" si="225"/>
        <v>4371.125</v>
      </c>
      <c r="N2473" t="str">
        <f t="shared" si="222"/>
        <v>MG</v>
      </c>
      <c r="O2473" t="str">
        <f t="shared" si="223"/>
        <v>Varginha</v>
      </c>
    </row>
    <row r="2474" spans="1:15" x14ac:dyDescent="0.3">
      <c r="A2474" s="10">
        <v>46023</v>
      </c>
      <c r="B2474" s="9" t="s">
        <v>3</v>
      </c>
      <c r="C2474" t="s">
        <v>12</v>
      </c>
      <c r="D2474" s="9">
        <v>19901</v>
      </c>
      <c r="E2474" s="5" t="s">
        <v>514</v>
      </c>
      <c r="F2474" t="s">
        <v>13</v>
      </c>
      <c r="G2474">
        <v>986</v>
      </c>
      <c r="H2474">
        <v>298</v>
      </c>
      <c r="I2474" s="8">
        <f t="shared" si="224"/>
        <v>0.30223123732251522</v>
      </c>
      <c r="J2474" s="17">
        <v>0.7</v>
      </c>
      <c r="K2474" s="12">
        <v>13.75</v>
      </c>
      <c r="L2474" s="2">
        <v>392.19999999999993</v>
      </c>
      <c r="M2474" s="15">
        <f t="shared" si="225"/>
        <v>5392.7499999999991</v>
      </c>
      <c r="N2474" t="str">
        <f t="shared" si="222"/>
        <v>SP</v>
      </c>
      <c r="O2474" t="str">
        <f t="shared" si="223"/>
        <v>Araras</v>
      </c>
    </row>
    <row r="2475" spans="1:15" x14ac:dyDescent="0.3">
      <c r="A2475" s="10">
        <v>46023</v>
      </c>
      <c r="B2475" s="9" t="s">
        <v>14</v>
      </c>
      <c r="C2475" t="s">
        <v>137</v>
      </c>
      <c r="D2475" s="9">
        <v>19899</v>
      </c>
      <c r="E2475" s="5" t="s">
        <v>515</v>
      </c>
      <c r="F2475" t="s">
        <v>138</v>
      </c>
      <c r="G2475">
        <v>1271</v>
      </c>
      <c r="H2475">
        <v>545</v>
      </c>
      <c r="I2475" s="8">
        <f t="shared" si="224"/>
        <v>0.42879622344610541</v>
      </c>
      <c r="J2475" s="17">
        <v>0.7</v>
      </c>
      <c r="K2475" s="12">
        <v>13.75</v>
      </c>
      <c r="L2475" s="2">
        <v>344.70000000000005</v>
      </c>
      <c r="M2475" s="15">
        <f t="shared" si="225"/>
        <v>4739.6250000000009</v>
      </c>
      <c r="N2475" t="str">
        <f t="shared" si="222"/>
        <v>MG</v>
      </c>
      <c r="O2475" t="str">
        <f t="shared" si="223"/>
        <v>Montes Claros</v>
      </c>
    </row>
    <row r="2476" spans="1:15" x14ac:dyDescent="0.3">
      <c r="A2476" s="10">
        <v>46023</v>
      </c>
      <c r="B2476" s="9" t="s">
        <v>14</v>
      </c>
      <c r="C2476" t="s">
        <v>137</v>
      </c>
      <c r="D2476" s="9">
        <v>19796</v>
      </c>
      <c r="E2476" s="5" t="s">
        <v>516</v>
      </c>
      <c r="F2476" t="s">
        <v>139</v>
      </c>
      <c r="G2476">
        <v>2902</v>
      </c>
      <c r="H2476">
        <v>1501</v>
      </c>
      <c r="I2476" s="8">
        <f t="shared" si="224"/>
        <v>0.51722949689869058</v>
      </c>
      <c r="J2476" s="17">
        <v>0.7</v>
      </c>
      <c r="K2476" s="12">
        <v>13.75</v>
      </c>
      <c r="L2476" s="2">
        <v>530.40000000000009</v>
      </c>
      <c r="M2476" s="15">
        <f t="shared" si="225"/>
        <v>7293.0000000000009</v>
      </c>
      <c r="N2476" t="str">
        <f t="shared" si="222"/>
        <v>MG</v>
      </c>
      <c r="O2476" t="str">
        <f t="shared" si="223"/>
        <v>Montes Claros</v>
      </c>
    </row>
    <row r="2477" spans="1:15" x14ac:dyDescent="0.3">
      <c r="A2477" s="10">
        <v>46023</v>
      </c>
      <c r="B2477" s="9" t="s">
        <v>15</v>
      </c>
      <c r="C2477" t="s">
        <v>319</v>
      </c>
      <c r="D2477" s="9">
        <v>19528</v>
      </c>
      <c r="E2477" s="5" t="s">
        <v>517</v>
      </c>
      <c r="F2477" t="s">
        <v>223</v>
      </c>
      <c r="G2477">
        <v>2545</v>
      </c>
      <c r="H2477">
        <v>873</v>
      </c>
      <c r="I2477" s="8">
        <f t="shared" si="224"/>
        <v>0.34302554027504911</v>
      </c>
      <c r="J2477" s="17">
        <v>0.7</v>
      </c>
      <c r="K2477" s="12">
        <v>13.75</v>
      </c>
      <c r="L2477" s="2">
        <v>908.49999999999977</v>
      </c>
      <c r="M2477" s="15">
        <f t="shared" si="225"/>
        <v>12491.874999999996</v>
      </c>
      <c r="N2477" t="str">
        <f t="shared" si="222"/>
        <v>RJ</v>
      </c>
      <c r="O2477" t="str">
        <f t="shared" si="223"/>
        <v>Rio de Janeiro</v>
      </c>
    </row>
    <row r="2478" spans="1:15" x14ac:dyDescent="0.3">
      <c r="A2478" s="10">
        <v>46023</v>
      </c>
      <c r="B2478" s="9" t="s">
        <v>6</v>
      </c>
      <c r="C2478" t="s">
        <v>158</v>
      </c>
      <c r="D2478" s="9">
        <v>19914</v>
      </c>
      <c r="E2478" s="5" t="s">
        <v>519</v>
      </c>
      <c r="F2478" t="s">
        <v>159</v>
      </c>
      <c r="G2478">
        <v>2600</v>
      </c>
      <c r="H2478">
        <v>1575</v>
      </c>
      <c r="I2478" s="8">
        <f t="shared" si="224"/>
        <v>0.60576923076923073</v>
      </c>
      <c r="J2478" s="17">
        <v>0.7</v>
      </c>
      <c r="K2478" s="12">
        <v>13.75</v>
      </c>
      <c r="L2478" s="2">
        <v>245.00000000000023</v>
      </c>
      <c r="M2478" s="15">
        <f t="shared" si="225"/>
        <v>3368.7500000000032</v>
      </c>
      <c r="N2478" t="str">
        <f t="shared" si="222"/>
        <v>PA</v>
      </c>
      <c r="O2478" t="str">
        <f t="shared" si="223"/>
        <v>Parauapebas</v>
      </c>
    </row>
    <row r="2479" spans="1:15" x14ac:dyDescent="0.3">
      <c r="A2479" s="10">
        <v>46023</v>
      </c>
      <c r="B2479" s="9" t="s">
        <v>155</v>
      </c>
      <c r="C2479" t="s">
        <v>156</v>
      </c>
      <c r="D2479" s="9">
        <v>19916</v>
      </c>
      <c r="E2479" s="5" t="s">
        <v>520</v>
      </c>
      <c r="F2479" t="s">
        <v>157</v>
      </c>
      <c r="G2479">
        <v>1830</v>
      </c>
      <c r="H2479">
        <v>970</v>
      </c>
      <c r="I2479" s="8">
        <f t="shared" si="224"/>
        <v>0.5300546448087432</v>
      </c>
      <c r="J2479" s="17">
        <v>0.7</v>
      </c>
      <c r="K2479" s="12">
        <v>13.75</v>
      </c>
      <c r="L2479" s="2">
        <v>311</v>
      </c>
      <c r="M2479" s="15">
        <f t="shared" si="225"/>
        <v>4276.25</v>
      </c>
      <c r="N2479" t="str">
        <f t="shared" si="222"/>
        <v>TO</v>
      </c>
      <c r="O2479" t="str">
        <f t="shared" si="223"/>
        <v>Palmas</v>
      </c>
    </row>
    <row r="2480" spans="1:15" x14ac:dyDescent="0.3">
      <c r="A2480" s="10">
        <v>46023</v>
      </c>
      <c r="B2480" s="9" t="s">
        <v>74</v>
      </c>
      <c r="C2480" t="s">
        <v>97</v>
      </c>
      <c r="D2480" s="9">
        <v>19911</v>
      </c>
      <c r="E2480" s="5" t="s">
        <v>522</v>
      </c>
      <c r="F2480" t="s">
        <v>98</v>
      </c>
      <c r="G2480">
        <v>1807</v>
      </c>
      <c r="H2480">
        <v>1140</v>
      </c>
      <c r="I2480" s="8">
        <f t="shared" si="224"/>
        <v>0.63087991145545097</v>
      </c>
      <c r="J2480" s="17">
        <v>0.7</v>
      </c>
      <c r="K2480" s="12">
        <v>13.75</v>
      </c>
      <c r="L2480" s="2">
        <v>124.90000000000009</v>
      </c>
      <c r="M2480" s="15">
        <f t="shared" si="225"/>
        <v>1717.3750000000014</v>
      </c>
      <c r="N2480" t="str">
        <f t="shared" si="222"/>
        <v>PE</v>
      </c>
      <c r="O2480" t="str">
        <f t="shared" si="223"/>
        <v>Garanhuns</v>
      </c>
    </row>
    <row r="2481" spans="1:15" x14ac:dyDescent="0.3">
      <c r="A2481" s="10">
        <v>46023</v>
      </c>
      <c r="B2481" s="9" t="s">
        <v>21</v>
      </c>
      <c r="C2481" t="s">
        <v>121</v>
      </c>
      <c r="D2481" s="9">
        <v>19910</v>
      </c>
      <c r="E2481" s="5" t="s">
        <v>524</v>
      </c>
      <c r="F2481" t="s">
        <v>122</v>
      </c>
      <c r="G2481">
        <v>1294</v>
      </c>
      <c r="H2481">
        <v>716</v>
      </c>
      <c r="I2481" s="8">
        <f t="shared" si="224"/>
        <v>0.55332302936630606</v>
      </c>
      <c r="J2481" s="17">
        <v>0.7</v>
      </c>
      <c r="K2481" s="12">
        <v>13.75</v>
      </c>
      <c r="L2481" s="2">
        <v>189.79999999999995</v>
      </c>
      <c r="M2481" s="15">
        <f t="shared" si="225"/>
        <v>2609.7499999999995</v>
      </c>
      <c r="N2481" t="str">
        <f t="shared" si="222"/>
        <v>BA</v>
      </c>
      <c r="O2481" t="str">
        <f t="shared" si="223"/>
        <v>Luís Eduardo Magalhães</v>
      </c>
    </row>
    <row r="2482" spans="1:15" x14ac:dyDescent="0.3">
      <c r="A2482" s="10">
        <v>46023</v>
      </c>
      <c r="B2482" s="9" t="s">
        <v>82</v>
      </c>
      <c r="C2482" t="s">
        <v>173</v>
      </c>
      <c r="D2482" s="9">
        <v>19926</v>
      </c>
      <c r="E2482" s="5" t="s">
        <v>525</v>
      </c>
      <c r="F2482" t="s">
        <v>174</v>
      </c>
      <c r="G2482">
        <v>1216</v>
      </c>
      <c r="H2482">
        <v>483</v>
      </c>
      <c r="I2482" s="8">
        <f t="shared" si="224"/>
        <v>0.39720394736842107</v>
      </c>
      <c r="J2482" s="17">
        <v>0.7</v>
      </c>
      <c r="K2482" s="12">
        <v>13.75</v>
      </c>
      <c r="L2482" s="2">
        <v>368.19999999999982</v>
      </c>
      <c r="M2482" s="15">
        <f t="shared" si="225"/>
        <v>5062.7499999999973</v>
      </c>
      <c r="N2482" t="str">
        <f t="shared" si="222"/>
        <v>PR</v>
      </c>
      <c r="O2482" t="str">
        <f t="shared" si="223"/>
        <v>Ponta Grossa</v>
      </c>
    </row>
    <row r="2483" spans="1:15" x14ac:dyDescent="0.3">
      <c r="A2483" s="10">
        <v>46023</v>
      </c>
      <c r="B2483" s="9" t="s">
        <v>15</v>
      </c>
      <c r="C2483" t="s">
        <v>319</v>
      </c>
      <c r="D2483" s="9">
        <v>19523</v>
      </c>
      <c r="E2483" s="5" t="s">
        <v>526</v>
      </c>
      <c r="F2483" t="s">
        <v>224</v>
      </c>
      <c r="G2483">
        <v>3292</v>
      </c>
      <c r="H2483">
        <v>962</v>
      </c>
      <c r="I2483" s="8">
        <f t="shared" si="224"/>
        <v>0.29222357229647633</v>
      </c>
      <c r="J2483" s="17">
        <v>0.7</v>
      </c>
      <c r="K2483" s="12">
        <v>13.75</v>
      </c>
      <c r="L2483" s="2">
        <v>1342.3999999999996</v>
      </c>
      <c r="M2483" s="15">
        <f t="shared" si="225"/>
        <v>18457.999999999996</v>
      </c>
      <c r="N2483" t="str">
        <f t="shared" si="222"/>
        <v>RJ</v>
      </c>
      <c r="O2483" t="str">
        <f t="shared" si="223"/>
        <v>Rio de Janeiro</v>
      </c>
    </row>
    <row r="2484" spans="1:15" x14ac:dyDescent="0.3">
      <c r="A2484" s="10">
        <v>46023</v>
      </c>
      <c r="B2484" s="9" t="s">
        <v>15</v>
      </c>
      <c r="C2484" t="s">
        <v>319</v>
      </c>
      <c r="D2484" s="9">
        <v>19652</v>
      </c>
      <c r="E2484" s="5" t="s">
        <v>527</v>
      </c>
      <c r="F2484" t="s">
        <v>225</v>
      </c>
      <c r="G2484">
        <v>4960</v>
      </c>
      <c r="H2484">
        <v>1400</v>
      </c>
      <c r="I2484" s="8">
        <f t="shared" si="224"/>
        <v>0.28225806451612906</v>
      </c>
      <c r="J2484" s="17">
        <v>0.7</v>
      </c>
      <c r="K2484" s="12">
        <v>13.75</v>
      </c>
      <c r="L2484" s="2">
        <v>2071.9999999999991</v>
      </c>
      <c r="M2484" s="15">
        <f t="shared" si="225"/>
        <v>28489.999999999989</v>
      </c>
      <c r="N2484" t="str">
        <f t="shared" si="222"/>
        <v>RJ</v>
      </c>
      <c r="O2484" t="str">
        <f t="shared" si="223"/>
        <v>Rio de Janeiro</v>
      </c>
    </row>
    <row r="2485" spans="1:15" x14ac:dyDescent="0.3">
      <c r="A2485" s="10">
        <v>46023</v>
      </c>
      <c r="B2485" s="9" t="s">
        <v>15</v>
      </c>
      <c r="C2485" t="s">
        <v>319</v>
      </c>
      <c r="D2485" s="9">
        <v>19529</v>
      </c>
      <c r="E2485" s="5" t="s">
        <v>528</v>
      </c>
      <c r="F2485" t="s">
        <v>226</v>
      </c>
      <c r="G2485">
        <v>5795</v>
      </c>
      <c r="H2485">
        <v>1869</v>
      </c>
      <c r="I2485" s="8">
        <f t="shared" si="224"/>
        <v>0.32251941328731665</v>
      </c>
      <c r="J2485" s="17">
        <v>0.7</v>
      </c>
      <c r="K2485" s="12">
        <v>13.75</v>
      </c>
      <c r="L2485" s="2">
        <v>2187.5</v>
      </c>
      <c r="M2485" s="15">
        <f t="shared" si="225"/>
        <v>30078.125</v>
      </c>
      <c r="N2485" t="str">
        <f t="shared" si="222"/>
        <v>RJ</v>
      </c>
      <c r="O2485" t="str">
        <f t="shared" si="223"/>
        <v>Rio de Janeiro</v>
      </c>
    </row>
    <row r="2486" spans="1:15" x14ac:dyDescent="0.3">
      <c r="A2486" s="10">
        <v>46023</v>
      </c>
      <c r="B2486" s="9" t="s">
        <v>3</v>
      </c>
      <c r="C2486" t="s">
        <v>248</v>
      </c>
      <c r="D2486" s="9">
        <v>19889</v>
      </c>
      <c r="E2486" s="5" t="s">
        <v>529</v>
      </c>
      <c r="F2486" t="s">
        <v>266</v>
      </c>
      <c r="G2486">
        <v>1607</v>
      </c>
      <c r="H2486">
        <v>532</v>
      </c>
      <c r="I2486" s="8">
        <f t="shared" si="224"/>
        <v>0.3310516490354698</v>
      </c>
      <c r="J2486" s="17">
        <v>0.7</v>
      </c>
      <c r="K2486" s="12">
        <v>13.75</v>
      </c>
      <c r="L2486" s="2">
        <v>592.90000000000009</v>
      </c>
      <c r="M2486" s="15">
        <f t="shared" si="225"/>
        <v>8152.3750000000009</v>
      </c>
      <c r="N2486" t="str">
        <f t="shared" si="222"/>
        <v>SP</v>
      </c>
      <c r="O2486" t="str">
        <f t="shared" si="223"/>
        <v>São Paulo</v>
      </c>
    </row>
    <row r="2487" spans="1:15" x14ac:dyDescent="0.3">
      <c r="A2487" s="10">
        <v>46023</v>
      </c>
      <c r="B2487" s="9" t="s">
        <v>3</v>
      </c>
      <c r="C2487" t="s">
        <v>248</v>
      </c>
      <c r="D2487" s="9">
        <v>19888</v>
      </c>
      <c r="E2487" s="5" t="s">
        <v>530</v>
      </c>
      <c r="F2487" t="s">
        <v>267</v>
      </c>
      <c r="G2487">
        <v>1469</v>
      </c>
      <c r="H2487">
        <v>543</v>
      </c>
      <c r="I2487" s="8">
        <f t="shared" si="224"/>
        <v>0.36963921034717495</v>
      </c>
      <c r="J2487" s="17">
        <v>0.7</v>
      </c>
      <c r="K2487" s="12">
        <v>13.75</v>
      </c>
      <c r="L2487" s="2">
        <v>485.29999999999995</v>
      </c>
      <c r="M2487" s="15">
        <f t="shared" si="225"/>
        <v>6672.8749999999991</v>
      </c>
      <c r="N2487" t="str">
        <f t="shared" si="222"/>
        <v>SP</v>
      </c>
      <c r="O2487" t="str">
        <f t="shared" si="223"/>
        <v>São Paulo</v>
      </c>
    </row>
    <row r="2488" spans="1:15" x14ac:dyDescent="0.3">
      <c r="A2488" s="10">
        <v>46023</v>
      </c>
      <c r="B2488" s="9" t="s">
        <v>82</v>
      </c>
      <c r="C2488" t="s">
        <v>106</v>
      </c>
      <c r="D2488" s="9">
        <v>19927</v>
      </c>
      <c r="E2488" s="5" t="s">
        <v>531</v>
      </c>
      <c r="F2488" t="s">
        <v>107</v>
      </c>
      <c r="G2488">
        <v>774</v>
      </c>
      <c r="H2488">
        <v>249</v>
      </c>
      <c r="I2488" s="8">
        <f t="shared" si="224"/>
        <v>0.32170542635658916</v>
      </c>
      <c r="J2488" s="17">
        <v>0.7</v>
      </c>
      <c r="K2488" s="12">
        <v>13.75</v>
      </c>
      <c r="L2488" s="2">
        <v>292.79999999999995</v>
      </c>
      <c r="M2488" s="15">
        <f t="shared" si="225"/>
        <v>4025.9999999999995</v>
      </c>
      <c r="N2488" t="str">
        <f t="shared" si="222"/>
        <v>PR</v>
      </c>
      <c r="O2488" t="str">
        <f t="shared" si="223"/>
        <v>Guarapuava</v>
      </c>
    </row>
    <row r="2489" spans="1:15" x14ac:dyDescent="0.3">
      <c r="A2489" s="10">
        <v>46023</v>
      </c>
      <c r="B2489" s="9" t="s">
        <v>3</v>
      </c>
      <c r="C2489" t="s">
        <v>44</v>
      </c>
      <c r="D2489" s="9">
        <v>19930</v>
      </c>
      <c r="E2489" s="5" t="s">
        <v>533</v>
      </c>
      <c r="F2489" t="s">
        <v>45</v>
      </c>
      <c r="G2489">
        <v>2687</v>
      </c>
      <c r="H2489">
        <v>1305</v>
      </c>
      <c r="I2489" s="8">
        <f t="shared" si="224"/>
        <v>0.48567175288425751</v>
      </c>
      <c r="J2489" s="17">
        <v>0.7</v>
      </c>
      <c r="K2489" s="12">
        <v>13.75</v>
      </c>
      <c r="L2489" s="2">
        <v>575.89999999999986</v>
      </c>
      <c r="M2489" s="15">
        <f t="shared" si="225"/>
        <v>7918.6249999999982</v>
      </c>
      <c r="N2489" t="str">
        <f t="shared" si="222"/>
        <v>SP</v>
      </c>
      <c r="O2489" t="str">
        <f t="shared" si="223"/>
        <v>Botucatu</v>
      </c>
    </row>
    <row r="2490" spans="1:15" x14ac:dyDescent="0.3">
      <c r="A2490" s="10">
        <v>46023</v>
      </c>
      <c r="B2490" s="9" t="s">
        <v>15</v>
      </c>
      <c r="C2490" t="s">
        <v>319</v>
      </c>
      <c r="D2490" s="9">
        <v>19609</v>
      </c>
      <c r="E2490" s="5" t="s">
        <v>535</v>
      </c>
      <c r="F2490" t="s">
        <v>227</v>
      </c>
      <c r="G2490">
        <v>1881</v>
      </c>
      <c r="H2490">
        <v>827</v>
      </c>
      <c r="I2490" s="8">
        <f t="shared" si="224"/>
        <v>0.43965975544922914</v>
      </c>
      <c r="J2490" s="17">
        <v>0.7</v>
      </c>
      <c r="K2490" s="12">
        <v>13.75</v>
      </c>
      <c r="L2490" s="2">
        <v>489.69999999999982</v>
      </c>
      <c r="M2490" s="15">
        <f t="shared" si="225"/>
        <v>6733.3749999999973</v>
      </c>
      <c r="N2490" t="str">
        <f t="shared" si="222"/>
        <v>RJ</v>
      </c>
      <c r="O2490" t="str">
        <f t="shared" si="223"/>
        <v>Rio de Janeiro</v>
      </c>
    </row>
    <row r="2491" spans="1:15" x14ac:dyDescent="0.3">
      <c r="A2491" s="10">
        <v>46023</v>
      </c>
      <c r="B2491" s="9" t="s">
        <v>3</v>
      </c>
      <c r="C2491" t="s">
        <v>4</v>
      </c>
      <c r="D2491" s="9">
        <v>19928</v>
      </c>
      <c r="E2491" s="5" t="s">
        <v>536</v>
      </c>
      <c r="F2491" t="s">
        <v>5</v>
      </c>
      <c r="G2491">
        <v>2179</v>
      </c>
      <c r="H2491">
        <v>1057</v>
      </c>
      <c r="I2491" s="8">
        <f t="shared" si="224"/>
        <v>0.48508490133088572</v>
      </c>
      <c r="J2491" s="17">
        <v>0.7</v>
      </c>
      <c r="K2491" s="12">
        <v>13.75</v>
      </c>
      <c r="L2491" s="2">
        <v>468.29999999999995</v>
      </c>
      <c r="M2491" s="15">
        <f t="shared" si="225"/>
        <v>6439.1249999999991</v>
      </c>
      <c r="N2491" t="str">
        <f t="shared" si="222"/>
        <v>SP</v>
      </c>
      <c r="O2491" t="str">
        <f t="shared" si="223"/>
        <v>Americana</v>
      </c>
    </row>
    <row r="2492" spans="1:15" x14ac:dyDescent="0.3">
      <c r="A2492" s="10">
        <v>46023</v>
      </c>
      <c r="B2492" s="9" t="s">
        <v>15</v>
      </c>
      <c r="C2492" t="s">
        <v>149</v>
      </c>
      <c r="D2492" s="9">
        <v>19746</v>
      </c>
      <c r="E2492" s="5" t="s">
        <v>537</v>
      </c>
      <c r="F2492" t="s">
        <v>150</v>
      </c>
      <c r="G2492">
        <v>2958</v>
      </c>
      <c r="H2492">
        <v>1768</v>
      </c>
      <c r="I2492" s="8">
        <f t="shared" si="224"/>
        <v>0.5977011494252874</v>
      </c>
      <c r="J2492" s="17">
        <v>0.7</v>
      </c>
      <c r="K2492" s="12">
        <v>13.75</v>
      </c>
      <c r="L2492" s="2">
        <v>302.59999999999991</v>
      </c>
      <c r="M2492" s="15">
        <f t="shared" si="225"/>
        <v>4160.7499999999991</v>
      </c>
      <c r="N2492" t="str">
        <f t="shared" si="222"/>
        <v>RJ</v>
      </c>
      <c r="O2492" t="str">
        <f t="shared" si="223"/>
        <v>Nova Friburgo</v>
      </c>
    </row>
    <row r="2493" spans="1:15" x14ac:dyDescent="0.3">
      <c r="A2493" s="10">
        <v>46023</v>
      </c>
      <c r="B2493" s="9" t="s">
        <v>71</v>
      </c>
      <c r="C2493" t="s">
        <v>163</v>
      </c>
      <c r="D2493" s="9">
        <v>19933</v>
      </c>
      <c r="E2493" s="5" t="s">
        <v>538</v>
      </c>
      <c r="F2493" t="s">
        <v>164</v>
      </c>
      <c r="G2493">
        <v>394</v>
      </c>
      <c r="H2493">
        <v>100</v>
      </c>
      <c r="I2493" s="8">
        <f t="shared" si="224"/>
        <v>0.25380710659898476</v>
      </c>
      <c r="J2493" s="17">
        <v>0.7</v>
      </c>
      <c r="K2493" s="12">
        <v>13.75</v>
      </c>
      <c r="L2493" s="2">
        <v>175.8</v>
      </c>
      <c r="M2493" s="15">
        <f t="shared" si="225"/>
        <v>2417.25</v>
      </c>
      <c r="N2493" t="str">
        <f t="shared" si="222"/>
        <v>RS</v>
      </c>
      <c r="O2493" t="str">
        <f t="shared" si="223"/>
        <v>Passo</v>
      </c>
    </row>
    <row r="2494" spans="1:15" x14ac:dyDescent="0.3">
      <c r="A2494" s="10">
        <v>46023</v>
      </c>
      <c r="B2494" s="9" t="s">
        <v>59</v>
      </c>
      <c r="C2494" t="s">
        <v>311</v>
      </c>
      <c r="D2494" s="9">
        <v>19944</v>
      </c>
      <c r="E2494" s="5" t="s">
        <v>539</v>
      </c>
      <c r="F2494" t="s">
        <v>60</v>
      </c>
      <c r="G2494">
        <v>2376</v>
      </c>
      <c r="H2494">
        <v>1035</v>
      </c>
      <c r="I2494" s="8">
        <f t="shared" si="224"/>
        <v>0.43560606060606061</v>
      </c>
      <c r="J2494" s="17">
        <v>0.7</v>
      </c>
      <c r="K2494" s="12">
        <v>13.75</v>
      </c>
      <c r="L2494" s="2">
        <v>628.20000000000005</v>
      </c>
      <c r="M2494" s="15">
        <f t="shared" si="225"/>
        <v>8637.75</v>
      </c>
      <c r="N2494" t="str">
        <f t="shared" si="222"/>
        <v>ES</v>
      </c>
      <c r="O2494" t="str">
        <f t="shared" si="223"/>
        <v>Cachoeira de Itapemirim</v>
      </c>
    </row>
    <row r="2495" spans="1:15" x14ac:dyDescent="0.3">
      <c r="A2495" s="10">
        <v>46023</v>
      </c>
      <c r="B2495" s="9" t="s">
        <v>21</v>
      </c>
      <c r="C2495" t="s">
        <v>228</v>
      </c>
      <c r="D2495" s="9">
        <v>19931</v>
      </c>
      <c r="E2495" s="5" t="s">
        <v>541</v>
      </c>
      <c r="F2495" t="s">
        <v>233</v>
      </c>
      <c r="G2495">
        <v>2295</v>
      </c>
      <c r="H2495">
        <v>1107</v>
      </c>
      <c r="I2495" s="8">
        <f t="shared" si="224"/>
        <v>0.4823529411764706</v>
      </c>
      <c r="J2495" s="17">
        <v>0.7</v>
      </c>
      <c r="K2495" s="12">
        <v>13.75</v>
      </c>
      <c r="L2495" s="2">
        <v>499.5</v>
      </c>
      <c r="M2495" s="15">
        <f t="shared" si="225"/>
        <v>6868.125</v>
      </c>
      <c r="N2495" t="str">
        <f t="shared" si="222"/>
        <v>BA</v>
      </c>
      <c r="O2495" t="str">
        <f t="shared" si="223"/>
        <v>Salvador</v>
      </c>
    </row>
    <row r="2496" spans="1:15" x14ac:dyDescent="0.3">
      <c r="A2496" s="10">
        <v>46023</v>
      </c>
      <c r="B2496" s="9" t="s">
        <v>14</v>
      </c>
      <c r="C2496" t="s">
        <v>273</v>
      </c>
      <c r="D2496" s="9">
        <v>19937</v>
      </c>
      <c r="E2496" s="5" t="s">
        <v>542</v>
      </c>
      <c r="F2496" t="s">
        <v>274</v>
      </c>
      <c r="G2496">
        <v>710</v>
      </c>
      <c r="H2496">
        <v>269</v>
      </c>
      <c r="I2496" s="8">
        <f t="shared" si="224"/>
        <v>0.37887323943661971</v>
      </c>
      <c r="J2496" s="17">
        <v>0.7</v>
      </c>
      <c r="K2496" s="12">
        <v>13.75</v>
      </c>
      <c r="L2496" s="2">
        <v>227.99999999999994</v>
      </c>
      <c r="M2496" s="15">
        <f t="shared" si="225"/>
        <v>3134.9999999999991</v>
      </c>
      <c r="N2496" t="str">
        <f t="shared" si="222"/>
        <v>MG</v>
      </c>
      <c r="O2496" t="str">
        <f t="shared" si="223"/>
        <v>Sete Lagoas</v>
      </c>
    </row>
    <row r="2497" spans="1:15" x14ac:dyDescent="0.3">
      <c r="A2497" s="10">
        <v>46023</v>
      </c>
      <c r="B2497" s="9" t="s">
        <v>46</v>
      </c>
      <c r="C2497" t="s">
        <v>102</v>
      </c>
      <c r="D2497" s="9">
        <v>19553</v>
      </c>
      <c r="E2497" s="5" t="s">
        <v>543</v>
      </c>
      <c r="F2497" t="s">
        <v>103</v>
      </c>
      <c r="G2497">
        <v>1930</v>
      </c>
      <c r="H2497">
        <v>750</v>
      </c>
      <c r="I2497" s="8">
        <f t="shared" si="224"/>
        <v>0.38860103626943004</v>
      </c>
      <c r="J2497" s="17">
        <v>0.7</v>
      </c>
      <c r="K2497" s="12">
        <v>13.75</v>
      </c>
      <c r="L2497" s="2">
        <v>601</v>
      </c>
      <c r="M2497" s="15">
        <f t="shared" si="225"/>
        <v>8263.75</v>
      </c>
      <c r="N2497" t="str">
        <f t="shared" si="222"/>
        <v>DF</v>
      </c>
      <c r="O2497" t="str">
        <f t="shared" si="223"/>
        <v>Guará</v>
      </c>
    </row>
    <row r="2498" spans="1:15" x14ac:dyDescent="0.3">
      <c r="A2498" s="10">
        <v>46023</v>
      </c>
      <c r="B2498" s="9" t="s">
        <v>140</v>
      </c>
      <c r="C2498" t="s">
        <v>141</v>
      </c>
      <c r="D2498" s="9">
        <v>19940</v>
      </c>
      <c r="E2498" s="5" t="s">
        <v>545</v>
      </c>
      <c r="F2498" t="s">
        <v>142</v>
      </c>
      <c r="G2498">
        <v>2000</v>
      </c>
      <c r="H2498">
        <v>1170</v>
      </c>
      <c r="I2498" s="8">
        <f t="shared" si="224"/>
        <v>0.58499999999999996</v>
      </c>
      <c r="J2498" s="17">
        <v>0.7</v>
      </c>
      <c r="K2498" s="12">
        <v>13.75</v>
      </c>
      <c r="L2498" s="2">
        <v>230</v>
      </c>
      <c r="M2498" s="15">
        <f t="shared" si="225"/>
        <v>3162.5</v>
      </c>
      <c r="N2498" t="str">
        <f t="shared" ref="N2498:N2561" si="226">B2498</f>
        <v>RN</v>
      </c>
      <c r="O2498" t="str">
        <f t="shared" ref="O2498:O2561" si="227">C2498</f>
        <v>Natal</v>
      </c>
    </row>
    <row r="2499" spans="1:15" x14ac:dyDescent="0.3">
      <c r="A2499" s="10">
        <v>46023</v>
      </c>
      <c r="B2499" s="9" t="s">
        <v>123</v>
      </c>
      <c r="C2499" t="s">
        <v>124</v>
      </c>
      <c r="D2499" s="9">
        <v>19945</v>
      </c>
      <c r="E2499" s="5" t="s">
        <v>546</v>
      </c>
      <c r="F2499" t="s">
        <v>125</v>
      </c>
      <c r="G2499">
        <v>1550</v>
      </c>
      <c r="H2499">
        <v>1198</v>
      </c>
      <c r="I2499" s="8">
        <f t="shared" ref="I2499:I2562" si="228">H2499/G2499</f>
        <v>0.77290322580645165</v>
      </c>
      <c r="J2499" s="17">
        <v>0.7</v>
      </c>
      <c r="K2499" s="12">
        <v>13.75</v>
      </c>
      <c r="L2499" s="2">
        <v>352</v>
      </c>
      <c r="M2499" s="15">
        <f t="shared" ref="M2499:M2562" si="229">L2499*K2499</f>
        <v>4840</v>
      </c>
      <c r="N2499" t="str">
        <f t="shared" si="226"/>
        <v>AP</v>
      </c>
      <c r="O2499" t="str">
        <f t="shared" si="227"/>
        <v>Macapa</v>
      </c>
    </row>
    <row r="2500" spans="1:15" x14ac:dyDescent="0.3">
      <c r="A2500" s="10">
        <v>46023</v>
      </c>
      <c r="B2500" s="9" t="s">
        <v>21</v>
      </c>
      <c r="C2500" t="s">
        <v>228</v>
      </c>
      <c r="D2500" s="9">
        <v>19907</v>
      </c>
      <c r="E2500" s="5" t="s">
        <v>547</v>
      </c>
      <c r="F2500" t="s">
        <v>234</v>
      </c>
      <c r="G2500">
        <v>1556</v>
      </c>
      <c r="H2500">
        <v>664</v>
      </c>
      <c r="I2500" s="8">
        <f t="shared" si="228"/>
        <v>0.42673521850899743</v>
      </c>
      <c r="J2500" s="17">
        <v>0.7</v>
      </c>
      <c r="K2500" s="12">
        <v>13.75</v>
      </c>
      <c r="L2500" s="2">
        <v>425.19999999999982</v>
      </c>
      <c r="M2500" s="15">
        <f t="shared" si="229"/>
        <v>5846.4999999999973</v>
      </c>
      <c r="N2500" t="str">
        <f t="shared" si="226"/>
        <v>BA</v>
      </c>
      <c r="O2500" t="str">
        <f t="shared" si="227"/>
        <v>Salvador</v>
      </c>
    </row>
    <row r="2501" spans="1:15" x14ac:dyDescent="0.3">
      <c r="A2501" s="10">
        <v>46023</v>
      </c>
      <c r="B2501" s="9" t="s">
        <v>15</v>
      </c>
      <c r="C2501" t="s">
        <v>145</v>
      </c>
      <c r="D2501" s="9">
        <v>19538</v>
      </c>
      <c r="E2501" s="5" t="s">
        <v>548</v>
      </c>
      <c r="F2501" t="s">
        <v>146</v>
      </c>
      <c r="G2501">
        <v>3161</v>
      </c>
      <c r="H2501">
        <v>1389</v>
      </c>
      <c r="I2501" s="8">
        <f t="shared" si="228"/>
        <v>0.43941790572603606</v>
      </c>
      <c r="J2501" s="17">
        <v>0.7</v>
      </c>
      <c r="K2501" s="12">
        <v>13.75</v>
      </c>
      <c r="L2501" s="2">
        <v>823.69999999999982</v>
      </c>
      <c r="M2501" s="15">
        <f t="shared" si="229"/>
        <v>11325.874999999998</v>
      </c>
      <c r="N2501" t="str">
        <f t="shared" si="226"/>
        <v>RJ</v>
      </c>
      <c r="O2501" t="str">
        <f t="shared" si="227"/>
        <v>Niterói</v>
      </c>
    </row>
    <row r="2502" spans="1:15" x14ac:dyDescent="0.3">
      <c r="A2502" s="10">
        <v>46023</v>
      </c>
      <c r="B2502" s="9" t="s">
        <v>71</v>
      </c>
      <c r="C2502" t="s">
        <v>175</v>
      </c>
      <c r="D2502" s="9">
        <v>19947</v>
      </c>
      <c r="E2502" s="5" t="s">
        <v>550</v>
      </c>
      <c r="F2502" t="s">
        <v>180</v>
      </c>
      <c r="G2502">
        <v>2973</v>
      </c>
      <c r="H2502">
        <v>1012</v>
      </c>
      <c r="I2502" s="8">
        <f t="shared" si="228"/>
        <v>0.34039690548267743</v>
      </c>
      <c r="J2502" s="17">
        <v>0.7</v>
      </c>
      <c r="K2502" s="12">
        <v>13.75</v>
      </c>
      <c r="L2502" s="2">
        <v>1069.0999999999999</v>
      </c>
      <c r="M2502" s="15">
        <f t="shared" si="229"/>
        <v>14700.124999999998</v>
      </c>
      <c r="N2502" t="str">
        <f t="shared" si="226"/>
        <v>RS</v>
      </c>
      <c r="O2502" t="str">
        <f t="shared" si="227"/>
        <v>Porto Alegre</v>
      </c>
    </row>
    <row r="2503" spans="1:15" x14ac:dyDescent="0.3">
      <c r="A2503" s="10">
        <v>46023</v>
      </c>
      <c r="B2503" s="9" t="s">
        <v>14</v>
      </c>
      <c r="C2503" t="s">
        <v>114</v>
      </c>
      <c r="D2503" s="9">
        <v>19943</v>
      </c>
      <c r="E2503" s="5" t="s">
        <v>551</v>
      </c>
      <c r="F2503" t="s">
        <v>115</v>
      </c>
      <c r="G2503">
        <v>1064</v>
      </c>
      <c r="H2503">
        <v>495</v>
      </c>
      <c r="I2503" s="8">
        <f t="shared" si="228"/>
        <v>0.46522556390977443</v>
      </c>
      <c r="J2503" s="17">
        <v>0.7</v>
      </c>
      <c r="K2503" s="12">
        <v>13.75</v>
      </c>
      <c r="L2503" s="2">
        <v>249.79999999999995</v>
      </c>
      <c r="M2503" s="15">
        <f t="shared" si="229"/>
        <v>3434.7499999999995</v>
      </c>
      <c r="N2503" t="str">
        <f t="shared" si="226"/>
        <v>MG</v>
      </c>
      <c r="O2503" t="str">
        <f t="shared" si="227"/>
        <v>Ituiutaba</v>
      </c>
    </row>
    <row r="2504" spans="1:15" x14ac:dyDescent="0.3">
      <c r="A2504" s="10">
        <v>46023</v>
      </c>
      <c r="B2504" s="9" t="s">
        <v>244</v>
      </c>
      <c r="C2504" t="s">
        <v>245</v>
      </c>
      <c r="D2504" s="9">
        <v>19617</v>
      </c>
      <c r="E2504" s="5" t="s">
        <v>552</v>
      </c>
      <c r="F2504" t="s">
        <v>246</v>
      </c>
      <c r="G2504">
        <v>3672</v>
      </c>
      <c r="H2504">
        <v>1580</v>
      </c>
      <c r="I2504" s="8">
        <f t="shared" si="228"/>
        <v>0.43028322440087147</v>
      </c>
      <c r="J2504" s="17">
        <v>0.7</v>
      </c>
      <c r="K2504" s="12">
        <v>13.75</v>
      </c>
      <c r="L2504" s="2">
        <v>990.40000000000009</v>
      </c>
      <c r="M2504" s="15">
        <f t="shared" si="229"/>
        <v>13618.000000000002</v>
      </c>
      <c r="N2504" t="str">
        <f t="shared" si="226"/>
        <v>MA</v>
      </c>
      <c r="O2504" t="str">
        <f t="shared" si="227"/>
        <v>São Luís</v>
      </c>
    </row>
    <row r="2505" spans="1:15" x14ac:dyDescent="0.3">
      <c r="A2505" s="10">
        <v>46023</v>
      </c>
      <c r="B2505" s="9" t="s">
        <v>244</v>
      </c>
      <c r="C2505" t="s">
        <v>245</v>
      </c>
      <c r="D2505" s="9">
        <v>19595</v>
      </c>
      <c r="E2505" s="5" t="s">
        <v>553</v>
      </c>
      <c r="F2505" t="s">
        <v>247</v>
      </c>
      <c r="G2505">
        <v>3641</v>
      </c>
      <c r="H2505">
        <v>1728</v>
      </c>
      <c r="I2505" s="8">
        <f t="shared" si="228"/>
        <v>0.47459489151332052</v>
      </c>
      <c r="J2505" s="17">
        <v>0.7</v>
      </c>
      <c r="K2505" s="12">
        <v>13.75</v>
      </c>
      <c r="L2505" s="2">
        <v>820.69999999999982</v>
      </c>
      <c r="M2505" s="15">
        <f t="shared" si="229"/>
        <v>11284.624999999998</v>
      </c>
      <c r="N2505" t="str">
        <f t="shared" si="226"/>
        <v>MA</v>
      </c>
      <c r="O2505" t="str">
        <f t="shared" si="227"/>
        <v>São Luís</v>
      </c>
    </row>
    <row r="2506" spans="1:15" x14ac:dyDescent="0.3">
      <c r="A2506" s="10">
        <v>46023</v>
      </c>
      <c r="B2506" s="9" t="s">
        <v>3</v>
      </c>
      <c r="C2506" t="s">
        <v>10</v>
      </c>
      <c r="D2506" s="9">
        <v>19948</v>
      </c>
      <c r="E2506" s="5" t="s">
        <v>555</v>
      </c>
      <c r="F2506" t="s">
        <v>11</v>
      </c>
      <c r="G2506">
        <v>1419</v>
      </c>
      <c r="H2506">
        <v>464</v>
      </c>
      <c r="I2506" s="8">
        <f t="shared" si="228"/>
        <v>0.32699083861874562</v>
      </c>
      <c r="J2506" s="17">
        <v>0.7</v>
      </c>
      <c r="K2506" s="12">
        <v>13.75</v>
      </c>
      <c r="L2506" s="2">
        <v>529.29999999999984</v>
      </c>
      <c r="M2506" s="15">
        <f t="shared" si="229"/>
        <v>7277.8749999999982</v>
      </c>
      <c r="N2506" t="str">
        <f t="shared" si="226"/>
        <v>SP</v>
      </c>
      <c r="O2506" t="str">
        <f t="shared" si="227"/>
        <v>Araraquara</v>
      </c>
    </row>
    <row r="2507" spans="1:15" x14ac:dyDescent="0.3">
      <c r="A2507" s="10">
        <v>46023</v>
      </c>
      <c r="B2507" s="9" t="s">
        <v>74</v>
      </c>
      <c r="C2507" t="s">
        <v>75</v>
      </c>
      <c r="D2507" s="9">
        <v>19798</v>
      </c>
      <c r="E2507" s="5" t="s">
        <v>556</v>
      </c>
      <c r="F2507" t="s">
        <v>76</v>
      </c>
      <c r="G2507">
        <v>3200</v>
      </c>
      <c r="H2507">
        <v>1588</v>
      </c>
      <c r="I2507" s="8">
        <f t="shared" si="228"/>
        <v>0.49625000000000002</v>
      </c>
      <c r="J2507" s="17">
        <v>0.7</v>
      </c>
      <c r="K2507" s="12">
        <v>13.75</v>
      </c>
      <c r="L2507" s="2">
        <v>651.99999999999955</v>
      </c>
      <c r="M2507" s="15">
        <f t="shared" si="229"/>
        <v>8964.9999999999945</v>
      </c>
      <c r="N2507" t="str">
        <f t="shared" si="226"/>
        <v>PE</v>
      </c>
      <c r="O2507" t="str">
        <f t="shared" si="227"/>
        <v>Caruaru</v>
      </c>
    </row>
    <row r="2508" spans="1:15" x14ac:dyDescent="0.3">
      <c r="A2508" s="10">
        <v>46023</v>
      </c>
      <c r="B2508" s="9" t="s">
        <v>15</v>
      </c>
      <c r="C2508" t="s">
        <v>19</v>
      </c>
      <c r="D2508" s="9">
        <v>19694</v>
      </c>
      <c r="E2508" s="5" t="s">
        <v>557</v>
      </c>
      <c r="F2508" t="s">
        <v>20</v>
      </c>
      <c r="G2508">
        <v>2246</v>
      </c>
      <c r="H2508">
        <v>1118</v>
      </c>
      <c r="I2508" s="8">
        <f t="shared" si="228"/>
        <v>0.49777382012466609</v>
      </c>
      <c r="J2508" s="17">
        <v>0.7</v>
      </c>
      <c r="K2508" s="12">
        <v>13.75</v>
      </c>
      <c r="L2508" s="2">
        <v>454.19999999999982</v>
      </c>
      <c r="M2508" s="15">
        <f t="shared" si="229"/>
        <v>6245.2499999999973</v>
      </c>
      <c r="N2508" t="str">
        <f t="shared" si="226"/>
        <v>RJ</v>
      </c>
      <c r="O2508" t="str">
        <f t="shared" si="227"/>
        <v>Barra Mansa</v>
      </c>
    </row>
    <row r="2509" spans="1:15" x14ac:dyDescent="0.3">
      <c r="A2509" s="10">
        <v>46023</v>
      </c>
      <c r="B2509" s="9" t="s">
        <v>14</v>
      </c>
      <c r="C2509" t="s">
        <v>112</v>
      </c>
      <c r="D2509" s="9">
        <v>19951</v>
      </c>
      <c r="E2509" s="5" t="s">
        <v>558</v>
      </c>
      <c r="F2509" t="s">
        <v>113</v>
      </c>
      <c r="G2509">
        <v>2281</v>
      </c>
      <c r="H2509">
        <v>804</v>
      </c>
      <c r="I2509" s="8">
        <f t="shared" si="228"/>
        <v>0.3524769837790443</v>
      </c>
      <c r="J2509" s="17">
        <v>0.7</v>
      </c>
      <c r="K2509" s="12">
        <v>13.75</v>
      </c>
      <c r="L2509" s="2">
        <v>792.69999999999982</v>
      </c>
      <c r="M2509" s="15">
        <f t="shared" si="229"/>
        <v>10899.624999999998</v>
      </c>
      <c r="N2509" t="str">
        <f t="shared" si="226"/>
        <v>MG</v>
      </c>
      <c r="O2509" t="str">
        <f t="shared" si="227"/>
        <v>Ipatinga</v>
      </c>
    </row>
    <row r="2510" spans="1:15" x14ac:dyDescent="0.3">
      <c r="A2510" s="10">
        <v>46023</v>
      </c>
      <c r="B2510" s="9" t="s">
        <v>160</v>
      </c>
      <c r="C2510" t="s">
        <v>161</v>
      </c>
      <c r="D2510" s="9">
        <v>19954</v>
      </c>
      <c r="E2510" s="5" t="s">
        <v>559</v>
      </c>
      <c r="F2510" t="s">
        <v>162</v>
      </c>
      <c r="G2510">
        <v>965</v>
      </c>
      <c r="H2510">
        <v>614</v>
      </c>
      <c r="I2510" s="8">
        <f t="shared" si="228"/>
        <v>0.63626943005181347</v>
      </c>
      <c r="J2510" s="17">
        <v>0.7</v>
      </c>
      <c r="K2510" s="12">
        <v>13.75</v>
      </c>
      <c r="L2510" s="2">
        <v>61.499999999999886</v>
      </c>
      <c r="M2510" s="15">
        <f t="shared" si="229"/>
        <v>845.62499999999841</v>
      </c>
      <c r="N2510" t="str">
        <f t="shared" si="226"/>
        <v>PI</v>
      </c>
      <c r="O2510" t="str">
        <f t="shared" si="227"/>
        <v>Parnaíba</v>
      </c>
    </row>
    <row r="2511" spans="1:15" x14ac:dyDescent="0.3">
      <c r="A2511" s="10">
        <v>46023</v>
      </c>
      <c r="B2511" s="9" t="s">
        <v>14</v>
      </c>
      <c r="C2511" t="s">
        <v>316</v>
      </c>
      <c r="D2511" s="9">
        <v>19615</v>
      </c>
      <c r="E2511" s="5" t="s">
        <v>560</v>
      </c>
      <c r="F2511" t="s">
        <v>117</v>
      </c>
      <c r="G2511">
        <v>2681</v>
      </c>
      <c r="H2511">
        <v>961</v>
      </c>
      <c r="I2511" s="8">
        <f t="shared" si="228"/>
        <v>0.35844834017157778</v>
      </c>
      <c r="J2511" s="17">
        <v>0.7</v>
      </c>
      <c r="K2511" s="12">
        <v>13.75</v>
      </c>
      <c r="L2511" s="2">
        <v>915.69999999999982</v>
      </c>
      <c r="M2511" s="15">
        <f t="shared" si="229"/>
        <v>12590.874999999998</v>
      </c>
      <c r="N2511" t="str">
        <f t="shared" si="226"/>
        <v>MG</v>
      </c>
      <c r="O2511" t="str">
        <f t="shared" si="227"/>
        <v>Juiz de Fora</v>
      </c>
    </row>
    <row r="2512" spans="1:15" x14ac:dyDescent="0.3">
      <c r="A2512" s="10">
        <v>46023</v>
      </c>
      <c r="B2512" s="9" t="s">
        <v>46</v>
      </c>
      <c r="C2512" t="s">
        <v>47</v>
      </c>
      <c r="D2512" s="9">
        <v>19647</v>
      </c>
      <c r="E2512" s="5" t="s">
        <v>561</v>
      </c>
      <c r="F2512" t="s">
        <v>55</v>
      </c>
      <c r="G2512">
        <v>1767</v>
      </c>
      <c r="H2512">
        <v>550</v>
      </c>
      <c r="I2512" s="8">
        <f t="shared" si="228"/>
        <v>0.31126202603282399</v>
      </c>
      <c r="J2512" s="17">
        <v>0.7</v>
      </c>
      <c r="K2512" s="12">
        <v>13.75</v>
      </c>
      <c r="L2512" s="2">
        <v>686.90000000000009</v>
      </c>
      <c r="M2512" s="15">
        <f t="shared" si="229"/>
        <v>9444.8750000000018</v>
      </c>
      <c r="N2512" t="str">
        <f t="shared" si="226"/>
        <v>DF</v>
      </c>
      <c r="O2512" t="str">
        <f t="shared" si="227"/>
        <v>Brasília</v>
      </c>
    </row>
    <row r="2513" spans="1:15" x14ac:dyDescent="0.3">
      <c r="A2513" s="10">
        <v>46023</v>
      </c>
      <c r="B2513" s="9" t="s">
        <v>46</v>
      </c>
      <c r="C2513" t="s">
        <v>47</v>
      </c>
      <c r="D2513" s="9">
        <v>19898</v>
      </c>
      <c r="E2513" s="5" t="s">
        <v>562</v>
      </c>
      <c r="F2513" t="s">
        <v>56</v>
      </c>
      <c r="G2513">
        <v>1321</v>
      </c>
      <c r="H2513">
        <v>352</v>
      </c>
      <c r="I2513" s="8">
        <f t="shared" si="228"/>
        <v>0.26646479939439821</v>
      </c>
      <c r="J2513" s="17">
        <v>0.7</v>
      </c>
      <c r="K2513" s="12">
        <v>13.75</v>
      </c>
      <c r="L2513" s="2">
        <v>572.69999999999982</v>
      </c>
      <c r="M2513" s="15">
        <f t="shared" si="229"/>
        <v>7874.6249999999973</v>
      </c>
      <c r="N2513" t="str">
        <f t="shared" si="226"/>
        <v>DF</v>
      </c>
      <c r="O2513" t="str">
        <f t="shared" si="227"/>
        <v>Brasília</v>
      </c>
    </row>
    <row r="2514" spans="1:15" x14ac:dyDescent="0.3">
      <c r="A2514" s="10">
        <v>46023</v>
      </c>
      <c r="B2514" s="9" t="s">
        <v>3</v>
      </c>
      <c r="C2514" t="s">
        <v>64</v>
      </c>
      <c r="D2514" s="9">
        <v>19616</v>
      </c>
      <c r="E2514" s="5" t="s">
        <v>563</v>
      </c>
      <c r="F2514" t="s">
        <v>66</v>
      </c>
      <c r="G2514">
        <v>3681</v>
      </c>
      <c r="H2514">
        <v>1404</v>
      </c>
      <c r="I2514" s="8">
        <f t="shared" si="228"/>
        <v>0.38141809290953543</v>
      </c>
      <c r="J2514" s="17">
        <v>0.7</v>
      </c>
      <c r="K2514" s="12">
        <v>13.75</v>
      </c>
      <c r="L2514" s="2">
        <v>1172.6999999999998</v>
      </c>
      <c r="M2514" s="15">
        <f t="shared" si="229"/>
        <v>16124.624999999998</v>
      </c>
      <c r="N2514" t="str">
        <f t="shared" si="226"/>
        <v>SP</v>
      </c>
      <c r="O2514" t="str">
        <f t="shared" si="227"/>
        <v>Campinas</v>
      </c>
    </row>
    <row r="2515" spans="1:15" x14ac:dyDescent="0.3">
      <c r="A2515" s="10">
        <v>46023</v>
      </c>
      <c r="B2515" s="9" t="s">
        <v>3</v>
      </c>
      <c r="C2515" t="s">
        <v>64</v>
      </c>
      <c r="D2515" s="9">
        <v>19688</v>
      </c>
      <c r="E2515" s="5" t="s">
        <v>564</v>
      </c>
      <c r="F2515" t="s">
        <v>67</v>
      </c>
      <c r="G2515">
        <v>1649</v>
      </c>
      <c r="H2515">
        <v>507</v>
      </c>
      <c r="I2515" s="8">
        <f t="shared" si="228"/>
        <v>0.30745906610066709</v>
      </c>
      <c r="J2515" s="17">
        <v>0.7</v>
      </c>
      <c r="K2515" s="12">
        <v>13.75</v>
      </c>
      <c r="L2515" s="2">
        <v>647.29999999999995</v>
      </c>
      <c r="M2515" s="15">
        <f t="shared" si="229"/>
        <v>8900.375</v>
      </c>
      <c r="N2515" t="str">
        <f t="shared" si="226"/>
        <v>SP</v>
      </c>
      <c r="O2515" t="str">
        <f t="shared" si="227"/>
        <v>Campinas</v>
      </c>
    </row>
    <row r="2516" spans="1:15" x14ac:dyDescent="0.3">
      <c r="A2516" s="10">
        <v>46023</v>
      </c>
      <c r="B2516" s="9" t="s">
        <v>3</v>
      </c>
      <c r="C2516" t="s">
        <v>275</v>
      </c>
      <c r="D2516" s="9">
        <v>19721</v>
      </c>
      <c r="E2516" s="5" t="s">
        <v>565</v>
      </c>
      <c r="F2516" t="s">
        <v>276</v>
      </c>
      <c r="G2516">
        <v>2164</v>
      </c>
      <c r="H2516">
        <v>885</v>
      </c>
      <c r="I2516" s="8">
        <f t="shared" si="228"/>
        <v>0.40896487985212571</v>
      </c>
      <c r="J2516" s="17">
        <v>0.7</v>
      </c>
      <c r="K2516" s="12">
        <v>13.75</v>
      </c>
      <c r="L2516" s="2">
        <v>629.79999999999995</v>
      </c>
      <c r="M2516" s="15">
        <f t="shared" si="229"/>
        <v>8659.75</v>
      </c>
      <c r="N2516" t="str">
        <f t="shared" si="226"/>
        <v>SP</v>
      </c>
      <c r="O2516" t="str">
        <f t="shared" si="227"/>
        <v>Sorocaba</v>
      </c>
    </row>
    <row r="2517" spans="1:15" x14ac:dyDescent="0.3">
      <c r="A2517" s="10">
        <v>46023</v>
      </c>
      <c r="B2517" s="9" t="s">
        <v>3</v>
      </c>
      <c r="C2517" t="s">
        <v>248</v>
      </c>
      <c r="D2517" s="9">
        <v>19863</v>
      </c>
      <c r="E2517" s="5" t="s">
        <v>566</v>
      </c>
      <c r="F2517" t="s">
        <v>268</v>
      </c>
      <c r="G2517">
        <v>2598</v>
      </c>
      <c r="H2517">
        <v>903</v>
      </c>
      <c r="I2517" s="8">
        <f t="shared" si="228"/>
        <v>0.34757505773672054</v>
      </c>
      <c r="J2517" s="17">
        <v>0.7</v>
      </c>
      <c r="K2517" s="12">
        <v>13.75</v>
      </c>
      <c r="L2517" s="2">
        <v>915.59999999999991</v>
      </c>
      <c r="M2517" s="15">
        <f t="shared" si="229"/>
        <v>12589.499999999998</v>
      </c>
      <c r="N2517" t="str">
        <f t="shared" si="226"/>
        <v>SP</v>
      </c>
      <c r="O2517" t="str">
        <f t="shared" si="227"/>
        <v>São Paulo</v>
      </c>
    </row>
    <row r="2518" spans="1:15" x14ac:dyDescent="0.3">
      <c r="A2518" s="10">
        <v>46023</v>
      </c>
      <c r="B2518" s="9" t="s">
        <v>3</v>
      </c>
      <c r="C2518" t="s">
        <v>248</v>
      </c>
      <c r="D2518" s="9">
        <v>19817</v>
      </c>
      <c r="E2518" s="5" t="s">
        <v>567</v>
      </c>
      <c r="F2518" t="s">
        <v>269</v>
      </c>
      <c r="G2518">
        <v>1344</v>
      </c>
      <c r="H2518">
        <v>490</v>
      </c>
      <c r="I2518" s="8">
        <f t="shared" si="228"/>
        <v>0.36458333333333331</v>
      </c>
      <c r="J2518" s="17">
        <v>0.7</v>
      </c>
      <c r="K2518" s="12">
        <v>13.75</v>
      </c>
      <c r="L2518" s="2">
        <v>450.80000000000007</v>
      </c>
      <c r="M2518" s="15">
        <f t="shared" si="229"/>
        <v>6198.5000000000009</v>
      </c>
      <c r="N2518" t="str">
        <f t="shared" si="226"/>
        <v>SP</v>
      </c>
      <c r="O2518" t="str">
        <f t="shared" si="227"/>
        <v>São Paulo</v>
      </c>
    </row>
    <row r="2519" spans="1:15" x14ac:dyDescent="0.3">
      <c r="A2519" s="10">
        <v>46023</v>
      </c>
      <c r="B2519" s="9" t="s">
        <v>3</v>
      </c>
      <c r="C2519" t="s">
        <v>248</v>
      </c>
      <c r="D2519" s="9">
        <v>19866</v>
      </c>
      <c r="E2519" s="5" t="s">
        <v>568</v>
      </c>
      <c r="F2519" t="s">
        <v>270</v>
      </c>
      <c r="G2519">
        <v>1419</v>
      </c>
      <c r="H2519">
        <v>450</v>
      </c>
      <c r="I2519" s="8">
        <f t="shared" si="228"/>
        <v>0.31712473572938688</v>
      </c>
      <c r="J2519" s="17">
        <v>0.7</v>
      </c>
      <c r="K2519" s="12">
        <v>13.75</v>
      </c>
      <c r="L2519" s="2">
        <v>543.30000000000007</v>
      </c>
      <c r="M2519" s="15">
        <f t="shared" si="229"/>
        <v>7470.3750000000009</v>
      </c>
      <c r="N2519" t="str">
        <f t="shared" si="226"/>
        <v>SP</v>
      </c>
      <c r="O2519" t="str">
        <f t="shared" si="227"/>
        <v>São Paulo</v>
      </c>
    </row>
    <row r="2520" spans="1:15" x14ac:dyDescent="0.3">
      <c r="A2520" s="10">
        <v>46023</v>
      </c>
      <c r="B2520" s="9" t="s">
        <v>3</v>
      </c>
      <c r="C2520" t="s">
        <v>110</v>
      </c>
      <c r="D2520" s="9">
        <v>19884</v>
      </c>
      <c r="E2520" s="5" t="s">
        <v>577</v>
      </c>
      <c r="F2520" t="s">
        <v>111</v>
      </c>
      <c r="G2520">
        <v>1732</v>
      </c>
      <c r="H2520">
        <v>566</v>
      </c>
      <c r="I2520" s="8">
        <f t="shared" si="228"/>
        <v>0.32678983833718245</v>
      </c>
      <c r="J2520" s="17">
        <v>0.7</v>
      </c>
      <c r="K2520" s="12">
        <v>13.75</v>
      </c>
      <c r="L2520" s="2">
        <v>646.39999999999986</v>
      </c>
      <c r="M2520" s="15">
        <f t="shared" si="229"/>
        <v>8887.9999999999982</v>
      </c>
      <c r="N2520" t="str">
        <f t="shared" si="226"/>
        <v>SP</v>
      </c>
      <c r="O2520" t="str">
        <f t="shared" si="227"/>
        <v>Guarulhos</v>
      </c>
    </row>
    <row r="2521" spans="1:15" x14ac:dyDescent="0.3">
      <c r="A2521" s="10">
        <v>46023</v>
      </c>
      <c r="B2521" s="9" t="s">
        <v>3</v>
      </c>
      <c r="C2521" t="s">
        <v>248</v>
      </c>
      <c r="D2521" s="9">
        <v>19859</v>
      </c>
      <c r="E2521" s="5" t="s">
        <v>578</v>
      </c>
      <c r="F2521" t="s">
        <v>258</v>
      </c>
      <c r="G2521">
        <v>1901</v>
      </c>
      <c r="H2521">
        <v>594</v>
      </c>
      <c r="I2521" s="8">
        <f t="shared" si="228"/>
        <v>0.31246712256706999</v>
      </c>
      <c r="J2521" s="17">
        <v>0.7</v>
      </c>
      <c r="K2521" s="12">
        <v>13.75</v>
      </c>
      <c r="L2521" s="2">
        <v>736.69999999999982</v>
      </c>
      <c r="M2521" s="15">
        <f t="shared" si="229"/>
        <v>10129.624999999998</v>
      </c>
      <c r="N2521" t="str">
        <f t="shared" si="226"/>
        <v>SP</v>
      </c>
      <c r="O2521" t="str">
        <f t="shared" si="227"/>
        <v>São Paulo</v>
      </c>
    </row>
    <row r="2522" spans="1:15" x14ac:dyDescent="0.3">
      <c r="A2522" s="10">
        <v>46023</v>
      </c>
      <c r="B2522" s="9" t="s">
        <v>3</v>
      </c>
      <c r="C2522" t="s">
        <v>248</v>
      </c>
      <c r="D2522" s="9">
        <v>19711</v>
      </c>
      <c r="E2522" s="5" t="s">
        <v>579</v>
      </c>
      <c r="F2522" t="s">
        <v>264</v>
      </c>
      <c r="G2522">
        <v>1460</v>
      </c>
      <c r="H2522">
        <v>530</v>
      </c>
      <c r="I2522" s="8">
        <f t="shared" si="228"/>
        <v>0.36301369863013699</v>
      </c>
      <c r="J2522" s="17">
        <v>0.7</v>
      </c>
      <c r="K2522" s="12">
        <v>13.75</v>
      </c>
      <c r="L2522" s="2">
        <v>492</v>
      </c>
      <c r="M2522" s="15">
        <f t="shared" si="229"/>
        <v>6765</v>
      </c>
      <c r="N2522" t="str">
        <f t="shared" si="226"/>
        <v>SP</v>
      </c>
      <c r="O2522" t="str">
        <f t="shared" si="227"/>
        <v>São Paulo</v>
      </c>
    </row>
    <row r="2523" spans="1:15" x14ac:dyDescent="0.3">
      <c r="A2523" s="10">
        <v>46023</v>
      </c>
      <c r="B2523" s="9" t="s">
        <v>3</v>
      </c>
      <c r="C2523" t="s">
        <v>248</v>
      </c>
      <c r="D2523" s="9">
        <v>19763</v>
      </c>
      <c r="E2523" s="5" t="s">
        <v>580</v>
      </c>
      <c r="F2523" t="s">
        <v>263</v>
      </c>
      <c r="G2523">
        <v>1345</v>
      </c>
      <c r="H2523">
        <v>530</v>
      </c>
      <c r="I2523" s="8">
        <f t="shared" si="228"/>
        <v>0.39405204460966542</v>
      </c>
      <c r="J2523" s="17">
        <v>0.7</v>
      </c>
      <c r="K2523" s="12">
        <v>13.75</v>
      </c>
      <c r="L2523" s="2">
        <v>411.5</v>
      </c>
      <c r="M2523" s="15">
        <f t="shared" si="229"/>
        <v>5658.125</v>
      </c>
      <c r="N2523" t="str">
        <f t="shared" si="226"/>
        <v>SP</v>
      </c>
      <c r="O2523" t="str">
        <f t="shared" si="227"/>
        <v>São Paulo</v>
      </c>
    </row>
    <row r="2524" spans="1:15" x14ac:dyDescent="0.3">
      <c r="A2524" s="10">
        <v>46023</v>
      </c>
      <c r="B2524" s="9" t="s">
        <v>68</v>
      </c>
      <c r="C2524" t="s">
        <v>69</v>
      </c>
      <c r="D2524" s="9">
        <v>19602</v>
      </c>
      <c r="E2524" s="5" t="s">
        <v>570</v>
      </c>
      <c r="F2524" t="s">
        <v>70</v>
      </c>
      <c r="G2524">
        <v>231</v>
      </c>
      <c r="H2524">
        <v>30</v>
      </c>
      <c r="I2524" s="8">
        <f t="shared" si="228"/>
        <v>0.12987012987012986</v>
      </c>
      <c r="J2524" s="17">
        <v>0.7</v>
      </c>
      <c r="K2524" s="12">
        <v>13.75</v>
      </c>
      <c r="L2524" s="2">
        <v>131.70000000000002</v>
      </c>
      <c r="M2524" s="15">
        <f t="shared" si="229"/>
        <v>1810.8750000000002</v>
      </c>
      <c r="N2524" t="str">
        <f t="shared" si="226"/>
        <v>MS</v>
      </c>
      <c r="O2524" t="str">
        <f t="shared" si="227"/>
        <v>Campo Grande</v>
      </c>
    </row>
    <row r="2525" spans="1:15" x14ac:dyDescent="0.3">
      <c r="A2525" s="10">
        <v>46023</v>
      </c>
      <c r="B2525" s="9" t="s">
        <v>46</v>
      </c>
      <c r="C2525" t="s">
        <v>47</v>
      </c>
      <c r="D2525" s="9">
        <v>19755</v>
      </c>
      <c r="E2525" s="5" t="s">
        <v>581</v>
      </c>
      <c r="F2525" t="s">
        <v>53</v>
      </c>
      <c r="G2525">
        <v>667</v>
      </c>
      <c r="H2525">
        <v>266</v>
      </c>
      <c r="I2525" s="8">
        <f t="shared" si="228"/>
        <v>0.39880059970014992</v>
      </c>
      <c r="J2525" s="17">
        <v>0.7</v>
      </c>
      <c r="K2525" s="12">
        <v>13.75</v>
      </c>
      <c r="L2525" s="2">
        <v>200.89999999999998</v>
      </c>
      <c r="M2525" s="15">
        <f t="shared" si="229"/>
        <v>2762.3749999999995</v>
      </c>
      <c r="N2525" t="str">
        <f t="shared" si="226"/>
        <v>DF</v>
      </c>
      <c r="O2525" t="str">
        <f t="shared" si="227"/>
        <v>Brasília</v>
      </c>
    </row>
    <row r="2526" spans="1:15" x14ac:dyDescent="0.3">
      <c r="A2526" s="10">
        <v>46023</v>
      </c>
      <c r="B2526" s="9" t="s">
        <v>14</v>
      </c>
      <c r="C2526" t="s">
        <v>29</v>
      </c>
      <c r="D2526" s="9">
        <v>19780</v>
      </c>
      <c r="E2526" s="5" t="s">
        <v>582</v>
      </c>
      <c r="F2526" t="s">
        <v>35</v>
      </c>
      <c r="G2526">
        <v>1508</v>
      </c>
      <c r="H2526">
        <v>871</v>
      </c>
      <c r="I2526" s="8">
        <f t="shared" si="228"/>
        <v>0.57758620689655171</v>
      </c>
      <c r="J2526" s="17">
        <v>0.7</v>
      </c>
      <c r="K2526" s="12">
        <v>13.75</v>
      </c>
      <c r="L2526" s="2">
        <v>184.59999999999991</v>
      </c>
      <c r="M2526" s="15">
        <f t="shared" si="229"/>
        <v>2538.2499999999986</v>
      </c>
      <c r="N2526" t="str">
        <f t="shared" si="226"/>
        <v>MG</v>
      </c>
      <c r="O2526" t="str">
        <f t="shared" si="227"/>
        <v>Belo Horizonte</v>
      </c>
    </row>
    <row r="2527" spans="1:15" x14ac:dyDescent="0.3">
      <c r="A2527" s="10">
        <v>46023</v>
      </c>
      <c r="B2527" s="9" t="s">
        <v>3</v>
      </c>
      <c r="C2527" t="s">
        <v>321</v>
      </c>
      <c r="D2527" s="9">
        <v>19825</v>
      </c>
      <c r="E2527" s="5" t="s">
        <v>583</v>
      </c>
      <c r="F2527" t="s">
        <v>241</v>
      </c>
      <c r="G2527">
        <v>1483</v>
      </c>
      <c r="H2527">
        <v>455</v>
      </c>
      <c r="I2527" s="8">
        <f t="shared" si="228"/>
        <v>0.30681051921780178</v>
      </c>
      <c r="J2527" s="17">
        <v>0.7</v>
      </c>
      <c r="K2527" s="12">
        <v>13.75</v>
      </c>
      <c r="L2527" s="2">
        <v>583.09999999999991</v>
      </c>
      <c r="M2527" s="15">
        <f t="shared" si="229"/>
        <v>8017.6249999999991</v>
      </c>
      <c r="N2527" t="str">
        <f t="shared" si="226"/>
        <v>SP</v>
      </c>
      <c r="O2527" t="str">
        <f t="shared" si="227"/>
        <v>SÃO BERNARDO DO CAMPO</v>
      </c>
    </row>
    <row r="2528" spans="1:15" x14ac:dyDescent="0.3">
      <c r="A2528" s="10">
        <v>46023</v>
      </c>
      <c r="B2528" s="9" t="s">
        <v>3</v>
      </c>
      <c r="C2528" t="s">
        <v>320</v>
      </c>
      <c r="D2528" s="9">
        <v>19847</v>
      </c>
      <c r="E2528" s="5" t="s">
        <v>584</v>
      </c>
      <c r="F2528" t="s">
        <v>238</v>
      </c>
      <c r="G2528">
        <v>1811</v>
      </c>
      <c r="H2528">
        <v>562</v>
      </c>
      <c r="I2528" s="8">
        <f t="shared" si="228"/>
        <v>0.31032578685808948</v>
      </c>
      <c r="J2528" s="17">
        <v>0.7</v>
      </c>
      <c r="K2528" s="12">
        <v>13.75</v>
      </c>
      <c r="L2528" s="2">
        <v>705.69999999999982</v>
      </c>
      <c r="M2528" s="15">
        <f t="shared" si="229"/>
        <v>9703.3749999999982</v>
      </c>
      <c r="N2528" t="str">
        <f t="shared" si="226"/>
        <v>SP</v>
      </c>
      <c r="O2528" t="str">
        <f t="shared" si="227"/>
        <v>SANTO ANDRÉ</v>
      </c>
    </row>
    <row r="2529" spans="1:15" x14ac:dyDescent="0.3">
      <c r="A2529" s="10">
        <v>46023</v>
      </c>
      <c r="B2529" s="9" t="s">
        <v>3</v>
      </c>
      <c r="C2529" t="s">
        <v>248</v>
      </c>
      <c r="D2529" s="9">
        <v>19890</v>
      </c>
      <c r="E2529" s="5" t="s">
        <v>585</v>
      </c>
      <c r="F2529" t="s">
        <v>259</v>
      </c>
      <c r="G2529">
        <v>1227</v>
      </c>
      <c r="H2529">
        <v>444</v>
      </c>
      <c r="I2529" s="8">
        <f t="shared" si="228"/>
        <v>0.36185819070904646</v>
      </c>
      <c r="J2529" s="17">
        <v>0.7</v>
      </c>
      <c r="K2529" s="12">
        <v>13.75</v>
      </c>
      <c r="L2529" s="2">
        <v>414.89999999999986</v>
      </c>
      <c r="M2529" s="15">
        <f t="shared" si="229"/>
        <v>5704.8749999999982</v>
      </c>
      <c r="N2529" t="str">
        <f t="shared" si="226"/>
        <v>SP</v>
      </c>
      <c r="O2529" t="str">
        <f t="shared" si="227"/>
        <v>São Paulo</v>
      </c>
    </row>
    <row r="2530" spans="1:15" x14ac:dyDescent="0.3">
      <c r="A2530" s="10">
        <v>46023</v>
      </c>
      <c r="B2530" s="9" t="s">
        <v>3</v>
      </c>
      <c r="C2530" t="s">
        <v>239</v>
      </c>
      <c r="D2530" s="9">
        <v>19708</v>
      </c>
      <c r="E2530" s="5" t="s">
        <v>586</v>
      </c>
      <c r="F2530" t="s">
        <v>240</v>
      </c>
      <c r="G2530">
        <v>2816</v>
      </c>
      <c r="H2530">
        <v>1048</v>
      </c>
      <c r="I2530" s="8">
        <f t="shared" si="228"/>
        <v>0.37215909090909088</v>
      </c>
      <c r="J2530" s="17">
        <v>0.7</v>
      </c>
      <c r="K2530" s="12">
        <v>13.75</v>
      </c>
      <c r="L2530" s="2">
        <v>923.19999999999982</v>
      </c>
      <c r="M2530" s="15">
        <f t="shared" si="229"/>
        <v>12693.999999999998</v>
      </c>
      <c r="N2530" t="str">
        <f t="shared" si="226"/>
        <v>SP</v>
      </c>
      <c r="O2530" t="str">
        <f t="shared" si="227"/>
        <v>Santos</v>
      </c>
    </row>
    <row r="2531" spans="1:15" x14ac:dyDescent="0.3">
      <c r="A2531" s="10">
        <v>46023</v>
      </c>
      <c r="B2531" s="9" t="s">
        <v>3</v>
      </c>
      <c r="C2531" t="s">
        <v>318</v>
      </c>
      <c r="D2531" s="9">
        <v>19745</v>
      </c>
      <c r="E2531" s="5" t="s">
        <v>587</v>
      </c>
      <c r="F2531" t="s">
        <v>154</v>
      </c>
      <c r="G2531">
        <v>2013</v>
      </c>
      <c r="H2531">
        <v>853</v>
      </c>
      <c r="I2531" s="8">
        <f t="shared" si="228"/>
        <v>0.42374565325385</v>
      </c>
      <c r="J2531" s="17">
        <v>0.7</v>
      </c>
      <c r="K2531" s="12">
        <v>13.75</v>
      </c>
      <c r="L2531" s="2">
        <v>556.09999999999968</v>
      </c>
      <c r="M2531" s="15">
        <f t="shared" si="229"/>
        <v>7646.3749999999955</v>
      </c>
      <c r="N2531" t="str">
        <f t="shared" si="226"/>
        <v>SP</v>
      </c>
      <c r="O2531" t="str">
        <f t="shared" si="227"/>
        <v>OSASCO</v>
      </c>
    </row>
    <row r="2532" spans="1:15" x14ac:dyDescent="0.3">
      <c r="A2532" s="10">
        <v>46023</v>
      </c>
      <c r="B2532" s="9" t="s">
        <v>3</v>
      </c>
      <c r="C2532" t="s">
        <v>248</v>
      </c>
      <c r="D2532" s="9">
        <v>19710</v>
      </c>
      <c r="E2532" s="5" t="s">
        <v>588</v>
      </c>
      <c r="F2532" t="s">
        <v>261</v>
      </c>
      <c r="G2532">
        <v>1634</v>
      </c>
      <c r="H2532">
        <v>674</v>
      </c>
      <c r="I2532" s="8">
        <f t="shared" si="228"/>
        <v>0.41248470012239902</v>
      </c>
      <c r="J2532" s="17">
        <v>0.7</v>
      </c>
      <c r="K2532" s="12">
        <v>13.75</v>
      </c>
      <c r="L2532" s="2">
        <v>469.79999999999995</v>
      </c>
      <c r="M2532" s="15">
        <f t="shared" si="229"/>
        <v>6459.7499999999991</v>
      </c>
      <c r="N2532" t="str">
        <f t="shared" si="226"/>
        <v>SP</v>
      </c>
      <c r="O2532" t="str">
        <f t="shared" si="227"/>
        <v>São Paulo</v>
      </c>
    </row>
    <row r="2533" spans="1:15" x14ac:dyDescent="0.3">
      <c r="A2533" s="10">
        <v>46023</v>
      </c>
      <c r="B2533" s="9" t="s">
        <v>3</v>
      </c>
      <c r="C2533" t="s">
        <v>248</v>
      </c>
      <c r="D2533" s="9">
        <v>19891</v>
      </c>
      <c r="E2533" s="5" t="s">
        <v>612</v>
      </c>
      <c r="F2533" t="s">
        <v>260</v>
      </c>
      <c r="G2533">
        <v>1322</v>
      </c>
      <c r="H2533">
        <v>625</v>
      </c>
      <c r="I2533" s="8">
        <f t="shared" si="228"/>
        <v>0.47276853252647505</v>
      </c>
      <c r="J2533" s="17">
        <v>0.7</v>
      </c>
      <c r="K2533" s="12">
        <v>13.75</v>
      </c>
      <c r="L2533" s="2">
        <v>300.39999999999998</v>
      </c>
      <c r="M2533" s="15">
        <f t="shared" si="229"/>
        <v>4130.5</v>
      </c>
      <c r="N2533" t="str">
        <f t="shared" si="226"/>
        <v>SP</v>
      </c>
      <c r="O2533" t="str">
        <f t="shared" si="227"/>
        <v>São Paulo</v>
      </c>
    </row>
    <row r="2534" spans="1:15" x14ac:dyDescent="0.3">
      <c r="A2534" s="10">
        <v>46023</v>
      </c>
      <c r="B2534" s="9" t="s">
        <v>3</v>
      </c>
      <c r="C2534" t="s">
        <v>322</v>
      </c>
      <c r="D2534" s="9">
        <v>19808</v>
      </c>
      <c r="E2534" s="5" t="s">
        <v>589</v>
      </c>
      <c r="F2534" t="s">
        <v>243</v>
      </c>
      <c r="G2534">
        <v>1472</v>
      </c>
      <c r="H2534">
        <v>396</v>
      </c>
      <c r="I2534" s="8">
        <f t="shared" si="228"/>
        <v>0.26902173913043476</v>
      </c>
      <c r="J2534" s="17">
        <v>0.7</v>
      </c>
      <c r="K2534" s="12">
        <v>13.75</v>
      </c>
      <c r="L2534" s="2">
        <v>634.40000000000009</v>
      </c>
      <c r="M2534" s="15">
        <f t="shared" si="229"/>
        <v>8723.0000000000018</v>
      </c>
      <c r="N2534" t="str">
        <f t="shared" si="226"/>
        <v>SP</v>
      </c>
      <c r="O2534" t="str">
        <f t="shared" si="227"/>
        <v>São Caetano do Sul</v>
      </c>
    </row>
    <row r="2535" spans="1:15" x14ac:dyDescent="0.3">
      <c r="A2535" s="10">
        <v>46023</v>
      </c>
      <c r="B2535" s="9" t="s">
        <v>3</v>
      </c>
      <c r="C2535" t="s">
        <v>248</v>
      </c>
      <c r="D2535" s="9">
        <v>19804</v>
      </c>
      <c r="E2535" s="5" t="s">
        <v>590</v>
      </c>
      <c r="F2535" t="s">
        <v>255</v>
      </c>
      <c r="G2535">
        <v>1401</v>
      </c>
      <c r="H2535">
        <v>438</v>
      </c>
      <c r="I2535" s="8">
        <f t="shared" si="228"/>
        <v>0.31263383297644537</v>
      </c>
      <c r="J2535" s="17">
        <v>0.7</v>
      </c>
      <c r="K2535" s="12">
        <v>13.75</v>
      </c>
      <c r="L2535" s="2">
        <v>542.69999999999993</v>
      </c>
      <c r="M2535" s="15">
        <f t="shared" si="229"/>
        <v>7462.1249999999991</v>
      </c>
      <c r="N2535" t="str">
        <f t="shared" si="226"/>
        <v>SP</v>
      </c>
      <c r="O2535" t="str">
        <f t="shared" si="227"/>
        <v>São Paulo</v>
      </c>
    </row>
    <row r="2536" spans="1:15" x14ac:dyDescent="0.3">
      <c r="A2536" s="10">
        <v>46023</v>
      </c>
      <c r="B2536" s="9" t="s">
        <v>3</v>
      </c>
      <c r="C2536" t="s">
        <v>321</v>
      </c>
      <c r="D2536" s="9">
        <v>19820</v>
      </c>
      <c r="E2536" s="5" t="s">
        <v>591</v>
      </c>
      <c r="F2536" t="s">
        <v>242</v>
      </c>
      <c r="G2536">
        <v>1074</v>
      </c>
      <c r="H2536">
        <v>317</v>
      </c>
      <c r="I2536" s="8">
        <f t="shared" si="228"/>
        <v>0.2951582867783985</v>
      </c>
      <c r="J2536" s="17">
        <v>0.7</v>
      </c>
      <c r="K2536" s="12">
        <v>13.75</v>
      </c>
      <c r="L2536" s="2">
        <v>434.79999999999995</v>
      </c>
      <c r="M2536" s="15">
        <f t="shared" si="229"/>
        <v>5978.4999999999991</v>
      </c>
      <c r="N2536" t="str">
        <f t="shared" si="226"/>
        <v>SP</v>
      </c>
      <c r="O2536" t="str">
        <f t="shared" si="227"/>
        <v>SÃO BERNARDO DO CAMPO</v>
      </c>
    </row>
    <row r="2537" spans="1:15" x14ac:dyDescent="0.3">
      <c r="A2537" s="10">
        <v>46023</v>
      </c>
      <c r="B2537" s="9" t="s">
        <v>3</v>
      </c>
      <c r="C2537" t="s">
        <v>24</v>
      </c>
      <c r="D2537" s="9">
        <v>19805</v>
      </c>
      <c r="E2537" s="5" t="s">
        <v>592</v>
      </c>
      <c r="F2537" t="s">
        <v>25</v>
      </c>
      <c r="G2537">
        <v>1774</v>
      </c>
      <c r="H2537">
        <v>775</v>
      </c>
      <c r="I2537" s="8">
        <f t="shared" si="228"/>
        <v>0.43686583990980832</v>
      </c>
      <c r="J2537" s="17">
        <v>0.7</v>
      </c>
      <c r="K2537" s="12">
        <v>13.75</v>
      </c>
      <c r="L2537" s="2">
        <v>466.80000000000018</v>
      </c>
      <c r="M2537" s="15">
        <f t="shared" si="229"/>
        <v>6418.5000000000027</v>
      </c>
      <c r="N2537" t="str">
        <f t="shared" si="226"/>
        <v>SP</v>
      </c>
      <c r="O2537" t="str">
        <f t="shared" si="227"/>
        <v>Barueri</v>
      </c>
    </row>
    <row r="2538" spans="1:15" x14ac:dyDescent="0.3">
      <c r="A2538" s="10">
        <v>46023</v>
      </c>
      <c r="B2538" s="9" t="s">
        <v>14</v>
      </c>
      <c r="C2538" t="s">
        <v>29</v>
      </c>
      <c r="D2538" s="9">
        <v>19720</v>
      </c>
      <c r="E2538" s="5" t="s">
        <v>593</v>
      </c>
      <c r="F2538" t="s">
        <v>36</v>
      </c>
      <c r="G2538">
        <v>1417</v>
      </c>
      <c r="H2538">
        <v>550</v>
      </c>
      <c r="I2538" s="8">
        <f t="shared" si="228"/>
        <v>0.38814396612561752</v>
      </c>
      <c r="J2538" s="17">
        <v>0.7</v>
      </c>
      <c r="K2538" s="12">
        <v>13.75</v>
      </c>
      <c r="L2538" s="2">
        <v>441.9</v>
      </c>
      <c r="M2538" s="15">
        <f t="shared" si="229"/>
        <v>6076.125</v>
      </c>
      <c r="N2538" t="str">
        <f t="shared" si="226"/>
        <v>MG</v>
      </c>
      <c r="O2538" t="str">
        <f t="shared" si="227"/>
        <v>Belo Horizonte</v>
      </c>
    </row>
    <row r="2539" spans="1:15" x14ac:dyDescent="0.3">
      <c r="A2539" s="10">
        <v>46023</v>
      </c>
      <c r="B2539" s="9" t="s">
        <v>3</v>
      </c>
      <c r="C2539" t="s">
        <v>108</v>
      </c>
      <c r="D2539" s="9">
        <v>19877</v>
      </c>
      <c r="E2539" s="5" t="s">
        <v>594</v>
      </c>
      <c r="F2539" t="s">
        <v>109</v>
      </c>
      <c r="G2539">
        <v>3232</v>
      </c>
      <c r="H2539">
        <v>836</v>
      </c>
      <c r="I2539" s="8">
        <f t="shared" si="228"/>
        <v>0.25866336633663367</v>
      </c>
      <c r="J2539" s="17">
        <v>0.7</v>
      </c>
      <c r="K2539" s="12">
        <v>13.75</v>
      </c>
      <c r="L2539" s="2">
        <v>1426.3999999999996</v>
      </c>
      <c r="M2539" s="15">
        <f t="shared" si="229"/>
        <v>19612.999999999996</v>
      </c>
      <c r="N2539" t="str">
        <f t="shared" si="226"/>
        <v>SP</v>
      </c>
      <c r="O2539" t="str">
        <f t="shared" si="227"/>
        <v>Guarujá</v>
      </c>
    </row>
    <row r="2540" spans="1:15" x14ac:dyDescent="0.3">
      <c r="A2540" s="10">
        <v>46023</v>
      </c>
      <c r="B2540" s="9" t="s">
        <v>59</v>
      </c>
      <c r="C2540" t="s">
        <v>104</v>
      </c>
      <c r="D2540" s="9">
        <v>19872</v>
      </c>
      <c r="E2540" s="5" t="s">
        <v>572</v>
      </c>
      <c r="F2540" t="s">
        <v>105</v>
      </c>
      <c r="G2540">
        <v>6403</v>
      </c>
      <c r="H2540">
        <v>2944</v>
      </c>
      <c r="I2540" s="8">
        <f t="shared" si="228"/>
        <v>0.4597844760268624</v>
      </c>
      <c r="J2540" s="17">
        <v>0.7</v>
      </c>
      <c r="K2540" s="12">
        <v>13.75</v>
      </c>
      <c r="L2540" s="2">
        <v>1538.0999999999995</v>
      </c>
      <c r="M2540" s="15">
        <f t="shared" si="229"/>
        <v>21148.874999999993</v>
      </c>
      <c r="N2540" t="str">
        <f t="shared" si="226"/>
        <v>ES</v>
      </c>
      <c r="O2540" t="str">
        <f t="shared" si="227"/>
        <v>Guarapari</v>
      </c>
    </row>
    <row r="2541" spans="1:15" x14ac:dyDescent="0.3">
      <c r="A2541" s="10">
        <v>46023</v>
      </c>
      <c r="B2541" s="9" t="s">
        <v>15</v>
      </c>
      <c r="C2541" t="s">
        <v>145</v>
      </c>
      <c r="D2541" s="9">
        <v>19513</v>
      </c>
      <c r="E2541" s="5" t="s">
        <v>574</v>
      </c>
      <c r="F2541" t="s">
        <v>147</v>
      </c>
      <c r="G2541">
        <v>3095</v>
      </c>
      <c r="H2541">
        <v>1031</v>
      </c>
      <c r="I2541" s="8">
        <f t="shared" si="228"/>
        <v>0.33311793214862684</v>
      </c>
      <c r="J2541" s="17">
        <v>0.7</v>
      </c>
      <c r="K2541" s="12">
        <v>13.75</v>
      </c>
      <c r="L2541" s="2">
        <v>1135.4999999999995</v>
      </c>
      <c r="M2541" s="15">
        <f t="shared" si="229"/>
        <v>15613.124999999995</v>
      </c>
      <c r="N2541" t="str">
        <f t="shared" si="226"/>
        <v>RJ</v>
      </c>
      <c r="O2541" t="str">
        <f t="shared" si="227"/>
        <v>Niterói</v>
      </c>
    </row>
    <row r="2542" spans="1:15" x14ac:dyDescent="0.3">
      <c r="A2542" s="10">
        <v>46023</v>
      </c>
      <c r="B2542" s="9" t="s">
        <v>15</v>
      </c>
      <c r="C2542" t="s">
        <v>145</v>
      </c>
      <c r="D2542" s="9">
        <v>19525</v>
      </c>
      <c r="E2542" s="5" t="s">
        <v>575</v>
      </c>
      <c r="F2542" t="s">
        <v>148</v>
      </c>
      <c r="G2542">
        <v>3586</v>
      </c>
      <c r="H2542">
        <v>1331</v>
      </c>
      <c r="I2542" s="8">
        <f t="shared" si="228"/>
        <v>0.37116564417177916</v>
      </c>
      <c r="J2542" s="17">
        <v>0.7</v>
      </c>
      <c r="K2542" s="12">
        <v>13.75</v>
      </c>
      <c r="L2542" s="2">
        <v>1179.1999999999998</v>
      </c>
      <c r="M2542" s="15">
        <f t="shared" si="229"/>
        <v>16213.999999999998</v>
      </c>
      <c r="N2542" t="str">
        <f t="shared" si="226"/>
        <v>RJ</v>
      </c>
      <c r="O2542" t="str">
        <f t="shared" si="227"/>
        <v>Niterói</v>
      </c>
    </row>
    <row r="2543" spans="1:15" x14ac:dyDescent="0.3">
      <c r="A2543" s="10">
        <v>46023</v>
      </c>
      <c r="B2543" s="9" t="s">
        <v>71</v>
      </c>
      <c r="C2543" t="s">
        <v>308</v>
      </c>
      <c r="D2543" s="9">
        <v>19956</v>
      </c>
      <c r="E2543" s="5" t="s">
        <v>614</v>
      </c>
      <c r="F2543" t="s">
        <v>309</v>
      </c>
      <c r="G2543">
        <v>1011</v>
      </c>
      <c r="H2543">
        <v>396</v>
      </c>
      <c r="I2543" s="8">
        <f t="shared" si="228"/>
        <v>0.39169139465875369</v>
      </c>
      <c r="J2543" s="17">
        <v>0.7</v>
      </c>
      <c r="K2543" s="12">
        <v>13.75</v>
      </c>
      <c r="L2543" s="2">
        <v>311.70000000000005</v>
      </c>
      <c r="M2543" s="15">
        <f t="shared" si="229"/>
        <v>4285.8750000000009</v>
      </c>
      <c r="N2543" t="str">
        <f t="shared" si="226"/>
        <v>RS</v>
      </c>
      <c r="O2543" t="str">
        <f t="shared" si="227"/>
        <v>Lajeado</v>
      </c>
    </row>
    <row r="2544" spans="1:15" x14ac:dyDescent="0.3">
      <c r="A2544" s="10">
        <v>46023</v>
      </c>
      <c r="B2544" s="9" t="s">
        <v>15</v>
      </c>
      <c r="C2544" t="s">
        <v>310</v>
      </c>
      <c r="D2544" s="9">
        <v>19908</v>
      </c>
      <c r="E2544" s="5" t="s">
        <v>595</v>
      </c>
      <c r="F2544" t="s">
        <v>16</v>
      </c>
      <c r="G2544">
        <v>2237</v>
      </c>
      <c r="H2544">
        <v>1102</v>
      </c>
      <c r="I2544" s="8">
        <f t="shared" si="228"/>
        <v>0.49262405006705406</v>
      </c>
      <c r="J2544" s="17">
        <v>0.7</v>
      </c>
      <c r="K2544" s="12">
        <v>13.75</v>
      </c>
      <c r="L2544" s="2">
        <v>463.90000000000009</v>
      </c>
      <c r="M2544" s="15">
        <f t="shared" si="229"/>
        <v>6378.6250000000009</v>
      </c>
      <c r="N2544" t="str">
        <f t="shared" si="226"/>
        <v>RJ</v>
      </c>
      <c r="O2544" t="str">
        <f t="shared" si="227"/>
        <v>Armação dos Búzios</v>
      </c>
    </row>
    <row r="2545" spans="1:15" x14ac:dyDescent="0.3">
      <c r="A2545" s="10">
        <v>46023</v>
      </c>
      <c r="B2545" s="9" t="s">
        <v>21</v>
      </c>
      <c r="C2545" t="s">
        <v>228</v>
      </c>
      <c r="D2545" s="9">
        <v>19625</v>
      </c>
      <c r="E2545" s="5" t="s">
        <v>596</v>
      </c>
      <c r="F2545" t="s">
        <v>231</v>
      </c>
      <c r="G2545">
        <v>3264</v>
      </c>
      <c r="H2545">
        <v>1537</v>
      </c>
      <c r="I2545" s="8">
        <f t="shared" si="228"/>
        <v>0.47089460784313725</v>
      </c>
      <c r="J2545" s="17">
        <v>0.7</v>
      </c>
      <c r="K2545" s="12">
        <v>13.75</v>
      </c>
      <c r="L2545" s="2">
        <v>747.79999999999973</v>
      </c>
      <c r="M2545" s="15">
        <f t="shared" si="229"/>
        <v>10282.249999999996</v>
      </c>
      <c r="N2545" t="str">
        <f t="shared" si="226"/>
        <v>BA</v>
      </c>
      <c r="O2545" t="str">
        <f t="shared" si="227"/>
        <v>Salvador</v>
      </c>
    </row>
    <row r="2546" spans="1:15" x14ac:dyDescent="0.3">
      <c r="A2546" s="10">
        <v>46023</v>
      </c>
      <c r="B2546" s="9" t="s">
        <v>21</v>
      </c>
      <c r="C2546" t="s">
        <v>228</v>
      </c>
      <c r="D2546" s="9">
        <v>19771</v>
      </c>
      <c r="E2546" s="5" t="s">
        <v>576</v>
      </c>
      <c r="F2546" t="s">
        <v>235</v>
      </c>
      <c r="G2546">
        <v>2214</v>
      </c>
      <c r="H2546">
        <v>941</v>
      </c>
      <c r="I2546" s="8">
        <f t="shared" si="228"/>
        <v>0.42502258355916894</v>
      </c>
      <c r="J2546" s="17">
        <v>0.7</v>
      </c>
      <c r="K2546" s="12">
        <v>13.75</v>
      </c>
      <c r="L2546" s="2">
        <v>608.79999999999973</v>
      </c>
      <c r="M2546" s="15">
        <f t="shared" si="229"/>
        <v>8370.9999999999964</v>
      </c>
      <c r="N2546" t="str">
        <f t="shared" si="226"/>
        <v>BA</v>
      </c>
      <c r="O2546" t="str">
        <f t="shared" si="227"/>
        <v>Salvador</v>
      </c>
    </row>
    <row r="2547" spans="1:15" x14ac:dyDescent="0.3">
      <c r="A2547" s="10">
        <v>46023</v>
      </c>
      <c r="B2547" s="9" t="s">
        <v>21</v>
      </c>
      <c r="C2547" t="s">
        <v>228</v>
      </c>
      <c r="D2547" s="9">
        <v>19689</v>
      </c>
      <c r="E2547" s="5" t="s">
        <v>597</v>
      </c>
      <c r="F2547" t="s">
        <v>230</v>
      </c>
      <c r="G2547">
        <v>2863</v>
      </c>
      <c r="H2547">
        <v>1673</v>
      </c>
      <c r="I2547" s="8">
        <f t="shared" si="228"/>
        <v>0.58435207823960877</v>
      </c>
      <c r="J2547" s="17">
        <v>0.7</v>
      </c>
      <c r="K2547" s="12">
        <v>13.75</v>
      </c>
      <c r="L2547" s="2">
        <v>331.09999999999991</v>
      </c>
      <c r="M2547" s="15">
        <f t="shared" si="229"/>
        <v>4552.6249999999991</v>
      </c>
      <c r="N2547" t="str">
        <f t="shared" si="226"/>
        <v>BA</v>
      </c>
      <c r="O2547" t="str">
        <f t="shared" si="227"/>
        <v>Salvador</v>
      </c>
    </row>
    <row r="2548" spans="1:15" x14ac:dyDescent="0.3">
      <c r="A2548" s="10">
        <v>46023</v>
      </c>
      <c r="B2548" s="9" t="s">
        <v>59</v>
      </c>
      <c r="C2548" t="s">
        <v>271</v>
      </c>
      <c r="D2548" s="9">
        <v>19775</v>
      </c>
      <c r="E2548" s="5" t="s">
        <v>598</v>
      </c>
      <c r="F2548" t="s">
        <v>272</v>
      </c>
      <c r="G2548">
        <v>1405</v>
      </c>
      <c r="H2548">
        <v>474</v>
      </c>
      <c r="I2548" s="8">
        <f t="shared" si="228"/>
        <v>0.33736654804270461</v>
      </c>
      <c r="J2548" s="17">
        <v>0.7</v>
      </c>
      <c r="K2548" s="12">
        <v>13.75</v>
      </c>
      <c r="L2548" s="2">
        <v>509.49999999999989</v>
      </c>
      <c r="M2548" s="15">
        <f t="shared" si="229"/>
        <v>7005.6249999999982</v>
      </c>
      <c r="N2548" t="str">
        <f t="shared" si="226"/>
        <v>ES</v>
      </c>
      <c r="O2548" t="str">
        <f t="shared" si="227"/>
        <v>Serra</v>
      </c>
    </row>
    <row r="2549" spans="1:15" x14ac:dyDescent="0.3">
      <c r="A2549" s="10">
        <v>46023</v>
      </c>
      <c r="B2549" s="9" t="s">
        <v>59</v>
      </c>
      <c r="C2549" t="s">
        <v>292</v>
      </c>
      <c r="D2549" s="9">
        <v>19580</v>
      </c>
      <c r="E2549" s="5" t="s">
        <v>599</v>
      </c>
      <c r="F2549" t="s">
        <v>293</v>
      </c>
      <c r="G2549">
        <v>2446</v>
      </c>
      <c r="H2549">
        <v>746</v>
      </c>
      <c r="I2549" s="8">
        <f t="shared" si="228"/>
        <v>0.30498773507767785</v>
      </c>
      <c r="J2549" s="17">
        <v>0.7</v>
      </c>
      <c r="K2549" s="12">
        <v>13.75</v>
      </c>
      <c r="L2549" s="2">
        <v>966.19999999999982</v>
      </c>
      <c r="M2549" s="15">
        <f t="shared" si="229"/>
        <v>13285.249999999998</v>
      </c>
      <c r="N2549" t="str">
        <f t="shared" si="226"/>
        <v>ES</v>
      </c>
      <c r="O2549" t="str">
        <f t="shared" si="227"/>
        <v>Vitória</v>
      </c>
    </row>
    <row r="2550" spans="1:15" x14ac:dyDescent="0.3">
      <c r="A2550" s="10">
        <v>46023</v>
      </c>
      <c r="B2550" s="9" t="s">
        <v>59</v>
      </c>
      <c r="C2550" t="s">
        <v>292</v>
      </c>
      <c r="D2550" s="9">
        <v>19719</v>
      </c>
      <c r="E2550" s="5" t="s">
        <v>600</v>
      </c>
      <c r="F2550" t="s">
        <v>294</v>
      </c>
      <c r="G2550">
        <v>1993</v>
      </c>
      <c r="H2550">
        <v>674</v>
      </c>
      <c r="I2550" s="8">
        <f t="shared" si="228"/>
        <v>0.3381836427496237</v>
      </c>
      <c r="J2550" s="17">
        <v>0.7</v>
      </c>
      <c r="K2550" s="12">
        <v>13.75</v>
      </c>
      <c r="L2550" s="2">
        <v>721.09999999999968</v>
      </c>
      <c r="M2550" s="15">
        <f t="shared" si="229"/>
        <v>9915.1249999999964</v>
      </c>
      <c r="N2550" t="str">
        <f t="shared" si="226"/>
        <v>ES</v>
      </c>
      <c r="O2550" t="str">
        <f t="shared" si="227"/>
        <v>Vitória</v>
      </c>
    </row>
    <row r="2551" spans="1:15" x14ac:dyDescent="0.3">
      <c r="A2551" s="10">
        <v>46023</v>
      </c>
      <c r="B2551" s="9" t="s">
        <v>3</v>
      </c>
      <c r="C2551" t="s">
        <v>193</v>
      </c>
      <c r="D2551" s="9">
        <v>19832</v>
      </c>
      <c r="E2551" s="5" t="s">
        <v>601</v>
      </c>
      <c r="F2551" t="s">
        <v>194</v>
      </c>
      <c r="G2551">
        <v>1333</v>
      </c>
      <c r="H2551">
        <v>472</v>
      </c>
      <c r="I2551" s="8">
        <f t="shared" si="228"/>
        <v>0.35408852213053266</v>
      </c>
      <c r="J2551" s="17">
        <v>0.7</v>
      </c>
      <c r="K2551" s="12">
        <v>13.75</v>
      </c>
      <c r="L2551" s="2">
        <v>461.09999999999991</v>
      </c>
      <c r="M2551" s="15">
        <f t="shared" si="229"/>
        <v>6340.1249999999991</v>
      </c>
      <c r="N2551" t="str">
        <f t="shared" si="226"/>
        <v>SP</v>
      </c>
      <c r="O2551" t="str">
        <f t="shared" si="227"/>
        <v>Ribeirão Preto</v>
      </c>
    </row>
    <row r="2552" spans="1:15" x14ac:dyDescent="0.3">
      <c r="A2552" s="10">
        <v>46023</v>
      </c>
      <c r="B2552" s="9" t="s">
        <v>6</v>
      </c>
      <c r="C2552" t="s">
        <v>236</v>
      </c>
      <c r="D2552" s="9">
        <v>19606</v>
      </c>
      <c r="E2552" s="5" t="s">
        <v>602</v>
      </c>
      <c r="F2552" t="s">
        <v>237</v>
      </c>
      <c r="G2552">
        <v>2091</v>
      </c>
      <c r="H2552">
        <v>1137</v>
      </c>
      <c r="I2552" s="8">
        <f t="shared" si="228"/>
        <v>0.54375896700143467</v>
      </c>
      <c r="J2552" s="17">
        <v>0.7</v>
      </c>
      <c r="K2552" s="12">
        <v>13.75</v>
      </c>
      <c r="L2552" s="2">
        <v>326.70000000000005</v>
      </c>
      <c r="M2552" s="15">
        <f t="shared" si="229"/>
        <v>4492.1250000000009</v>
      </c>
      <c r="N2552" t="str">
        <f t="shared" si="226"/>
        <v>PA</v>
      </c>
      <c r="O2552" t="str">
        <f t="shared" si="227"/>
        <v>Santarém</v>
      </c>
    </row>
    <row r="2553" spans="1:15" x14ac:dyDescent="0.3">
      <c r="A2553" s="10">
        <v>46023</v>
      </c>
      <c r="B2553" s="9" t="s">
        <v>14</v>
      </c>
      <c r="C2553" t="s">
        <v>29</v>
      </c>
      <c r="D2553" s="9">
        <v>19759</v>
      </c>
      <c r="E2553" s="5" t="s">
        <v>603</v>
      </c>
      <c r="F2553" t="s">
        <v>38</v>
      </c>
      <c r="G2553">
        <v>1528</v>
      </c>
      <c r="H2553">
        <v>654</v>
      </c>
      <c r="I2553" s="8">
        <f t="shared" si="228"/>
        <v>0.4280104712041885</v>
      </c>
      <c r="J2553" s="17">
        <v>0.7</v>
      </c>
      <c r="K2553" s="12">
        <v>13.75</v>
      </c>
      <c r="L2553" s="2">
        <v>415.59999999999991</v>
      </c>
      <c r="M2553" s="15">
        <f t="shared" si="229"/>
        <v>5714.4999999999991</v>
      </c>
      <c r="N2553" t="str">
        <f t="shared" si="226"/>
        <v>MG</v>
      </c>
      <c r="O2553" t="str">
        <f t="shared" si="227"/>
        <v>Belo Horizonte</v>
      </c>
    </row>
    <row r="2554" spans="1:15" x14ac:dyDescent="0.3">
      <c r="A2554" s="10">
        <v>46023</v>
      </c>
      <c r="B2554" s="9" t="s">
        <v>61</v>
      </c>
      <c r="C2554" t="s">
        <v>328</v>
      </c>
      <c r="D2554" s="9">
        <v>19706</v>
      </c>
      <c r="E2554" s="5" t="s">
        <v>604</v>
      </c>
      <c r="F2554" t="s">
        <v>77</v>
      </c>
      <c r="G2554">
        <v>2767</v>
      </c>
      <c r="H2554">
        <v>1443</v>
      </c>
      <c r="I2554" s="8">
        <f t="shared" si="228"/>
        <v>0.52150343332128657</v>
      </c>
      <c r="J2554" s="17">
        <v>0.7</v>
      </c>
      <c r="K2554" s="12">
        <v>13.75</v>
      </c>
      <c r="L2554" s="2">
        <v>493.89999999999986</v>
      </c>
      <c r="M2554" s="15">
        <f t="shared" si="229"/>
        <v>6791.1249999999982</v>
      </c>
      <c r="N2554" t="str">
        <f t="shared" si="226"/>
        <v>PB</v>
      </c>
      <c r="O2554" t="str">
        <f t="shared" si="227"/>
        <v>João Pessoa</v>
      </c>
    </row>
    <row r="2555" spans="1:15" x14ac:dyDescent="0.3">
      <c r="A2555" s="10">
        <v>46023</v>
      </c>
      <c r="B2555" s="9" t="s">
        <v>59</v>
      </c>
      <c r="C2555" t="s">
        <v>289</v>
      </c>
      <c r="D2555" s="9">
        <v>19581</v>
      </c>
      <c r="E2555" s="5" t="s">
        <v>616</v>
      </c>
      <c r="F2555" t="s">
        <v>290</v>
      </c>
      <c r="G2555">
        <v>2578</v>
      </c>
      <c r="H2555">
        <v>811</v>
      </c>
      <c r="I2555" s="8">
        <f t="shared" si="228"/>
        <v>0.31458494957331262</v>
      </c>
      <c r="J2555" s="17">
        <v>0.7</v>
      </c>
      <c r="K2555" s="12">
        <v>13.75</v>
      </c>
      <c r="L2555" s="2">
        <v>993.59999999999991</v>
      </c>
      <c r="M2555" s="15">
        <f t="shared" si="229"/>
        <v>13661.999999999998</v>
      </c>
      <c r="N2555" t="str">
        <f t="shared" si="226"/>
        <v>ES</v>
      </c>
      <c r="O2555" t="str">
        <f t="shared" si="227"/>
        <v>Vila Velha</v>
      </c>
    </row>
    <row r="2556" spans="1:15" x14ac:dyDescent="0.3">
      <c r="A2556" s="10">
        <v>46023</v>
      </c>
      <c r="B2556" s="9" t="s">
        <v>15</v>
      </c>
      <c r="C2556" t="s">
        <v>171</v>
      </c>
      <c r="D2556" s="9">
        <v>19520</v>
      </c>
      <c r="E2556" s="5" t="s">
        <v>605</v>
      </c>
      <c r="F2556" t="s">
        <v>172</v>
      </c>
      <c r="G2556">
        <v>1190</v>
      </c>
      <c r="H2556">
        <v>555</v>
      </c>
      <c r="I2556" s="8">
        <f t="shared" si="228"/>
        <v>0.46638655462184875</v>
      </c>
      <c r="J2556" s="17">
        <v>0.7</v>
      </c>
      <c r="K2556" s="12">
        <v>13.75</v>
      </c>
      <c r="L2556" s="2">
        <v>278</v>
      </c>
      <c r="M2556" s="15">
        <f t="shared" si="229"/>
        <v>3822.5</v>
      </c>
      <c r="N2556" t="str">
        <f t="shared" si="226"/>
        <v>RJ</v>
      </c>
      <c r="O2556" t="str">
        <f t="shared" si="227"/>
        <v>Petrópolis</v>
      </c>
    </row>
    <row r="2557" spans="1:15" x14ac:dyDescent="0.3">
      <c r="A2557" s="10">
        <v>46023</v>
      </c>
      <c r="B2557" s="9" t="s">
        <v>40</v>
      </c>
      <c r="C2557" t="s">
        <v>41</v>
      </c>
      <c r="D2557" s="9">
        <v>19868</v>
      </c>
      <c r="E2557" s="5" t="s">
        <v>606</v>
      </c>
      <c r="F2557" t="s">
        <v>43</v>
      </c>
      <c r="G2557">
        <v>1876</v>
      </c>
      <c r="H2557">
        <v>1393</v>
      </c>
      <c r="I2557" s="8">
        <f t="shared" si="228"/>
        <v>0.7425373134328358</v>
      </c>
      <c r="J2557" s="17">
        <v>0.7</v>
      </c>
      <c r="K2557" s="12">
        <v>13.75</v>
      </c>
      <c r="L2557" s="2">
        <v>483</v>
      </c>
      <c r="M2557" s="15">
        <f t="shared" si="229"/>
        <v>6641.25</v>
      </c>
      <c r="N2557" t="str">
        <f t="shared" si="226"/>
        <v>RR</v>
      </c>
      <c r="O2557" t="str">
        <f t="shared" si="227"/>
        <v>Boa Vista</v>
      </c>
    </row>
    <row r="2558" spans="1:15" x14ac:dyDescent="0.3">
      <c r="A2558" s="10">
        <v>46023</v>
      </c>
      <c r="B2558" s="9" t="s">
        <v>78</v>
      </c>
      <c r="C2558" t="s">
        <v>323</v>
      </c>
      <c r="D2558" s="9">
        <v>19958</v>
      </c>
      <c r="E2558" s="5" t="s">
        <v>615</v>
      </c>
      <c r="F2558" t="s">
        <v>627</v>
      </c>
      <c r="G2558">
        <v>1807</v>
      </c>
      <c r="H2558">
        <v>951</v>
      </c>
      <c r="I2558" s="8">
        <f t="shared" si="228"/>
        <v>0.52628666297731042</v>
      </c>
      <c r="J2558" s="17">
        <v>0.7</v>
      </c>
      <c r="K2558" s="12">
        <v>13.75</v>
      </c>
      <c r="L2558" s="2">
        <v>313.89999999999986</v>
      </c>
      <c r="M2558" s="15">
        <f t="shared" si="229"/>
        <v>4316.1249999999982</v>
      </c>
      <c r="N2558" t="str">
        <f t="shared" si="226"/>
        <v>MT</v>
      </c>
      <c r="O2558" t="str">
        <f t="shared" si="227"/>
        <v>Tangará da Serra</v>
      </c>
    </row>
    <row r="2559" spans="1:15" x14ac:dyDescent="0.3">
      <c r="A2559" s="10">
        <v>46023</v>
      </c>
      <c r="B2559" s="9" t="s">
        <v>15</v>
      </c>
      <c r="C2559" t="s">
        <v>151</v>
      </c>
      <c r="D2559" s="9">
        <v>19599</v>
      </c>
      <c r="E2559" s="5" t="s">
        <v>607</v>
      </c>
      <c r="F2559" t="s">
        <v>152</v>
      </c>
      <c r="G2559">
        <v>2613</v>
      </c>
      <c r="H2559">
        <v>1218</v>
      </c>
      <c r="I2559" s="8">
        <f t="shared" si="228"/>
        <v>0.46613088404133179</v>
      </c>
      <c r="J2559" s="17">
        <v>0.7</v>
      </c>
      <c r="K2559" s="12">
        <v>13.75</v>
      </c>
      <c r="L2559" s="2">
        <v>611.09999999999991</v>
      </c>
      <c r="M2559" s="15">
        <f t="shared" si="229"/>
        <v>8402.6249999999982</v>
      </c>
      <c r="N2559" t="str">
        <f t="shared" si="226"/>
        <v>RJ</v>
      </c>
      <c r="O2559" t="str">
        <f t="shared" si="227"/>
        <v>Nova Iguaçu</v>
      </c>
    </row>
    <row r="2560" spans="1:15" x14ac:dyDescent="0.3">
      <c r="A2560" s="10">
        <v>46023</v>
      </c>
      <c r="B2560" s="9" t="s">
        <v>3</v>
      </c>
      <c r="C2560" t="s">
        <v>248</v>
      </c>
      <c r="D2560" s="9">
        <v>19855</v>
      </c>
      <c r="E2560" s="5" t="s">
        <v>608</v>
      </c>
      <c r="F2560" t="s">
        <v>257</v>
      </c>
      <c r="G2560">
        <v>1296</v>
      </c>
      <c r="H2560">
        <v>366</v>
      </c>
      <c r="I2560" s="8">
        <f t="shared" si="228"/>
        <v>0.28240740740740738</v>
      </c>
      <c r="J2560" s="17">
        <v>0.7</v>
      </c>
      <c r="K2560" s="12">
        <v>13.75</v>
      </c>
      <c r="L2560" s="2">
        <v>541.20000000000005</v>
      </c>
      <c r="M2560" s="15">
        <f t="shared" si="229"/>
        <v>7441.5000000000009</v>
      </c>
      <c r="N2560" t="str">
        <f t="shared" si="226"/>
        <v>SP</v>
      </c>
      <c r="O2560" t="str">
        <f t="shared" si="227"/>
        <v>São Paulo</v>
      </c>
    </row>
    <row r="2561" spans="1:15" x14ac:dyDescent="0.3">
      <c r="A2561" s="10">
        <v>46023</v>
      </c>
      <c r="B2561" s="9" t="s">
        <v>3</v>
      </c>
      <c r="C2561" t="s">
        <v>248</v>
      </c>
      <c r="D2561" s="9">
        <v>19821</v>
      </c>
      <c r="E2561" s="5" t="s">
        <v>609</v>
      </c>
      <c r="F2561" t="s">
        <v>256</v>
      </c>
      <c r="G2561">
        <v>1628</v>
      </c>
      <c r="H2561">
        <v>597</v>
      </c>
      <c r="I2561" s="8">
        <f t="shared" si="228"/>
        <v>0.3667076167076167</v>
      </c>
      <c r="J2561" s="17">
        <v>0.7</v>
      </c>
      <c r="K2561" s="12">
        <v>13.75</v>
      </c>
      <c r="L2561" s="2">
        <v>542.59999999999991</v>
      </c>
      <c r="M2561" s="15">
        <f t="shared" si="229"/>
        <v>7460.7499999999991</v>
      </c>
      <c r="N2561" t="str">
        <f t="shared" si="226"/>
        <v>SP</v>
      </c>
      <c r="O2561" t="str">
        <f t="shared" si="227"/>
        <v>São Paulo</v>
      </c>
    </row>
    <row r="2562" spans="1:15" x14ac:dyDescent="0.3">
      <c r="A2562" s="10">
        <v>46023</v>
      </c>
      <c r="B2562" s="9" t="s">
        <v>14</v>
      </c>
      <c r="C2562" t="s">
        <v>283</v>
      </c>
      <c r="D2562" s="9">
        <v>19912</v>
      </c>
      <c r="E2562" s="5" t="s">
        <v>610</v>
      </c>
      <c r="F2562" t="s">
        <v>284</v>
      </c>
      <c r="G2562">
        <v>1346</v>
      </c>
      <c r="H2562">
        <v>623</v>
      </c>
      <c r="I2562" s="8">
        <f t="shared" si="228"/>
        <v>0.46285289747399705</v>
      </c>
      <c r="J2562" s="17">
        <v>0.7</v>
      </c>
      <c r="K2562" s="12">
        <v>13.75</v>
      </c>
      <c r="L2562" s="2">
        <v>319.19999999999993</v>
      </c>
      <c r="M2562" s="15">
        <f t="shared" si="229"/>
        <v>4388.9999999999991</v>
      </c>
      <c r="N2562" t="str">
        <f t="shared" ref="N2562:N2625" si="230">B2562</f>
        <v>MG</v>
      </c>
      <c r="O2562" t="str">
        <f t="shared" ref="O2562:O2625" si="231">C2562</f>
        <v>Uberaba</v>
      </c>
    </row>
    <row r="2563" spans="1:15" x14ac:dyDescent="0.3">
      <c r="A2563" s="10">
        <v>46023</v>
      </c>
      <c r="B2563" s="9" t="s">
        <v>6</v>
      </c>
      <c r="C2563" t="s">
        <v>26</v>
      </c>
      <c r="D2563" s="9">
        <v>19959</v>
      </c>
      <c r="E2563" s="5" t="s">
        <v>620</v>
      </c>
      <c r="F2563" t="s">
        <v>327</v>
      </c>
      <c r="G2563">
        <v>617</v>
      </c>
      <c r="H2563">
        <v>362</v>
      </c>
      <c r="I2563" s="8">
        <f t="shared" ref="I2563:I2626" si="232">H2563/G2563</f>
        <v>0.58670988654781198</v>
      </c>
      <c r="J2563" s="17">
        <v>0.7</v>
      </c>
      <c r="K2563" s="12">
        <v>13.75</v>
      </c>
      <c r="L2563" s="2">
        <v>69.899999999999977</v>
      </c>
      <c r="M2563" s="15">
        <f t="shared" ref="M2563:M2626" si="233">L2563*K2563</f>
        <v>961.12499999999966</v>
      </c>
      <c r="N2563" t="str">
        <f t="shared" si="230"/>
        <v>PA</v>
      </c>
      <c r="O2563" t="str">
        <f t="shared" si="231"/>
        <v>Belém</v>
      </c>
    </row>
    <row r="2564" spans="1:15" x14ac:dyDescent="0.3">
      <c r="A2564" s="10">
        <v>46023</v>
      </c>
      <c r="B2564" s="9" t="s">
        <v>15</v>
      </c>
      <c r="C2564" t="s">
        <v>329</v>
      </c>
      <c r="D2564" s="9">
        <v>19962</v>
      </c>
      <c r="E2564" s="5" t="s">
        <v>621</v>
      </c>
      <c r="F2564" t="s">
        <v>330</v>
      </c>
      <c r="G2564">
        <v>518</v>
      </c>
      <c r="H2564">
        <v>286</v>
      </c>
      <c r="I2564" s="8">
        <f t="shared" si="232"/>
        <v>0.55212355212355213</v>
      </c>
      <c r="J2564" s="17">
        <v>0.7</v>
      </c>
      <c r="K2564" s="12">
        <v>13.75</v>
      </c>
      <c r="L2564" s="2">
        <v>76.599999999999966</v>
      </c>
      <c r="M2564" s="15">
        <f t="shared" si="233"/>
        <v>1053.2499999999995</v>
      </c>
      <c r="N2564" t="str">
        <f t="shared" si="230"/>
        <v>RJ</v>
      </c>
      <c r="O2564" t="str">
        <f t="shared" si="231"/>
        <v>Araruama</v>
      </c>
    </row>
    <row r="2565" spans="1:15" x14ac:dyDescent="0.3">
      <c r="A2565" s="10">
        <v>46023</v>
      </c>
      <c r="B2565" s="9" t="s">
        <v>82</v>
      </c>
      <c r="C2565" t="s">
        <v>314</v>
      </c>
      <c r="D2565" s="9">
        <v>19772</v>
      </c>
      <c r="E2565" s="5" t="s">
        <v>613</v>
      </c>
      <c r="F2565" t="s">
        <v>96</v>
      </c>
      <c r="G2565">
        <v>1583</v>
      </c>
      <c r="H2565">
        <v>991</v>
      </c>
      <c r="I2565" s="8">
        <f t="shared" si="232"/>
        <v>0.62602653190145297</v>
      </c>
      <c r="J2565" s="17">
        <v>0.7</v>
      </c>
      <c r="K2565" s="12">
        <v>13.75</v>
      </c>
      <c r="L2565" s="2">
        <v>117.09999999999991</v>
      </c>
      <c r="M2565" s="15">
        <f t="shared" si="233"/>
        <v>1610.1249999999986</v>
      </c>
      <c r="N2565" t="str">
        <f t="shared" si="230"/>
        <v>PR</v>
      </c>
      <c r="O2565" t="str">
        <f t="shared" si="231"/>
        <v>Foz do Iguaçu</v>
      </c>
    </row>
    <row r="2566" spans="1:15" x14ac:dyDescent="0.3">
      <c r="A2566" s="10">
        <v>46023</v>
      </c>
      <c r="B2566" s="9" t="s">
        <v>46</v>
      </c>
      <c r="C2566" t="s">
        <v>47</v>
      </c>
      <c r="D2566" s="9">
        <v>19666</v>
      </c>
      <c r="E2566" s="5" t="s">
        <v>617</v>
      </c>
      <c r="F2566" t="s">
        <v>49</v>
      </c>
      <c r="G2566">
        <v>2666</v>
      </c>
      <c r="H2566">
        <v>1134</v>
      </c>
      <c r="I2566" s="8">
        <f t="shared" si="232"/>
        <v>0.42535633908477122</v>
      </c>
      <c r="J2566" s="17">
        <v>0.7</v>
      </c>
      <c r="K2566" s="12">
        <v>13.75</v>
      </c>
      <c r="L2566" s="2">
        <v>732.19999999999982</v>
      </c>
      <c r="M2566" s="15">
        <f t="shared" si="233"/>
        <v>10067.749999999998</v>
      </c>
      <c r="N2566" t="str">
        <f t="shared" si="230"/>
        <v>DF</v>
      </c>
      <c r="O2566" t="str">
        <f t="shared" si="231"/>
        <v>Brasília</v>
      </c>
    </row>
    <row r="2567" spans="1:15" x14ac:dyDescent="0.3">
      <c r="A2567" s="10">
        <v>46023</v>
      </c>
      <c r="B2567" s="9" t="s">
        <v>14</v>
      </c>
      <c r="C2567" t="s">
        <v>325</v>
      </c>
      <c r="D2567" s="9">
        <v>19961</v>
      </c>
      <c r="E2567" s="5" t="s">
        <v>622</v>
      </c>
      <c r="F2567" t="s">
        <v>326</v>
      </c>
      <c r="G2567">
        <v>1841</v>
      </c>
      <c r="H2567">
        <v>770</v>
      </c>
      <c r="I2567" s="8">
        <f t="shared" si="232"/>
        <v>0.41825095057034223</v>
      </c>
      <c r="J2567" s="17">
        <v>0.7</v>
      </c>
      <c r="K2567" s="12">
        <v>13.75</v>
      </c>
      <c r="L2567" s="2">
        <v>518.69999999999982</v>
      </c>
      <c r="M2567" s="15">
        <f t="shared" si="233"/>
        <v>7132.1249999999973</v>
      </c>
      <c r="N2567" t="str">
        <f t="shared" si="230"/>
        <v>MG</v>
      </c>
      <c r="O2567" t="str">
        <f t="shared" si="231"/>
        <v>Coronel Fabriciano</v>
      </c>
    </row>
    <row r="2568" spans="1:15" x14ac:dyDescent="0.3">
      <c r="A2568" s="10">
        <v>46023</v>
      </c>
      <c r="B2568" s="9" t="s">
        <v>82</v>
      </c>
      <c r="C2568" t="s">
        <v>83</v>
      </c>
      <c r="D2568" s="9">
        <v>19547</v>
      </c>
      <c r="E2568" s="5" t="s">
        <v>618</v>
      </c>
      <c r="F2568" t="s">
        <v>87</v>
      </c>
      <c r="G2568">
        <v>2354</v>
      </c>
      <c r="H2568">
        <v>665</v>
      </c>
      <c r="I2568" s="8">
        <f t="shared" si="232"/>
        <v>0.28249787595581988</v>
      </c>
      <c r="J2568" s="17">
        <v>0.7</v>
      </c>
      <c r="K2568" s="12">
        <v>13.75</v>
      </c>
      <c r="L2568" s="2">
        <v>982.79999999999973</v>
      </c>
      <c r="M2568" s="15">
        <f t="shared" si="233"/>
        <v>13513.499999999996</v>
      </c>
      <c r="N2568" t="str">
        <f t="shared" si="230"/>
        <v>PR</v>
      </c>
      <c r="O2568" t="str">
        <f t="shared" si="231"/>
        <v>Curitiba</v>
      </c>
    </row>
    <row r="2569" spans="1:15" x14ac:dyDescent="0.3">
      <c r="A2569" s="10">
        <v>46023</v>
      </c>
      <c r="B2569" s="9" t="s">
        <v>82</v>
      </c>
      <c r="C2569" t="s">
        <v>83</v>
      </c>
      <c r="D2569" s="9">
        <v>19936</v>
      </c>
      <c r="E2569" s="5" t="s">
        <v>619</v>
      </c>
      <c r="F2569" t="s">
        <v>86</v>
      </c>
      <c r="G2569">
        <v>1780</v>
      </c>
      <c r="H2569">
        <v>564</v>
      </c>
      <c r="I2569" s="8">
        <f t="shared" si="232"/>
        <v>0.31685393258426964</v>
      </c>
      <c r="J2569" s="17">
        <v>0.7</v>
      </c>
      <c r="K2569" s="12">
        <v>13.75</v>
      </c>
      <c r="L2569" s="2">
        <v>682</v>
      </c>
      <c r="M2569" s="15">
        <f t="shared" si="233"/>
        <v>9377.5</v>
      </c>
      <c r="N2569" t="str">
        <f t="shared" si="230"/>
        <v>PR</v>
      </c>
      <c r="O2569" t="str">
        <f t="shared" si="231"/>
        <v>Curitiba</v>
      </c>
    </row>
    <row r="2570" spans="1:15" x14ac:dyDescent="0.3">
      <c r="A2570" s="10">
        <v>46054</v>
      </c>
      <c r="B2570" s="9" t="s">
        <v>15</v>
      </c>
      <c r="C2570" t="s">
        <v>319</v>
      </c>
      <c r="D2570" s="9">
        <v>19685</v>
      </c>
      <c r="E2570" s="5" t="s">
        <v>359</v>
      </c>
      <c r="F2570" t="s">
        <v>198</v>
      </c>
      <c r="G2570">
        <v>989</v>
      </c>
      <c r="H2570">
        <v>376</v>
      </c>
      <c r="I2570" s="8">
        <f t="shared" si="232"/>
        <v>0.38018200202224467</v>
      </c>
      <c r="J2570" s="17">
        <v>0.7</v>
      </c>
      <c r="K2570" s="12">
        <v>13.75</v>
      </c>
      <c r="L2570" s="2">
        <v>316.29999999999995</v>
      </c>
      <c r="M2570" s="15">
        <f t="shared" si="233"/>
        <v>4349.1249999999991</v>
      </c>
      <c r="N2570" t="str">
        <f t="shared" si="230"/>
        <v>RJ</v>
      </c>
      <c r="O2570" t="str">
        <f t="shared" si="231"/>
        <v>Rio de Janeiro</v>
      </c>
    </row>
    <row r="2571" spans="1:15" x14ac:dyDescent="0.3">
      <c r="A2571" s="10">
        <v>46054</v>
      </c>
      <c r="B2571" s="9" t="s">
        <v>71</v>
      </c>
      <c r="C2571" t="s">
        <v>175</v>
      </c>
      <c r="D2571" s="9">
        <v>19540</v>
      </c>
      <c r="E2571" s="5" t="s">
        <v>370</v>
      </c>
      <c r="F2571" t="s">
        <v>176</v>
      </c>
      <c r="G2571">
        <v>3358</v>
      </c>
      <c r="H2571">
        <v>1372</v>
      </c>
      <c r="I2571" s="8">
        <f t="shared" si="232"/>
        <v>0.40857653365098273</v>
      </c>
      <c r="J2571" s="17">
        <v>0.7</v>
      </c>
      <c r="K2571" s="12">
        <v>13.75</v>
      </c>
      <c r="L2571" s="2">
        <v>978.59999999999991</v>
      </c>
      <c r="M2571" s="15">
        <f t="shared" si="233"/>
        <v>13455.749999999998</v>
      </c>
      <c r="N2571" t="str">
        <f t="shared" si="230"/>
        <v>RS</v>
      </c>
      <c r="O2571" t="str">
        <f t="shared" si="231"/>
        <v>Porto Alegre</v>
      </c>
    </row>
    <row r="2572" spans="1:15" x14ac:dyDescent="0.3">
      <c r="A2572" s="10">
        <v>46054</v>
      </c>
      <c r="B2572" s="9" t="s">
        <v>15</v>
      </c>
      <c r="C2572" t="s">
        <v>319</v>
      </c>
      <c r="D2572" s="9">
        <v>19521</v>
      </c>
      <c r="E2572" s="5" t="s">
        <v>371</v>
      </c>
      <c r="F2572" t="s">
        <v>199</v>
      </c>
      <c r="G2572">
        <v>3353</v>
      </c>
      <c r="H2572">
        <v>1707</v>
      </c>
      <c r="I2572" s="8">
        <f t="shared" si="232"/>
        <v>0.50909633164330448</v>
      </c>
      <c r="J2572" s="17">
        <v>0.7</v>
      </c>
      <c r="K2572" s="12">
        <v>13.75</v>
      </c>
      <c r="L2572" s="2">
        <v>640.09999999999991</v>
      </c>
      <c r="M2572" s="15">
        <f t="shared" si="233"/>
        <v>8801.3749999999982</v>
      </c>
      <c r="N2572" t="str">
        <f t="shared" si="230"/>
        <v>RJ</v>
      </c>
      <c r="O2572" t="str">
        <f t="shared" si="231"/>
        <v>Rio de Janeiro</v>
      </c>
    </row>
    <row r="2573" spans="1:15" x14ac:dyDescent="0.3">
      <c r="A2573" s="10">
        <v>46054</v>
      </c>
      <c r="B2573" s="9" t="s">
        <v>14</v>
      </c>
      <c r="C2573" t="s">
        <v>285</v>
      </c>
      <c r="D2573" s="9">
        <v>19563</v>
      </c>
      <c r="E2573" s="5" t="s">
        <v>374</v>
      </c>
      <c r="F2573" t="s">
        <v>286</v>
      </c>
      <c r="G2573">
        <v>2679</v>
      </c>
      <c r="H2573">
        <v>869</v>
      </c>
      <c r="I2573" s="8">
        <f t="shared" si="232"/>
        <v>0.32437476670399401</v>
      </c>
      <c r="J2573" s="17">
        <v>0.7</v>
      </c>
      <c r="K2573" s="12">
        <v>13.75</v>
      </c>
      <c r="L2573" s="2">
        <v>1006.3</v>
      </c>
      <c r="M2573" s="15">
        <f t="shared" si="233"/>
        <v>13836.625</v>
      </c>
      <c r="N2573" t="str">
        <f t="shared" si="230"/>
        <v>MG</v>
      </c>
      <c r="O2573" t="str">
        <f t="shared" si="231"/>
        <v>Uberlândia</v>
      </c>
    </row>
    <row r="2574" spans="1:15" x14ac:dyDescent="0.3">
      <c r="A2574" s="10">
        <v>46054</v>
      </c>
      <c r="B2574" s="9" t="s">
        <v>6</v>
      </c>
      <c r="C2574" t="s">
        <v>26</v>
      </c>
      <c r="D2574" s="9">
        <v>19597</v>
      </c>
      <c r="E2574" s="5" t="s">
        <v>375</v>
      </c>
      <c r="F2574" t="s">
        <v>27</v>
      </c>
      <c r="G2574">
        <v>2927</v>
      </c>
      <c r="H2574">
        <v>1542</v>
      </c>
      <c r="I2574" s="8">
        <f t="shared" si="232"/>
        <v>0.52681926887598218</v>
      </c>
      <c r="J2574" s="17">
        <v>0.7</v>
      </c>
      <c r="K2574" s="12">
        <v>13.75</v>
      </c>
      <c r="L2574" s="2">
        <v>506.90000000000009</v>
      </c>
      <c r="M2574" s="15">
        <f t="shared" si="233"/>
        <v>6969.8750000000009</v>
      </c>
      <c r="N2574" t="str">
        <f t="shared" si="230"/>
        <v>PA</v>
      </c>
      <c r="O2574" t="str">
        <f t="shared" si="231"/>
        <v>Belém</v>
      </c>
    </row>
    <row r="2575" spans="1:15" x14ac:dyDescent="0.3">
      <c r="A2575" s="10">
        <v>46054</v>
      </c>
      <c r="B2575" s="9" t="s">
        <v>15</v>
      </c>
      <c r="C2575" t="s">
        <v>296</v>
      </c>
      <c r="D2575" s="9">
        <v>19524</v>
      </c>
      <c r="E2575" s="5" t="s">
        <v>376</v>
      </c>
      <c r="F2575" t="s">
        <v>297</v>
      </c>
      <c r="G2575">
        <v>1883</v>
      </c>
      <c r="H2575">
        <v>831</v>
      </c>
      <c r="I2575" s="8">
        <f t="shared" si="232"/>
        <v>0.44131704726500265</v>
      </c>
      <c r="J2575" s="17">
        <v>0.7</v>
      </c>
      <c r="K2575" s="12">
        <v>13.75</v>
      </c>
      <c r="L2575" s="2">
        <v>487.09999999999991</v>
      </c>
      <c r="M2575" s="15">
        <f t="shared" si="233"/>
        <v>6697.6249999999991</v>
      </c>
      <c r="N2575" t="str">
        <f t="shared" si="230"/>
        <v>RJ</v>
      </c>
      <c r="O2575" t="str">
        <f t="shared" si="231"/>
        <v>Volta Redonda</v>
      </c>
    </row>
    <row r="2576" spans="1:15" x14ac:dyDescent="0.3">
      <c r="A2576" s="10">
        <v>46054</v>
      </c>
      <c r="B2576" s="9" t="s">
        <v>160</v>
      </c>
      <c r="C2576" t="s">
        <v>279</v>
      </c>
      <c r="D2576" s="9">
        <v>19564</v>
      </c>
      <c r="E2576" s="5" t="s">
        <v>378</v>
      </c>
      <c r="F2576" t="s">
        <v>280</v>
      </c>
      <c r="G2576">
        <v>1412</v>
      </c>
      <c r="H2576">
        <v>649</v>
      </c>
      <c r="I2576" s="8">
        <f t="shared" si="232"/>
        <v>0.45963172804532576</v>
      </c>
      <c r="J2576" s="17">
        <v>0.7</v>
      </c>
      <c r="K2576" s="12">
        <v>13.75</v>
      </c>
      <c r="L2576" s="2">
        <v>339.4</v>
      </c>
      <c r="M2576" s="15">
        <f t="shared" si="233"/>
        <v>4666.75</v>
      </c>
      <c r="N2576" t="str">
        <f t="shared" si="230"/>
        <v>PI</v>
      </c>
      <c r="O2576" t="str">
        <f t="shared" si="231"/>
        <v>Teresina</v>
      </c>
    </row>
    <row r="2577" spans="1:15" x14ac:dyDescent="0.3">
      <c r="A2577" s="10">
        <v>46054</v>
      </c>
      <c r="B2577" s="9" t="s">
        <v>15</v>
      </c>
      <c r="C2577" t="s">
        <v>319</v>
      </c>
      <c r="D2577" s="9">
        <v>19536</v>
      </c>
      <c r="E2577" s="5" t="s">
        <v>379</v>
      </c>
      <c r="F2577" t="s">
        <v>200</v>
      </c>
      <c r="G2577">
        <v>2197</v>
      </c>
      <c r="H2577">
        <v>826</v>
      </c>
      <c r="I2577" s="8">
        <f t="shared" si="232"/>
        <v>0.37596722803823396</v>
      </c>
      <c r="J2577" s="17">
        <v>0.7</v>
      </c>
      <c r="K2577" s="12">
        <v>13.75</v>
      </c>
      <c r="L2577" s="2">
        <v>711.89999999999986</v>
      </c>
      <c r="M2577" s="15">
        <f t="shared" si="233"/>
        <v>9788.6249999999982</v>
      </c>
      <c r="N2577" t="str">
        <f t="shared" si="230"/>
        <v>RJ</v>
      </c>
      <c r="O2577" t="str">
        <f t="shared" si="231"/>
        <v>Rio de Janeiro</v>
      </c>
    </row>
    <row r="2578" spans="1:15" x14ac:dyDescent="0.3">
      <c r="A2578" s="10">
        <v>46054</v>
      </c>
      <c r="B2578" s="9" t="s">
        <v>15</v>
      </c>
      <c r="C2578" t="s">
        <v>319</v>
      </c>
      <c r="D2578" s="9">
        <v>19727</v>
      </c>
      <c r="E2578" s="5" t="s">
        <v>380</v>
      </c>
      <c r="F2578" t="s">
        <v>201</v>
      </c>
      <c r="G2578">
        <v>1351</v>
      </c>
      <c r="H2578">
        <v>590</v>
      </c>
      <c r="I2578" s="8">
        <f t="shared" si="232"/>
        <v>0.43671354552183567</v>
      </c>
      <c r="J2578" s="17">
        <v>0.7</v>
      </c>
      <c r="K2578" s="12">
        <v>13.75</v>
      </c>
      <c r="L2578" s="2">
        <v>355.70000000000005</v>
      </c>
      <c r="M2578" s="15">
        <f t="shared" si="233"/>
        <v>4890.8750000000009</v>
      </c>
      <c r="N2578" t="str">
        <f t="shared" si="230"/>
        <v>RJ</v>
      </c>
      <c r="O2578" t="str">
        <f t="shared" si="231"/>
        <v>Rio de Janeiro</v>
      </c>
    </row>
    <row r="2579" spans="1:15" x14ac:dyDescent="0.3">
      <c r="A2579" s="10">
        <v>46054</v>
      </c>
      <c r="B2579" s="9" t="s">
        <v>3</v>
      </c>
      <c r="C2579" t="s">
        <v>248</v>
      </c>
      <c r="D2579" s="9">
        <v>19572</v>
      </c>
      <c r="E2579" s="5" t="s">
        <v>381</v>
      </c>
      <c r="F2579" t="s">
        <v>249</v>
      </c>
      <c r="G2579">
        <v>3981</v>
      </c>
      <c r="H2579">
        <v>1813</v>
      </c>
      <c r="I2579" s="8">
        <f t="shared" si="232"/>
        <v>0.45541321276061292</v>
      </c>
      <c r="J2579" s="17">
        <v>0.7</v>
      </c>
      <c r="K2579" s="12">
        <v>13.75</v>
      </c>
      <c r="L2579" s="2">
        <v>973.69999999999982</v>
      </c>
      <c r="M2579" s="15">
        <f t="shared" si="233"/>
        <v>13388.374999999998</v>
      </c>
      <c r="N2579" t="str">
        <f t="shared" si="230"/>
        <v>SP</v>
      </c>
      <c r="O2579" t="str">
        <f t="shared" si="231"/>
        <v>São Paulo</v>
      </c>
    </row>
    <row r="2580" spans="1:15" x14ac:dyDescent="0.3">
      <c r="A2580" s="10">
        <v>46054</v>
      </c>
      <c r="B2580" s="9" t="s">
        <v>3</v>
      </c>
      <c r="C2580" t="s">
        <v>167</v>
      </c>
      <c r="D2580" s="9">
        <v>19578</v>
      </c>
      <c r="E2580" s="5" t="s">
        <v>382</v>
      </c>
      <c r="F2580" t="s">
        <v>168</v>
      </c>
      <c r="G2580">
        <v>1878</v>
      </c>
      <c r="H2580">
        <v>677</v>
      </c>
      <c r="I2580" s="8">
        <f t="shared" si="232"/>
        <v>0.36048988285410011</v>
      </c>
      <c r="J2580" s="17">
        <v>0.7</v>
      </c>
      <c r="K2580" s="12">
        <v>13.75</v>
      </c>
      <c r="L2580" s="2">
        <v>637.59999999999991</v>
      </c>
      <c r="M2580" s="15">
        <f t="shared" si="233"/>
        <v>8766.9999999999982</v>
      </c>
      <c r="N2580" t="str">
        <f t="shared" si="230"/>
        <v>SP</v>
      </c>
      <c r="O2580" t="str">
        <f t="shared" si="231"/>
        <v>Perdizes</v>
      </c>
    </row>
    <row r="2581" spans="1:15" x14ac:dyDescent="0.3">
      <c r="A2581" s="10">
        <v>46054</v>
      </c>
      <c r="B2581" s="9" t="s">
        <v>3</v>
      </c>
      <c r="C2581" t="s">
        <v>248</v>
      </c>
      <c r="D2581" s="9">
        <v>19774</v>
      </c>
      <c r="E2581" s="5" t="s">
        <v>383</v>
      </c>
      <c r="F2581" t="s">
        <v>250</v>
      </c>
      <c r="G2581">
        <v>1990</v>
      </c>
      <c r="H2581">
        <v>810</v>
      </c>
      <c r="I2581" s="8">
        <f t="shared" si="232"/>
        <v>0.40703517587939697</v>
      </c>
      <c r="J2581" s="17">
        <v>0.7</v>
      </c>
      <c r="K2581" s="12">
        <v>13.75</v>
      </c>
      <c r="L2581" s="2">
        <v>583</v>
      </c>
      <c r="M2581" s="15">
        <f t="shared" si="233"/>
        <v>8016.25</v>
      </c>
      <c r="N2581" t="str">
        <f t="shared" si="230"/>
        <v>SP</v>
      </c>
      <c r="O2581" t="str">
        <f t="shared" si="231"/>
        <v>São Paulo</v>
      </c>
    </row>
    <row r="2582" spans="1:15" x14ac:dyDescent="0.3">
      <c r="A2582" s="10">
        <v>46054</v>
      </c>
      <c r="B2582" s="9" t="s">
        <v>46</v>
      </c>
      <c r="C2582" t="s">
        <v>47</v>
      </c>
      <c r="D2582" s="9">
        <v>19551</v>
      </c>
      <c r="E2582" s="5" t="s">
        <v>384</v>
      </c>
      <c r="F2582" t="s">
        <v>48</v>
      </c>
      <c r="G2582">
        <v>2274</v>
      </c>
      <c r="H2582">
        <v>870</v>
      </c>
      <c r="I2582" s="8">
        <f t="shared" si="232"/>
        <v>0.38258575197889183</v>
      </c>
      <c r="J2582" s="17">
        <v>0.7</v>
      </c>
      <c r="K2582" s="12">
        <v>13.75</v>
      </c>
      <c r="L2582" s="2">
        <v>721.8</v>
      </c>
      <c r="M2582" s="15">
        <f t="shared" si="233"/>
        <v>9924.75</v>
      </c>
      <c r="N2582" t="str">
        <f t="shared" si="230"/>
        <v>DF</v>
      </c>
      <c r="O2582" t="str">
        <f t="shared" si="231"/>
        <v>Brasília</v>
      </c>
    </row>
    <row r="2583" spans="1:15" x14ac:dyDescent="0.3">
      <c r="A2583" s="10">
        <v>46054</v>
      </c>
      <c r="B2583" s="9" t="s">
        <v>15</v>
      </c>
      <c r="C2583" t="s">
        <v>151</v>
      </c>
      <c r="D2583" s="9">
        <v>19596</v>
      </c>
      <c r="E2583" s="5" t="s">
        <v>385</v>
      </c>
      <c r="F2583" t="s">
        <v>153</v>
      </c>
      <c r="G2583">
        <v>2017</v>
      </c>
      <c r="H2583">
        <v>815</v>
      </c>
      <c r="I2583" s="8">
        <f t="shared" si="232"/>
        <v>0.40406544372830938</v>
      </c>
      <c r="J2583" s="17">
        <v>0.7</v>
      </c>
      <c r="K2583" s="12">
        <v>13.75</v>
      </c>
      <c r="L2583" s="2">
        <v>596.89999999999986</v>
      </c>
      <c r="M2583" s="15">
        <f t="shared" si="233"/>
        <v>8207.3749999999982</v>
      </c>
      <c r="N2583" t="str">
        <f t="shared" si="230"/>
        <v>RJ</v>
      </c>
      <c r="O2583" t="str">
        <f t="shared" si="231"/>
        <v>Nova Iguaçu</v>
      </c>
    </row>
    <row r="2584" spans="1:15" x14ac:dyDescent="0.3">
      <c r="A2584" s="10">
        <v>46054</v>
      </c>
      <c r="B2584" s="9" t="s">
        <v>15</v>
      </c>
      <c r="C2584" t="s">
        <v>319</v>
      </c>
      <c r="D2584" s="9">
        <v>19618</v>
      </c>
      <c r="E2584" s="5" t="s">
        <v>386</v>
      </c>
      <c r="F2584" t="s">
        <v>202</v>
      </c>
      <c r="G2584">
        <v>2048</v>
      </c>
      <c r="H2584">
        <v>836</v>
      </c>
      <c r="I2584" s="8">
        <f t="shared" si="232"/>
        <v>0.408203125</v>
      </c>
      <c r="J2584" s="17">
        <v>0.7</v>
      </c>
      <c r="K2584" s="12">
        <v>13.75</v>
      </c>
      <c r="L2584" s="2">
        <v>597.59999999999991</v>
      </c>
      <c r="M2584" s="15">
        <f t="shared" si="233"/>
        <v>8216.9999999999982</v>
      </c>
      <c r="N2584" t="str">
        <f t="shared" si="230"/>
        <v>RJ</v>
      </c>
      <c r="O2584" t="str">
        <f t="shared" si="231"/>
        <v>Rio de Janeiro</v>
      </c>
    </row>
    <row r="2585" spans="1:15" x14ac:dyDescent="0.3">
      <c r="A2585" s="10">
        <v>46054</v>
      </c>
      <c r="B2585" s="9" t="s">
        <v>21</v>
      </c>
      <c r="C2585" t="s">
        <v>22</v>
      </c>
      <c r="D2585" s="9">
        <v>19741</v>
      </c>
      <c r="E2585" s="5" t="s">
        <v>387</v>
      </c>
      <c r="F2585" t="s">
        <v>23</v>
      </c>
      <c r="G2585">
        <v>1651</v>
      </c>
      <c r="H2585">
        <v>822</v>
      </c>
      <c r="I2585" s="8">
        <f t="shared" si="232"/>
        <v>0.49788007268322226</v>
      </c>
      <c r="J2585" s="17">
        <v>0.7</v>
      </c>
      <c r="K2585" s="12">
        <v>13.75</v>
      </c>
      <c r="L2585" s="2">
        <v>333.70000000000005</v>
      </c>
      <c r="M2585" s="15">
        <f t="shared" si="233"/>
        <v>4588.3750000000009</v>
      </c>
      <c r="N2585" t="str">
        <f t="shared" si="230"/>
        <v>BA</v>
      </c>
      <c r="O2585" t="str">
        <f t="shared" si="231"/>
        <v>Barreiras</v>
      </c>
    </row>
    <row r="2586" spans="1:15" x14ac:dyDescent="0.3">
      <c r="A2586" s="10">
        <v>46054</v>
      </c>
      <c r="B2586" s="9" t="s">
        <v>74</v>
      </c>
      <c r="C2586" t="s">
        <v>169</v>
      </c>
      <c r="D2586" s="9">
        <v>19897</v>
      </c>
      <c r="E2586" s="5" t="s">
        <v>388</v>
      </c>
      <c r="F2586" t="s">
        <v>170</v>
      </c>
      <c r="G2586">
        <v>1693</v>
      </c>
      <c r="H2586">
        <v>779</v>
      </c>
      <c r="I2586" s="8">
        <f t="shared" si="232"/>
        <v>0.46012994683992914</v>
      </c>
      <c r="J2586" s="17">
        <v>0.7</v>
      </c>
      <c r="K2586" s="12">
        <v>13.75</v>
      </c>
      <c r="L2586" s="2">
        <v>406.09999999999991</v>
      </c>
      <c r="M2586" s="15">
        <f t="shared" si="233"/>
        <v>5583.8749999999991</v>
      </c>
      <c r="N2586" t="str">
        <f t="shared" si="230"/>
        <v>PE</v>
      </c>
      <c r="O2586" t="str">
        <f t="shared" si="231"/>
        <v>Petrolina</v>
      </c>
    </row>
    <row r="2587" spans="1:15" x14ac:dyDescent="0.3">
      <c r="A2587" s="10">
        <v>46054</v>
      </c>
      <c r="B2587" s="9" t="s">
        <v>6</v>
      </c>
      <c r="C2587" t="s">
        <v>26</v>
      </c>
      <c r="D2587" s="9">
        <v>19622</v>
      </c>
      <c r="E2587" s="5" t="s">
        <v>390</v>
      </c>
      <c r="F2587" t="s">
        <v>28</v>
      </c>
      <c r="G2587">
        <v>1924</v>
      </c>
      <c r="H2587">
        <v>1003</v>
      </c>
      <c r="I2587" s="8">
        <f t="shared" si="232"/>
        <v>0.5213097713097713</v>
      </c>
      <c r="J2587" s="17">
        <v>0.7</v>
      </c>
      <c r="K2587" s="12">
        <v>13.75</v>
      </c>
      <c r="L2587" s="2">
        <v>343.79999999999995</v>
      </c>
      <c r="M2587" s="15">
        <f t="shared" si="233"/>
        <v>4727.2499999999991</v>
      </c>
      <c r="N2587" t="str">
        <f t="shared" si="230"/>
        <v>PA</v>
      </c>
      <c r="O2587" t="str">
        <f t="shared" si="231"/>
        <v>Belém</v>
      </c>
    </row>
    <row r="2588" spans="1:15" x14ac:dyDescent="0.3">
      <c r="A2588" s="10">
        <v>46054</v>
      </c>
      <c r="B2588" s="9" t="s">
        <v>15</v>
      </c>
      <c r="C2588" t="s">
        <v>319</v>
      </c>
      <c r="D2588" s="9">
        <v>19632</v>
      </c>
      <c r="E2588" s="5" t="s">
        <v>392</v>
      </c>
      <c r="F2588" t="s">
        <v>203</v>
      </c>
      <c r="G2588">
        <v>2412</v>
      </c>
      <c r="H2588">
        <v>1067</v>
      </c>
      <c r="I2588" s="8">
        <f t="shared" si="232"/>
        <v>0.44237147595356552</v>
      </c>
      <c r="J2588" s="17">
        <v>0.7</v>
      </c>
      <c r="K2588" s="12">
        <v>13.75</v>
      </c>
      <c r="L2588" s="2">
        <v>621.39999999999986</v>
      </c>
      <c r="M2588" s="15">
        <f t="shared" si="233"/>
        <v>8544.2499999999982</v>
      </c>
      <c r="N2588" t="str">
        <f t="shared" si="230"/>
        <v>RJ</v>
      </c>
      <c r="O2588" t="str">
        <f t="shared" si="231"/>
        <v>Rio de Janeiro</v>
      </c>
    </row>
    <row r="2589" spans="1:15" x14ac:dyDescent="0.3">
      <c r="A2589" s="10">
        <v>46054</v>
      </c>
      <c r="B2589" s="9" t="s">
        <v>46</v>
      </c>
      <c r="C2589" t="s">
        <v>47</v>
      </c>
      <c r="D2589" s="9">
        <v>19552</v>
      </c>
      <c r="E2589" s="5" t="s">
        <v>393</v>
      </c>
      <c r="F2589" t="s">
        <v>50</v>
      </c>
      <c r="G2589">
        <v>3867</v>
      </c>
      <c r="H2589">
        <v>1692</v>
      </c>
      <c r="I2589" s="8">
        <f t="shared" si="232"/>
        <v>0.43754848719937939</v>
      </c>
      <c r="J2589" s="17">
        <v>0.7</v>
      </c>
      <c r="K2589" s="12">
        <v>13.75</v>
      </c>
      <c r="L2589" s="2">
        <v>1014.8999999999996</v>
      </c>
      <c r="M2589" s="15">
        <f t="shared" si="233"/>
        <v>13954.874999999995</v>
      </c>
      <c r="N2589" t="str">
        <f t="shared" si="230"/>
        <v>DF</v>
      </c>
      <c r="O2589" t="str">
        <f t="shared" si="231"/>
        <v>Brasília</v>
      </c>
    </row>
    <row r="2590" spans="1:15" x14ac:dyDescent="0.3">
      <c r="A2590" s="10">
        <v>46054</v>
      </c>
      <c r="B2590" s="9" t="s">
        <v>15</v>
      </c>
      <c r="C2590" t="s">
        <v>191</v>
      </c>
      <c r="D2590" s="9">
        <v>19636</v>
      </c>
      <c r="E2590" s="5" t="s">
        <v>394</v>
      </c>
      <c r="F2590" t="s">
        <v>192</v>
      </c>
      <c r="G2590">
        <v>2009</v>
      </c>
      <c r="H2590">
        <v>796</v>
      </c>
      <c r="I2590" s="8">
        <f t="shared" si="232"/>
        <v>0.39621702339472376</v>
      </c>
      <c r="J2590" s="17">
        <v>0.7</v>
      </c>
      <c r="K2590" s="12">
        <v>13.75</v>
      </c>
      <c r="L2590" s="2">
        <v>610.29999999999973</v>
      </c>
      <c r="M2590" s="15">
        <f t="shared" si="233"/>
        <v>8391.6249999999964</v>
      </c>
      <c r="N2590" t="str">
        <f t="shared" si="230"/>
        <v>RJ</v>
      </c>
      <c r="O2590" t="str">
        <f t="shared" si="231"/>
        <v>Resende</v>
      </c>
    </row>
    <row r="2591" spans="1:15" x14ac:dyDescent="0.3">
      <c r="A2591" s="10">
        <v>46054</v>
      </c>
      <c r="B2591" s="9" t="s">
        <v>74</v>
      </c>
      <c r="C2591" t="s">
        <v>186</v>
      </c>
      <c r="D2591" s="9">
        <v>19649</v>
      </c>
      <c r="E2591" s="5" t="s">
        <v>395</v>
      </c>
      <c r="F2591" t="s">
        <v>187</v>
      </c>
      <c r="G2591">
        <v>1662</v>
      </c>
      <c r="H2591">
        <v>718</v>
      </c>
      <c r="I2591" s="8">
        <f t="shared" si="232"/>
        <v>0.43200962695547535</v>
      </c>
      <c r="J2591" s="17">
        <v>0.7</v>
      </c>
      <c r="K2591" s="12">
        <v>13.75</v>
      </c>
      <c r="L2591" s="2">
        <v>445.39999999999986</v>
      </c>
      <c r="M2591" s="15">
        <f t="shared" si="233"/>
        <v>6124.2499999999982</v>
      </c>
      <c r="N2591" t="str">
        <f t="shared" si="230"/>
        <v>PE</v>
      </c>
      <c r="O2591" t="str">
        <f t="shared" si="231"/>
        <v>Recife</v>
      </c>
    </row>
    <row r="2592" spans="1:15" x14ac:dyDescent="0.3">
      <c r="A2592" s="10">
        <v>46054</v>
      </c>
      <c r="B2592" s="9" t="s">
        <v>74</v>
      </c>
      <c r="C2592" t="s">
        <v>186</v>
      </c>
      <c r="D2592" s="9">
        <v>19601</v>
      </c>
      <c r="E2592" s="5" t="s">
        <v>396</v>
      </c>
      <c r="F2592" t="s">
        <v>188</v>
      </c>
      <c r="G2592">
        <v>2354</v>
      </c>
      <c r="H2592">
        <v>979</v>
      </c>
      <c r="I2592" s="8">
        <f t="shared" si="232"/>
        <v>0.41588785046728971</v>
      </c>
      <c r="J2592" s="17">
        <v>0.7</v>
      </c>
      <c r="K2592" s="12">
        <v>13.75</v>
      </c>
      <c r="L2592" s="2">
        <v>668.8</v>
      </c>
      <c r="M2592" s="15">
        <f t="shared" si="233"/>
        <v>9196</v>
      </c>
      <c r="N2592" t="str">
        <f t="shared" si="230"/>
        <v>PE</v>
      </c>
      <c r="O2592" t="str">
        <f t="shared" si="231"/>
        <v>Recife</v>
      </c>
    </row>
    <row r="2593" spans="1:15" x14ac:dyDescent="0.3">
      <c r="A2593" s="10">
        <v>46054</v>
      </c>
      <c r="B2593" s="9" t="s">
        <v>74</v>
      </c>
      <c r="C2593" t="s">
        <v>186</v>
      </c>
      <c r="D2593" s="9">
        <v>19565</v>
      </c>
      <c r="E2593" s="5" t="s">
        <v>397</v>
      </c>
      <c r="F2593" t="s">
        <v>189</v>
      </c>
      <c r="G2593">
        <v>2528</v>
      </c>
      <c r="H2593">
        <v>910</v>
      </c>
      <c r="I2593" s="8">
        <f t="shared" si="232"/>
        <v>0.35996835443037972</v>
      </c>
      <c r="J2593" s="17">
        <v>0.7</v>
      </c>
      <c r="K2593" s="12">
        <v>13.75</v>
      </c>
      <c r="L2593" s="2">
        <v>859.60000000000014</v>
      </c>
      <c r="M2593" s="15">
        <f t="shared" si="233"/>
        <v>11819.500000000002</v>
      </c>
      <c r="N2593" t="str">
        <f t="shared" si="230"/>
        <v>PE</v>
      </c>
      <c r="O2593" t="str">
        <f t="shared" si="231"/>
        <v>Recife</v>
      </c>
    </row>
    <row r="2594" spans="1:15" x14ac:dyDescent="0.3">
      <c r="A2594" s="10">
        <v>46054</v>
      </c>
      <c r="B2594" s="9" t="s">
        <v>74</v>
      </c>
      <c r="C2594" t="s">
        <v>186</v>
      </c>
      <c r="D2594" s="9">
        <v>19654</v>
      </c>
      <c r="E2594" s="5" t="s">
        <v>398</v>
      </c>
      <c r="F2594" t="s">
        <v>190</v>
      </c>
      <c r="G2594">
        <v>1936</v>
      </c>
      <c r="H2594">
        <v>675</v>
      </c>
      <c r="I2594" s="8">
        <f t="shared" si="232"/>
        <v>0.34865702479338845</v>
      </c>
      <c r="J2594" s="17">
        <v>0.7</v>
      </c>
      <c r="K2594" s="12">
        <v>13.75</v>
      </c>
      <c r="L2594" s="2">
        <v>680.19999999999982</v>
      </c>
      <c r="M2594" s="15">
        <f t="shared" si="233"/>
        <v>9352.7499999999982</v>
      </c>
      <c r="N2594" t="str">
        <f t="shared" si="230"/>
        <v>PE</v>
      </c>
      <c r="O2594" t="str">
        <f t="shared" si="231"/>
        <v>Recife</v>
      </c>
    </row>
    <row r="2595" spans="1:15" x14ac:dyDescent="0.3">
      <c r="A2595" s="10">
        <v>46054</v>
      </c>
      <c r="B2595" s="9" t="s">
        <v>74</v>
      </c>
      <c r="C2595" t="s">
        <v>315</v>
      </c>
      <c r="D2595" s="9">
        <v>19624</v>
      </c>
      <c r="E2595" s="5" t="s">
        <v>399</v>
      </c>
      <c r="F2595" t="s">
        <v>116</v>
      </c>
      <c r="G2595">
        <v>1548</v>
      </c>
      <c r="H2595">
        <v>588</v>
      </c>
      <c r="I2595" s="8">
        <f t="shared" si="232"/>
        <v>0.37984496124031009</v>
      </c>
      <c r="J2595" s="17">
        <v>0.7</v>
      </c>
      <c r="K2595" s="12">
        <v>13.75</v>
      </c>
      <c r="L2595" s="2">
        <v>495.59999999999991</v>
      </c>
      <c r="M2595" s="15">
        <f t="shared" si="233"/>
        <v>6814.4999999999991</v>
      </c>
      <c r="N2595" t="str">
        <f t="shared" si="230"/>
        <v>PE</v>
      </c>
      <c r="O2595" t="str">
        <f t="shared" si="231"/>
        <v>Jaboatão dos Guararapes</v>
      </c>
    </row>
    <row r="2596" spans="1:15" x14ac:dyDescent="0.3">
      <c r="A2596" s="10">
        <v>46054</v>
      </c>
      <c r="B2596" s="9" t="s">
        <v>15</v>
      </c>
      <c r="C2596" t="s">
        <v>143</v>
      </c>
      <c r="D2596" s="9">
        <v>19648</v>
      </c>
      <c r="E2596" s="5" t="s">
        <v>400</v>
      </c>
      <c r="F2596" t="s">
        <v>144</v>
      </c>
      <c r="G2596">
        <v>1604</v>
      </c>
      <c r="H2596">
        <v>504</v>
      </c>
      <c r="I2596" s="8">
        <f t="shared" si="232"/>
        <v>0.31421446384039903</v>
      </c>
      <c r="J2596" s="17">
        <v>0.7</v>
      </c>
      <c r="K2596" s="12">
        <v>13.75</v>
      </c>
      <c r="L2596" s="2">
        <v>618.79999999999973</v>
      </c>
      <c r="M2596" s="15">
        <f t="shared" si="233"/>
        <v>8508.4999999999964</v>
      </c>
      <c r="N2596" t="str">
        <f t="shared" si="230"/>
        <v>RJ</v>
      </c>
      <c r="O2596" t="str">
        <f t="shared" si="231"/>
        <v>Nilópolis</v>
      </c>
    </row>
    <row r="2597" spans="1:15" x14ac:dyDescent="0.3">
      <c r="A2597" s="10">
        <v>46054</v>
      </c>
      <c r="B2597" s="9" t="s">
        <v>15</v>
      </c>
      <c r="C2597" t="s">
        <v>57</v>
      </c>
      <c r="D2597" s="9">
        <v>19657</v>
      </c>
      <c r="E2597" s="5" t="s">
        <v>401</v>
      </c>
      <c r="F2597" t="s">
        <v>58</v>
      </c>
      <c r="G2597">
        <v>1833</v>
      </c>
      <c r="H2597">
        <v>805</v>
      </c>
      <c r="I2597" s="8">
        <f t="shared" si="232"/>
        <v>0.43917075831969449</v>
      </c>
      <c r="J2597" s="17">
        <v>0.7</v>
      </c>
      <c r="K2597" s="12">
        <v>13.75</v>
      </c>
      <c r="L2597" s="2">
        <v>478.09999999999991</v>
      </c>
      <c r="M2597" s="15">
        <f t="shared" si="233"/>
        <v>6573.8749999999991</v>
      </c>
      <c r="N2597" t="str">
        <f t="shared" si="230"/>
        <v>RJ</v>
      </c>
      <c r="O2597" t="str">
        <f t="shared" si="231"/>
        <v>Cabo Frio</v>
      </c>
    </row>
    <row r="2598" spans="1:15" x14ac:dyDescent="0.3">
      <c r="A2598" s="10">
        <v>46054</v>
      </c>
      <c r="B2598" s="9" t="s">
        <v>82</v>
      </c>
      <c r="C2598" t="s">
        <v>119</v>
      </c>
      <c r="D2598" s="9">
        <v>19661</v>
      </c>
      <c r="E2598" s="5" t="s">
        <v>403</v>
      </c>
      <c r="F2598" t="s">
        <v>120</v>
      </c>
      <c r="G2598">
        <v>2221</v>
      </c>
      <c r="H2598">
        <v>754</v>
      </c>
      <c r="I2598" s="8">
        <f t="shared" si="232"/>
        <v>0.3394867176947321</v>
      </c>
      <c r="J2598" s="17">
        <v>0.7</v>
      </c>
      <c r="K2598" s="12">
        <v>13.75</v>
      </c>
      <c r="L2598" s="2">
        <v>800.69999999999982</v>
      </c>
      <c r="M2598" s="15">
        <f t="shared" si="233"/>
        <v>11009.624999999998</v>
      </c>
      <c r="N2598" t="str">
        <f t="shared" si="230"/>
        <v>PR</v>
      </c>
      <c r="O2598" t="str">
        <f t="shared" si="231"/>
        <v>Londrina</v>
      </c>
    </row>
    <row r="2599" spans="1:15" x14ac:dyDescent="0.3">
      <c r="A2599" s="10">
        <v>46054</v>
      </c>
      <c r="B2599" s="9" t="s">
        <v>183</v>
      </c>
      <c r="C2599" t="s">
        <v>184</v>
      </c>
      <c r="D2599" s="9">
        <v>19752</v>
      </c>
      <c r="E2599" s="5" t="s">
        <v>404</v>
      </c>
      <c r="F2599" t="s">
        <v>185</v>
      </c>
      <c r="G2599">
        <v>1006</v>
      </c>
      <c r="H2599">
        <v>530</v>
      </c>
      <c r="I2599" s="8">
        <f t="shared" si="232"/>
        <v>0.52683896620278325</v>
      </c>
      <c r="J2599" s="17">
        <v>0.7</v>
      </c>
      <c r="K2599" s="12">
        <v>13.75</v>
      </c>
      <c r="L2599" s="2">
        <v>174.20000000000005</v>
      </c>
      <c r="M2599" s="15">
        <f t="shared" si="233"/>
        <v>2395.2500000000005</v>
      </c>
      <c r="N2599" t="str">
        <f t="shared" si="230"/>
        <v>RO</v>
      </c>
      <c r="O2599" t="str">
        <f t="shared" si="231"/>
        <v>Porto Velho</v>
      </c>
    </row>
    <row r="2600" spans="1:15" x14ac:dyDescent="0.3">
      <c r="A2600" s="10">
        <v>46054</v>
      </c>
      <c r="B2600" s="9" t="s">
        <v>15</v>
      </c>
      <c r="C2600" t="s">
        <v>281</v>
      </c>
      <c r="D2600" s="9">
        <v>19671</v>
      </c>
      <c r="E2600" s="5" t="s">
        <v>405</v>
      </c>
      <c r="F2600" t="s">
        <v>282</v>
      </c>
      <c r="G2600">
        <v>2212</v>
      </c>
      <c r="H2600">
        <v>907</v>
      </c>
      <c r="I2600" s="8">
        <f t="shared" si="232"/>
        <v>0.41003616636528029</v>
      </c>
      <c r="J2600" s="17">
        <v>0.7</v>
      </c>
      <c r="K2600" s="12">
        <v>13.75</v>
      </c>
      <c r="L2600" s="2">
        <v>641.39999999999986</v>
      </c>
      <c r="M2600" s="15">
        <f t="shared" si="233"/>
        <v>8819.2499999999982</v>
      </c>
      <c r="N2600" t="str">
        <f t="shared" si="230"/>
        <v>RJ</v>
      </c>
      <c r="O2600" t="str">
        <f t="shared" si="231"/>
        <v>Teresópolis</v>
      </c>
    </row>
    <row r="2601" spans="1:15" x14ac:dyDescent="0.3">
      <c r="A2601" s="10">
        <v>46054</v>
      </c>
      <c r="B2601" s="9" t="s">
        <v>3</v>
      </c>
      <c r="C2601" t="s">
        <v>248</v>
      </c>
      <c r="D2601" s="9">
        <v>19674</v>
      </c>
      <c r="E2601" s="5" t="s">
        <v>406</v>
      </c>
      <c r="F2601" t="s">
        <v>251</v>
      </c>
      <c r="G2601">
        <v>1790</v>
      </c>
      <c r="H2601">
        <v>619</v>
      </c>
      <c r="I2601" s="8">
        <f t="shared" si="232"/>
        <v>0.34581005586592178</v>
      </c>
      <c r="J2601" s="17">
        <v>0.7</v>
      </c>
      <c r="K2601" s="12">
        <v>13.75</v>
      </c>
      <c r="L2601" s="2">
        <v>633.99999999999977</v>
      </c>
      <c r="M2601" s="15">
        <f t="shared" si="233"/>
        <v>8717.4999999999964</v>
      </c>
      <c r="N2601" t="str">
        <f t="shared" si="230"/>
        <v>SP</v>
      </c>
      <c r="O2601" t="str">
        <f t="shared" si="231"/>
        <v>São Paulo</v>
      </c>
    </row>
    <row r="2602" spans="1:15" x14ac:dyDescent="0.3">
      <c r="A2602" s="10">
        <v>46054</v>
      </c>
      <c r="B2602" s="9" t="s">
        <v>3</v>
      </c>
      <c r="C2602" t="s">
        <v>248</v>
      </c>
      <c r="D2602" s="9">
        <v>19756</v>
      </c>
      <c r="E2602" s="5" t="s">
        <v>407</v>
      </c>
      <c r="F2602" t="s">
        <v>252</v>
      </c>
      <c r="G2602">
        <v>206</v>
      </c>
      <c r="H2602">
        <v>74</v>
      </c>
      <c r="I2602" s="8">
        <f t="shared" si="232"/>
        <v>0.35922330097087379</v>
      </c>
      <c r="J2602" s="17">
        <v>0.7</v>
      </c>
      <c r="K2602" s="12">
        <v>13.75</v>
      </c>
      <c r="L2602" s="2">
        <v>70.199999999999989</v>
      </c>
      <c r="M2602" s="15">
        <f t="shared" si="233"/>
        <v>965.24999999999989</v>
      </c>
      <c r="N2602" t="str">
        <f t="shared" si="230"/>
        <v>SP</v>
      </c>
      <c r="O2602" t="str">
        <f t="shared" si="231"/>
        <v>São Paulo</v>
      </c>
    </row>
    <row r="2603" spans="1:15" x14ac:dyDescent="0.3">
      <c r="A2603" s="10">
        <v>46054</v>
      </c>
      <c r="B2603" s="9" t="s">
        <v>3</v>
      </c>
      <c r="C2603" t="s">
        <v>248</v>
      </c>
      <c r="D2603" s="9">
        <v>19809</v>
      </c>
      <c r="E2603" s="5" t="s">
        <v>408</v>
      </c>
      <c r="F2603" t="s">
        <v>253</v>
      </c>
      <c r="G2603">
        <v>1735</v>
      </c>
      <c r="H2603">
        <v>664</v>
      </c>
      <c r="I2603" s="8">
        <f t="shared" si="232"/>
        <v>0.38270893371757925</v>
      </c>
      <c r="J2603" s="17">
        <v>0.7</v>
      </c>
      <c r="K2603" s="12">
        <v>13.75</v>
      </c>
      <c r="L2603" s="2">
        <v>550.5</v>
      </c>
      <c r="M2603" s="15">
        <f t="shared" si="233"/>
        <v>7569.375</v>
      </c>
      <c r="N2603" t="str">
        <f t="shared" si="230"/>
        <v>SP</v>
      </c>
      <c r="O2603" t="str">
        <f t="shared" si="231"/>
        <v>São Paulo</v>
      </c>
    </row>
    <row r="2604" spans="1:15" x14ac:dyDescent="0.3">
      <c r="A2604" s="10">
        <v>46054</v>
      </c>
      <c r="B2604" s="9" t="s">
        <v>3</v>
      </c>
      <c r="C2604" t="s">
        <v>248</v>
      </c>
      <c r="D2604" s="9">
        <v>19579</v>
      </c>
      <c r="E2604" s="5" t="s">
        <v>409</v>
      </c>
      <c r="F2604" t="s">
        <v>254</v>
      </c>
      <c r="G2604">
        <v>1336</v>
      </c>
      <c r="H2604">
        <v>473</v>
      </c>
      <c r="I2604" s="8">
        <f t="shared" si="232"/>
        <v>0.35404191616766467</v>
      </c>
      <c r="J2604" s="17">
        <v>0.7</v>
      </c>
      <c r="K2604" s="12">
        <v>13.75</v>
      </c>
      <c r="L2604" s="2">
        <v>462.19999999999993</v>
      </c>
      <c r="M2604" s="15">
        <f t="shared" si="233"/>
        <v>6355.2499999999991</v>
      </c>
      <c r="N2604" t="str">
        <f t="shared" si="230"/>
        <v>SP</v>
      </c>
      <c r="O2604" t="str">
        <f t="shared" si="231"/>
        <v>São Paulo</v>
      </c>
    </row>
    <row r="2605" spans="1:15" x14ac:dyDescent="0.3">
      <c r="A2605" s="10">
        <v>46054</v>
      </c>
      <c r="B2605" s="9" t="s">
        <v>126</v>
      </c>
      <c r="C2605" t="s">
        <v>127</v>
      </c>
      <c r="D2605" s="9">
        <v>19623</v>
      </c>
      <c r="E2605" s="5" t="s">
        <v>410</v>
      </c>
      <c r="F2605" t="s">
        <v>128</v>
      </c>
      <c r="G2605">
        <v>1669</v>
      </c>
      <c r="H2605">
        <v>761</v>
      </c>
      <c r="I2605" s="8">
        <f t="shared" si="232"/>
        <v>0.45596165368484121</v>
      </c>
      <c r="J2605" s="17">
        <v>0.7</v>
      </c>
      <c r="K2605" s="12">
        <v>13.75</v>
      </c>
      <c r="L2605" s="2">
        <v>407.29999999999995</v>
      </c>
      <c r="M2605" s="15">
        <f t="shared" si="233"/>
        <v>5600.3749999999991</v>
      </c>
      <c r="N2605" t="str">
        <f t="shared" si="230"/>
        <v>AL</v>
      </c>
      <c r="O2605" t="str">
        <f t="shared" si="231"/>
        <v>Maceió</v>
      </c>
    </row>
    <row r="2606" spans="1:15" x14ac:dyDescent="0.3">
      <c r="A2606" s="10">
        <v>46054</v>
      </c>
      <c r="B2606" s="9" t="s">
        <v>46</v>
      </c>
      <c r="C2606" t="s">
        <v>47</v>
      </c>
      <c r="D2606" s="9">
        <v>19693</v>
      </c>
      <c r="E2606" s="5" t="s">
        <v>411</v>
      </c>
      <c r="F2606" t="s">
        <v>51</v>
      </c>
      <c r="G2606">
        <v>1966</v>
      </c>
      <c r="H2606">
        <v>641</v>
      </c>
      <c r="I2606" s="8">
        <f t="shared" si="232"/>
        <v>0.32604272634791454</v>
      </c>
      <c r="J2606" s="17">
        <v>0.7</v>
      </c>
      <c r="K2606" s="12">
        <v>13.75</v>
      </c>
      <c r="L2606" s="2">
        <v>735.2</v>
      </c>
      <c r="M2606" s="15">
        <f t="shared" si="233"/>
        <v>10109</v>
      </c>
      <c r="N2606" t="str">
        <f t="shared" si="230"/>
        <v>DF</v>
      </c>
      <c r="O2606" t="str">
        <f t="shared" si="231"/>
        <v>Brasília</v>
      </c>
    </row>
    <row r="2607" spans="1:15" x14ac:dyDescent="0.3">
      <c r="A2607" s="10">
        <v>46054</v>
      </c>
      <c r="B2607" s="9" t="s">
        <v>78</v>
      </c>
      <c r="C2607" t="s">
        <v>79</v>
      </c>
      <c r="D2607" s="9">
        <v>19730</v>
      </c>
      <c r="E2607" s="5" t="s">
        <v>413</v>
      </c>
      <c r="F2607" t="s">
        <v>80</v>
      </c>
      <c r="G2607">
        <v>2487</v>
      </c>
      <c r="H2607">
        <v>1129</v>
      </c>
      <c r="I2607" s="8">
        <f t="shared" si="232"/>
        <v>0.45396059509449138</v>
      </c>
      <c r="J2607" s="17">
        <v>0.7</v>
      </c>
      <c r="K2607" s="12">
        <v>13.75</v>
      </c>
      <c r="L2607" s="2">
        <v>611.89999999999986</v>
      </c>
      <c r="M2607" s="15">
        <f t="shared" si="233"/>
        <v>8413.6249999999982</v>
      </c>
      <c r="N2607" t="str">
        <f t="shared" si="230"/>
        <v>MT</v>
      </c>
      <c r="O2607" t="str">
        <f t="shared" si="231"/>
        <v>Cuiabá</v>
      </c>
    </row>
    <row r="2608" spans="1:15" x14ac:dyDescent="0.3">
      <c r="A2608" s="10">
        <v>46054</v>
      </c>
      <c r="B2608" s="9" t="s">
        <v>78</v>
      </c>
      <c r="C2608" t="s">
        <v>79</v>
      </c>
      <c r="D2608" s="9">
        <v>19794</v>
      </c>
      <c r="E2608" s="5" t="s">
        <v>414</v>
      </c>
      <c r="F2608" t="s">
        <v>81</v>
      </c>
      <c r="G2608">
        <v>2307</v>
      </c>
      <c r="H2608">
        <v>931</v>
      </c>
      <c r="I2608" s="8">
        <f t="shared" si="232"/>
        <v>0.40355439965322931</v>
      </c>
      <c r="J2608" s="17">
        <v>0.7</v>
      </c>
      <c r="K2608" s="12">
        <v>13.75</v>
      </c>
      <c r="L2608" s="2">
        <v>683.89999999999986</v>
      </c>
      <c r="M2608" s="15">
        <f t="shared" si="233"/>
        <v>9403.6249999999982</v>
      </c>
      <c r="N2608" t="str">
        <f t="shared" si="230"/>
        <v>MT</v>
      </c>
      <c r="O2608" t="str">
        <f t="shared" si="231"/>
        <v>Cuiabá</v>
      </c>
    </row>
    <row r="2609" spans="1:15" x14ac:dyDescent="0.3">
      <c r="A2609" s="10">
        <v>46054</v>
      </c>
      <c r="B2609" s="9" t="s">
        <v>7</v>
      </c>
      <c r="C2609" t="s">
        <v>99</v>
      </c>
      <c r="D2609" s="9">
        <v>19691</v>
      </c>
      <c r="E2609" s="5" t="s">
        <v>415</v>
      </c>
      <c r="F2609" t="s">
        <v>100</v>
      </c>
      <c r="G2609">
        <v>2103</v>
      </c>
      <c r="H2609">
        <v>874</v>
      </c>
      <c r="I2609" s="8">
        <f t="shared" si="232"/>
        <v>0.41559676652401334</v>
      </c>
      <c r="J2609" s="17">
        <v>0.7</v>
      </c>
      <c r="K2609" s="12">
        <v>13.75</v>
      </c>
      <c r="L2609" s="2">
        <v>598.09999999999991</v>
      </c>
      <c r="M2609" s="15">
        <f t="shared" si="233"/>
        <v>8223.8749999999982</v>
      </c>
      <c r="N2609" t="str">
        <f t="shared" si="230"/>
        <v>GO</v>
      </c>
      <c r="O2609" t="str">
        <f t="shared" si="231"/>
        <v>Goiânia</v>
      </c>
    </row>
    <row r="2610" spans="1:15" x14ac:dyDescent="0.3">
      <c r="A2610" s="10">
        <v>46054</v>
      </c>
      <c r="B2610" s="9" t="s">
        <v>15</v>
      </c>
      <c r="C2610" t="s">
        <v>319</v>
      </c>
      <c r="D2610" s="9">
        <v>19505</v>
      </c>
      <c r="E2610" s="5" t="s">
        <v>416</v>
      </c>
      <c r="F2610" t="s">
        <v>204</v>
      </c>
      <c r="G2610">
        <v>2317</v>
      </c>
      <c r="H2610">
        <v>907</v>
      </c>
      <c r="I2610" s="8">
        <f t="shared" si="232"/>
        <v>0.39145446698316788</v>
      </c>
      <c r="J2610" s="17">
        <v>0.7</v>
      </c>
      <c r="K2610" s="12">
        <v>13.75</v>
      </c>
      <c r="L2610" s="2">
        <v>714.89999999999986</v>
      </c>
      <c r="M2610" s="15">
        <f t="shared" si="233"/>
        <v>9829.8749999999982</v>
      </c>
      <c r="N2610" t="str">
        <f t="shared" si="230"/>
        <v>RJ</v>
      </c>
      <c r="O2610" t="str">
        <f t="shared" si="231"/>
        <v>Rio de Janeiro</v>
      </c>
    </row>
    <row r="2611" spans="1:15" x14ac:dyDescent="0.3">
      <c r="A2611" s="10">
        <v>46054</v>
      </c>
      <c r="B2611" s="9" t="s">
        <v>15</v>
      </c>
      <c r="C2611" t="s">
        <v>319</v>
      </c>
      <c r="D2611" s="9">
        <v>19515</v>
      </c>
      <c r="E2611" s="5" t="s">
        <v>417</v>
      </c>
      <c r="F2611" t="s">
        <v>205</v>
      </c>
      <c r="G2611">
        <v>3242</v>
      </c>
      <c r="H2611">
        <v>1240</v>
      </c>
      <c r="I2611" s="8">
        <f t="shared" si="232"/>
        <v>0.38247995064774831</v>
      </c>
      <c r="J2611" s="17">
        <v>0.7</v>
      </c>
      <c r="K2611" s="12">
        <v>13.75</v>
      </c>
      <c r="L2611" s="2">
        <v>1029.4000000000001</v>
      </c>
      <c r="M2611" s="15">
        <f t="shared" si="233"/>
        <v>14154.250000000002</v>
      </c>
      <c r="N2611" t="str">
        <f t="shared" si="230"/>
        <v>RJ</v>
      </c>
      <c r="O2611" t="str">
        <f t="shared" si="231"/>
        <v>Rio de Janeiro</v>
      </c>
    </row>
    <row r="2612" spans="1:15" x14ac:dyDescent="0.3">
      <c r="A2612" s="10">
        <v>46054</v>
      </c>
      <c r="B2612" s="9" t="s">
        <v>15</v>
      </c>
      <c r="C2612" t="s">
        <v>319</v>
      </c>
      <c r="D2612" s="9">
        <v>19519</v>
      </c>
      <c r="E2612" s="5" t="s">
        <v>418</v>
      </c>
      <c r="F2612" t="s">
        <v>206</v>
      </c>
      <c r="G2612">
        <v>5969</v>
      </c>
      <c r="H2612">
        <v>2601</v>
      </c>
      <c r="I2612" s="8">
        <f t="shared" si="232"/>
        <v>0.43575138214106213</v>
      </c>
      <c r="J2612" s="17">
        <v>0.7</v>
      </c>
      <c r="K2612" s="12">
        <v>13.75</v>
      </c>
      <c r="L2612" s="2">
        <v>1577.3000000000002</v>
      </c>
      <c r="M2612" s="15">
        <f t="shared" si="233"/>
        <v>21687.875000000004</v>
      </c>
      <c r="N2612" t="str">
        <f t="shared" si="230"/>
        <v>RJ</v>
      </c>
      <c r="O2612" t="str">
        <f t="shared" si="231"/>
        <v>Rio de Janeiro</v>
      </c>
    </row>
    <row r="2613" spans="1:15" x14ac:dyDescent="0.3">
      <c r="A2613" s="10">
        <v>46054</v>
      </c>
      <c r="B2613" s="9" t="s">
        <v>15</v>
      </c>
      <c r="C2613" t="s">
        <v>319</v>
      </c>
      <c r="D2613" s="9">
        <v>19518</v>
      </c>
      <c r="E2613" s="5" t="s">
        <v>419</v>
      </c>
      <c r="F2613" t="s">
        <v>207</v>
      </c>
      <c r="G2613">
        <v>4309</v>
      </c>
      <c r="H2613">
        <v>1818</v>
      </c>
      <c r="I2613" s="8">
        <f t="shared" si="232"/>
        <v>0.42190763518217683</v>
      </c>
      <c r="J2613" s="17">
        <v>0.7</v>
      </c>
      <c r="K2613" s="12">
        <v>13.75</v>
      </c>
      <c r="L2613" s="2">
        <v>1198.2999999999997</v>
      </c>
      <c r="M2613" s="15">
        <f t="shared" si="233"/>
        <v>16476.624999999996</v>
      </c>
      <c r="N2613" t="str">
        <f t="shared" si="230"/>
        <v>RJ</v>
      </c>
      <c r="O2613" t="str">
        <f t="shared" si="231"/>
        <v>Rio de Janeiro</v>
      </c>
    </row>
    <row r="2614" spans="1:15" x14ac:dyDescent="0.3">
      <c r="A2614" s="10">
        <v>46054</v>
      </c>
      <c r="B2614" s="9" t="s">
        <v>15</v>
      </c>
      <c r="C2614" t="s">
        <v>319</v>
      </c>
      <c r="D2614" s="9">
        <v>19507</v>
      </c>
      <c r="E2614" s="5" t="s">
        <v>420</v>
      </c>
      <c r="F2614" t="s">
        <v>208</v>
      </c>
      <c r="G2614">
        <v>3205</v>
      </c>
      <c r="H2614">
        <v>1187</v>
      </c>
      <c r="I2614" s="8">
        <f t="shared" si="232"/>
        <v>0.37035881435257412</v>
      </c>
      <c r="J2614" s="17">
        <v>0.7</v>
      </c>
      <c r="K2614" s="12">
        <v>13.75</v>
      </c>
      <c r="L2614" s="2">
        <v>1056.5</v>
      </c>
      <c r="M2614" s="15">
        <f t="shared" si="233"/>
        <v>14526.875</v>
      </c>
      <c r="N2614" t="str">
        <f t="shared" si="230"/>
        <v>RJ</v>
      </c>
      <c r="O2614" t="str">
        <f t="shared" si="231"/>
        <v>Rio de Janeiro</v>
      </c>
    </row>
    <row r="2615" spans="1:15" x14ac:dyDescent="0.3">
      <c r="A2615" s="10">
        <v>46054</v>
      </c>
      <c r="B2615" s="9" t="s">
        <v>15</v>
      </c>
      <c r="C2615" t="s">
        <v>319</v>
      </c>
      <c r="D2615" s="9">
        <v>19714</v>
      </c>
      <c r="E2615" s="5" t="s">
        <v>421</v>
      </c>
      <c r="F2615" t="s">
        <v>209</v>
      </c>
      <c r="G2615">
        <v>2377</v>
      </c>
      <c r="H2615">
        <v>878</v>
      </c>
      <c r="I2615" s="8">
        <f t="shared" si="232"/>
        <v>0.36937315944467819</v>
      </c>
      <c r="J2615" s="17">
        <v>0.7</v>
      </c>
      <c r="K2615" s="12">
        <v>13.75</v>
      </c>
      <c r="L2615" s="2">
        <v>785.89999999999964</v>
      </c>
      <c r="M2615" s="15">
        <f t="shared" si="233"/>
        <v>10806.124999999995</v>
      </c>
      <c r="N2615" t="str">
        <f t="shared" si="230"/>
        <v>RJ</v>
      </c>
      <c r="O2615" t="str">
        <f t="shared" si="231"/>
        <v>Rio de Janeiro</v>
      </c>
    </row>
    <row r="2616" spans="1:15" x14ac:dyDescent="0.3">
      <c r="A2616" s="10">
        <v>46054</v>
      </c>
      <c r="B2616" s="9" t="s">
        <v>15</v>
      </c>
      <c r="C2616" t="s">
        <v>319</v>
      </c>
      <c r="D2616" s="9">
        <v>19844</v>
      </c>
      <c r="E2616" s="5" t="s">
        <v>428</v>
      </c>
      <c r="F2616" t="s">
        <v>210</v>
      </c>
      <c r="G2616">
        <v>2035</v>
      </c>
      <c r="H2616">
        <v>868</v>
      </c>
      <c r="I2616" s="8">
        <f t="shared" si="232"/>
        <v>0.42653562653562654</v>
      </c>
      <c r="J2616" s="17">
        <v>0.7</v>
      </c>
      <c r="K2616" s="12">
        <v>13.75</v>
      </c>
      <c r="L2616" s="2">
        <v>556.49999999999977</v>
      </c>
      <c r="M2616" s="15">
        <f t="shared" si="233"/>
        <v>7651.8749999999973</v>
      </c>
      <c r="N2616" t="str">
        <f t="shared" si="230"/>
        <v>RJ</v>
      </c>
      <c r="O2616" t="str">
        <f t="shared" si="231"/>
        <v>Rio de Janeiro</v>
      </c>
    </row>
    <row r="2617" spans="1:15" x14ac:dyDescent="0.3">
      <c r="A2617" s="10">
        <v>46054</v>
      </c>
      <c r="B2617" s="9" t="s">
        <v>14</v>
      </c>
      <c r="C2617" t="s">
        <v>29</v>
      </c>
      <c r="D2617" s="9">
        <v>19793</v>
      </c>
      <c r="E2617" s="5" t="s">
        <v>611</v>
      </c>
      <c r="F2617" t="s">
        <v>39</v>
      </c>
      <c r="G2617">
        <v>1447</v>
      </c>
      <c r="H2617">
        <v>666</v>
      </c>
      <c r="I2617" s="8">
        <f t="shared" si="232"/>
        <v>0.46026261230131305</v>
      </c>
      <c r="J2617" s="17">
        <v>0.7</v>
      </c>
      <c r="K2617" s="12">
        <v>13.75</v>
      </c>
      <c r="L2617" s="2">
        <v>346.9</v>
      </c>
      <c r="M2617" s="15">
        <f t="shared" si="233"/>
        <v>4769.875</v>
      </c>
      <c r="N2617" t="str">
        <f t="shared" si="230"/>
        <v>MG</v>
      </c>
      <c r="O2617" t="str">
        <f t="shared" si="231"/>
        <v>Belo Horizonte</v>
      </c>
    </row>
    <row r="2618" spans="1:15" x14ac:dyDescent="0.3">
      <c r="A2618" s="10">
        <v>46054</v>
      </c>
      <c r="B2618" s="9" t="s">
        <v>14</v>
      </c>
      <c r="C2618" t="s">
        <v>29</v>
      </c>
      <c r="D2618" s="9">
        <v>19704</v>
      </c>
      <c r="E2618" s="5" t="s">
        <v>429</v>
      </c>
      <c r="F2618" t="s">
        <v>30</v>
      </c>
      <c r="G2618">
        <v>3332</v>
      </c>
      <c r="H2618">
        <v>1664</v>
      </c>
      <c r="I2618" s="8">
        <f t="shared" si="232"/>
        <v>0.49939975990396157</v>
      </c>
      <c r="J2618" s="17">
        <v>0.7</v>
      </c>
      <c r="K2618" s="12">
        <v>13.75</v>
      </c>
      <c r="L2618" s="2">
        <v>668.40000000000009</v>
      </c>
      <c r="M2618" s="15">
        <f t="shared" si="233"/>
        <v>9190.5000000000018</v>
      </c>
      <c r="N2618" t="str">
        <f t="shared" si="230"/>
        <v>MG</v>
      </c>
      <c r="O2618" t="str">
        <f t="shared" si="231"/>
        <v>Belo Horizonte</v>
      </c>
    </row>
    <row r="2619" spans="1:15" x14ac:dyDescent="0.3">
      <c r="A2619" s="10">
        <v>46054</v>
      </c>
      <c r="B2619" s="9" t="s">
        <v>15</v>
      </c>
      <c r="C2619" t="s">
        <v>319</v>
      </c>
      <c r="D2619" s="9">
        <v>19512</v>
      </c>
      <c r="E2619" s="5" t="s">
        <v>430</v>
      </c>
      <c r="F2619" t="s">
        <v>211</v>
      </c>
      <c r="G2619">
        <v>1709</v>
      </c>
      <c r="H2619">
        <v>684</v>
      </c>
      <c r="I2619" s="8">
        <f t="shared" si="232"/>
        <v>0.40023405500292569</v>
      </c>
      <c r="J2619" s="17">
        <v>0.7</v>
      </c>
      <c r="K2619" s="12">
        <v>13.75</v>
      </c>
      <c r="L2619" s="2">
        <v>512.29999999999995</v>
      </c>
      <c r="M2619" s="15">
        <f t="shared" si="233"/>
        <v>7044.1249999999991</v>
      </c>
      <c r="N2619" t="str">
        <f t="shared" si="230"/>
        <v>RJ</v>
      </c>
      <c r="O2619" t="str">
        <f t="shared" si="231"/>
        <v>Rio de Janeiro</v>
      </c>
    </row>
    <row r="2620" spans="1:15" x14ac:dyDescent="0.3">
      <c r="A2620" s="10">
        <v>46054</v>
      </c>
      <c r="B2620" s="9" t="s">
        <v>14</v>
      </c>
      <c r="C2620" t="s">
        <v>29</v>
      </c>
      <c r="D2620" s="9">
        <v>19562</v>
      </c>
      <c r="E2620" s="5" t="s">
        <v>431</v>
      </c>
      <c r="F2620" t="s">
        <v>31</v>
      </c>
      <c r="G2620">
        <v>1794</v>
      </c>
      <c r="H2620">
        <v>825</v>
      </c>
      <c r="I2620" s="8">
        <f t="shared" si="232"/>
        <v>0.45986622073578598</v>
      </c>
      <c r="J2620" s="17">
        <v>0.7</v>
      </c>
      <c r="K2620" s="12">
        <v>13.75</v>
      </c>
      <c r="L2620" s="2">
        <v>430.79999999999995</v>
      </c>
      <c r="M2620" s="15">
        <f t="shared" si="233"/>
        <v>5923.4999999999991</v>
      </c>
      <c r="N2620" t="str">
        <f t="shared" si="230"/>
        <v>MG</v>
      </c>
      <c r="O2620" t="str">
        <f t="shared" si="231"/>
        <v>Belo Horizonte</v>
      </c>
    </row>
    <row r="2621" spans="1:15" x14ac:dyDescent="0.3">
      <c r="A2621" s="10">
        <v>46054</v>
      </c>
      <c r="B2621" s="9" t="s">
        <v>14</v>
      </c>
      <c r="C2621" t="s">
        <v>29</v>
      </c>
      <c r="D2621" s="9">
        <v>19748</v>
      </c>
      <c r="E2621" s="5" t="s">
        <v>432</v>
      </c>
      <c r="F2621" t="s">
        <v>32</v>
      </c>
      <c r="G2621">
        <v>1944</v>
      </c>
      <c r="H2621">
        <v>876</v>
      </c>
      <c r="I2621" s="8">
        <f t="shared" si="232"/>
        <v>0.45061728395061729</v>
      </c>
      <c r="J2621" s="17">
        <v>0.7</v>
      </c>
      <c r="K2621" s="12">
        <v>13.75</v>
      </c>
      <c r="L2621" s="2">
        <v>484.79999999999973</v>
      </c>
      <c r="M2621" s="15">
        <f t="shared" si="233"/>
        <v>6665.9999999999964</v>
      </c>
      <c r="N2621" t="str">
        <f t="shared" si="230"/>
        <v>MG</v>
      </c>
      <c r="O2621" t="str">
        <f t="shared" si="231"/>
        <v>Belo Horizonte</v>
      </c>
    </row>
    <row r="2622" spans="1:15" x14ac:dyDescent="0.3">
      <c r="A2622" s="10">
        <v>46054</v>
      </c>
      <c r="B2622" s="9" t="s">
        <v>14</v>
      </c>
      <c r="C2622" t="s">
        <v>29</v>
      </c>
      <c r="D2622" s="9">
        <v>19561</v>
      </c>
      <c r="E2622" s="5" t="s">
        <v>433</v>
      </c>
      <c r="F2622" t="s">
        <v>33</v>
      </c>
      <c r="G2622">
        <v>1416</v>
      </c>
      <c r="H2622">
        <v>558</v>
      </c>
      <c r="I2622" s="8">
        <f t="shared" si="232"/>
        <v>0.3940677966101695</v>
      </c>
      <c r="J2622" s="17">
        <v>0.7</v>
      </c>
      <c r="K2622" s="12">
        <v>13.75</v>
      </c>
      <c r="L2622" s="2">
        <v>433.19999999999993</v>
      </c>
      <c r="M2622" s="15">
        <f t="shared" si="233"/>
        <v>5956.4999999999991</v>
      </c>
      <c r="N2622" t="str">
        <f t="shared" si="230"/>
        <v>MG</v>
      </c>
      <c r="O2622" t="str">
        <f t="shared" si="231"/>
        <v>Belo Horizonte</v>
      </c>
    </row>
    <row r="2623" spans="1:15" x14ac:dyDescent="0.3">
      <c r="A2623" s="10">
        <v>46054</v>
      </c>
      <c r="B2623" s="9" t="s">
        <v>14</v>
      </c>
      <c r="C2623" t="s">
        <v>29</v>
      </c>
      <c r="D2623" s="9">
        <v>19560</v>
      </c>
      <c r="E2623" s="5" t="s">
        <v>435</v>
      </c>
      <c r="F2623" t="s">
        <v>34</v>
      </c>
      <c r="G2623">
        <v>4027</v>
      </c>
      <c r="H2623">
        <v>1636</v>
      </c>
      <c r="I2623" s="8">
        <f t="shared" si="232"/>
        <v>0.40625776011919545</v>
      </c>
      <c r="J2623" s="17">
        <v>0.7</v>
      </c>
      <c r="K2623" s="12">
        <v>13.75</v>
      </c>
      <c r="L2623" s="2">
        <v>1182.8999999999992</v>
      </c>
      <c r="M2623" s="15">
        <f t="shared" si="233"/>
        <v>16264.874999999989</v>
      </c>
      <c r="N2623" t="str">
        <f t="shared" si="230"/>
        <v>MG</v>
      </c>
      <c r="O2623" t="str">
        <f t="shared" si="231"/>
        <v>Belo Horizonte</v>
      </c>
    </row>
    <row r="2624" spans="1:15" x14ac:dyDescent="0.3">
      <c r="A2624" s="10">
        <v>46054</v>
      </c>
      <c r="B2624" s="9" t="s">
        <v>15</v>
      </c>
      <c r="C2624" t="s">
        <v>319</v>
      </c>
      <c r="D2624" s="9">
        <v>19508</v>
      </c>
      <c r="E2624" s="5" t="s">
        <v>444</v>
      </c>
      <c r="F2624" t="s">
        <v>212</v>
      </c>
      <c r="G2624">
        <v>2352</v>
      </c>
      <c r="H2624">
        <v>984</v>
      </c>
      <c r="I2624" s="8">
        <f t="shared" si="232"/>
        <v>0.41836734693877553</v>
      </c>
      <c r="J2624" s="17">
        <v>0.7</v>
      </c>
      <c r="K2624" s="12">
        <v>13.75</v>
      </c>
      <c r="L2624" s="2">
        <v>662.39999999999986</v>
      </c>
      <c r="M2624" s="15">
        <f t="shared" si="233"/>
        <v>9107.9999999999982</v>
      </c>
      <c r="N2624" t="str">
        <f t="shared" si="230"/>
        <v>RJ</v>
      </c>
      <c r="O2624" t="str">
        <f t="shared" si="231"/>
        <v>Rio de Janeiro</v>
      </c>
    </row>
    <row r="2625" spans="1:15" x14ac:dyDescent="0.3">
      <c r="A2625" s="10">
        <v>46054</v>
      </c>
      <c r="B2625" s="9" t="s">
        <v>15</v>
      </c>
      <c r="C2625" t="s">
        <v>319</v>
      </c>
      <c r="D2625" s="9">
        <v>19894</v>
      </c>
      <c r="E2625" s="5" t="s">
        <v>446</v>
      </c>
      <c r="F2625" t="s">
        <v>213</v>
      </c>
      <c r="G2625">
        <v>2393</v>
      </c>
      <c r="H2625">
        <v>851</v>
      </c>
      <c r="I2625" s="8">
        <f t="shared" si="232"/>
        <v>0.35562055996656916</v>
      </c>
      <c r="J2625" s="17">
        <v>0.7</v>
      </c>
      <c r="K2625" s="12">
        <v>13.75</v>
      </c>
      <c r="L2625" s="2">
        <v>824.09999999999991</v>
      </c>
      <c r="M2625" s="15">
        <f t="shared" si="233"/>
        <v>11331.374999999998</v>
      </c>
      <c r="N2625" t="str">
        <f t="shared" si="230"/>
        <v>RJ</v>
      </c>
      <c r="O2625" t="str">
        <f t="shared" si="231"/>
        <v>Rio de Janeiro</v>
      </c>
    </row>
    <row r="2626" spans="1:15" x14ac:dyDescent="0.3">
      <c r="A2626" s="10">
        <v>46054</v>
      </c>
      <c r="B2626" s="9" t="s">
        <v>15</v>
      </c>
      <c r="C2626" t="s">
        <v>319</v>
      </c>
      <c r="D2626" s="9">
        <v>19526</v>
      </c>
      <c r="E2626" s="5" t="s">
        <v>447</v>
      </c>
      <c r="F2626" t="s">
        <v>214</v>
      </c>
      <c r="G2626">
        <v>1622</v>
      </c>
      <c r="H2626">
        <v>609</v>
      </c>
      <c r="I2626" s="8">
        <f t="shared" si="232"/>
        <v>0.37546239210850801</v>
      </c>
      <c r="J2626" s="17">
        <v>0.7</v>
      </c>
      <c r="K2626" s="12">
        <v>13.75</v>
      </c>
      <c r="L2626" s="2">
        <v>526.39999999999986</v>
      </c>
      <c r="M2626" s="15">
        <f t="shared" si="233"/>
        <v>7237.9999999999982</v>
      </c>
      <c r="N2626" t="str">
        <f t="shared" ref="N2626:N2689" si="234">B2626</f>
        <v>RJ</v>
      </c>
      <c r="O2626" t="str">
        <f t="shared" ref="O2626:O2689" si="235">C2626</f>
        <v>Rio de Janeiro</v>
      </c>
    </row>
    <row r="2627" spans="1:15" x14ac:dyDescent="0.3">
      <c r="A2627" s="10">
        <v>46054</v>
      </c>
      <c r="B2627" s="9" t="s">
        <v>15</v>
      </c>
      <c r="C2627" t="s">
        <v>319</v>
      </c>
      <c r="D2627" s="9">
        <v>19509</v>
      </c>
      <c r="E2627" s="5" t="s">
        <v>448</v>
      </c>
      <c r="F2627" t="s">
        <v>215</v>
      </c>
      <c r="G2627">
        <v>1096</v>
      </c>
      <c r="H2627">
        <v>375</v>
      </c>
      <c r="I2627" s="8">
        <f t="shared" ref="I2627:I2690" si="236">H2627/G2627</f>
        <v>0.34215328467153283</v>
      </c>
      <c r="J2627" s="17">
        <v>0.7</v>
      </c>
      <c r="K2627" s="12">
        <v>13.75</v>
      </c>
      <c r="L2627" s="2">
        <v>392.20000000000005</v>
      </c>
      <c r="M2627" s="15">
        <f t="shared" ref="M2627:M2690" si="237">L2627*K2627</f>
        <v>5392.7500000000009</v>
      </c>
      <c r="N2627" t="str">
        <f t="shared" si="234"/>
        <v>RJ</v>
      </c>
      <c r="O2627" t="str">
        <f t="shared" si="235"/>
        <v>Rio de Janeiro</v>
      </c>
    </row>
    <row r="2628" spans="1:15" x14ac:dyDescent="0.3">
      <c r="A2628" s="10">
        <v>46054</v>
      </c>
      <c r="B2628" s="9" t="s">
        <v>15</v>
      </c>
      <c r="C2628" t="s">
        <v>319</v>
      </c>
      <c r="D2628" s="9">
        <v>19635</v>
      </c>
      <c r="E2628" s="5" t="s">
        <v>452</v>
      </c>
      <c r="F2628" t="s">
        <v>216</v>
      </c>
      <c r="G2628">
        <v>1739</v>
      </c>
      <c r="H2628">
        <v>800</v>
      </c>
      <c r="I2628" s="8">
        <f t="shared" si="236"/>
        <v>0.46003450258769407</v>
      </c>
      <c r="J2628" s="17">
        <v>0.7</v>
      </c>
      <c r="K2628" s="12">
        <v>13.75</v>
      </c>
      <c r="L2628" s="2">
        <v>417.29999999999995</v>
      </c>
      <c r="M2628" s="15">
        <f t="shared" si="237"/>
        <v>5737.8749999999991</v>
      </c>
      <c r="N2628" t="str">
        <f t="shared" si="234"/>
        <v>RJ</v>
      </c>
      <c r="O2628" t="str">
        <f t="shared" si="235"/>
        <v>Rio de Janeiro</v>
      </c>
    </row>
    <row r="2629" spans="1:15" x14ac:dyDescent="0.3">
      <c r="A2629" s="10">
        <v>46054</v>
      </c>
      <c r="B2629" s="9" t="s">
        <v>15</v>
      </c>
      <c r="C2629" t="s">
        <v>319</v>
      </c>
      <c r="D2629" s="9">
        <v>19665</v>
      </c>
      <c r="E2629" s="5" t="s">
        <v>453</v>
      </c>
      <c r="F2629" t="s">
        <v>217</v>
      </c>
      <c r="G2629">
        <v>1768</v>
      </c>
      <c r="H2629">
        <v>648</v>
      </c>
      <c r="I2629" s="8">
        <f t="shared" si="236"/>
        <v>0.36651583710407237</v>
      </c>
      <c r="J2629" s="17">
        <v>0.7</v>
      </c>
      <c r="K2629" s="12">
        <v>13.75</v>
      </c>
      <c r="L2629" s="2">
        <v>589.59999999999991</v>
      </c>
      <c r="M2629" s="15">
        <f t="shared" si="237"/>
        <v>8106.9999999999991</v>
      </c>
      <c r="N2629" t="str">
        <f t="shared" si="234"/>
        <v>RJ</v>
      </c>
      <c r="O2629" t="str">
        <f t="shared" si="235"/>
        <v>Rio de Janeiro</v>
      </c>
    </row>
    <row r="2630" spans="1:15" x14ac:dyDescent="0.3">
      <c r="A2630" s="10">
        <v>46054</v>
      </c>
      <c r="B2630" s="9" t="s">
        <v>15</v>
      </c>
      <c r="C2630" t="s">
        <v>319</v>
      </c>
      <c r="D2630" s="9">
        <v>19504</v>
      </c>
      <c r="E2630" s="5" t="s">
        <v>454</v>
      </c>
      <c r="F2630" t="s">
        <v>218</v>
      </c>
      <c r="G2630">
        <v>2966</v>
      </c>
      <c r="H2630">
        <v>1192</v>
      </c>
      <c r="I2630" s="8">
        <f t="shared" si="236"/>
        <v>0.40188806473364802</v>
      </c>
      <c r="J2630" s="17">
        <v>0.7</v>
      </c>
      <c r="K2630" s="12">
        <v>13.75</v>
      </c>
      <c r="L2630" s="2">
        <v>884.19999999999982</v>
      </c>
      <c r="M2630" s="15">
        <f t="shared" si="237"/>
        <v>12157.749999999998</v>
      </c>
      <c r="N2630" t="str">
        <f t="shared" si="234"/>
        <v>RJ</v>
      </c>
      <c r="O2630" t="str">
        <f t="shared" si="235"/>
        <v>Rio de Janeiro</v>
      </c>
    </row>
    <row r="2631" spans="1:15" x14ac:dyDescent="0.3">
      <c r="A2631" s="10">
        <v>46054</v>
      </c>
      <c r="B2631" s="9" t="s">
        <v>15</v>
      </c>
      <c r="C2631" t="s">
        <v>319</v>
      </c>
      <c r="D2631" s="9">
        <v>19511</v>
      </c>
      <c r="E2631" s="5" t="s">
        <v>455</v>
      </c>
      <c r="F2631" t="s">
        <v>219</v>
      </c>
      <c r="G2631">
        <v>2715</v>
      </c>
      <c r="H2631">
        <v>1109</v>
      </c>
      <c r="I2631" s="8">
        <f t="shared" si="236"/>
        <v>0.40847145488029468</v>
      </c>
      <c r="J2631" s="17">
        <v>0.7</v>
      </c>
      <c r="K2631" s="12">
        <v>13.75</v>
      </c>
      <c r="L2631" s="2">
        <v>791.49999999999977</v>
      </c>
      <c r="M2631" s="15">
        <f t="shared" si="237"/>
        <v>10883.124999999996</v>
      </c>
      <c r="N2631" t="str">
        <f t="shared" si="234"/>
        <v>RJ</v>
      </c>
      <c r="O2631" t="str">
        <f t="shared" si="235"/>
        <v>Rio de Janeiro</v>
      </c>
    </row>
    <row r="2632" spans="1:15" x14ac:dyDescent="0.3">
      <c r="A2632" s="10">
        <v>46054</v>
      </c>
      <c r="B2632" s="9" t="s">
        <v>14</v>
      </c>
      <c r="C2632" t="s">
        <v>285</v>
      </c>
      <c r="D2632" s="9">
        <v>19698</v>
      </c>
      <c r="E2632" s="5" t="s">
        <v>456</v>
      </c>
      <c r="F2632" t="s">
        <v>331</v>
      </c>
      <c r="G2632">
        <v>1887</v>
      </c>
      <c r="H2632">
        <v>689</v>
      </c>
      <c r="I2632" s="8">
        <f t="shared" si="236"/>
        <v>0.36512983571807101</v>
      </c>
      <c r="J2632" s="17">
        <v>0.7</v>
      </c>
      <c r="K2632" s="12">
        <v>13.75</v>
      </c>
      <c r="L2632" s="2">
        <v>631.89999999999986</v>
      </c>
      <c r="M2632" s="15">
        <f t="shared" si="237"/>
        <v>8688.6249999999982</v>
      </c>
      <c r="N2632" t="str">
        <f t="shared" si="234"/>
        <v>MG</v>
      </c>
      <c r="O2632" t="str">
        <f t="shared" si="235"/>
        <v>Uberlândia</v>
      </c>
    </row>
    <row r="2633" spans="1:15" x14ac:dyDescent="0.3">
      <c r="A2633" s="10">
        <v>46054</v>
      </c>
      <c r="B2633" s="9" t="s">
        <v>15</v>
      </c>
      <c r="C2633" t="s">
        <v>319</v>
      </c>
      <c r="D2633" s="9">
        <v>19506</v>
      </c>
      <c r="E2633" s="5" t="s">
        <v>457</v>
      </c>
      <c r="F2633" t="s">
        <v>220</v>
      </c>
      <c r="G2633">
        <v>2472</v>
      </c>
      <c r="H2633">
        <v>956</v>
      </c>
      <c r="I2633" s="8">
        <f t="shared" si="236"/>
        <v>0.38673139158576053</v>
      </c>
      <c r="J2633" s="17">
        <v>0.7</v>
      </c>
      <c r="K2633" s="12">
        <v>13.75</v>
      </c>
      <c r="L2633" s="2">
        <v>774.39999999999986</v>
      </c>
      <c r="M2633" s="15">
        <f t="shared" si="237"/>
        <v>10647.999999999998</v>
      </c>
      <c r="N2633" t="str">
        <f t="shared" si="234"/>
        <v>RJ</v>
      </c>
      <c r="O2633" t="str">
        <f t="shared" si="235"/>
        <v>Rio de Janeiro</v>
      </c>
    </row>
    <row r="2634" spans="1:15" x14ac:dyDescent="0.3">
      <c r="A2634" s="10">
        <v>46054</v>
      </c>
      <c r="B2634" s="9" t="s">
        <v>7</v>
      </c>
      <c r="C2634" t="s">
        <v>8</v>
      </c>
      <c r="D2634" s="9">
        <v>19700</v>
      </c>
      <c r="E2634" s="5" t="s">
        <v>458</v>
      </c>
      <c r="F2634" t="s">
        <v>9</v>
      </c>
      <c r="G2634">
        <v>1479</v>
      </c>
      <c r="H2634">
        <v>486</v>
      </c>
      <c r="I2634" s="8">
        <f t="shared" si="236"/>
        <v>0.32860040567951321</v>
      </c>
      <c r="J2634" s="17">
        <v>0.7</v>
      </c>
      <c r="K2634" s="12">
        <v>13.75</v>
      </c>
      <c r="L2634" s="2">
        <v>549.29999999999995</v>
      </c>
      <c r="M2634" s="15">
        <f t="shared" si="237"/>
        <v>7552.8749999999991</v>
      </c>
      <c r="N2634" t="str">
        <f t="shared" si="234"/>
        <v>GO</v>
      </c>
      <c r="O2634" t="str">
        <f t="shared" si="235"/>
        <v>Anápolis</v>
      </c>
    </row>
    <row r="2635" spans="1:15" x14ac:dyDescent="0.3">
      <c r="A2635" s="10">
        <v>46054</v>
      </c>
      <c r="B2635" s="9" t="s">
        <v>14</v>
      </c>
      <c r="C2635" t="s">
        <v>29</v>
      </c>
      <c r="D2635" s="9">
        <v>19697</v>
      </c>
      <c r="E2635" s="5" t="s">
        <v>459</v>
      </c>
      <c r="F2635" t="s">
        <v>37</v>
      </c>
      <c r="G2635">
        <v>550</v>
      </c>
      <c r="H2635">
        <v>216</v>
      </c>
      <c r="I2635" s="8">
        <f t="shared" si="236"/>
        <v>0.3927272727272727</v>
      </c>
      <c r="J2635" s="17">
        <v>0.7</v>
      </c>
      <c r="K2635" s="12">
        <v>13.75</v>
      </c>
      <c r="L2635" s="2">
        <v>169</v>
      </c>
      <c r="M2635" s="15">
        <f t="shared" si="237"/>
        <v>2323.75</v>
      </c>
      <c r="N2635" t="str">
        <f t="shared" si="234"/>
        <v>MG</v>
      </c>
      <c r="O2635" t="str">
        <f t="shared" si="235"/>
        <v>Belo Horizonte</v>
      </c>
    </row>
    <row r="2636" spans="1:15" x14ac:dyDescent="0.3">
      <c r="A2636" s="10">
        <v>46054</v>
      </c>
      <c r="B2636" s="9" t="s">
        <v>46</v>
      </c>
      <c r="C2636" t="s">
        <v>47</v>
      </c>
      <c r="D2636" s="9">
        <v>19722</v>
      </c>
      <c r="E2636" s="5" t="s">
        <v>460</v>
      </c>
      <c r="F2636" t="s">
        <v>52</v>
      </c>
      <c r="G2636">
        <v>1252</v>
      </c>
      <c r="H2636">
        <v>398</v>
      </c>
      <c r="I2636" s="8">
        <f t="shared" si="236"/>
        <v>0.31789137380191695</v>
      </c>
      <c r="J2636" s="17">
        <v>0.7</v>
      </c>
      <c r="K2636" s="12">
        <v>13.75</v>
      </c>
      <c r="L2636" s="2">
        <v>478.39999999999986</v>
      </c>
      <c r="M2636" s="15">
        <f t="shared" si="237"/>
        <v>6577.9999999999982</v>
      </c>
      <c r="N2636" t="str">
        <f t="shared" si="234"/>
        <v>DF</v>
      </c>
      <c r="O2636" t="str">
        <f t="shared" si="235"/>
        <v>Brasília</v>
      </c>
    </row>
    <row r="2637" spans="1:15" x14ac:dyDescent="0.3">
      <c r="A2637" s="10">
        <v>46054</v>
      </c>
      <c r="B2637" s="9" t="s">
        <v>3</v>
      </c>
      <c r="C2637" t="s">
        <v>248</v>
      </c>
      <c r="D2637" s="9">
        <v>19716</v>
      </c>
      <c r="E2637" s="5" t="s">
        <v>461</v>
      </c>
      <c r="F2637" t="s">
        <v>262</v>
      </c>
      <c r="G2637">
        <v>1506</v>
      </c>
      <c r="H2637">
        <v>690</v>
      </c>
      <c r="I2637" s="8">
        <f t="shared" si="236"/>
        <v>0.45816733067729082</v>
      </c>
      <c r="J2637" s="17">
        <v>0.7</v>
      </c>
      <c r="K2637" s="12">
        <v>13.75</v>
      </c>
      <c r="L2637" s="2">
        <v>364.19999999999982</v>
      </c>
      <c r="M2637" s="15">
        <f t="shared" si="237"/>
        <v>5007.7499999999973</v>
      </c>
      <c r="N2637" t="str">
        <f t="shared" si="234"/>
        <v>SP</v>
      </c>
      <c r="O2637" t="str">
        <f t="shared" si="235"/>
        <v>São Paulo</v>
      </c>
    </row>
    <row r="2638" spans="1:15" x14ac:dyDescent="0.3">
      <c r="A2638" s="10">
        <v>46054</v>
      </c>
      <c r="B2638" s="9" t="s">
        <v>3</v>
      </c>
      <c r="C2638" t="s">
        <v>17</v>
      </c>
      <c r="D2638" s="9">
        <v>19715</v>
      </c>
      <c r="E2638" s="5" t="s">
        <v>462</v>
      </c>
      <c r="F2638" t="s">
        <v>18</v>
      </c>
      <c r="G2638">
        <v>1723</v>
      </c>
      <c r="H2638">
        <v>933</v>
      </c>
      <c r="I2638" s="8">
        <f t="shared" si="236"/>
        <v>0.54149738827626237</v>
      </c>
      <c r="J2638" s="17">
        <v>0.7</v>
      </c>
      <c r="K2638" s="12">
        <v>13.75</v>
      </c>
      <c r="L2638" s="2">
        <v>273.09999999999968</v>
      </c>
      <c r="M2638" s="15">
        <f t="shared" si="237"/>
        <v>3755.1249999999955</v>
      </c>
      <c r="N2638" t="str">
        <f t="shared" si="234"/>
        <v>SP</v>
      </c>
      <c r="O2638" t="str">
        <f t="shared" si="235"/>
        <v>Atibaia</v>
      </c>
    </row>
    <row r="2639" spans="1:15" x14ac:dyDescent="0.3">
      <c r="A2639" s="10">
        <v>46054</v>
      </c>
      <c r="B2639" s="9" t="s">
        <v>21</v>
      </c>
      <c r="C2639" t="s">
        <v>324</v>
      </c>
      <c r="D2639" s="9">
        <v>19736</v>
      </c>
      <c r="E2639" s="5" t="s">
        <v>464</v>
      </c>
      <c r="F2639" t="s">
        <v>295</v>
      </c>
      <c r="G2639">
        <v>2805</v>
      </c>
      <c r="H2639">
        <v>1102</v>
      </c>
      <c r="I2639" s="8">
        <f t="shared" si="236"/>
        <v>0.39286987522281641</v>
      </c>
      <c r="J2639" s="17">
        <v>0.7</v>
      </c>
      <c r="K2639" s="12">
        <v>13.75</v>
      </c>
      <c r="L2639" s="2">
        <v>861.49999999999977</v>
      </c>
      <c r="M2639" s="15">
        <f t="shared" si="237"/>
        <v>11845.624999999996</v>
      </c>
      <c r="N2639" t="str">
        <f t="shared" si="234"/>
        <v>BA</v>
      </c>
      <c r="O2639" t="str">
        <f t="shared" si="235"/>
        <v>Vitória da Conquista</v>
      </c>
    </row>
    <row r="2640" spans="1:15" x14ac:dyDescent="0.3">
      <c r="A2640" s="10">
        <v>46054</v>
      </c>
      <c r="B2640" s="9" t="s">
        <v>21</v>
      </c>
      <c r="C2640" t="s">
        <v>228</v>
      </c>
      <c r="D2640" s="9">
        <v>19740</v>
      </c>
      <c r="E2640" s="5" t="s">
        <v>465</v>
      </c>
      <c r="F2640" t="s">
        <v>229</v>
      </c>
      <c r="G2640">
        <v>1843</v>
      </c>
      <c r="H2640">
        <v>674</v>
      </c>
      <c r="I2640" s="8">
        <f t="shared" si="236"/>
        <v>0.36570808464460119</v>
      </c>
      <c r="J2640" s="17">
        <v>0.7</v>
      </c>
      <c r="K2640" s="12">
        <v>13.75</v>
      </c>
      <c r="L2640" s="2">
        <v>616.09999999999991</v>
      </c>
      <c r="M2640" s="15">
        <f t="shared" si="237"/>
        <v>8471.3749999999982</v>
      </c>
      <c r="N2640" t="str">
        <f t="shared" si="234"/>
        <v>BA</v>
      </c>
      <c r="O2640" t="str">
        <f t="shared" si="235"/>
        <v>Salvador</v>
      </c>
    </row>
    <row r="2641" spans="1:15" x14ac:dyDescent="0.3">
      <c r="A2641" s="10">
        <v>46054</v>
      </c>
      <c r="B2641" s="9" t="s">
        <v>21</v>
      </c>
      <c r="C2641" t="s">
        <v>317</v>
      </c>
      <c r="D2641" s="9">
        <v>19738</v>
      </c>
      <c r="E2641" s="5" t="s">
        <v>466</v>
      </c>
      <c r="F2641" t="s">
        <v>118</v>
      </c>
      <c r="G2641">
        <v>3760</v>
      </c>
      <c r="H2641">
        <v>2000</v>
      </c>
      <c r="I2641" s="8">
        <f t="shared" si="236"/>
        <v>0.53191489361702127</v>
      </c>
      <c r="J2641" s="17">
        <v>0.7</v>
      </c>
      <c r="K2641" s="12">
        <v>13.75</v>
      </c>
      <c r="L2641" s="2">
        <v>632</v>
      </c>
      <c r="M2641" s="15">
        <f t="shared" si="237"/>
        <v>8690</v>
      </c>
      <c r="N2641" t="str">
        <f t="shared" si="234"/>
        <v>BA</v>
      </c>
      <c r="O2641" t="str">
        <f t="shared" si="235"/>
        <v>Lauro de Freitas</v>
      </c>
    </row>
    <row r="2642" spans="1:15" x14ac:dyDescent="0.3">
      <c r="A2642" s="10">
        <v>46054</v>
      </c>
      <c r="B2642" s="9" t="s">
        <v>129</v>
      </c>
      <c r="C2642" t="s">
        <v>130</v>
      </c>
      <c r="D2642" s="9">
        <v>19742</v>
      </c>
      <c r="E2642" s="5" t="s">
        <v>467</v>
      </c>
      <c r="F2642" t="s">
        <v>131</v>
      </c>
      <c r="G2642">
        <v>1185</v>
      </c>
      <c r="H2642">
        <v>483</v>
      </c>
      <c r="I2642" s="8">
        <f t="shared" si="236"/>
        <v>0.40759493670886077</v>
      </c>
      <c r="J2642" s="17">
        <v>0.7</v>
      </c>
      <c r="K2642" s="12">
        <v>13.75</v>
      </c>
      <c r="L2642" s="2">
        <v>346.49999999999989</v>
      </c>
      <c r="M2642" s="15">
        <f t="shared" si="237"/>
        <v>4764.3749999999982</v>
      </c>
      <c r="N2642" t="str">
        <f t="shared" si="234"/>
        <v>AM</v>
      </c>
      <c r="O2642" t="str">
        <f t="shared" si="235"/>
        <v>Manaus</v>
      </c>
    </row>
    <row r="2643" spans="1:15" x14ac:dyDescent="0.3">
      <c r="A2643" s="10">
        <v>46054</v>
      </c>
      <c r="B2643" s="9" t="s">
        <v>129</v>
      </c>
      <c r="C2643" t="s">
        <v>130</v>
      </c>
      <c r="D2643" s="9">
        <v>19785</v>
      </c>
      <c r="E2643" s="5" t="s">
        <v>468</v>
      </c>
      <c r="F2643" t="s">
        <v>132</v>
      </c>
      <c r="G2643">
        <v>1427</v>
      </c>
      <c r="H2643">
        <v>661</v>
      </c>
      <c r="I2643" s="8">
        <f t="shared" si="236"/>
        <v>0.46320953048353186</v>
      </c>
      <c r="J2643" s="17">
        <v>0.7</v>
      </c>
      <c r="K2643" s="12">
        <v>13.75</v>
      </c>
      <c r="L2643" s="2">
        <v>337.9</v>
      </c>
      <c r="M2643" s="15">
        <f t="shared" si="237"/>
        <v>4646.125</v>
      </c>
      <c r="N2643" t="str">
        <f t="shared" si="234"/>
        <v>AM</v>
      </c>
      <c r="O2643" t="str">
        <f t="shared" si="235"/>
        <v>Manaus</v>
      </c>
    </row>
    <row r="2644" spans="1:15" x14ac:dyDescent="0.3">
      <c r="A2644" s="10">
        <v>46054</v>
      </c>
      <c r="B2644" s="9" t="s">
        <v>129</v>
      </c>
      <c r="C2644" t="s">
        <v>130</v>
      </c>
      <c r="D2644" s="9">
        <v>19843</v>
      </c>
      <c r="E2644" s="5" t="s">
        <v>469</v>
      </c>
      <c r="F2644" t="s">
        <v>133</v>
      </c>
      <c r="G2644">
        <v>1238</v>
      </c>
      <c r="H2644">
        <v>540</v>
      </c>
      <c r="I2644" s="8">
        <f t="shared" si="236"/>
        <v>0.43618739903069464</v>
      </c>
      <c r="J2644" s="17">
        <v>0.7</v>
      </c>
      <c r="K2644" s="12">
        <v>13.75</v>
      </c>
      <c r="L2644" s="2">
        <v>326.60000000000002</v>
      </c>
      <c r="M2644" s="15">
        <f t="shared" si="237"/>
        <v>4490.75</v>
      </c>
      <c r="N2644" t="str">
        <f t="shared" si="234"/>
        <v>AM</v>
      </c>
      <c r="O2644" t="str">
        <f t="shared" si="235"/>
        <v>Manaus</v>
      </c>
    </row>
    <row r="2645" spans="1:15" x14ac:dyDescent="0.3">
      <c r="A2645" s="10">
        <v>46054</v>
      </c>
      <c r="B2645" s="9" t="s">
        <v>129</v>
      </c>
      <c r="C2645" t="s">
        <v>130</v>
      </c>
      <c r="D2645" s="9">
        <v>19879</v>
      </c>
      <c r="E2645" s="5" t="s">
        <v>470</v>
      </c>
      <c r="F2645" t="s">
        <v>134</v>
      </c>
      <c r="G2645">
        <v>1152</v>
      </c>
      <c r="H2645">
        <v>620</v>
      </c>
      <c r="I2645" s="8">
        <f t="shared" si="236"/>
        <v>0.53819444444444442</v>
      </c>
      <c r="J2645" s="17">
        <v>0.7</v>
      </c>
      <c r="K2645" s="12">
        <v>13.75</v>
      </c>
      <c r="L2645" s="2">
        <v>186.40000000000009</v>
      </c>
      <c r="M2645" s="15">
        <f t="shared" si="237"/>
        <v>2563.0000000000014</v>
      </c>
      <c r="N2645" t="str">
        <f t="shared" si="234"/>
        <v>AM</v>
      </c>
      <c r="O2645" t="str">
        <f t="shared" si="235"/>
        <v>Manaus</v>
      </c>
    </row>
    <row r="2646" spans="1:15" x14ac:dyDescent="0.3">
      <c r="A2646" s="10">
        <v>46054</v>
      </c>
      <c r="B2646" s="9" t="s">
        <v>89</v>
      </c>
      <c r="C2646" t="s">
        <v>313</v>
      </c>
      <c r="D2646" s="9">
        <v>19735</v>
      </c>
      <c r="E2646" s="5" t="s">
        <v>471</v>
      </c>
      <c r="F2646" t="s">
        <v>90</v>
      </c>
      <c r="G2646">
        <v>333</v>
      </c>
      <c r="H2646">
        <v>112</v>
      </c>
      <c r="I2646" s="8">
        <f t="shared" si="236"/>
        <v>0.33633633633633636</v>
      </c>
      <c r="J2646" s="17">
        <v>0.7</v>
      </c>
      <c r="K2646" s="12">
        <v>13.75</v>
      </c>
      <c r="L2646" s="2">
        <v>121.09999999999997</v>
      </c>
      <c r="M2646" s="15">
        <f t="shared" si="237"/>
        <v>1665.1249999999995</v>
      </c>
      <c r="N2646" t="str">
        <f t="shared" si="234"/>
        <v>CE</v>
      </c>
      <c r="O2646" t="str">
        <f t="shared" si="235"/>
        <v>FORTALEZA</v>
      </c>
    </row>
    <row r="2647" spans="1:15" x14ac:dyDescent="0.3">
      <c r="A2647" s="10">
        <v>46054</v>
      </c>
      <c r="B2647" s="9" t="s">
        <v>89</v>
      </c>
      <c r="C2647" t="s">
        <v>313</v>
      </c>
      <c r="D2647" s="9">
        <v>19607</v>
      </c>
      <c r="E2647" s="5" t="s">
        <v>472</v>
      </c>
      <c r="F2647" t="s">
        <v>91</v>
      </c>
      <c r="G2647">
        <v>1712</v>
      </c>
      <c r="H2647">
        <v>573</v>
      </c>
      <c r="I2647" s="8">
        <f t="shared" si="236"/>
        <v>0.33469626168224298</v>
      </c>
      <c r="J2647" s="17">
        <v>0.7</v>
      </c>
      <c r="K2647" s="12">
        <v>13.75</v>
      </c>
      <c r="L2647" s="2">
        <v>625.39999999999986</v>
      </c>
      <c r="M2647" s="15">
        <f t="shared" si="237"/>
        <v>8599.2499999999982</v>
      </c>
      <c r="N2647" t="str">
        <f t="shared" si="234"/>
        <v>CE</v>
      </c>
      <c r="O2647" t="str">
        <f t="shared" si="235"/>
        <v>FORTALEZA</v>
      </c>
    </row>
    <row r="2648" spans="1:15" x14ac:dyDescent="0.3">
      <c r="A2648" s="10">
        <v>46054</v>
      </c>
      <c r="B2648" s="9" t="s">
        <v>89</v>
      </c>
      <c r="C2648" t="s">
        <v>313</v>
      </c>
      <c r="D2648" s="9">
        <v>19642</v>
      </c>
      <c r="E2648" s="5" t="s">
        <v>473</v>
      </c>
      <c r="F2648" t="s">
        <v>92</v>
      </c>
      <c r="G2648">
        <v>1394</v>
      </c>
      <c r="H2648">
        <v>541</v>
      </c>
      <c r="I2648" s="8">
        <f t="shared" si="236"/>
        <v>0.38809182209469151</v>
      </c>
      <c r="J2648" s="17">
        <v>0.7</v>
      </c>
      <c r="K2648" s="12">
        <v>13.75</v>
      </c>
      <c r="L2648" s="2">
        <v>434.80000000000007</v>
      </c>
      <c r="M2648" s="15">
        <f t="shared" si="237"/>
        <v>5978.5000000000009</v>
      </c>
      <c r="N2648" t="str">
        <f t="shared" si="234"/>
        <v>CE</v>
      </c>
      <c r="O2648" t="str">
        <f t="shared" si="235"/>
        <v>FORTALEZA</v>
      </c>
    </row>
    <row r="2649" spans="1:15" x14ac:dyDescent="0.3">
      <c r="A2649" s="10">
        <v>46054</v>
      </c>
      <c r="B2649" s="9" t="s">
        <v>89</v>
      </c>
      <c r="C2649" t="s">
        <v>313</v>
      </c>
      <c r="D2649" s="9">
        <v>19725</v>
      </c>
      <c r="E2649" s="5" t="s">
        <v>474</v>
      </c>
      <c r="F2649" t="s">
        <v>93</v>
      </c>
      <c r="G2649">
        <v>1430</v>
      </c>
      <c r="H2649">
        <v>587</v>
      </c>
      <c r="I2649" s="8">
        <f t="shared" si="236"/>
        <v>0.41048951048951049</v>
      </c>
      <c r="J2649" s="17">
        <v>0.7</v>
      </c>
      <c r="K2649" s="12">
        <v>13.75</v>
      </c>
      <c r="L2649" s="2">
        <v>414</v>
      </c>
      <c r="M2649" s="15">
        <f t="shared" si="237"/>
        <v>5692.5</v>
      </c>
      <c r="N2649" t="str">
        <f t="shared" si="234"/>
        <v>CE</v>
      </c>
      <c r="O2649" t="str">
        <f t="shared" si="235"/>
        <v>FORTALEZA</v>
      </c>
    </row>
    <row r="2650" spans="1:15" x14ac:dyDescent="0.3">
      <c r="A2650" s="10">
        <v>46054</v>
      </c>
      <c r="B2650" s="9" t="s">
        <v>89</v>
      </c>
      <c r="C2650" t="s">
        <v>313</v>
      </c>
      <c r="D2650" s="9">
        <v>19902</v>
      </c>
      <c r="E2650" s="5" t="s">
        <v>475</v>
      </c>
      <c r="F2650" t="s">
        <v>94</v>
      </c>
      <c r="G2650">
        <v>1691</v>
      </c>
      <c r="H2650">
        <v>802</v>
      </c>
      <c r="I2650" s="8">
        <f t="shared" si="236"/>
        <v>0.47427557658190422</v>
      </c>
      <c r="J2650" s="17">
        <v>0.7</v>
      </c>
      <c r="K2650" s="12">
        <v>13.75</v>
      </c>
      <c r="L2650" s="2">
        <v>381.69999999999982</v>
      </c>
      <c r="M2650" s="15">
        <f t="shared" si="237"/>
        <v>5248.3749999999973</v>
      </c>
      <c r="N2650" t="str">
        <f t="shared" si="234"/>
        <v>CE</v>
      </c>
      <c r="O2650" t="str">
        <f t="shared" si="235"/>
        <v>FORTALEZA</v>
      </c>
    </row>
    <row r="2651" spans="1:15" x14ac:dyDescent="0.3">
      <c r="A2651" s="10">
        <v>46054</v>
      </c>
      <c r="B2651" s="9" t="s">
        <v>89</v>
      </c>
      <c r="C2651" t="s">
        <v>313</v>
      </c>
      <c r="D2651" s="9">
        <v>19903</v>
      </c>
      <c r="E2651" s="5" t="s">
        <v>476</v>
      </c>
      <c r="F2651" t="s">
        <v>95</v>
      </c>
      <c r="G2651">
        <v>1852</v>
      </c>
      <c r="H2651">
        <v>1094</v>
      </c>
      <c r="I2651" s="8">
        <f t="shared" si="236"/>
        <v>0.59071274298056153</v>
      </c>
      <c r="J2651" s="17">
        <v>0.7</v>
      </c>
      <c r="K2651" s="12">
        <v>13.75</v>
      </c>
      <c r="L2651" s="2">
        <v>202.39999999999986</v>
      </c>
      <c r="M2651" s="15">
        <f t="shared" si="237"/>
        <v>2782.9999999999982</v>
      </c>
      <c r="N2651" t="str">
        <f t="shared" si="234"/>
        <v>CE</v>
      </c>
      <c r="O2651" t="str">
        <f t="shared" si="235"/>
        <v>FORTALEZA</v>
      </c>
    </row>
    <row r="2652" spans="1:15" x14ac:dyDescent="0.3">
      <c r="A2652" s="10">
        <v>46054</v>
      </c>
      <c r="B2652" s="9" t="s">
        <v>82</v>
      </c>
      <c r="C2652" t="s">
        <v>135</v>
      </c>
      <c r="D2652" s="9">
        <v>19749</v>
      </c>
      <c r="E2652" s="5" t="s">
        <v>477</v>
      </c>
      <c r="F2652" t="s">
        <v>136</v>
      </c>
      <c r="G2652">
        <v>1184</v>
      </c>
      <c r="H2652">
        <v>411</v>
      </c>
      <c r="I2652" s="8">
        <f t="shared" si="236"/>
        <v>0.3471283783783784</v>
      </c>
      <c r="J2652" s="17">
        <v>0.7</v>
      </c>
      <c r="K2652" s="12">
        <v>13.75</v>
      </c>
      <c r="L2652" s="2">
        <v>417.79999999999995</v>
      </c>
      <c r="M2652" s="15">
        <f t="shared" si="237"/>
        <v>5744.7499999999991</v>
      </c>
      <c r="N2652" t="str">
        <f t="shared" si="234"/>
        <v>PR</v>
      </c>
      <c r="O2652" t="str">
        <f t="shared" si="235"/>
        <v>Maringá</v>
      </c>
    </row>
    <row r="2653" spans="1:15" x14ac:dyDescent="0.3">
      <c r="A2653" s="10">
        <v>46054</v>
      </c>
      <c r="B2653" s="9" t="s">
        <v>82</v>
      </c>
      <c r="C2653" t="s">
        <v>83</v>
      </c>
      <c r="D2653" s="9">
        <v>19545</v>
      </c>
      <c r="E2653" s="5" t="s">
        <v>478</v>
      </c>
      <c r="F2653" t="s">
        <v>84</v>
      </c>
      <c r="G2653">
        <v>1416</v>
      </c>
      <c r="H2653">
        <v>561</v>
      </c>
      <c r="I2653" s="8">
        <f t="shared" si="236"/>
        <v>0.3961864406779661</v>
      </c>
      <c r="J2653" s="17">
        <v>0.7</v>
      </c>
      <c r="K2653" s="12">
        <v>13.75</v>
      </c>
      <c r="L2653" s="2">
        <v>430.19999999999993</v>
      </c>
      <c r="M2653" s="15">
        <f t="shared" si="237"/>
        <v>5915.2499999999991</v>
      </c>
      <c r="N2653" t="str">
        <f t="shared" si="234"/>
        <v>PR</v>
      </c>
      <c r="O2653" t="str">
        <f t="shared" si="235"/>
        <v>Curitiba</v>
      </c>
    </row>
    <row r="2654" spans="1:15" x14ac:dyDescent="0.3">
      <c r="A2654" s="10">
        <v>46054</v>
      </c>
      <c r="B2654" s="9" t="s">
        <v>82</v>
      </c>
      <c r="C2654" t="s">
        <v>83</v>
      </c>
      <c r="D2654" s="9">
        <v>19546</v>
      </c>
      <c r="E2654" s="5" t="s">
        <v>479</v>
      </c>
      <c r="F2654" t="s">
        <v>85</v>
      </c>
      <c r="G2654">
        <v>1668</v>
      </c>
      <c r="H2654">
        <v>603</v>
      </c>
      <c r="I2654" s="8">
        <f t="shared" si="236"/>
        <v>0.36151079136690645</v>
      </c>
      <c r="J2654" s="17">
        <v>0.7</v>
      </c>
      <c r="K2654" s="12">
        <v>13.75</v>
      </c>
      <c r="L2654" s="2">
        <v>564.59999999999991</v>
      </c>
      <c r="M2654" s="15">
        <f t="shared" si="237"/>
        <v>7763.2499999999991</v>
      </c>
      <c r="N2654" t="str">
        <f t="shared" si="234"/>
        <v>PR</v>
      </c>
      <c r="O2654" t="str">
        <f t="shared" si="235"/>
        <v>Curitiba</v>
      </c>
    </row>
    <row r="2655" spans="1:15" x14ac:dyDescent="0.3">
      <c r="A2655" s="10">
        <v>46054</v>
      </c>
      <c r="B2655" s="9" t="s">
        <v>3</v>
      </c>
      <c r="C2655" t="s">
        <v>248</v>
      </c>
      <c r="D2655" s="9">
        <v>19753</v>
      </c>
      <c r="E2655" s="5" t="s">
        <v>483</v>
      </c>
      <c r="F2655" t="s">
        <v>265</v>
      </c>
      <c r="G2655">
        <v>1846</v>
      </c>
      <c r="H2655">
        <v>762</v>
      </c>
      <c r="I2655" s="8">
        <f t="shared" si="236"/>
        <v>0.41278439869989164</v>
      </c>
      <c r="J2655" s="17">
        <v>0.7</v>
      </c>
      <c r="K2655" s="12">
        <v>13.75</v>
      </c>
      <c r="L2655" s="2">
        <v>530.20000000000005</v>
      </c>
      <c r="M2655" s="15">
        <f t="shared" si="237"/>
        <v>7290.2500000000009</v>
      </c>
      <c r="N2655" t="str">
        <f t="shared" si="234"/>
        <v>SP</v>
      </c>
      <c r="O2655" t="str">
        <f t="shared" si="235"/>
        <v>São Paulo</v>
      </c>
    </row>
    <row r="2656" spans="1:15" x14ac:dyDescent="0.3">
      <c r="A2656" s="10">
        <v>46054</v>
      </c>
      <c r="B2656" s="9" t="s">
        <v>7</v>
      </c>
      <c r="C2656" t="s">
        <v>99</v>
      </c>
      <c r="D2656" s="9">
        <v>19754</v>
      </c>
      <c r="E2656" s="5" t="s">
        <v>484</v>
      </c>
      <c r="F2656" t="s">
        <v>101</v>
      </c>
      <c r="G2656">
        <v>2409</v>
      </c>
      <c r="H2656">
        <v>905</v>
      </c>
      <c r="I2656" s="8">
        <f t="shared" si="236"/>
        <v>0.37567455375674552</v>
      </c>
      <c r="J2656" s="17">
        <v>0.7</v>
      </c>
      <c r="K2656" s="12">
        <v>13.75</v>
      </c>
      <c r="L2656" s="2">
        <v>781.30000000000018</v>
      </c>
      <c r="M2656" s="15">
        <f t="shared" si="237"/>
        <v>10742.875000000002</v>
      </c>
      <c r="N2656" t="str">
        <f t="shared" si="234"/>
        <v>GO</v>
      </c>
      <c r="O2656" t="str">
        <f t="shared" si="235"/>
        <v>Goiânia</v>
      </c>
    </row>
    <row r="2657" spans="1:15" x14ac:dyDescent="0.3">
      <c r="A2657" s="10">
        <v>46054</v>
      </c>
      <c r="B2657" s="9" t="s">
        <v>195</v>
      </c>
      <c r="C2657" t="s">
        <v>196</v>
      </c>
      <c r="D2657" s="9">
        <v>19762</v>
      </c>
      <c r="E2657" s="5" t="s">
        <v>486</v>
      </c>
      <c r="F2657" t="s">
        <v>197</v>
      </c>
      <c r="G2657">
        <v>1313</v>
      </c>
      <c r="H2657">
        <v>631</v>
      </c>
      <c r="I2657" s="8">
        <f t="shared" si="236"/>
        <v>0.4805788271134806</v>
      </c>
      <c r="J2657" s="17">
        <v>0.7</v>
      </c>
      <c r="K2657" s="12">
        <v>13.75</v>
      </c>
      <c r="L2657" s="2">
        <v>288.09999999999991</v>
      </c>
      <c r="M2657" s="15">
        <f t="shared" si="237"/>
        <v>3961.3749999999986</v>
      </c>
      <c r="N2657" t="str">
        <f t="shared" si="234"/>
        <v>AC</v>
      </c>
      <c r="O2657" t="str">
        <f t="shared" si="235"/>
        <v>Rio Branco</v>
      </c>
    </row>
    <row r="2658" spans="1:15" x14ac:dyDescent="0.3">
      <c r="A2658" s="10">
        <v>46054</v>
      </c>
      <c r="B2658" s="9" t="s">
        <v>15</v>
      </c>
      <c r="C2658" t="s">
        <v>312</v>
      </c>
      <c r="D2658" s="9">
        <v>19687</v>
      </c>
      <c r="E2658" s="5" t="s">
        <v>488</v>
      </c>
      <c r="F2658" t="s">
        <v>88</v>
      </c>
      <c r="G2658">
        <v>1595</v>
      </c>
      <c r="H2658">
        <v>1281</v>
      </c>
      <c r="I2658" s="8">
        <f t="shared" si="236"/>
        <v>0.80313479623824446</v>
      </c>
      <c r="J2658" s="17">
        <v>0.7</v>
      </c>
      <c r="K2658" s="12">
        <v>13.75</v>
      </c>
      <c r="L2658" s="2">
        <v>314</v>
      </c>
      <c r="M2658" s="15">
        <f t="shared" si="237"/>
        <v>4317.5</v>
      </c>
      <c r="N2658" t="str">
        <f t="shared" si="234"/>
        <v>RJ</v>
      </c>
      <c r="O2658" t="str">
        <f t="shared" si="235"/>
        <v>Duque de Caxias</v>
      </c>
    </row>
    <row r="2659" spans="1:15" x14ac:dyDescent="0.3">
      <c r="A2659" s="10">
        <v>46054</v>
      </c>
      <c r="B2659" s="9" t="s">
        <v>21</v>
      </c>
      <c r="C2659" t="s">
        <v>181</v>
      </c>
      <c r="D2659" s="9">
        <v>19778</v>
      </c>
      <c r="E2659" s="5" t="s">
        <v>489</v>
      </c>
      <c r="F2659" t="s">
        <v>182</v>
      </c>
      <c r="G2659">
        <v>1354</v>
      </c>
      <c r="H2659">
        <v>861</v>
      </c>
      <c r="I2659" s="8">
        <f t="shared" si="236"/>
        <v>0.63589364844903984</v>
      </c>
      <c r="J2659" s="17">
        <v>0.7</v>
      </c>
      <c r="K2659" s="12">
        <v>13.75</v>
      </c>
      <c r="L2659" s="2">
        <v>86.799999999999955</v>
      </c>
      <c r="M2659" s="15">
        <f t="shared" si="237"/>
        <v>1193.4999999999993</v>
      </c>
      <c r="N2659" t="str">
        <f t="shared" si="234"/>
        <v>BA</v>
      </c>
      <c r="O2659" t="str">
        <f t="shared" si="235"/>
        <v>Porto Seguro</v>
      </c>
    </row>
    <row r="2660" spans="1:15" x14ac:dyDescent="0.3">
      <c r="A2660" s="10">
        <v>46054</v>
      </c>
      <c r="B2660" s="9" t="s">
        <v>40</v>
      </c>
      <c r="C2660" t="s">
        <v>41</v>
      </c>
      <c r="D2660" s="9">
        <v>19787</v>
      </c>
      <c r="E2660" s="5" t="s">
        <v>492</v>
      </c>
      <c r="F2660" t="s">
        <v>42</v>
      </c>
      <c r="G2660">
        <v>804</v>
      </c>
      <c r="H2660">
        <v>474</v>
      </c>
      <c r="I2660" s="8">
        <f t="shared" si="236"/>
        <v>0.58955223880597019</v>
      </c>
      <c r="J2660" s="17">
        <v>0.7</v>
      </c>
      <c r="K2660" s="12">
        <v>13.75</v>
      </c>
      <c r="L2660" s="2">
        <v>88.799999999999841</v>
      </c>
      <c r="M2660" s="15">
        <f t="shared" si="237"/>
        <v>1220.9999999999977</v>
      </c>
      <c r="N2660" t="str">
        <f t="shared" si="234"/>
        <v>RR</v>
      </c>
      <c r="O2660" t="str">
        <f t="shared" si="235"/>
        <v>Boa Vista</v>
      </c>
    </row>
    <row r="2661" spans="1:15" x14ac:dyDescent="0.3">
      <c r="A2661" s="10">
        <v>46054</v>
      </c>
      <c r="B2661" s="9" t="s">
        <v>71</v>
      </c>
      <c r="C2661" t="s">
        <v>175</v>
      </c>
      <c r="D2661" s="9">
        <v>19788</v>
      </c>
      <c r="E2661" s="5" t="s">
        <v>495</v>
      </c>
      <c r="F2661" t="s">
        <v>177</v>
      </c>
      <c r="G2661">
        <v>3511</v>
      </c>
      <c r="H2661">
        <v>1180</v>
      </c>
      <c r="I2661" s="8">
        <f t="shared" si="236"/>
        <v>0.33608658501851324</v>
      </c>
      <c r="J2661" s="17">
        <v>0.7</v>
      </c>
      <c r="K2661" s="12">
        <v>13.75</v>
      </c>
      <c r="L2661" s="2">
        <v>1277.6999999999998</v>
      </c>
      <c r="M2661" s="15">
        <f t="shared" si="237"/>
        <v>17568.374999999996</v>
      </c>
      <c r="N2661" t="str">
        <f t="shared" si="234"/>
        <v>RS</v>
      </c>
      <c r="O2661" t="str">
        <f t="shared" si="235"/>
        <v>Porto Alegre</v>
      </c>
    </row>
    <row r="2662" spans="1:15" x14ac:dyDescent="0.3">
      <c r="A2662" s="10">
        <v>46054</v>
      </c>
      <c r="B2662" s="9" t="s">
        <v>21</v>
      </c>
      <c r="C2662" t="s">
        <v>228</v>
      </c>
      <c r="D2662" s="9">
        <v>19790</v>
      </c>
      <c r="E2662" s="5" t="s">
        <v>497</v>
      </c>
      <c r="F2662" t="s">
        <v>232</v>
      </c>
      <c r="G2662">
        <v>2821</v>
      </c>
      <c r="H2662">
        <v>1382</v>
      </c>
      <c r="I2662" s="8">
        <f t="shared" si="236"/>
        <v>0.48989719957461891</v>
      </c>
      <c r="J2662" s="17">
        <v>0.7</v>
      </c>
      <c r="K2662" s="12">
        <v>13.75</v>
      </c>
      <c r="L2662" s="2">
        <v>592.70000000000005</v>
      </c>
      <c r="M2662" s="15">
        <f t="shared" si="237"/>
        <v>8149.6250000000009</v>
      </c>
      <c r="N2662" t="str">
        <f t="shared" si="234"/>
        <v>BA</v>
      </c>
      <c r="O2662" t="str">
        <f t="shared" si="235"/>
        <v>Salvador</v>
      </c>
    </row>
    <row r="2663" spans="1:15" x14ac:dyDescent="0.3">
      <c r="A2663" s="10">
        <v>46054</v>
      </c>
      <c r="B2663" s="9" t="s">
        <v>71</v>
      </c>
      <c r="C2663" t="s">
        <v>175</v>
      </c>
      <c r="D2663" s="9">
        <v>19842</v>
      </c>
      <c r="E2663" s="5" t="s">
        <v>498</v>
      </c>
      <c r="F2663" t="s">
        <v>178</v>
      </c>
      <c r="G2663">
        <v>2721</v>
      </c>
      <c r="H2663">
        <v>887</v>
      </c>
      <c r="I2663" s="8">
        <f t="shared" si="236"/>
        <v>0.32598309445056967</v>
      </c>
      <c r="J2663" s="17">
        <v>0.7</v>
      </c>
      <c r="K2663" s="12">
        <v>13.75</v>
      </c>
      <c r="L2663" s="2">
        <v>1017.6999999999998</v>
      </c>
      <c r="M2663" s="15">
        <f t="shared" si="237"/>
        <v>13993.374999999998</v>
      </c>
      <c r="N2663" t="str">
        <f t="shared" si="234"/>
        <v>RS</v>
      </c>
      <c r="O2663" t="str">
        <f t="shared" si="235"/>
        <v>Porto Alegre</v>
      </c>
    </row>
    <row r="2664" spans="1:15" x14ac:dyDescent="0.3">
      <c r="A2664" s="10">
        <v>46054</v>
      </c>
      <c r="B2664" s="9" t="s">
        <v>59</v>
      </c>
      <c r="C2664" t="s">
        <v>289</v>
      </c>
      <c r="D2664" s="9">
        <v>19876</v>
      </c>
      <c r="E2664" s="5" t="s">
        <v>502</v>
      </c>
      <c r="F2664" t="s">
        <v>291</v>
      </c>
      <c r="G2664">
        <v>2017</v>
      </c>
      <c r="H2664">
        <v>673</v>
      </c>
      <c r="I2664" s="8">
        <f t="shared" si="236"/>
        <v>0.33366385721368369</v>
      </c>
      <c r="J2664" s="17">
        <v>0.7</v>
      </c>
      <c r="K2664" s="12">
        <v>13.75</v>
      </c>
      <c r="L2664" s="2">
        <v>738.89999999999986</v>
      </c>
      <c r="M2664" s="15">
        <f t="shared" si="237"/>
        <v>10159.874999999998</v>
      </c>
      <c r="N2664" t="str">
        <f t="shared" si="234"/>
        <v>ES</v>
      </c>
      <c r="O2664" t="str">
        <f t="shared" si="235"/>
        <v>Vila Velha</v>
      </c>
    </row>
    <row r="2665" spans="1:15" x14ac:dyDescent="0.3">
      <c r="A2665" s="10">
        <v>46054</v>
      </c>
      <c r="B2665" s="9" t="s">
        <v>71</v>
      </c>
      <c r="C2665" t="s">
        <v>175</v>
      </c>
      <c r="D2665" s="9">
        <v>19874</v>
      </c>
      <c r="E2665" s="5" t="s">
        <v>504</v>
      </c>
      <c r="F2665" t="s">
        <v>179</v>
      </c>
      <c r="G2665">
        <v>3005</v>
      </c>
      <c r="H2665">
        <v>1076</v>
      </c>
      <c r="I2665" s="8">
        <f t="shared" si="236"/>
        <v>0.35806988352745422</v>
      </c>
      <c r="J2665" s="17">
        <v>0.7</v>
      </c>
      <c r="K2665" s="12">
        <v>13.75</v>
      </c>
      <c r="L2665" s="2">
        <v>1027.5</v>
      </c>
      <c r="M2665" s="15">
        <f t="shared" si="237"/>
        <v>14128.125</v>
      </c>
      <c r="N2665" t="str">
        <f t="shared" si="234"/>
        <v>RS</v>
      </c>
      <c r="O2665" t="str">
        <f t="shared" si="235"/>
        <v>Porto Alegre</v>
      </c>
    </row>
    <row r="2666" spans="1:15" x14ac:dyDescent="0.3">
      <c r="A2666" s="10">
        <v>46054</v>
      </c>
      <c r="B2666" s="9" t="s">
        <v>3</v>
      </c>
      <c r="C2666" t="s">
        <v>165</v>
      </c>
      <c r="D2666" s="9">
        <v>19761</v>
      </c>
      <c r="E2666" s="5" t="s">
        <v>505</v>
      </c>
      <c r="F2666" t="s">
        <v>166</v>
      </c>
      <c r="G2666">
        <v>1221</v>
      </c>
      <c r="H2666">
        <v>487</v>
      </c>
      <c r="I2666" s="8">
        <f t="shared" si="236"/>
        <v>0.39885339885339888</v>
      </c>
      <c r="J2666" s="17">
        <v>0.7</v>
      </c>
      <c r="K2666" s="12">
        <v>13.75</v>
      </c>
      <c r="L2666" s="2">
        <v>367.69999999999993</v>
      </c>
      <c r="M2666" s="15">
        <f t="shared" si="237"/>
        <v>5055.8749999999991</v>
      </c>
      <c r="N2666" t="str">
        <f t="shared" si="234"/>
        <v>SP</v>
      </c>
      <c r="O2666" t="str">
        <f t="shared" si="235"/>
        <v>Paulínia</v>
      </c>
    </row>
    <row r="2667" spans="1:15" x14ac:dyDescent="0.3">
      <c r="A2667" s="10">
        <v>46054</v>
      </c>
      <c r="B2667" s="9" t="s">
        <v>46</v>
      </c>
      <c r="C2667" t="s">
        <v>47</v>
      </c>
      <c r="D2667" s="9">
        <v>19881</v>
      </c>
      <c r="E2667" s="5" t="s">
        <v>507</v>
      </c>
      <c r="F2667" t="s">
        <v>54</v>
      </c>
      <c r="G2667">
        <v>2771</v>
      </c>
      <c r="H2667">
        <v>1018</v>
      </c>
      <c r="I2667" s="8">
        <f t="shared" si="236"/>
        <v>0.3673763984121256</v>
      </c>
      <c r="J2667" s="17">
        <v>0.7</v>
      </c>
      <c r="K2667" s="12">
        <v>13.75</v>
      </c>
      <c r="L2667" s="2">
        <v>921.69999999999959</v>
      </c>
      <c r="M2667" s="15">
        <f t="shared" si="237"/>
        <v>12673.374999999995</v>
      </c>
      <c r="N2667" t="str">
        <f t="shared" si="234"/>
        <v>DF</v>
      </c>
      <c r="O2667" t="str">
        <f t="shared" si="235"/>
        <v>Brasília</v>
      </c>
    </row>
    <row r="2668" spans="1:15" x14ac:dyDescent="0.3">
      <c r="A2668" s="10">
        <v>46054</v>
      </c>
      <c r="B2668" s="9" t="s">
        <v>3</v>
      </c>
      <c r="C2668" t="s">
        <v>64</v>
      </c>
      <c r="D2668" s="9">
        <v>19696</v>
      </c>
      <c r="E2668" s="5" t="s">
        <v>508</v>
      </c>
      <c r="F2668" t="s">
        <v>65</v>
      </c>
      <c r="G2668">
        <v>873</v>
      </c>
      <c r="H2668">
        <v>266</v>
      </c>
      <c r="I2668" s="8">
        <f t="shared" si="236"/>
        <v>0.30469644902634596</v>
      </c>
      <c r="J2668" s="17">
        <v>0.7</v>
      </c>
      <c r="K2668" s="12">
        <v>13.75</v>
      </c>
      <c r="L2668" s="2">
        <v>345.09999999999991</v>
      </c>
      <c r="M2668" s="15">
        <f t="shared" si="237"/>
        <v>4745.1249999999991</v>
      </c>
      <c r="N2668" t="str">
        <f t="shared" si="234"/>
        <v>SP</v>
      </c>
      <c r="O2668" t="str">
        <f t="shared" si="235"/>
        <v>Campinas</v>
      </c>
    </row>
    <row r="2669" spans="1:15" x14ac:dyDescent="0.3">
      <c r="A2669" s="10">
        <v>46054</v>
      </c>
      <c r="B2669" s="9" t="s">
        <v>71</v>
      </c>
      <c r="C2669" t="s">
        <v>72</v>
      </c>
      <c r="D2669" s="9">
        <v>19883</v>
      </c>
      <c r="E2669" s="5" t="s">
        <v>509</v>
      </c>
      <c r="F2669" t="s">
        <v>73</v>
      </c>
      <c r="G2669">
        <v>1454</v>
      </c>
      <c r="H2669">
        <v>567</v>
      </c>
      <c r="I2669" s="8">
        <f t="shared" si="236"/>
        <v>0.38995873452544705</v>
      </c>
      <c r="J2669" s="17">
        <v>0.7</v>
      </c>
      <c r="K2669" s="12">
        <v>13.75</v>
      </c>
      <c r="L2669" s="2">
        <v>450.79999999999995</v>
      </c>
      <c r="M2669" s="15">
        <f t="shared" si="237"/>
        <v>6198.4999999999991</v>
      </c>
      <c r="N2669" t="str">
        <f t="shared" si="234"/>
        <v>RS</v>
      </c>
      <c r="O2669" t="str">
        <f t="shared" si="235"/>
        <v>Canoas</v>
      </c>
    </row>
    <row r="2670" spans="1:15" x14ac:dyDescent="0.3">
      <c r="A2670" s="10">
        <v>46054</v>
      </c>
      <c r="B2670" s="9" t="s">
        <v>15</v>
      </c>
      <c r="C2670" t="s">
        <v>319</v>
      </c>
      <c r="D2670" s="9">
        <v>19514</v>
      </c>
      <c r="E2670" s="5" t="s">
        <v>510</v>
      </c>
      <c r="F2670" t="s">
        <v>221</v>
      </c>
      <c r="G2670">
        <v>2702</v>
      </c>
      <c r="H2670">
        <v>879</v>
      </c>
      <c r="I2670" s="8">
        <f t="shared" si="236"/>
        <v>0.32531458179126571</v>
      </c>
      <c r="J2670" s="17">
        <v>0.7</v>
      </c>
      <c r="K2670" s="12">
        <v>13.75</v>
      </c>
      <c r="L2670" s="2">
        <v>1012.3999999999999</v>
      </c>
      <c r="M2670" s="15">
        <f t="shared" si="237"/>
        <v>13920.499999999998</v>
      </c>
      <c r="N2670" t="str">
        <f t="shared" si="234"/>
        <v>RJ</v>
      </c>
      <c r="O2670" t="str">
        <f t="shared" si="235"/>
        <v>Rio de Janeiro</v>
      </c>
    </row>
    <row r="2671" spans="1:15" x14ac:dyDescent="0.3">
      <c r="A2671" s="10">
        <v>46054</v>
      </c>
      <c r="B2671" s="9" t="s">
        <v>15</v>
      </c>
      <c r="C2671" t="s">
        <v>319</v>
      </c>
      <c r="D2671" s="9">
        <v>19600</v>
      </c>
      <c r="E2671" s="5" t="s">
        <v>511</v>
      </c>
      <c r="F2671" t="s">
        <v>222</v>
      </c>
      <c r="G2671">
        <v>2220</v>
      </c>
      <c r="H2671">
        <v>857</v>
      </c>
      <c r="I2671" s="8">
        <f t="shared" si="236"/>
        <v>0.38603603603603603</v>
      </c>
      <c r="J2671" s="17">
        <v>0.7</v>
      </c>
      <c r="K2671" s="12">
        <v>13.75</v>
      </c>
      <c r="L2671" s="2">
        <v>697</v>
      </c>
      <c r="M2671" s="15">
        <f t="shared" si="237"/>
        <v>9583.75</v>
      </c>
      <c r="N2671" t="str">
        <f t="shared" si="234"/>
        <v>RJ</v>
      </c>
      <c r="O2671" t="str">
        <f t="shared" si="235"/>
        <v>Rio de Janeiro</v>
      </c>
    </row>
    <row r="2672" spans="1:15" x14ac:dyDescent="0.3">
      <c r="A2672" s="10">
        <v>46054</v>
      </c>
      <c r="B2672" s="9" t="s">
        <v>78</v>
      </c>
      <c r="C2672" t="s">
        <v>277</v>
      </c>
      <c r="D2672" s="9">
        <v>19896</v>
      </c>
      <c r="E2672" s="5" t="s">
        <v>512</v>
      </c>
      <c r="F2672" t="s">
        <v>278</v>
      </c>
      <c r="G2672">
        <v>1184</v>
      </c>
      <c r="H2672">
        <v>510</v>
      </c>
      <c r="I2672" s="8">
        <f t="shared" si="236"/>
        <v>0.43074324324324326</v>
      </c>
      <c r="J2672" s="17">
        <v>0.7</v>
      </c>
      <c r="K2672" s="12">
        <v>13.75</v>
      </c>
      <c r="L2672" s="2">
        <v>318.79999999999995</v>
      </c>
      <c r="M2672" s="15">
        <f t="shared" si="237"/>
        <v>4383.4999999999991</v>
      </c>
      <c r="N2672" t="str">
        <f t="shared" si="234"/>
        <v>MT</v>
      </c>
      <c r="O2672" t="str">
        <f t="shared" si="235"/>
        <v>Sorriso</v>
      </c>
    </row>
    <row r="2673" spans="1:15" x14ac:dyDescent="0.3">
      <c r="A2673" s="10">
        <v>46054</v>
      </c>
      <c r="B2673" s="9" t="s">
        <v>14</v>
      </c>
      <c r="C2673" t="s">
        <v>287</v>
      </c>
      <c r="D2673" s="9">
        <v>19905</v>
      </c>
      <c r="E2673" s="5" t="s">
        <v>513</v>
      </c>
      <c r="F2673" t="s">
        <v>288</v>
      </c>
      <c r="G2673">
        <v>965</v>
      </c>
      <c r="H2673">
        <v>453</v>
      </c>
      <c r="I2673" s="8">
        <f t="shared" si="236"/>
        <v>0.46943005181347153</v>
      </c>
      <c r="J2673" s="17">
        <v>0.7</v>
      </c>
      <c r="K2673" s="12">
        <v>13.75</v>
      </c>
      <c r="L2673" s="2">
        <v>222.49999999999989</v>
      </c>
      <c r="M2673" s="15">
        <f t="shared" si="237"/>
        <v>3059.3749999999986</v>
      </c>
      <c r="N2673" t="str">
        <f t="shared" si="234"/>
        <v>MG</v>
      </c>
      <c r="O2673" t="str">
        <f t="shared" si="235"/>
        <v>Varginha</v>
      </c>
    </row>
    <row r="2674" spans="1:15" x14ac:dyDescent="0.3">
      <c r="A2674" s="10">
        <v>46054</v>
      </c>
      <c r="B2674" s="9" t="s">
        <v>3</v>
      </c>
      <c r="C2674" t="s">
        <v>12</v>
      </c>
      <c r="D2674" s="9">
        <v>19901</v>
      </c>
      <c r="E2674" s="5" t="s">
        <v>514</v>
      </c>
      <c r="F2674" t="s">
        <v>13</v>
      </c>
      <c r="G2674">
        <v>825</v>
      </c>
      <c r="H2674">
        <v>275</v>
      </c>
      <c r="I2674" s="8">
        <f t="shared" si="236"/>
        <v>0.33333333333333331</v>
      </c>
      <c r="J2674" s="17">
        <v>0.7</v>
      </c>
      <c r="K2674" s="12">
        <v>13.75</v>
      </c>
      <c r="L2674" s="2">
        <v>302.5</v>
      </c>
      <c r="M2674" s="15">
        <f t="shared" si="237"/>
        <v>4159.375</v>
      </c>
      <c r="N2674" t="str">
        <f t="shared" si="234"/>
        <v>SP</v>
      </c>
      <c r="O2674" t="str">
        <f t="shared" si="235"/>
        <v>Araras</v>
      </c>
    </row>
    <row r="2675" spans="1:15" x14ac:dyDescent="0.3">
      <c r="A2675" s="10">
        <v>46054</v>
      </c>
      <c r="B2675" s="9" t="s">
        <v>14</v>
      </c>
      <c r="C2675" t="s">
        <v>137</v>
      </c>
      <c r="D2675" s="9">
        <v>19899</v>
      </c>
      <c r="E2675" s="5" t="s">
        <v>515</v>
      </c>
      <c r="F2675" t="s">
        <v>138</v>
      </c>
      <c r="G2675">
        <v>1171</v>
      </c>
      <c r="H2675">
        <v>523</v>
      </c>
      <c r="I2675" s="8">
        <f t="shared" si="236"/>
        <v>0.44662681468830062</v>
      </c>
      <c r="J2675" s="17">
        <v>0.7</v>
      </c>
      <c r="K2675" s="12">
        <v>13.75</v>
      </c>
      <c r="L2675" s="2">
        <v>296.69999999999993</v>
      </c>
      <c r="M2675" s="15">
        <f t="shared" si="237"/>
        <v>4079.6249999999991</v>
      </c>
      <c r="N2675" t="str">
        <f t="shared" si="234"/>
        <v>MG</v>
      </c>
      <c r="O2675" t="str">
        <f t="shared" si="235"/>
        <v>Montes Claros</v>
      </c>
    </row>
    <row r="2676" spans="1:15" x14ac:dyDescent="0.3">
      <c r="A2676" s="10">
        <v>46054</v>
      </c>
      <c r="B2676" s="9" t="s">
        <v>14</v>
      </c>
      <c r="C2676" t="s">
        <v>137</v>
      </c>
      <c r="D2676" s="9">
        <v>19796</v>
      </c>
      <c r="E2676" s="5" t="s">
        <v>516</v>
      </c>
      <c r="F2676" t="s">
        <v>139</v>
      </c>
      <c r="G2676">
        <v>2274</v>
      </c>
      <c r="H2676">
        <v>1181</v>
      </c>
      <c r="I2676" s="8">
        <f t="shared" si="236"/>
        <v>0.51934916446789803</v>
      </c>
      <c r="J2676" s="17">
        <v>0.7</v>
      </c>
      <c r="K2676" s="12">
        <v>13.75</v>
      </c>
      <c r="L2676" s="2">
        <v>410.79999999999973</v>
      </c>
      <c r="M2676" s="15">
        <f t="shared" si="237"/>
        <v>5648.4999999999964</v>
      </c>
      <c r="N2676" t="str">
        <f t="shared" si="234"/>
        <v>MG</v>
      </c>
      <c r="O2676" t="str">
        <f t="shared" si="235"/>
        <v>Montes Claros</v>
      </c>
    </row>
    <row r="2677" spans="1:15" x14ac:dyDescent="0.3">
      <c r="A2677" s="10">
        <v>46054</v>
      </c>
      <c r="B2677" s="9" t="s">
        <v>15</v>
      </c>
      <c r="C2677" t="s">
        <v>319</v>
      </c>
      <c r="D2677" s="9">
        <v>19528</v>
      </c>
      <c r="E2677" s="5" t="s">
        <v>517</v>
      </c>
      <c r="F2677" t="s">
        <v>223</v>
      </c>
      <c r="G2677">
        <v>2123</v>
      </c>
      <c r="H2677">
        <v>755</v>
      </c>
      <c r="I2677" s="8">
        <f t="shared" si="236"/>
        <v>0.3556288271314178</v>
      </c>
      <c r="J2677" s="17">
        <v>0.7</v>
      </c>
      <c r="K2677" s="12">
        <v>13.75</v>
      </c>
      <c r="L2677" s="2">
        <v>731.09999999999991</v>
      </c>
      <c r="M2677" s="15">
        <f t="shared" si="237"/>
        <v>10052.624999999998</v>
      </c>
      <c r="N2677" t="str">
        <f t="shared" si="234"/>
        <v>RJ</v>
      </c>
      <c r="O2677" t="str">
        <f t="shared" si="235"/>
        <v>Rio de Janeiro</v>
      </c>
    </row>
    <row r="2678" spans="1:15" x14ac:dyDescent="0.3">
      <c r="A2678" s="10">
        <v>46054</v>
      </c>
      <c r="B2678" s="9" t="s">
        <v>6</v>
      </c>
      <c r="C2678" t="s">
        <v>158</v>
      </c>
      <c r="D2678" s="9">
        <v>19914</v>
      </c>
      <c r="E2678" s="5" t="s">
        <v>519</v>
      </c>
      <c r="F2678" t="s">
        <v>159</v>
      </c>
      <c r="G2678">
        <v>2267</v>
      </c>
      <c r="H2678">
        <v>1341</v>
      </c>
      <c r="I2678" s="8">
        <f t="shared" si="236"/>
        <v>0.59153065725628584</v>
      </c>
      <c r="J2678" s="17">
        <v>0.7</v>
      </c>
      <c r="K2678" s="12">
        <v>13.75</v>
      </c>
      <c r="L2678" s="2">
        <v>245.89999999999986</v>
      </c>
      <c r="M2678" s="15">
        <f t="shared" si="237"/>
        <v>3381.1249999999982</v>
      </c>
      <c r="N2678" t="str">
        <f t="shared" si="234"/>
        <v>PA</v>
      </c>
      <c r="O2678" t="str">
        <f t="shared" si="235"/>
        <v>Parauapebas</v>
      </c>
    </row>
    <row r="2679" spans="1:15" x14ac:dyDescent="0.3">
      <c r="A2679" s="10">
        <v>46054</v>
      </c>
      <c r="B2679" s="9" t="s">
        <v>155</v>
      </c>
      <c r="C2679" t="s">
        <v>156</v>
      </c>
      <c r="D2679" s="9">
        <v>19916</v>
      </c>
      <c r="E2679" s="5" t="s">
        <v>520</v>
      </c>
      <c r="F2679" t="s">
        <v>157</v>
      </c>
      <c r="G2679">
        <v>368</v>
      </c>
      <c r="H2679">
        <v>138</v>
      </c>
      <c r="I2679" s="8">
        <f t="shared" si="236"/>
        <v>0.375</v>
      </c>
      <c r="J2679" s="17">
        <v>0.7</v>
      </c>
      <c r="K2679" s="12">
        <v>13.75</v>
      </c>
      <c r="L2679" s="2">
        <v>119.59999999999997</v>
      </c>
      <c r="M2679" s="15">
        <f t="shared" si="237"/>
        <v>1644.4999999999995</v>
      </c>
      <c r="N2679" t="str">
        <f t="shared" si="234"/>
        <v>TO</v>
      </c>
      <c r="O2679" t="str">
        <f t="shared" si="235"/>
        <v>Palmas</v>
      </c>
    </row>
    <row r="2680" spans="1:15" x14ac:dyDescent="0.3">
      <c r="A2680" s="10">
        <v>46054</v>
      </c>
      <c r="B2680" s="9" t="s">
        <v>74</v>
      </c>
      <c r="C2680" t="s">
        <v>97</v>
      </c>
      <c r="D2680" s="9">
        <v>19911</v>
      </c>
      <c r="E2680" s="5" t="s">
        <v>522</v>
      </c>
      <c r="F2680" t="s">
        <v>98</v>
      </c>
      <c r="G2680">
        <v>1628</v>
      </c>
      <c r="H2680">
        <v>993</v>
      </c>
      <c r="I2680" s="8">
        <f t="shared" si="236"/>
        <v>0.60995085995085996</v>
      </c>
      <c r="J2680" s="17">
        <v>0.7</v>
      </c>
      <c r="K2680" s="12">
        <v>13.75</v>
      </c>
      <c r="L2680" s="2">
        <v>146.59999999999991</v>
      </c>
      <c r="M2680" s="15">
        <f t="shared" si="237"/>
        <v>2015.7499999999986</v>
      </c>
      <c r="N2680" t="str">
        <f t="shared" si="234"/>
        <v>PE</v>
      </c>
      <c r="O2680" t="str">
        <f t="shared" si="235"/>
        <v>Garanhuns</v>
      </c>
    </row>
    <row r="2681" spans="1:15" x14ac:dyDescent="0.3">
      <c r="A2681" s="10">
        <v>46054</v>
      </c>
      <c r="B2681" s="9" t="s">
        <v>21</v>
      </c>
      <c r="C2681" t="s">
        <v>121</v>
      </c>
      <c r="D2681" s="9">
        <v>19910</v>
      </c>
      <c r="E2681" s="5" t="s">
        <v>524</v>
      </c>
      <c r="F2681" t="s">
        <v>122</v>
      </c>
      <c r="G2681">
        <v>1101</v>
      </c>
      <c r="H2681">
        <v>599</v>
      </c>
      <c r="I2681" s="8">
        <f t="shared" si="236"/>
        <v>0.54405086285195281</v>
      </c>
      <c r="J2681" s="17">
        <v>0.7</v>
      </c>
      <c r="K2681" s="12">
        <v>13.75</v>
      </c>
      <c r="L2681" s="2">
        <v>171.69999999999982</v>
      </c>
      <c r="M2681" s="15">
        <f t="shared" si="237"/>
        <v>2360.8749999999973</v>
      </c>
      <c r="N2681" t="str">
        <f t="shared" si="234"/>
        <v>BA</v>
      </c>
      <c r="O2681" t="str">
        <f t="shared" si="235"/>
        <v>Luís Eduardo Magalhães</v>
      </c>
    </row>
    <row r="2682" spans="1:15" x14ac:dyDescent="0.3">
      <c r="A2682" s="10">
        <v>46054</v>
      </c>
      <c r="B2682" s="9" t="s">
        <v>82</v>
      </c>
      <c r="C2682" t="s">
        <v>173</v>
      </c>
      <c r="D2682" s="9">
        <v>19926</v>
      </c>
      <c r="E2682" s="5" t="s">
        <v>525</v>
      </c>
      <c r="F2682" t="s">
        <v>174</v>
      </c>
      <c r="G2682">
        <v>969</v>
      </c>
      <c r="H2682">
        <v>467</v>
      </c>
      <c r="I2682" s="8">
        <f t="shared" si="236"/>
        <v>0.48194014447884415</v>
      </c>
      <c r="J2682" s="17">
        <v>0.7</v>
      </c>
      <c r="K2682" s="12">
        <v>13.75</v>
      </c>
      <c r="L2682" s="2">
        <v>211.29999999999995</v>
      </c>
      <c r="M2682" s="15">
        <f t="shared" si="237"/>
        <v>2905.3749999999995</v>
      </c>
      <c r="N2682" t="str">
        <f t="shared" si="234"/>
        <v>PR</v>
      </c>
      <c r="O2682" t="str">
        <f t="shared" si="235"/>
        <v>Ponta Grossa</v>
      </c>
    </row>
    <row r="2683" spans="1:15" x14ac:dyDescent="0.3">
      <c r="A2683" s="10">
        <v>46054</v>
      </c>
      <c r="B2683" s="9" t="s">
        <v>15</v>
      </c>
      <c r="C2683" t="s">
        <v>319</v>
      </c>
      <c r="D2683" s="9">
        <v>19523</v>
      </c>
      <c r="E2683" s="5" t="s">
        <v>526</v>
      </c>
      <c r="F2683" t="s">
        <v>224</v>
      </c>
      <c r="G2683">
        <v>2556</v>
      </c>
      <c r="H2683">
        <v>784</v>
      </c>
      <c r="I2683" s="8">
        <f t="shared" si="236"/>
        <v>0.30672926447574334</v>
      </c>
      <c r="J2683" s="17">
        <v>0.7</v>
      </c>
      <c r="K2683" s="12">
        <v>13.75</v>
      </c>
      <c r="L2683" s="2">
        <v>1005.2</v>
      </c>
      <c r="M2683" s="15">
        <f t="shared" si="237"/>
        <v>13821.5</v>
      </c>
      <c r="N2683" t="str">
        <f t="shared" si="234"/>
        <v>RJ</v>
      </c>
      <c r="O2683" t="str">
        <f t="shared" si="235"/>
        <v>Rio de Janeiro</v>
      </c>
    </row>
    <row r="2684" spans="1:15" x14ac:dyDescent="0.3">
      <c r="A2684" s="10">
        <v>46054</v>
      </c>
      <c r="B2684" s="9" t="s">
        <v>15</v>
      </c>
      <c r="C2684" t="s">
        <v>319</v>
      </c>
      <c r="D2684" s="9">
        <v>19652</v>
      </c>
      <c r="E2684" s="5" t="s">
        <v>527</v>
      </c>
      <c r="F2684" t="s">
        <v>225</v>
      </c>
      <c r="G2684">
        <v>4200</v>
      </c>
      <c r="H2684">
        <v>1298</v>
      </c>
      <c r="I2684" s="8">
        <f t="shared" si="236"/>
        <v>0.30904761904761907</v>
      </c>
      <c r="J2684" s="17">
        <v>0.7</v>
      </c>
      <c r="K2684" s="12">
        <v>13.75</v>
      </c>
      <c r="L2684" s="2">
        <v>1641.9999999999995</v>
      </c>
      <c r="M2684" s="15">
        <f t="shared" si="237"/>
        <v>22577.499999999993</v>
      </c>
      <c r="N2684" t="str">
        <f t="shared" si="234"/>
        <v>RJ</v>
      </c>
      <c r="O2684" t="str">
        <f t="shared" si="235"/>
        <v>Rio de Janeiro</v>
      </c>
    </row>
    <row r="2685" spans="1:15" x14ac:dyDescent="0.3">
      <c r="A2685" s="10">
        <v>46054</v>
      </c>
      <c r="B2685" s="9" t="s">
        <v>15</v>
      </c>
      <c r="C2685" t="s">
        <v>319</v>
      </c>
      <c r="D2685" s="9">
        <v>19529</v>
      </c>
      <c r="E2685" s="5" t="s">
        <v>528</v>
      </c>
      <c r="F2685" t="s">
        <v>226</v>
      </c>
      <c r="G2685">
        <v>4923</v>
      </c>
      <c r="H2685">
        <v>1671</v>
      </c>
      <c r="I2685" s="8">
        <f t="shared" si="236"/>
        <v>0.33942717854966487</v>
      </c>
      <c r="J2685" s="17">
        <v>0.7</v>
      </c>
      <c r="K2685" s="12">
        <v>13.75</v>
      </c>
      <c r="L2685" s="2">
        <v>1775.099999999999</v>
      </c>
      <c r="M2685" s="15">
        <f t="shared" si="237"/>
        <v>24407.624999999985</v>
      </c>
      <c r="N2685" t="str">
        <f t="shared" si="234"/>
        <v>RJ</v>
      </c>
      <c r="O2685" t="str">
        <f t="shared" si="235"/>
        <v>Rio de Janeiro</v>
      </c>
    </row>
    <row r="2686" spans="1:15" x14ac:dyDescent="0.3">
      <c r="A2686" s="10">
        <v>46054</v>
      </c>
      <c r="B2686" s="9" t="s">
        <v>3</v>
      </c>
      <c r="C2686" t="s">
        <v>248</v>
      </c>
      <c r="D2686" s="9">
        <v>19889</v>
      </c>
      <c r="E2686" s="5" t="s">
        <v>529</v>
      </c>
      <c r="F2686" t="s">
        <v>266</v>
      </c>
      <c r="G2686">
        <v>1181</v>
      </c>
      <c r="H2686">
        <v>407</v>
      </c>
      <c r="I2686" s="8">
        <f t="shared" si="236"/>
        <v>0.34462320067739205</v>
      </c>
      <c r="J2686" s="17">
        <v>0.7</v>
      </c>
      <c r="K2686" s="12">
        <v>13.75</v>
      </c>
      <c r="L2686" s="2">
        <v>419.69999999999993</v>
      </c>
      <c r="M2686" s="15">
        <f t="shared" si="237"/>
        <v>5770.8749999999991</v>
      </c>
      <c r="N2686" t="str">
        <f t="shared" si="234"/>
        <v>SP</v>
      </c>
      <c r="O2686" t="str">
        <f t="shared" si="235"/>
        <v>São Paulo</v>
      </c>
    </row>
    <row r="2687" spans="1:15" x14ac:dyDescent="0.3">
      <c r="A2687" s="10">
        <v>46054</v>
      </c>
      <c r="B2687" s="9" t="s">
        <v>3</v>
      </c>
      <c r="C2687" t="s">
        <v>248</v>
      </c>
      <c r="D2687" s="9">
        <v>19888</v>
      </c>
      <c r="E2687" s="5" t="s">
        <v>530</v>
      </c>
      <c r="F2687" t="s">
        <v>267</v>
      </c>
      <c r="G2687">
        <v>1108</v>
      </c>
      <c r="H2687">
        <v>402</v>
      </c>
      <c r="I2687" s="8">
        <f t="shared" si="236"/>
        <v>0.36281588447653429</v>
      </c>
      <c r="J2687" s="17">
        <v>0.7</v>
      </c>
      <c r="K2687" s="12">
        <v>13.75</v>
      </c>
      <c r="L2687" s="2">
        <v>373.59999999999991</v>
      </c>
      <c r="M2687" s="15">
        <f t="shared" si="237"/>
        <v>5136.9999999999991</v>
      </c>
      <c r="N2687" t="str">
        <f t="shared" si="234"/>
        <v>SP</v>
      </c>
      <c r="O2687" t="str">
        <f t="shared" si="235"/>
        <v>São Paulo</v>
      </c>
    </row>
    <row r="2688" spans="1:15" x14ac:dyDescent="0.3">
      <c r="A2688" s="10">
        <v>46054</v>
      </c>
      <c r="B2688" s="9" t="s">
        <v>82</v>
      </c>
      <c r="C2688" t="s">
        <v>106</v>
      </c>
      <c r="D2688" s="9">
        <v>19927</v>
      </c>
      <c r="E2688" s="5" t="s">
        <v>531</v>
      </c>
      <c r="F2688" t="s">
        <v>107</v>
      </c>
      <c r="G2688">
        <v>651</v>
      </c>
      <c r="H2688">
        <v>227</v>
      </c>
      <c r="I2688" s="8">
        <f t="shared" si="236"/>
        <v>0.34869431643625193</v>
      </c>
      <c r="J2688" s="17">
        <v>0.7</v>
      </c>
      <c r="K2688" s="12">
        <v>13.75</v>
      </c>
      <c r="L2688" s="2">
        <v>228.69999999999993</v>
      </c>
      <c r="M2688" s="15">
        <f t="shared" si="237"/>
        <v>3144.6249999999991</v>
      </c>
      <c r="N2688" t="str">
        <f t="shared" si="234"/>
        <v>PR</v>
      </c>
      <c r="O2688" t="str">
        <f t="shared" si="235"/>
        <v>Guarapuava</v>
      </c>
    </row>
    <row r="2689" spans="1:15" x14ac:dyDescent="0.3">
      <c r="A2689" s="10">
        <v>46054</v>
      </c>
      <c r="B2689" s="9" t="s">
        <v>3</v>
      </c>
      <c r="C2689" t="s">
        <v>44</v>
      </c>
      <c r="D2689" s="9">
        <v>19930</v>
      </c>
      <c r="E2689" s="5" t="s">
        <v>533</v>
      </c>
      <c r="F2689" t="s">
        <v>45</v>
      </c>
      <c r="G2689">
        <v>1950</v>
      </c>
      <c r="H2689">
        <v>919</v>
      </c>
      <c r="I2689" s="8">
        <f t="shared" si="236"/>
        <v>0.47128205128205131</v>
      </c>
      <c r="J2689" s="17">
        <v>0.7</v>
      </c>
      <c r="K2689" s="12">
        <v>13.75</v>
      </c>
      <c r="L2689" s="2">
        <v>445.99999999999977</v>
      </c>
      <c r="M2689" s="15">
        <f t="shared" si="237"/>
        <v>6132.4999999999973</v>
      </c>
      <c r="N2689" t="str">
        <f t="shared" si="234"/>
        <v>SP</v>
      </c>
      <c r="O2689" t="str">
        <f t="shared" si="235"/>
        <v>Botucatu</v>
      </c>
    </row>
    <row r="2690" spans="1:15" x14ac:dyDescent="0.3">
      <c r="A2690" s="10">
        <v>46054</v>
      </c>
      <c r="B2690" s="9" t="s">
        <v>15</v>
      </c>
      <c r="C2690" t="s">
        <v>319</v>
      </c>
      <c r="D2690" s="9">
        <v>19609</v>
      </c>
      <c r="E2690" s="5" t="s">
        <v>535</v>
      </c>
      <c r="F2690" t="s">
        <v>227</v>
      </c>
      <c r="G2690">
        <v>1644</v>
      </c>
      <c r="H2690">
        <v>713</v>
      </c>
      <c r="I2690" s="8">
        <f t="shared" si="236"/>
        <v>0.43369829683698297</v>
      </c>
      <c r="J2690" s="17">
        <v>0.7</v>
      </c>
      <c r="K2690" s="12">
        <v>13.75</v>
      </c>
      <c r="L2690" s="2">
        <v>437.79999999999995</v>
      </c>
      <c r="M2690" s="15">
        <f t="shared" si="237"/>
        <v>6019.7499999999991</v>
      </c>
      <c r="N2690" t="str">
        <f t="shared" ref="N2690:N2753" si="238">B2690</f>
        <v>RJ</v>
      </c>
      <c r="O2690" t="str">
        <f t="shared" ref="O2690:O2753" si="239">C2690</f>
        <v>Rio de Janeiro</v>
      </c>
    </row>
    <row r="2691" spans="1:15" x14ac:dyDescent="0.3">
      <c r="A2691" s="10">
        <v>46054</v>
      </c>
      <c r="B2691" s="9" t="s">
        <v>3</v>
      </c>
      <c r="C2691" t="s">
        <v>4</v>
      </c>
      <c r="D2691" s="9">
        <v>19928</v>
      </c>
      <c r="E2691" s="5" t="s">
        <v>536</v>
      </c>
      <c r="F2691" t="s">
        <v>5</v>
      </c>
      <c r="G2691">
        <v>1549</v>
      </c>
      <c r="H2691">
        <v>798</v>
      </c>
      <c r="I2691" s="8">
        <f t="shared" ref="I2691:I2754" si="240">H2691/G2691</f>
        <v>0.51517107811491281</v>
      </c>
      <c r="J2691" s="17">
        <v>0.7</v>
      </c>
      <c r="K2691" s="12">
        <v>13.75</v>
      </c>
      <c r="L2691" s="2">
        <v>286.29999999999995</v>
      </c>
      <c r="M2691" s="15">
        <f t="shared" ref="M2691:M2754" si="241">L2691*K2691</f>
        <v>3936.6249999999995</v>
      </c>
      <c r="N2691" t="str">
        <f t="shared" si="238"/>
        <v>SP</v>
      </c>
      <c r="O2691" t="str">
        <f t="shared" si="239"/>
        <v>Americana</v>
      </c>
    </row>
    <row r="2692" spans="1:15" x14ac:dyDescent="0.3">
      <c r="A2692" s="10">
        <v>46054</v>
      </c>
      <c r="B2692" s="9" t="s">
        <v>15</v>
      </c>
      <c r="C2692" t="s">
        <v>149</v>
      </c>
      <c r="D2692" s="9">
        <v>19746</v>
      </c>
      <c r="E2692" s="5" t="s">
        <v>537</v>
      </c>
      <c r="F2692" t="s">
        <v>150</v>
      </c>
      <c r="G2692">
        <v>2020</v>
      </c>
      <c r="H2692">
        <v>1173</v>
      </c>
      <c r="I2692" s="8">
        <f t="shared" si="240"/>
        <v>0.58069306930693065</v>
      </c>
      <c r="J2692" s="17">
        <v>0.7</v>
      </c>
      <c r="K2692" s="12">
        <v>13.75</v>
      </c>
      <c r="L2692" s="2">
        <v>241</v>
      </c>
      <c r="M2692" s="15">
        <f t="shared" si="241"/>
        <v>3313.75</v>
      </c>
      <c r="N2692" t="str">
        <f t="shared" si="238"/>
        <v>RJ</v>
      </c>
      <c r="O2692" t="str">
        <f t="shared" si="239"/>
        <v>Nova Friburgo</v>
      </c>
    </row>
    <row r="2693" spans="1:15" x14ac:dyDescent="0.3">
      <c r="A2693" s="10">
        <v>46054</v>
      </c>
      <c r="B2693" s="9" t="s">
        <v>71</v>
      </c>
      <c r="C2693" t="s">
        <v>163</v>
      </c>
      <c r="D2693" s="9">
        <v>19933</v>
      </c>
      <c r="E2693" s="5" t="s">
        <v>538</v>
      </c>
      <c r="F2693" t="s">
        <v>164</v>
      </c>
      <c r="G2693">
        <v>451</v>
      </c>
      <c r="H2693">
        <v>119</v>
      </c>
      <c r="I2693" s="8">
        <f t="shared" si="240"/>
        <v>0.26385809312638581</v>
      </c>
      <c r="J2693" s="17">
        <v>0.7</v>
      </c>
      <c r="K2693" s="12">
        <v>13.75</v>
      </c>
      <c r="L2693" s="2">
        <v>196.7</v>
      </c>
      <c r="M2693" s="15">
        <f t="shared" si="241"/>
        <v>2704.625</v>
      </c>
      <c r="N2693" t="str">
        <f t="shared" si="238"/>
        <v>RS</v>
      </c>
      <c r="O2693" t="str">
        <f t="shared" si="239"/>
        <v>Passo</v>
      </c>
    </row>
    <row r="2694" spans="1:15" x14ac:dyDescent="0.3">
      <c r="A2694" s="10">
        <v>46054</v>
      </c>
      <c r="B2694" s="9" t="s">
        <v>59</v>
      </c>
      <c r="C2694" t="s">
        <v>311</v>
      </c>
      <c r="D2694" s="9">
        <v>19944</v>
      </c>
      <c r="E2694" s="5" t="s">
        <v>539</v>
      </c>
      <c r="F2694" t="s">
        <v>60</v>
      </c>
      <c r="G2694">
        <v>2008</v>
      </c>
      <c r="H2694">
        <v>862</v>
      </c>
      <c r="I2694" s="8">
        <f t="shared" si="240"/>
        <v>0.42928286852589642</v>
      </c>
      <c r="J2694" s="17">
        <v>0.7</v>
      </c>
      <c r="K2694" s="12">
        <v>13.75</v>
      </c>
      <c r="L2694" s="2">
        <v>543.59999999999991</v>
      </c>
      <c r="M2694" s="15">
        <f t="shared" si="241"/>
        <v>7474.4999999999991</v>
      </c>
      <c r="N2694" t="str">
        <f t="shared" si="238"/>
        <v>ES</v>
      </c>
      <c r="O2694" t="str">
        <f t="shared" si="239"/>
        <v>Cachoeira de Itapemirim</v>
      </c>
    </row>
    <row r="2695" spans="1:15" x14ac:dyDescent="0.3">
      <c r="A2695" s="10">
        <v>46054</v>
      </c>
      <c r="B2695" s="9" t="s">
        <v>21</v>
      </c>
      <c r="C2695" t="s">
        <v>228</v>
      </c>
      <c r="D2695" s="9">
        <v>19931</v>
      </c>
      <c r="E2695" s="5" t="s">
        <v>541</v>
      </c>
      <c r="F2695" t="s">
        <v>233</v>
      </c>
      <c r="G2695">
        <v>1921</v>
      </c>
      <c r="H2695">
        <v>904</v>
      </c>
      <c r="I2695" s="8">
        <f t="shared" si="240"/>
        <v>0.47058823529411764</v>
      </c>
      <c r="J2695" s="17">
        <v>0.7</v>
      </c>
      <c r="K2695" s="12">
        <v>13.75</v>
      </c>
      <c r="L2695" s="2">
        <v>440.69999999999982</v>
      </c>
      <c r="M2695" s="15">
        <f t="shared" si="241"/>
        <v>6059.6249999999973</v>
      </c>
      <c r="N2695" t="str">
        <f t="shared" si="238"/>
        <v>BA</v>
      </c>
      <c r="O2695" t="str">
        <f t="shared" si="239"/>
        <v>Salvador</v>
      </c>
    </row>
    <row r="2696" spans="1:15" x14ac:dyDescent="0.3">
      <c r="A2696" s="10">
        <v>46054</v>
      </c>
      <c r="B2696" s="9" t="s">
        <v>14</v>
      </c>
      <c r="C2696" t="s">
        <v>273</v>
      </c>
      <c r="D2696" s="9">
        <v>19937</v>
      </c>
      <c r="E2696" s="5" t="s">
        <v>542</v>
      </c>
      <c r="F2696" t="s">
        <v>274</v>
      </c>
      <c r="G2696">
        <v>268</v>
      </c>
      <c r="H2696">
        <v>125</v>
      </c>
      <c r="I2696" s="8">
        <f t="shared" si="240"/>
        <v>0.46641791044776121</v>
      </c>
      <c r="J2696" s="17">
        <v>0.7</v>
      </c>
      <c r="K2696" s="12">
        <v>13.75</v>
      </c>
      <c r="L2696" s="2">
        <v>62.599999999999994</v>
      </c>
      <c r="M2696" s="15">
        <f t="shared" si="241"/>
        <v>860.74999999999989</v>
      </c>
      <c r="N2696" t="str">
        <f t="shared" si="238"/>
        <v>MG</v>
      </c>
      <c r="O2696" t="str">
        <f t="shared" si="239"/>
        <v>Sete Lagoas</v>
      </c>
    </row>
    <row r="2697" spans="1:15" x14ac:dyDescent="0.3">
      <c r="A2697" s="10">
        <v>46054</v>
      </c>
      <c r="B2697" s="9" t="s">
        <v>46</v>
      </c>
      <c r="C2697" t="s">
        <v>102</v>
      </c>
      <c r="D2697" s="9">
        <v>19553</v>
      </c>
      <c r="E2697" s="5" t="s">
        <v>543</v>
      </c>
      <c r="F2697" t="s">
        <v>103</v>
      </c>
      <c r="G2697">
        <v>1809</v>
      </c>
      <c r="H2697">
        <v>718</v>
      </c>
      <c r="I2697" s="8">
        <f t="shared" si="240"/>
        <v>0.39690436705362081</v>
      </c>
      <c r="J2697" s="17">
        <v>0.7</v>
      </c>
      <c r="K2697" s="12">
        <v>13.75</v>
      </c>
      <c r="L2697" s="2">
        <v>548.29999999999973</v>
      </c>
      <c r="M2697" s="15">
        <f t="shared" si="241"/>
        <v>7539.1249999999964</v>
      </c>
      <c r="N2697" t="str">
        <f t="shared" si="238"/>
        <v>DF</v>
      </c>
      <c r="O2697" t="str">
        <f t="shared" si="239"/>
        <v>Guará</v>
      </c>
    </row>
    <row r="2698" spans="1:15" x14ac:dyDescent="0.3">
      <c r="A2698" s="10">
        <v>46054</v>
      </c>
      <c r="B2698" s="9" t="s">
        <v>140</v>
      </c>
      <c r="C2698" t="s">
        <v>141</v>
      </c>
      <c r="D2698" s="9">
        <v>19940</v>
      </c>
      <c r="E2698" s="5" t="s">
        <v>545</v>
      </c>
      <c r="F2698" t="s">
        <v>142</v>
      </c>
      <c r="G2698">
        <v>1825</v>
      </c>
      <c r="H2698">
        <v>1056</v>
      </c>
      <c r="I2698" s="8">
        <f t="shared" si="240"/>
        <v>0.57863013698630139</v>
      </c>
      <c r="J2698" s="17">
        <v>0.7</v>
      </c>
      <c r="K2698" s="12">
        <v>13.75</v>
      </c>
      <c r="L2698" s="2">
        <v>221.49999999999977</v>
      </c>
      <c r="M2698" s="15">
        <f t="shared" si="241"/>
        <v>3045.6249999999968</v>
      </c>
      <c r="N2698" t="str">
        <f t="shared" si="238"/>
        <v>RN</v>
      </c>
      <c r="O2698" t="str">
        <f t="shared" si="239"/>
        <v>Natal</v>
      </c>
    </row>
    <row r="2699" spans="1:15" x14ac:dyDescent="0.3">
      <c r="A2699" s="10">
        <v>46054</v>
      </c>
      <c r="B2699" s="9" t="s">
        <v>123</v>
      </c>
      <c r="C2699" t="s">
        <v>124</v>
      </c>
      <c r="D2699" s="9">
        <v>19945</v>
      </c>
      <c r="E2699" s="5" t="s">
        <v>546</v>
      </c>
      <c r="F2699" t="s">
        <v>125</v>
      </c>
      <c r="G2699">
        <v>1030</v>
      </c>
      <c r="H2699">
        <v>636</v>
      </c>
      <c r="I2699" s="8">
        <f t="shared" si="240"/>
        <v>0.6174757281553398</v>
      </c>
      <c r="J2699" s="17">
        <v>0.7</v>
      </c>
      <c r="K2699" s="12">
        <v>13.75</v>
      </c>
      <c r="L2699" s="2">
        <v>85</v>
      </c>
      <c r="M2699" s="15">
        <f t="shared" si="241"/>
        <v>1168.75</v>
      </c>
      <c r="N2699" t="str">
        <f t="shared" si="238"/>
        <v>AP</v>
      </c>
      <c r="O2699" t="str">
        <f t="shared" si="239"/>
        <v>Macapa</v>
      </c>
    </row>
    <row r="2700" spans="1:15" x14ac:dyDescent="0.3">
      <c r="A2700" s="10">
        <v>46054</v>
      </c>
      <c r="B2700" s="9" t="s">
        <v>21</v>
      </c>
      <c r="C2700" t="s">
        <v>228</v>
      </c>
      <c r="D2700" s="9">
        <v>19907</v>
      </c>
      <c r="E2700" s="5" t="s">
        <v>547</v>
      </c>
      <c r="F2700" t="s">
        <v>234</v>
      </c>
      <c r="G2700">
        <v>1267</v>
      </c>
      <c r="H2700">
        <v>492</v>
      </c>
      <c r="I2700" s="8">
        <f t="shared" si="240"/>
        <v>0.38831886345698502</v>
      </c>
      <c r="J2700" s="17">
        <v>0.7</v>
      </c>
      <c r="K2700" s="12">
        <v>13.75</v>
      </c>
      <c r="L2700" s="2">
        <v>394.89999999999986</v>
      </c>
      <c r="M2700" s="15">
        <f t="shared" si="241"/>
        <v>5429.8749999999982</v>
      </c>
      <c r="N2700" t="str">
        <f t="shared" si="238"/>
        <v>BA</v>
      </c>
      <c r="O2700" t="str">
        <f t="shared" si="239"/>
        <v>Salvador</v>
      </c>
    </row>
    <row r="2701" spans="1:15" x14ac:dyDescent="0.3">
      <c r="A2701" s="10">
        <v>46054</v>
      </c>
      <c r="B2701" s="9" t="s">
        <v>15</v>
      </c>
      <c r="C2701" t="s">
        <v>145</v>
      </c>
      <c r="D2701" s="9">
        <v>19538</v>
      </c>
      <c r="E2701" s="5" t="s">
        <v>548</v>
      </c>
      <c r="F2701" t="s">
        <v>146</v>
      </c>
      <c r="G2701">
        <v>2716</v>
      </c>
      <c r="H2701">
        <v>1194</v>
      </c>
      <c r="I2701" s="8">
        <f t="shared" si="240"/>
        <v>0.43961708394698085</v>
      </c>
      <c r="J2701" s="17">
        <v>0.7</v>
      </c>
      <c r="K2701" s="12">
        <v>13.75</v>
      </c>
      <c r="L2701" s="2">
        <v>707.19999999999982</v>
      </c>
      <c r="M2701" s="15">
        <f t="shared" si="241"/>
        <v>9723.9999999999982</v>
      </c>
      <c r="N2701" t="str">
        <f t="shared" si="238"/>
        <v>RJ</v>
      </c>
      <c r="O2701" t="str">
        <f t="shared" si="239"/>
        <v>Niterói</v>
      </c>
    </row>
    <row r="2702" spans="1:15" x14ac:dyDescent="0.3">
      <c r="A2702" s="10">
        <v>46054</v>
      </c>
      <c r="B2702" s="9" t="s">
        <v>71</v>
      </c>
      <c r="C2702" t="s">
        <v>175</v>
      </c>
      <c r="D2702" s="9">
        <v>19947</v>
      </c>
      <c r="E2702" s="5" t="s">
        <v>550</v>
      </c>
      <c r="F2702" t="s">
        <v>180</v>
      </c>
      <c r="G2702">
        <v>2639</v>
      </c>
      <c r="H2702">
        <v>870</v>
      </c>
      <c r="I2702" s="8">
        <f t="shared" si="240"/>
        <v>0.32967032967032966</v>
      </c>
      <c r="J2702" s="17">
        <v>0.7</v>
      </c>
      <c r="K2702" s="12">
        <v>13.75</v>
      </c>
      <c r="L2702" s="2">
        <v>977.3</v>
      </c>
      <c r="M2702" s="15">
        <f t="shared" si="241"/>
        <v>13437.875</v>
      </c>
      <c r="N2702" t="str">
        <f t="shared" si="238"/>
        <v>RS</v>
      </c>
      <c r="O2702" t="str">
        <f t="shared" si="239"/>
        <v>Porto Alegre</v>
      </c>
    </row>
    <row r="2703" spans="1:15" x14ac:dyDescent="0.3">
      <c r="A2703" s="10">
        <v>46054</v>
      </c>
      <c r="B2703" s="9" t="s">
        <v>14</v>
      </c>
      <c r="C2703" t="s">
        <v>114</v>
      </c>
      <c r="D2703" s="9">
        <v>19943</v>
      </c>
      <c r="E2703" s="5" t="s">
        <v>551</v>
      </c>
      <c r="F2703" t="s">
        <v>115</v>
      </c>
      <c r="G2703">
        <v>828</v>
      </c>
      <c r="H2703">
        <v>369</v>
      </c>
      <c r="I2703" s="8">
        <f t="shared" si="240"/>
        <v>0.44565217391304346</v>
      </c>
      <c r="J2703" s="17">
        <v>0.7</v>
      </c>
      <c r="K2703" s="12">
        <v>13.75</v>
      </c>
      <c r="L2703" s="2">
        <v>210.60000000000002</v>
      </c>
      <c r="M2703" s="15">
        <f t="shared" si="241"/>
        <v>2895.7500000000005</v>
      </c>
      <c r="N2703" t="str">
        <f t="shared" si="238"/>
        <v>MG</v>
      </c>
      <c r="O2703" t="str">
        <f t="shared" si="239"/>
        <v>Ituiutaba</v>
      </c>
    </row>
    <row r="2704" spans="1:15" x14ac:dyDescent="0.3">
      <c r="A2704" s="10">
        <v>46054</v>
      </c>
      <c r="B2704" s="9" t="s">
        <v>244</v>
      </c>
      <c r="C2704" t="s">
        <v>245</v>
      </c>
      <c r="D2704" s="9">
        <v>19617</v>
      </c>
      <c r="E2704" s="5" t="s">
        <v>552</v>
      </c>
      <c r="F2704" t="s">
        <v>246</v>
      </c>
      <c r="G2704">
        <v>3274</v>
      </c>
      <c r="H2704">
        <v>1390</v>
      </c>
      <c r="I2704" s="8">
        <f t="shared" si="240"/>
        <v>0.42455711667684787</v>
      </c>
      <c r="J2704" s="17">
        <v>0.7</v>
      </c>
      <c r="K2704" s="12">
        <v>13.75</v>
      </c>
      <c r="L2704" s="2">
        <v>901.79999999999973</v>
      </c>
      <c r="M2704" s="15">
        <f t="shared" si="241"/>
        <v>12399.749999999996</v>
      </c>
      <c r="N2704" t="str">
        <f t="shared" si="238"/>
        <v>MA</v>
      </c>
      <c r="O2704" t="str">
        <f t="shared" si="239"/>
        <v>São Luís</v>
      </c>
    </row>
    <row r="2705" spans="1:15" x14ac:dyDescent="0.3">
      <c r="A2705" s="10">
        <v>46054</v>
      </c>
      <c r="B2705" s="9" t="s">
        <v>244</v>
      </c>
      <c r="C2705" t="s">
        <v>245</v>
      </c>
      <c r="D2705" s="9">
        <v>19595</v>
      </c>
      <c r="E2705" s="5" t="s">
        <v>553</v>
      </c>
      <c r="F2705" t="s">
        <v>247</v>
      </c>
      <c r="G2705">
        <v>3248</v>
      </c>
      <c r="H2705">
        <v>1538</v>
      </c>
      <c r="I2705" s="8">
        <f t="shared" si="240"/>
        <v>0.47352216748768472</v>
      </c>
      <c r="J2705" s="17">
        <v>0.7</v>
      </c>
      <c r="K2705" s="12">
        <v>13.75</v>
      </c>
      <c r="L2705" s="2">
        <v>735.59999999999991</v>
      </c>
      <c r="M2705" s="15">
        <f t="shared" si="241"/>
        <v>10114.499999999998</v>
      </c>
      <c r="N2705" t="str">
        <f t="shared" si="238"/>
        <v>MA</v>
      </c>
      <c r="O2705" t="str">
        <f t="shared" si="239"/>
        <v>São Luís</v>
      </c>
    </row>
    <row r="2706" spans="1:15" x14ac:dyDescent="0.3">
      <c r="A2706" s="10">
        <v>46054</v>
      </c>
      <c r="B2706" s="9" t="s">
        <v>3</v>
      </c>
      <c r="C2706" t="s">
        <v>10</v>
      </c>
      <c r="D2706" s="9">
        <v>19948</v>
      </c>
      <c r="E2706" s="5" t="s">
        <v>555</v>
      </c>
      <c r="F2706" t="s">
        <v>11</v>
      </c>
      <c r="G2706">
        <v>1221</v>
      </c>
      <c r="H2706">
        <v>471</v>
      </c>
      <c r="I2706" s="8">
        <f t="shared" si="240"/>
        <v>0.38574938574938578</v>
      </c>
      <c r="J2706" s="17">
        <v>0.7</v>
      </c>
      <c r="K2706" s="12">
        <v>13.75</v>
      </c>
      <c r="L2706" s="2">
        <v>383.69999999999993</v>
      </c>
      <c r="M2706" s="15">
        <f t="shared" si="241"/>
        <v>5275.8749999999991</v>
      </c>
      <c r="N2706" t="str">
        <f t="shared" si="238"/>
        <v>SP</v>
      </c>
      <c r="O2706" t="str">
        <f t="shared" si="239"/>
        <v>Araraquara</v>
      </c>
    </row>
    <row r="2707" spans="1:15" x14ac:dyDescent="0.3">
      <c r="A2707" s="10">
        <v>46054</v>
      </c>
      <c r="B2707" s="9" t="s">
        <v>74</v>
      </c>
      <c r="C2707" t="s">
        <v>75</v>
      </c>
      <c r="D2707" s="9">
        <v>19798</v>
      </c>
      <c r="E2707" s="5" t="s">
        <v>556</v>
      </c>
      <c r="F2707" t="s">
        <v>76</v>
      </c>
      <c r="G2707">
        <v>2735</v>
      </c>
      <c r="H2707">
        <v>1309</v>
      </c>
      <c r="I2707" s="8">
        <f t="shared" si="240"/>
        <v>0.4786106032906764</v>
      </c>
      <c r="J2707" s="17">
        <v>0.7</v>
      </c>
      <c r="K2707" s="12">
        <v>13.75</v>
      </c>
      <c r="L2707" s="2">
        <v>605.5</v>
      </c>
      <c r="M2707" s="15">
        <f t="shared" si="241"/>
        <v>8325.625</v>
      </c>
      <c r="N2707" t="str">
        <f t="shared" si="238"/>
        <v>PE</v>
      </c>
      <c r="O2707" t="str">
        <f t="shared" si="239"/>
        <v>Caruaru</v>
      </c>
    </row>
    <row r="2708" spans="1:15" x14ac:dyDescent="0.3">
      <c r="A2708" s="10">
        <v>46054</v>
      </c>
      <c r="B2708" s="9" t="s">
        <v>15</v>
      </c>
      <c r="C2708" t="s">
        <v>19</v>
      </c>
      <c r="D2708" s="9">
        <v>19694</v>
      </c>
      <c r="E2708" s="5" t="s">
        <v>557</v>
      </c>
      <c r="F2708" t="s">
        <v>20</v>
      </c>
      <c r="G2708">
        <v>1666</v>
      </c>
      <c r="H2708">
        <v>823</v>
      </c>
      <c r="I2708" s="8">
        <f t="shared" si="240"/>
        <v>0.49399759903961582</v>
      </c>
      <c r="J2708" s="17">
        <v>0.7</v>
      </c>
      <c r="K2708" s="12">
        <v>13.75</v>
      </c>
      <c r="L2708" s="2">
        <v>343.19999999999982</v>
      </c>
      <c r="M2708" s="15">
        <f t="shared" si="241"/>
        <v>4718.9999999999973</v>
      </c>
      <c r="N2708" t="str">
        <f t="shared" si="238"/>
        <v>RJ</v>
      </c>
      <c r="O2708" t="str">
        <f t="shared" si="239"/>
        <v>Barra Mansa</v>
      </c>
    </row>
    <row r="2709" spans="1:15" x14ac:dyDescent="0.3">
      <c r="A2709" s="10">
        <v>46054</v>
      </c>
      <c r="B2709" s="9" t="s">
        <v>14</v>
      </c>
      <c r="C2709" t="s">
        <v>112</v>
      </c>
      <c r="D2709" s="9">
        <v>19951</v>
      </c>
      <c r="E2709" s="5" t="s">
        <v>558</v>
      </c>
      <c r="F2709" t="s">
        <v>113</v>
      </c>
      <c r="G2709">
        <v>1739</v>
      </c>
      <c r="H2709">
        <v>615</v>
      </c>
      <c r="I2709" s="8">
        <f t="shared" si="240"/>
        <v>0.35365152386428983</v>
      </c>
      <c r="J2709" s="17">
        <v>0.7</v>
      </c>
      <c r="K2709" s="12">
        <v>13.75</v>
      </c>
      <c r="L2709" s="2">
        <v>602.29999999999995</v>
      </c>
      <c r="M2709" s="15">
        <f t="shared" si="241"/>
        <v>8281.625</v>
      </c>
      <c r="N2709" t="str">
        <f t="shared" si="238"/>
        <v>MG</v>
      </c>
      <c r="O2709" t="str">
        <f t="shared" si="239"/>
        <v>Ipatinga</v>
      </c>
    </row>
    <row r="2710" spans="1:15" x14ac:dyDescent="0.3">
      <c r="A2710" s="10">
        <v>46054</v>
      </c>
      <c r="B2710" s="9" t="s">
        <v>160</v>
      </c>
      <c r="C2710" t="s">
        <v>161</v>
      </c>
      <c r="D2710" s="9">
        <v>19954</v>
      </c>
      <c r="E2710" s="5" t="s">
        <v>559</v>
      </c>
      <c r="F2710" t="s">
        <v>162</v>
      </c>
      <c r="G2710">
        <v>747</v>
      </c>
      <c r="H2710">
        <v>468</v>
      </c>
      <c r="I2710" s="8">
        <f t="shared" si="240"/>
        <v>0.62650602409638556</v>
      </c>
      <c r="J2710" s="17">
        <v>0.7</v>
      </c>
      <c r="K2710" s="12">
        <v>13.75</v>
      </c>
      <c r="L2710" s="2">
        <v>54.899999999999977</v>
      </c>
      <c r="M2710" s="15">
        <f t="shared" si="241"/>
        <v>754.87499999999966</v>
      </c>
      <c r="N2710" t="str">
        <f t="shared" si="238"/>
        <v>PI</v>
      </c>
      <c r="O2710" t="str">
        <f t="shared" si="239"/>
        <v>Parnaíba</v>
      </c>
    </row>
    <row r="2711" spans="1:15" x14ac:dyDescent="0.3">
      <c r="A2711" s="10">
        <v>46054</v>
      </c>
      <c r="B2711" s="9" t="s">
        <v>14</v>
      </c>
      <c r="C2711" t="s">
        <v>316</v>
      </c>
      <c r="D2711" s="9">
        <v>19615</v>
      </c>
      <c r="E2711" s="5" t="s">
        <v>560</v>
      </c>
      <c r="F2711" t="s">
        <v>117</v>
      </c>
      <c r="G2711">
        <v>2489</v>
      </c>
      <c r="H2711">
        <v>974</v>
      </c>
      <c r="I2711" s="8">
        <f t="shared" si="240"/>
        <v>0.39132181599035759</v>
      </c>
      <c r="J2711" s="17">
        <v>0.7</v>
      </c>
      <c r="K2711" s="12">
        <v>13.75</v>
      </c>
      <c r="L2711" s="2">
        <v>768.29999999999973</v>
      </c>
      <c r="M2711" s="15">
        <f t="shared" si="241"/>
        <v>10564.124999999996</v>
      </c>
      <c r="N2711" t="str">
        <f t="shared" si="238"/>
        <v>MG</v>
      </c>
      <c r="O2711" t="str">
        <f t="shared" si="239"/>
        <v>Juiz de Fora</v>
      </c>
    </row>
    <row r="2712" spans="1:15" x14ac:dyDescent="0.3">
      <c r="A2712" s="10">
        <v>46054</v>
      </c>
      <c r="B2712" s="9" t="s">
        <v>46</v>
      </c>
      <c r="C2712" t="s">
        <v>47</v>
      </c>
      <c r="D2712" s="9">
        <v>19647</v>
      </c>
      <c r="E2712" s="5" t="s">
        <v>561</v>
      </c>
      <c r="F2712" t="s">
        <v>55</v>
      </c>
      <c r="G2712">
        <v>1497</v>
      </c>
      <c r="H2712">
        <v>497</v>
      </c>
      <c r="I2712" s="8">
        <f t="shared" si="240"/>
        <v>0.33199732798931197</v>
      </c>
      <c r="J2712" s="17">
        <v>0.7</v>
      </c>
      <c r="K2712" s="12">
        <v>13.75</v>
      </c>
      <c r="L2712" s="2">
        <v>550.89999999999986</v>
      </c>
      <c r="M2712" s="15">
        <f t="shared" si="241"/>
        <v>7574.8749999999982</v>
      </c>
      <c r="N2712" t="str">
        <f t="shared" si="238"/>
        <v>DF</v>
      </c>
      <c r="O2712" t="str">
        <f t="shared" si="239"/>
        <v>Brasília</v>
      </c>
    </row>
    <row r="2713" spans="1:15" x14ac:dyDescent="0.3">
      <c r="A2713" s="10">
        <v>46054</v>
      </c>
      <c r="B2713" s="9" t="s">
        <v>46</v>
      </c>
      <c r="C2713" t="s">
        <v>47</v>
      </c>
      <c r="D2713" s="9">
        <v>19898</v>
      </c>
      <c r="E2713" s="5" t="s">
        <v>562</v>
      </c>
      <c r="F2713" t="s">
        <v>56</v>
      </c>
      <c r="G2713">
        <v>976</v>
      </c>
      <c r="H2713">
        <v>296</v>
      </c>
      <c r="I2713" s="8">
        <f t="shared" si="240"/>
        <v>0.30327868852459017</v>
      </c>
      <c r="J2713" s="17">
        <v>0.7</v>
      </c>
      <c r="K2713" s="12">
        <v>13.75</v>
      </c>
      <c r="L2713" s="2">
        <v>387.19999999999993</v>
      </c>
      <c r="M2713" s="15">
        <f t="shared" si="241"/>
        <v>5323.9999999999991</v>
      </c>
      <c r="N2713" t="str">
        <f t="shared" si="238"/>
        <v>DF</v>
      </c>
      <c r="O2713" t="str">
        <f t="shared" si="239"/>
        <v>Brasília</v>
      </c>
    </row>
    <row r="2714" spans="1:15" x14ac:dyDescent="0.3">
      <c r="A2714" s="10">
        <v>46054</v>
      </c>
      <c r="B2714" s="9" t="s">
        <v>3</v>
      </c>
      <c r="C2714" t="s">
        <v>64</v>
      </c>
      <c r="D2714" s="9">
        <v>19616</v>
      </c>
      <c r="E2714" s="5" t="s">
        <v>563</v>
      </c>
      <c r="F2714" t="s">
        <v>66</v>
      </c>
      <c r="G2714">
        <v>3273</v>
      </c>
      <c r="H2714">
        <v>1284</v>
      </c>
      <c r="I2714" s="8">
        <f t="shared" si="240"/>
        <v>0.39230064161319889</v>
      </c>
      <c r="J2714" s="17">
        <v>0.7</v>
      </c>
      <c r="K2714" s="12">
        <v>13.75</v>
      </c>
      <c r="L2714" s="2">
        <v>1007.0999999999999</v>
      </c>
      <c r="M2714" s="15">
        <f t="shared" si="241"/>
        <v>13847.624999999998</v>
      </c>
      <c r="N2714" t="str">
        <f t="shared" si="238"/>
        <v>SP</v>
      </c>
      <c r="O2714" t="str">
        <f t="shared" si="239"/>
        <v>Campinas</v>
      </c>
    </row>
    <row r="2715" spans="1:15" x14ac:dyDescent="0.3">
      <c r="A2715" s="10">
        <v>46054</v>
      </c>
      <c r="B2715" s="9" t="s">
        <v>3</v>
      </c>
      <c r="C2715" t="s">
        <v>64</v>
      </c>
      <c r="D2715" s="9">
        <v>19688</v>
      </c>
      <c r="E2715" s="5" t="s">
        <v>564</v>
      </c>
      <c r="F2715" t="s">
        <v>67</v>
      </c>
      <c r="G2715">
        <v>1566</v>
      </c>
      <c r="H2715">
        <v>548</v>
      </c>
      <c r="I2715" s="8">
        <f t="shared" si="240"/>
        <v>0.34993614303959131</v>
      </c>
      <c r="J2715" s="17">
        <v>0.7</v>
      </c>
      <c r="K2715" s="12">
        <v>13.75</v>
      </c>
      <c r="L2715" s="2">
        <v>548.19999999999982</v>
      </c>
      <c r="M2715" s="15">
        <f t="shared" si="241"/>
        <v>7537.7499999999973</v>
      </c>
      <c r="N2715" t="str">
        <f t="shared" si="238"/>
        <v>SP</v>
      </c>
      <c r="O2715" t="str">
        <f t="shared" si="239"/>
        <v>Campinas</v>
      </c>
    </row>
    <row r="2716" spans="1:15" x14ac:dyDescent="0.3">
      <c r="A2716" s="10">
        <v>46054</v>
      </c>
      <c r="B2716" s="9" t="s">
        <v>3</v>
      </c>
      <c r="C2716" t="s">
        <v>275</v>
      </c>
      <c r="D2716" s="9">
        <v>19721</v>
      </c>
      <c r="E2716" s="5" t="s">
        <v>565</v>
      </c>
      <c r="F2716" t="s">
        <v>276</v>
      </c>
      <c r="G2716">
        <v>1743</v>
      </c>
      <c r="H2716">
        <v>742</v>
      </c>
      <c r="I2716" s="8">
        <f t="shared" si="240"/>
        <v>0.42570281124497994</v>
      </c>
      <c r="J2716" s="17">
        <v>0.7</v>
      </c>
      <c r="K2716" s="12">
        <v>13.75</v>
      </c>
      <c r="L2716" s="2">
        <v>478.09999999999991</v>
      </c>
      <c r="M2716" s="15">
        <f t="shared" si="241"/>
        <v>6573.8749999999991</v>
      </c>
      <c r="N2716" t="str">
        <f t="shared" si="238"/>
        <v>SP</v>
      </c>
      <c r="O2716" t="str">
        <f t="shared" si="239"/>
        <v>Sorocaba</v>
      </c>
    </row>
    <row r="2717" spans="1:15" x14ac:dyDescent="0.3">
      <c r="A2717" s="10">
        <v>46054</v>
      </c>
      <c r="B2717" s="9" t="s">
        <v>3</v>
      </c>
      <c r="C2717" t="s">
        <v>248</v>
      </c>
      <c r="D2717" s="9">
        <v>19863</v>
      </c>
      <c r="E2717" s="5" t="s">
        <v>566</v>
      </c>
      <c r="F2717" t="s">
        <v>268</v>
      </c>
      <c r="G2717">
        <v>2158</v>
      </c>
      <c r="H2717">
        <v>732</v>
      </c>
      <c r="I2717" s="8">
        <f t="shared" si="240"/>
        <v>0.33920296570898978</v>
      </c>
      <c r="J2717" s="17">
        <v>0.7</v>
      </c>
      <c r="K2717" s="12">
        <v>13.75</v>
      </c>
      <c r="L2717" s="2">
        <v>778.60000000000014</v>
      </c>
      <c r="M2717" s="15">
        <f t="shared" si="241"/>
        <v>10705.750000000002</v>
      </c>
      <c r="N2717" t="str">
        <f t="shared" si="238"/>
        <v>SP</v>
      </c>
      <c r="O2717" t="str">
        <f t="shared" si="239"/>
        <v>São Paulo</v>
      </c>
    </row>
    <row r="2718" spans="1:15" x14ac:dyDescent="0.3">
      <c r="A2718" s="10">
        <v>46054</v>
      </c>
      <c r="B2718" s="9" t="s">
        <v>3</v>
      </c>
      <c r="C2718" t="s">
        <v>248</v>
      </c>
      <c r="D2718" s="9">
        <v>19817</v>
      </c>
      <c r="E2718" s="5" t="s">
        <v>567</v>
      </c>
      <c r="F2718" t="s">
        <v>269</v>
      </c>
      <c r="G2718">
        <v>1117</v>
      </c>
      <c r="H2718">
        <v>425</v>
      </c>
      <c r="I2718" s="8">
        <f t="shared" si="240"/>
        <v>0.38048343777976723</v>
      </c>
      <c r="J2718" s="17">
        <v>0.7</v>
      </c>
      <c r="K2718" s="12">
        <v>13.75</v>
      </c>
      <c r="L2718" s="2">
        <v>356.9</v>
      </c>
      <c r="M2718" s="15">
        <f t="shared" si="241"/>
        <v>4907.375</v>
      </c>
      <c r="N2718" t="str">
        <f t="shared" si="238"/>
        <v>SP</v>
      </c>
      <c r="O2718" t="str">
        <f t="shared" si="239"/>
        <v>São Paulo</v>
      </c>
    </row>
    <row r="2719" spans="1:15" x14ac:dyDescent="0.3">
      <c r="A2719" s="10">
        <v>46054</v>
      </c>
      <c r="B2719" s="9" t="s">
        <v>3</v>
      </c>
      <c r="C2719" t="s">
        <v>248</v>
      </c>
      <c r="D2719" s="9">
        <v>19866</v>
      </c>
      <c r="E2719" s="5" t="s">
        <v>568</v>
      </c>
      <c r="F2719" t="s">
        <v>270</v>
      </c>
      <c r="G2719">
        <v>1312</v>
      </c>
      <c r="H2719">
        <v>465</v>
      </c>
      <c r="I2719" s="8">
        <f t="shared" si="240"/>
        <v>0.35442073170731708</v>
      </c>
      <c r="J2719" s="17">
        <v>0.7</v>
      </c>
      <c r="K2719" s="12">
        <v>13.75</v>
      </c>
      <c r="L2719" s="2">
        <v>453.4</v>
      </c>
      <c r="M2719" s="15">
        <f t="shared" si="241"/>
        <v>6234.25</v>
      </c>
      <c r="N2719" t="str">
        <f t="shared" si="238"/>
        <v>SP</v>
      </c>
      <c r="O2719" t="str">
        <f t="shared" si="239"/>
        <v>São Paulo</v>
      </c>
    </row>
    <row r="2720" spans="1:15" x14ac:dyDescent="0.3">
      <c r="A2720" s="10">
        <v>46054</v>
      </c>
      <c r="B2720" s="9" t="s">
        <v>3</v>
      </c>
      <c r="C2720" t="s">
        <v>110</v>
      </c>
      <c r="D2720" s="9">
        <v>19884</v>
      </c>
      <c r="E2720" s="5" t="s">
        <v>577</v>
      </c>
      <c r="F2720" t="s">
        <v>111</v>
      </c>
      <c r="G2720">
        <v>1460</v>
      </c>
      <c r="H2720">
        <v>475</v>
      </c>
      <c r="I2720" s="8">
        <f t="shared" si="240"/>
        <v>0.32534246575342468</v>
      </c>
      <c r="J2720" s="17">
        <v>0.7</v>
      </c>
      <c r="K2720" s="12">
        <v>13.75</v>
      </c>
      <c r="L2720" s="2">
        <v>546.99999999999989</v>
      </c>
      <c r="M2720" s="15">
        <f t="shared" si="241"/>
        <v>7521.2499999999982</v>
      </c>
      <c r="N2720" t="str">
        <f t="shared" si="238"/>
        <v>SP</v>
      </c>
      <c r="O2720" t="str">
        <f t="shared" si="239"/>
        <v>Guarulhos</v>
      </c>
    </row>
    <row r="2721" spans="1:15" x14ac:dyDescent="0.3">
      <c r="A2721" s="10">
        <v>46054</v>
      </c>
      <c r="B2721" s="9" t="s">
        <v>3</v>
      </c>
      <c r="C2721" t="s">
        <v>248</v>
      </c>
      <c r="D2721" s="9">
        <v>19859</v>
      </c>
      <c r="E2721" s="5" t="s">
        <v>578</v>
      </c>
      <c r="F2721" t="s">
        <v>258</v>
      </c>
      <c r="G2721">
        <v>991</v>
      </c>
      <c r="H2721">
        <v>341</v>
      </c>
      <c r="I2721" s="8">
        <f t="shared" si="240"/>
        <v>0.34409687184661958</v>
      </c>
      <c r="J2721" s="17">
        <v>0.7</v>
      </c>
      <c r="K2721" s="12">
        <v>13.75</v>
      </c>
      <c r="L2721" s="2">
        <v>352.69999999999993</v>
      </c>
      <c r="M2721" s="15">
        <f t="shared" si="241"/>
        <v>4849.6249999999991</v>
      </c>
      <c r="N2721" t="str">
        <f t="shared" si="238"/>
        <v>SP</v>
      </c>
      <c r="O2721" t="str">
        <f t="shared" si="239"/>
        <v>São Paulo</v>
      </c>
    </row>
    <row r="2722" spans="1:15" x14ac:dyDescent="0.3">
      <c r="A2722" s="10">
        <v>46054</v>
      </c>
      <c r="B2722" s="9" t="s">
        <v>3</v>
      </c>
      <c r="C2722" t="s">
        <v>248</v>
      </c>
      <c r="D2722" s="9">
        <v>19711</v>
      </c>
      <c r="E2722" s="5" t="s">
        <v>579</v>
      </c>
      <c r="F2722" t="s">
        <v>264</v>
      </c>
      <c r="G2722">
        <v>1231</v>
      </c>
      <c r="H2722">
        <v>462</v>
      </c>
      <c r="I2722" s="8">
        <f t="shared" si="240"/>
        <v>0.37530463038180339</v>
      </c>
      <c r="J2722" s="17">
        <v>0.7</v>
      </c>
      <c r="K2722" s="12">
        <v>13.75</v>
      </c>
      <c r="L2722" s="2">
        <v>399.69999999999993</v>
      </c>
      <c r="M2722" s="15">
        <f t="shared" si="241"/>
        <v>5495.8749999999991</v>
      </c>
      <c r="N2722" t="str">
        <f t="shared" si="238"/>
        <v>SP</v>
      </c>
      <c r="O2722" t="str">
        <f t="shared" si="239"/>
        <v>São Paulo</v>
      </c>
    </row>
    <row r="2723" spans="1:15" x14ac:dyDescent="0.3">
      <c r="A2723" s="10">
        <v>46054</v>
      </c>
      <c r="B2723" s="9" t="s">
        <v>3</v>
      </c>
      <c r="C2723" t="s">
        <v>248</v>
      </c>
      <c r="D2723" s="9">
        <v>19763</v>
      </c>
      <c r="E2723" s="5" t="s">
        <v>580</v>
      </c>
      <c r="F2723" t="s">
        <v>263</v>
      </c>
      <c r="G2723">
        <v>1192</v>
      </c>
      <c r="H2723">
        <v>440</v>
      </c>
      <c r="I2723" s="8">
        <f t="shared" si="240"/>
        <v>0.36912751677852351</v>
      </c>
      <c r="J2723" s="17">
        <v>0.7</v>
      </c>
      <c r="K2723" s="12">
        <v>13.75</v>
      </c>
      <c r="L2723" s="2">
        <v>394.4</v>
      </c>
      <c r="M2723" s="15">
        <f t="shared" si="241"/>
        <v>5423</v>
      </c>
      <c r="N2723" t="str">
        <f t="shared" si="238"/>
        <v>SP</v>
      </c>
      <c r="O2723" t="str">
        <f t="shared" si="239"/>
        <v>São Paulo</v>
      </c>
    </row>
    <row r="2724" spans="1:15" x14ac:dyDescent="0.3">
      <c r="A2724" s="10">
        <v>46054</v>
      </c>
      <c r="B2724" s="9" t="s">
        <v>68</v>
      </c>
      <c r="C2724" t="s">
        <v>69</v>
      </c>
      <c r="D2724" s="9">
        <v>19602</v>
      </c>
      <c r="E2724" s="5" t="s">
        <v>570</v>
      </c>
      <c r="F2724" t="s">
        <v>70</v>
      </c>
      <c r="G2724">
        <v>220</v>
      </c>
      <c r="H2724">
        <v>36</v>
      </c>
      <c r="I2724" s="8">
        <f t="shared" si="240"/>
        <v>0.16363636363636364</v>
      </c>
      <c r="J2724" s="17">
        <v>0.7</v>
      </c>
      <c r="K2724" s="12">
        <v>13.75</v>
      </c>
      <c r="L2724" s="2">
        <v>118</v>
      </c>
      <c r="M2724" s="15">
        <f t="shared" si="241"/>
        <v>1622.5</v>
      </c>
      <c r="N2724" t="str">
        <f t="shared" si="238"/>
        <v>MS</v>
      </c>
      <c r="O2724" t="str">
        <f t="shared" si="239"/>
        <v>Campo Grande</v>
      </c>
    </row>
    <row r="2725" spans="1:15" x14ac:dyDescent="0.3">
      <c r="A2725" s="10">
        <v>46054</v>
      </c>
      <c r="B2725" s="9" t="s">
        <v>46</v>
      </c>
      <c r="C2725" t="s">
        <v>47</v>
      </c>
      <c r="D2725" s="9">
        <v>19755</v>
      </c>
      <c r="E2725" s="5" t="s">
        <v>581</v>
      </c>
      <c r="F2725" t="s">
        <v>53</v>
      </c>
      <c r="G2725">
        <v>848</v>
      </c>
      <c r="H2725">
        <v>364</v>
      </c>
      <c r="I2725" s="8">
        <f t="shared" si="240"/>
        <v>0.42924528301886794</v>
      </c>
      <c r="J2725" s="17">
        <v>0.7</v>
      </c>
      <c r="K2725" s="12">
        <v>13.75</v>
      </c>
      <c r="L2725" s="2">
        <v>229.59999999999991</v>
      </c>
      <c r="M2725" s="15">
        <f t="shared" si="241"/>
        <v>3156.9999999999986</v>
      </c>
      <c r="N2725" t="str">
        <f t="shared" si="238"/>
        <v>DF</v>
      </c>
      <c r="O2725" t="str">
        <f t="shared" si="239"/>
        <v>Brasília</v>
      </c>
    </row>
    <row r="2726" spans="1:15" x14ac:dyDescent="0.3">
      <c r="A2726" s="10">
        <v>46054</v>
      </c>
      <c r="B2726" s="9" t="s">
        <v>14</v>
      </c>
      <c r="C2726" t="s">
        <v>29</v>
      </c>
      <c r="D2726" s="9">
        <v>19780</v>
      </c>
      <c r="E2726" s="5" t="s">
        <v>582</v>
      </c>
      <c r="F2726" t="s">
        <v>35</v>
      </c>
      <c r="G2726">
        <v>1324</v>
      </c>
      <c r="H2726">
        <v>777</v>
      </c>
      <c r="I2726" s="8">
        <f t="shared" si="240"/>
        <v>0.5868580060422961</v>
      </c>
      <c r="J2726" s="17">
        <v>0.7</v>
      </c>
      <c r="K2726" s="12">
        <v>13.75</v>
      </c>
      <c r="L2726" s="2">
        <v>149.79999999999995</v>
      </c>
      <c r="M2726" s="15">
        <f t="shared" si="241"/>
        <v>2059.7499999999995</v>
      </c>
      <c r="N2726" t="str">
        <f t="shared" si="238"/>
        <v>MG</v>
      </c>
      <c r="O2726" t="str">
        <f t="shared" si="239"/>
        <v>Belo Horizonte</v>
      </c>
    </row>
    <row r="2727" spans="1:15" x14ac:dyDescent="0.3">
      <c r="A2727" s="10">
        <v>46054</v>
      </c>
      <c r="B2727" s="9" t="s">
        <v>3</v>
      </c>
      <c r="C2727" t="s">
        <v>321</v>
      </c>
      <c r="D2727" s="9">
        <v>19825</v>
      </c>
      <c r="E2727" s="5" t="s">
        <v>583</v>
      </c>
      <c r="F2727" t="s">
        <v>241</v>
      </c>
      <c r="G2727">
        <v>1226</v>
      </c>
      <c r="H2727">
        <v>437</v>
      </c>
      <c r="I2727" s="8">
        <f t="shared" si="240"/>
        <v>0.35644371941272429</v>
      </c>
      <c r="J2727" s="17">
        <v>0.7</v>
      </c>
      <c r="K2727" s="12">
        <v>13.75</v>
      </c>
      <c r="L2727" s="2">
        <v>421.19999999999993</v>
      </c>
      <c r="M2727" s="15">
        <f t="shared" si="241"/>
        <v>5791.4999999999991</v>
      </c>
      <c r="N2727" t="str">
        <f t="shared" si="238"/>
        <v>SP</v>
      </c>
      <c r="O2727" t="str">
        <f t="shared" si="239"/>
        <v>SÃO BERNARDO DO CAMPO</v>
      </c>
    </row>
    <row r="2728" spans="1:15" x14ac:dyDescent="0.3">
      <c r="A2728" s="10">
        <v>46054</v>
      </c>
      <c r="B2728" s="9" t="s">
        <v>3</v>
      </c>
      <c r="C2728" t="s">
        <v>320</v>
      </c>
      <c r="D2728" s="9">
        <v>19847</v>
      </c>
      <c r="E2728" s="5" t="s">
        <v>584</v>
      </c>
      <c r="F2728" t="s">
        <v>238</v>
      </c>
      <c r="G2728">
        <v>1229</v>
      </c>
      <c r="H2728">
        <v>390</v>
      </c>
      <c r="I2728" s="8">
        <f t="shared" si="240"/>
        <v>0.31733116354759966</v>
      </c>
      <c r="J2728" s="17">
        <v>0.7</v>
      </c>
      <c r="K2728" s="12">
        <v>13.75</v>
      </c>
      <c r="L2728" s="2">
        <v>470.30000000000007</v>
      </c>
      <c r="M2728" s="15">
        <f t="shared" si="241"/>
        <v>6466.6250000000009</v>
      </c>
      <c r="N2728" t="str">
        <f t="shared" si="238"/>
        <v>SP</v>
      </c>
      <c r="O2728" t="str">
        <f t="shared" si="239"/>
        <v>SANTO ANDRÉ</v>
      </c>
    </row>
    <row r="2729" spans="1:15" x14ac:dyDescent="0.3">
      <c r="A2729" s="10">
        <v>46054</v>
      </c>
      <c r="B2729" s="9" t="s">
        <v>3</v>
      </c>
      <c r="C2729" t="s">
        <v>248</v>
      </c>
      <c r="D2729" s="9">
        <v>19890</v>
      </c>
      <c r="E2729" s="5" t="s">
        <v>585</v>
      </c>
      <c r="F2729" t="s">
        <v>259</v>
      </c>
      <c r="G2729">
        <v>628</v>
      </c>
      <c r="H2729">
        <v>242</v>
      </c>
      <c r="I2729" s="8">
        <f t="shared" si="240"/>
        <v>0.38535031847133761</v>
      </c>
      <c r="J2729" s="17">
        <v>0.7</v>
      </c>
      <c r="K2729" s="12">
        <v>13.75</v>
      </c>
      <c r="L2729" s="2">
        <v>197.59999999999991</v>
      </c>
      <c r="M2729" s="15">
        <f t="shared" si="241"/>
        <v>2716.9999999999986</v>
      </c>
      <c r="N2729" t="str">
        <f t="shared" si="238"/>
        <v>SP</v>
      </c>
      <c r="O2729" t="str">
        <f t="shared" si="239"/>
        <v>São Paulo</v>
      </c>
    </row>
    <row r="2730" spans="1:15" x14ac:dyDescent="0.3">
      <c r="A2730" s="10">
        <v>46054</v>
      </c>
      <c r="B2730" s="9" t="s">
        <v>3</v>
      </c>
      <c r="C2730" t="s">
        <v>239</v>
      </c>
      <c r="D2730" s="9">
        <v>19708</v>
      </c>
      <c r="E2730" s="5" t="s">
        <v>586</v>
      </c>
      <c r="F2730" t="s">
        <v>240</v>
      </c>
      <c r="G2730">
        <v>2053</v>
      </c>
      <c r="H2730">
        <v>821</v>
      </c>
      <c r="I2730" s="8">
        <f t="shared" si="240"/>
        <v>0.39990258158792014</v>
      </c>
      <c r="J2730" s="17">
        <v>0.7</v>
      </c>
      <c r="K2730" s="12">
        <v>13.75</v>
      </c>
      <c r="L2730" s="2">
        <v>616.09999999999968</v>
      </c>
      <c r="M2730" s="15">
        <f t="shared" si="241"/>
        <v>8471.3749999999964</v>
      </c>
      <c r="N2730" t="str">
        <f t="shared" si="238"/>
        <v>SP</v>
      </c>
      <c r="O2730" t="str">
        <f t="shared" si="239"/>
        <v>Santos</v>
      </c>
    </row>
    <row r="2731" spans="1:15" x14ac:dyDescent="0.3">
      <c r="A2731" s="10">
        <v>46054</v>
      </c>
      <c r="B2731" s="9" t="s">
        <v>3</v>
      </c>
      <c r="C2731" t="s">
        <v>318</v>
      </c>
      <c r="D2731" s="9">
        <v>19745</v>
      </c>
      <c r="E2731" s="5" t="s">
        <v>587</v>
      </c>
      <c r="F2731" t="s">
        <v>154</v>
      </c>
      <c r="G2731">
        <v>1431</v>
      </c>
      <c r="H2731">
        <v>606</v>
      </c>
      <c r="I2731" s="8">
        <f t="shared" si="240"/>
        <v>0.42348008385744235</v>
      </c>
      <c r="J2731" s="17">
        <v>0.7</v>
      </c>
      <c r="K2731" s="12">
        <v>13.75</v>
      </c>
      <c r="L2731" s="2">
        <v>395.69999999999993</v>
      </c>
      <c r="M2731" s="15">
        <f t="shared" si="241"/>
        <v>5440.8749999999991</v>
      </c>
      <c r="N2731" t="str">
        <f t="shared" si="238"/>
        <v>SP</v>
      </c>
      <c r="O2731" t="str">
        <f t="shared" si="239"/>
        <v>OSASCO</v>
      </c>
    </row>
    <row r="2732" spans="1:15" x14ac:dyDescent="0.3">
      <c r="A2732" s="10">
        <v>46054</v>
      </c>
      <c r="B2732" s="9" t="s">
        <v>3</v>
      </c>
      <c r="C2732" t="s">
        <v>248</v>
      </c>
      <c r="D2732" s="9">
        <v>19710</v>
      </c>
      <c r="E2732" s="5" t="s">
        <v>588</v>
      </c>
      <c r="F2732" t="s">
        <v>261</v>
      </c>
      <c r="G2732">
        <v>1540</v>
      </c>
      <c r="H2732">
        <v>688</v>
      </c>
      <c r="I2732" s="8">
        <f t="shared" si="240"/>
        <v>0.44675324675324674</v>
      </c>
      <c r="J2732" s="17">
        <v>0.7</v>
      </c>
      <c r="K2732" s="12">
        <v>13.75</v>
      </c>
      <c r="L2732" s="2">
        <v>390</v>
      </c>
      <c r="M2732" s="15">
        <f t="shared" si="241"/>
        <v>5362.5</v>
      </c>
      <c r="N2732" t="str">
        <f t="shared" si="238"/>
        <v>SP</v>
      </c>
      <c r="O2732" t="str">
        <f t="shared" si="239"/>
        <v>São Paulo</v>
      </c>
    </row>
    <row r="2733" spans="1:15" x14ac:dyDescent="0.3">
      <c r="A2733" s="10">
        <v>46054</v>
      </c>
      <c r="B2733" s="9" t="s">
        <v>3</v>
      </c>
      <c r="C2733" t="s">
        <v>248</v>
      </c>
      <c r="D2733" s="9">
        <v>19891</v>
      </c>
      <c r="E2733" s="5" t="s">
        <v>612</v>
      </c>
      <c r="F2733" t="s">
        <v>260</v>
      </c>
      <c r="G2733">
        <v>1390</v>
      </c>
      <c r="H2733">
        <v>709</v>
      </c>
      <c r="I2733" s="8">
        <f t="shared" si="240"/>
        <v>0.51007194244604315</v>
      </c>
      <c r="J2733" s="17">
        <v>0.7</v>
      </c>
      <c r="K2733" s="12">
        <v>13.75</v>
      </c>
      <c r="L2733" s="2">
        <v>264</v>
      </c>
      <c r="M2733" s="15">
        <f t="shared" si="241"/>
        <v>3630</v>
      </c>
      <c r="N2733" t="str">
        <f t="shared" si="238"/>
        <v>SP</v>
      </c>
      <c r="O2733" t="str">
        <f t="shared" si="239"/>
        <v>São Paulo</v>
      </c>
    </row>
    <row r="2734" spans="1:15" x14ac:dyDescent="0.3">
      <c r="A2734" s="10">
        <v>46054</v>
      </c>
      <c r="B2734" s="9" t="s">
        <v>3</v>
      </c>
      <c r="C2734" t="s">
        <v>322</v>
      </c>
      <c r="D2734" s="9">
        <v>19808</v>
      </c>
      <c r="E2734" s="5" t="s">
        <v>589</v>
      </c>
      <c r="F2734" t="s">
        <v>243</v>
      </c>
      <c r="G2734">
        <v>1198</v>
      </c>
      <c r="H2734">
        <v>360</v>
      </c>
      <c r="I2734" s="8">
        <f t="shared" si="240"/>
        <v>0.30050083472454092</v>
      </c>
      <c r="J2734" s="17">
        <v>0.7</v>
      </c>
      <c r="K2734" s="12">
        <v>13.75</v>
      </c>
      <c r="L2734" s="2">
        <v>478.5999999999998</v>
      </c>
      <c r="M2734" s="15">
        <f t="shared" si="241"/>
        <v>6580.7499999999973</v>
      </c>
      <c r="N2734" t="str">
        <f t="shared" si="238"/>
        <v>SP</v>
      </c>
      <c r="O2734" t="str">
        <f t="shared" si="239"/>
        <v>São Caetano do Sul</v>
      </c>
    </row>
    <row r="2735" spans="1:15" x14ac:dyDescent="0.3">
      <c r="A2735" s="10">
        <v>46054</v>
      </c>
      <c r="B2735" s="9" t="s">
        <v>3</v>
      </c>
      <c r="C2735" t="s">
        <v>248</v>
      </c>
      <c r="D2735" s="9">
        <v>19804</v>
      </c>
      <c r="E2735" s="5" t="s">
        <v>590</v>
      </c>
      <c r="F2735" t="s">
        <v>255</v>
      </c>
      <c r="G2735">
        <v>1207</v>
      </c>
      <c r="H2735">
        <v>433</v>
      </c>
      <c r="I2735" s="8">
        <f t="shared" si="240"/>
        <v>0.35874067937033971</v>
      </c>
      <c r="J2735" s="17">
        <v>0.7</v>
      </c>
      <c r="K2735" s="12">
        <v>13.75</v>
      </c>
      <c r="L2735" s="2">
        <v>411.89999999999986</v>
      </c>
      <c r="M2735" s="15">
        <f t="shared" si="241"/>
        <v>5663.6249999999982</v>
      </c>
      <c r="N2735" t="str">
        <f t="shared" si="238"/>
        <v>SP</v>
      </c>
      <c r="O2735" t="str">
        <f t="shared" si="239"/>
        <v>São Paulo</v>
      </c>
    </row>
    <row r="2736" spans="1:15" x14ac:dyDescent="0.3">
      <c r="A2736" s="10">
        <v>46054</v>
      </c>
      <c r="B2736" s="9" t="s">
        <v>3</v>
      </c>
      <c r="C2736" t="s">
        <v>321</v>
      </c>
      <c r="D2736" s="9">
        <v>19820</v>
      </c>
      <c r="E2736" s="5" t="s">
        <v>591</v>
      </c>
      <c r="F2736" t="s">
        <v>242</v>
      </c>
      <c r="G2736">
        <v>1113</v>
      </c>
      <c r="H2736">
        <v>386</v>
      </c>
      <c r="I2736" s="8">
        <f t="shared" si="240"/>
        <v>0.34681042228212039</v>
      </c>
      <c r="J2736" s="17">
        <v>0.7</v>
      </c>
      <c r="K2736" s="12">
        <v>13.75</v>
      </c>
      <c r="L2736" s="2">
        <v>393.1</v>
      </c>
      <c r="M2736" s="15">
        <f t="shared" si="241"/>
        <v>5405.125</v>
      </c>
      <c r="N2736" t="str">
        <f t="shared" si="238"/>
        <v>SP</v>
      </c>
      <c r="O2736" t="str">
        <f t="shared" si="239"/>
        <v>SÃO BERNARDO DO CAMPO</v>
      </c>
    </row>
    <row r="2737" spans="1:15" x14ac:dyDescent="0.3">
      <c r="A2737" s="10">
        <v>46054</v>
      </c>
      <c r="B2737" s="9" t="s">
        <v>3</v>
      </c>
      <c r="C2737" t="s">
        <v>24</v>
      </c>
      <c r="D2737" s="9">
        <v>19805</v>
      </c>
      <c r="E2737" s="5" t="s">
        <v>592</v>
      </c>
      <c r="F2737" t="s">
        <v>25</v>
      </c>
      <c r="G2737">
        <v>1413</v>
      </c>
      <c r="H2737">
        <v>682</v>
      </c>
      <c r="I2737" s="8">
        <f t="shared" si="240"/>
        <v>0.48266100495399861</v>
      </c>
      <c r="J2737" s="17">
        <v>0.7</v>
      </c>
      <c r="K2737" s="12">
        <v>13.75</v>
      </c>
      <c r="L2737" s="2">
        <v>307.09999999999991</v>
      </c>
      <c r="M2737" s="15">
        <f t="shared" si="241"/>
        <v>4222.6249999999991</v>
      </c>
      <c r="N2737" t="str">
        <f t="shared" si="238"/>
        <v>SP</v>
      </c>
      <c r="O2737" t="str">
        <f t="shared" si="239"/>
        <v>Barueri</v>
      </c>
    </row>
    <row r="2738" spans="1:15" x14ac:dyDescent="0.3">
      <c r="A2738" s="10">
        <v>46054</v>
      </c>
      <c r="B2738" s="9" t="s">
        <v>14</v>
      </c>
      <c r="C2738" t="s">
        <v>29</v>
      </c>
      <c r="D2738" s="9">
        <v>19720</v>
      </c>
      <c r="E2738" s="5" t="s">
        <v>593</v>
      </c>
      <c r="F2738" t="s">
        <v>36</v>
      </c>
      <c r="G2738">
        <v>1378</v>
      </c>
      <c r="H2738">
        <v>507</v>
      </c>
      <c r="I2738" s="8">
        <f t="shared" si="240"/>
        <v>0.36792452830188677</v>
      </c>
      <c r="J2738" s="17">
        <v>0.7</v>
      </c>
      <c r="K2738" s="12">
        <v>13.75</v>
      </c>
      <c r="L2738" s="2">
        <v>457.6</v>
      </c>
      <c r="M2738" s="15">
        <f t="shared" si="241"/>
        <v>6292</v>
      </c>
      <c r="N2738" t="str">
        <f t="shared" si="238"/>
        <v>MG</v>
      </c>
      <c r="O2738" t="str">
        <f t="shared" si="239"/>
        <v>Belo Horizonte</v>
      </c>
    </row>
    <row r="2739" spans="1:15" x14ac:dyDescent="0.3">
      <c r="A2739" s="10">
        <v>46054</v>
      </c>
      <c r="B2739" s="9" t="s">
        <v>3</v>
      </c>
      <c r="C2739" t="s">
        <v>108</v>
      </c>
      <c r="D2739" s="9">
        <v>19877</v>
      </c>
      <c r="E2739" s="5" t="s">
        <v>594</v>
      </c>
      <c r="F2739" t="s">
        <v>109</v>
      </c>
      <c r="G2739">
        <v>1847</v>
      </c>
      <c r="H2739">
        <v>694</v>
      </c>
      <c r="I2739" s="8">
        <f t="shared" si="240"/>
        <v>0.37574445046020571</v>
      </c>
      <c r="J2739" s="17">
        <v>0.7</v>
      </c>
      <c r="K2739" s="12">
        <v>13.75</v>
      </c>
      <c r="L2739" s="2">
        <v>598.89999999999986</v>
      </c>
      <c r="M2739" s="15">
        <f t="shared" si="241"/>
        <v>8234.8749999999982</v>
      </c>
      <c r="N2739" t="str">
        <f t="shared" si="238"/>
        <v>SP</v>
      </c>
      <c r="O2739" t="str">
        <f t="shared" si="239"/>
        <v>Guarujá</v>
      </c>
    </row>
    <row r="2740" spans="1:15" x14ac:dyDescent="0.3">
      <c r="A2740" s="10">
        <v>46054</v>
      </c>
      <c r="B2740" s="9" t="s">
        <v>15</v>
      </c>
      <c r="C2740" t="s">
        <v>332</v>
      </c>
      <c r="D2740" s="9">
        <v>19679</v>
      </c>
      <c r="E2740" s="5" t="s">
        <v>571</v>
      </c>
      <c r="F2740" t="s">
        <v>333</v>
      </c>
      <c r="G2740">
        <v>1876</v>
      </c>
      <c r="H2740">
        <v>889</v>
      </c>
      <c r="I2740" s="8">
        <f t="shared" si="240"/>
        <v>0.47388059701492535</v>
      </c>
      <c r="J2740" s="17">
        <v>0.7</v>
      </c>
      <c r="K2740" s="12">
        <v>13.75</v>
      </c>
      <c r="L2740" s="2">
        <v>424.20000000000005</v>
      </c>
      <c r="M2740" s="15">
        <f t="shared" si="241"/>
        <v>5832.7500000000009</v>
      </c>
      <c r="N2740" t="str">
        <f t="shared" si="238"/>
        <v>RJ</v>
      </c>
      <c r="O2740" t="str">
        <f t="shared" si="239"/>
        <v>Macaé</v>
      </c>
    </row>
    <row r="2741" spans="1:15" x14ac:dyDescent="0.3">
      <c r="A2741" s="10">
        <v>46054</v>
      </c>
      <c r="B2741" s="9" t="s">
        <v>59</v>
      </c>
      <c r="C2741" t="s">
        <v>104</v>
      </c>
      <c r="D2741" s="9">
        <v>19872</v>
      </c>
      <c r="E2741" s="5" t="s">
        <v>572</v>
      </c>
      <c r="F2741" t="s">
        <v>105</v>
      </c>
      <c r="G2741">
        <v>3072</v>
      </c>
      <c r="H2741">
        <v>1443</v>
      </c>
      <c r="I2741" s="8">
        <f t="shared" si="240"/>
        <v>0.4697265625</v>
      </c>
      <c r="J2741" s="17">
        <v>0.7</v>
      </c>
      <c r="K2741" s="12">
        <v>13.75</v>
      </c>
      <c r="L2741" s="2">
        <v>707.39999999999964</v>
      </c>
      <c r="M2741" s="15">
        <f t="shared" si="241"/>
        <v>9726.7499999999945</v>
      </c>
      <c r="N2741" t="str">
        <f t="shared" si="238"/>
        <v>ES</v>
      </c>
      <c r="O2741" t="str">
        <f t="shared" si="239"/>
        <v>Guarapari</v>
      </c>
    </row>
    <row r="2742" spans="1:15" x14ac:dyDescent="0.3">
      <c r="A2742" s="10">
        <v>46054</v>
      </c>
      <c r="B2742" s="9" t="s">
        <v>15</v>
      </c>
      <c r="C2742" t="s">
        <v>145</v>
      </c>
      <c r="D2742" s="9">
        <v>19513</v>
      </c>
      <c r="E2742" s="5" t="s">
        <v>574</v>
      </c>
      <c r="F2742" t="s">
        <v>147</v>
      </c>
      <c r="G2742">
        <v>2694</v>
      </c>
      <c r="H2742">
        <v>935</v>
      </c>
      <c r="I2742" s="8">
        <f t="shared" si="240"/>
        <v>0.34706755753526353</v>
      </c>
      <c r="J2742" s="17">
        <v>0.7</v>
      </c>
      <c r="K2742" s="12">
        <v>13.75</v>
      </c>
      <c r="L2742" s="2">
        <v>950.80000000000018</v>
      </c>
      <c r="M2742" s="15">
        <f t="shared" si="241"/>
        <v>13073.500000000002</v>
      </c>
      <c r="N2742" t="str">
        <f t="shared" si="238"/>
        <v>RJ</v>
      </c>
      <c r="O2742" t="str">
        <f t="shared" si="239"/>
        <v>Niterói</v>
      </c>
    </row>
    <row r="2743" spans="1:15" x14ac:dyDescent="0.3">
      <c r="A2743" s="10">
        <v>46054</v>
      </c>
      <c r="B2743" s="9" t="s">
        <v>15</v>
      </c>
      <c r="C2743" t="s">
        <v>145</v>
      </c>
      <c r="D2743" s="9">
        <v>19525</v>
      </c>
      <c r="E2743" s="5" t="s">
        <v>575</v>
      </c>
      <c r="F2743" t="s">
        <v>148</v>
      </c>
      <c r="G2743">
        <v>2900</v>
      </c>
      <c r="H2743">
        <v>1136</v>
      </c>
      <c r="I2743" s="8">
        <f t="shared" si="240"/>
        <v>0.3917241379310345</v>
      </c>
      <c r="J2743" s="17">
        <v>0.7</v>
      </c>
      <c r="K2743" s="12">
        <v>13.75</v>
      </c>
      <c r="L2743" s="2">
        <v>893.99999999999977</v>
      </c>
      <c r="M2743" s="15">
        <f t="shared" si="241"/>
        <v>12292.499999999996</v>
      </c>
      <c r="N2743" t="str">
        <f t="shared" si="238"/>
        <v>RJ</v>
      </c>
      <c r="O2743" t="str">
        <f t="shared" si="239"/>
        <v>Niterói</v>
      </c>
    </row>
    <row r="2744" spans="1:15" x14ac:dyDescent="0.3">
      <c r="A2744" s="10">
        <v>46054</v>
      </c>
      <c r="B2744" s="9" t="s">
        <v>71</v>
      </c>
      <c r="C2744" t="s">
        <v>308</v>
      </c>
      <c r="D2744" s="9">
        <v>19956</v>
      </c>
      <c r="E2744" s="5" t="s">
        <v>614</v>
      </c>
      <c r="F2744" t="s">
        <v>309</v>
      </c>
      <c r="G2744">
        <v>810</v>
      </c>
      <c r="H2744">
        <v>358</v>
      </c>
      <c r="I2744" s="8">
        <f t="shared" si="240"/>
        <v>0.44197530864197532</v>
      </c>
      <c r="J2744" s="17">
        <v>0.7</v>
      </c>
      <c r="K2744" s="12">
        <v>13.75</v>
      </c>
      <c r="L2744" s="2">
        <v>209</v>
      </c>
      <c r="M2744" s="15">
        <f t="shared" si="241"/>
        <v>2873.75</v>
      </c>
      <c r="N2744" t="str">
        <f t="shared" si="238"/>
        <v>RS</v>
      </c>
      <c r="O2744" t="str">
        <f t="shared" si="239"/>
        <v>Lajeado</v>
      </c>
    </row>
    <row r="2745" spans="1:15" x14ac:dyDescent="0.3">
      <c r="A2745" s="10">
        <v>46054</v>
      </c>
      <c r="B2745" s="9" t="s">
        <v>15</v>
      </c>
      <c r="C2745" t="s">
        <v>310</v>
      </c>
      <c r="D2745" s="9">
        <v>19908</v>
      </c>
      <c r="E2745" s="5" t="s">
        <v>595</v>
      </c>
      <c r="F2745" t="s">
        <v>16</v>
      </c>
      <c r="G2745">
        <v>1981</v>
      </c>
      <c r="H2745">
        <v>1064</v>
      </c>
      <c r="I2745" s="8">
        <f t="shared" si="240"/>
        <v>0.53710247349823326</v>
      </c>
      <c r="J2745" s="17">
        <v>0.7</v>
      </c>
      <c r="K2745" s="12">
        <v>13.75</v>
      </c>
      <c r="L2745" s="2">
        <v>322.69999999999982</v>
      </c>
      <c r="M2745" s="15">
        <f t="shared" si="241"/>
        <v>4437.1249999999973</v>
      </c>
      <c r="N2745" t="str">
        <f t="shared" si="238"/>
        <v>RJ</v>
      </c>
      <c r="O2745" t="str">
        <f t="shared" si="239"/>
        <v>Armação dos Búzios</v>
      </c>
    </row>
    <row r="2746" spans="1:15" x14ac:dyDescent="0.3">
      <c r="A2746" s="10">
        <v>46054</v>
      </c>
      <c r="B2746" s="9" t="s">
        <v>21</v>
      </c>
      <c r="C2746" t="s">
        <v>228</v>
      </c>
      <c r="D2746" s="9">
        <v>19625</v>
      </c>
      <c r="E2746" s="5" t="s">
        <v>596</v>
      </c>
      <c r="F2746" t="s">
        <v>231</v>
      </c>
      <c r="G2746">
        <v>2627</v>
      </c>
      <c r="H2746">
        <v>1223</v>
      </c>
      <c r="I2746" s="8">
        <f t="shared" si="240"/>
        <v>0.46555005709935288</v>
      </c>
      <c r="J2746" s="17">
        <v>0.7</v>
      </c>
      <c r="K2746" s="12">
        <v>13.75</v>
      </c>
      <c r="L2746" s="2">
        <v>615.89999999999986</v>
      </c>
      <c r="M2746" s="15">
        <f t="shared" si="241"/>
        <v>8468.6249999999982</v>
      </c>
      <c r="N2746" t="str">
        <f t="shared" si="238"/>
        <v>BA</v>
      </c>
      <c r="O2746" t="str">
        <f t="shared" si="239"/>
        <v>Salvador</v>
      </c>
    </row>
    <row r="2747" spans="1:15" x14ac:dyDescent="0.3">
      <c r="A2747" s="10">
        <v>46054</v>
      </c>
      <c r="B2747" s="9" t="s">
        <v>21</v>
      </c>
      <c r="C2747" t="s">
        <v>228</v>
      </c>
      <c r="D2747" s="9">
        <v>19771</v>
      </c>
      <c r="E2747" s="5" t="s">
        <v>576</v>
      </c>
      <c r="F2747" t="s">
        <v>235</v>
      </c>
      <c r="G2747">
        <v>1923</v>
      </c>
      <c r="H2747">
        <v>749</v>
      </c>
      <c r="I2747" s="8">
        <f t="shared" si="240"/>
        <v>0.38949557982319294</v>
      </c>
      <c r="J2747" s="17">
        <v>0.7</v>
      </c>
      <c r="K2747" s="12">
        <v>13.75</v>
      </c>
      <c r="L2747" s="2">
        <v>597.09999999999991</v>
      </c>
      <c r="M2747" s="15">
        <f t="shared" si="241"/>
        <v>8210.1249999999982</v>
      </c>
      <c r="N2747" t="str">
        <f t="shared" si="238"/>
        <v>BA</v>
      </c>
      <c r="O2747" t="str">
        <f t="shared" si="239"/>
        <v>Salvador</v>
      </c>
    </row>
    <row r="2748" spans="1:15" x14ac:dyDescent="0.3">
      <c r="A2748" s="10">
        <v>46054</v>
      </c>
      <c r="B2748" s="9" t="s">
        <v>21</v>
      </c>
      <c r="C2748" t="s">
        <v>228</v>
      </c>
      <c r="D2748" s="9">
        <v>19689</v>
      </c>
      <c r="E2748" s="5" t="s">
        <v>597</v>
      </c>
      <c r="F2748" t="s">
        <v>230</v>
      </c>
      <c r="G2748">
        <v>1036</v>
      </c>
      <c r="H2748">
        <v>545</v>
      </c>
      <c r="I2748" s="8">
        <f t="shared" si="240"/>
        <v>0.52606177606177607</v>
      </c>
      <c r="J2748" s="17">
        <v>0.7</v>
      </c>
      <c r="K2748" s="12">
        <v>13.75</v>
      </c>
      <c r="L2748" s="2">
        <v>180.20000000000005</v>
      </c>
      <c r="M2748" s="15">
        <f t="shared" si="241"/>
        <v>2477.7500000000005</v>
      </c>
      <c r="N2748" t="str">
        <f t="shared" si="238"/>
        <v>BA</v>
      </c>
      <c r="O2748" t="str">
        <f t="shared" si="239"/>
        <v>Salvador</v>
      </c>
    </row>
    <row r="2749" spans="1:15" x14ac:dyDescent="0.3">
      <c r="A2749" s="10">
        <v>46054</v>
      </c>
      <c r="B2749" s="9" t="s">
        <v>59</v>
      </c>
      <c r="C2749" t="s">
        <v>271</v>
      </c>
      <c r="D2749" s="9">
        <v>19775</v>
      </c>
      <c r="E2749" s="5" t="s">
        <v>598</v>
      </c>
      <c r="F2749" t="s">
        <v>272</v>
      </c>
      <c r="G2749">
        <v>1337</v>
      </c>
      <c r="H2749">
        <v>507</v>
      </c>
      <c r="I2749" s="8">
        <f t="shared" si="240"/>
        <v>0.37920718025430067</v>
      </c>
      <c r="J2749" s="17">
        <v>0.7</v>
      </c>
      <c r="K2749" s="12">
        <v>13.75</v>
      </c>
      <c r="L2749" s="2">
        <v>428.9</v>
      </c>
      <c r="M2749" s="15">
        <f t="shared" si="241"/>
        <v>5897.375</v>
      </c>
      <c r="N2749" t="str">
        <f t="shared" si="238"/>
        <v>ES</v>
      </c>
      <c r="O2749" t="str">
        <f t="shared" si="239"/>
        <v>Serra</v>
      </c>
    </row>
    <row r="2750" spans="1:15" x14ac:dyDescent="0.3">
      <c r="A2750" s="10">
        <v>46054</v>
      </c>
      <c r="B2750" s="9" t="s">
        <v>59</v>
      </c>
      <c r="C2750" t="s">
        <v>292</v>
      </c>
      <c r="D2750" s="9">
        <v>19580</v>
      </c>
      <c r="E2750" s="5" t="s">
        <v>599</v>
      </c>
      <c r="F2750" t="s">
        <v>293</v>
      </c>
      <c r="G2750">
        <v>1925</v>
      </c>
      <c r="H2750">
        <v>650</v>
      </c>
      <c r="I2750" s="8">
        <f t="shared" si="240"/>
        <v>0.33766233766233766</v>
      </c>
      <c r="J2750" s="17">
        <v>0.7</v>
      </c>
      <c r="K2750" s="12">
        <v>13.75</v>
      </c>
      <c r="L2750" s="2">
        <v>697.49999999999977</v>
      </c>
      <c r="M2750" s="15">
        <f t="shared" si="241"/>
        <v>9590.6249999999964</v>
      </c>
      <c r="N2750" t="str">
        <f t="shared" si="238"/>
        <v>ES</v>
      </c>
      <c r="O2750" t="str">
        <f t="shared" si="239"/>
        <v>Vitória</v>
      </c>
    </row>
    <row r="2751" spans="1:15" x14ac:dyDescent="0.3">
      <c r="A2751" s="10">
        <v>46054</v>
      </c>
      <c r="B2751" s="9" t="s">
        <v>59</v>
      </c>
      <c r="C2751" t="s">
        <v>292</v>
      </c>
      <c r="D2751" s="9">
        <v>19719</v>
      </c>
      <c r="E2751" s="5" t="s">
        <v>600</v>
      </c>
      <c r="F2751" t="s">
        <v>294</v>
      </c>
      <c r="G2751">
        <v>1522</v>
      </c>
      <c r="H2751">
        <v>523</v>
      </c>
      <c r="I2751" s="8">
        <f t="shared" si="240"/>
        <v>0.34362680683311431</v>
      </c>
      <c r="J2751" s="17">
        <v>0.7</v>
      </c>
      <c r="K2751" s="12">
        <v>13.75</v>
      </c>
      <c r="L2751" s="2">
        <v>542.39999999999986</v>
      </c>
      <c r="M2751" s="15">
        <f t="shared" si="241"/>
        <v>7457.9999999999982</v>
      </c>
      <c r="N2751" t="str">
        <f t="shared" si="238"/>
        <v>ES</v>
      </c>
      <c r="O2751" t="str">
        <f t="shared" si="239"/>
        <v>Vitória</v>
      </c>
    </row>
    <row r="2752" spans="1:15" x14ac:dyDescent="0.3">
      <c r="A2752" s="10">
        <v>46054</v>
      </c>
      <c r="B2752" s="9" t="s">
        <v>3</v>
      </c>
      <c r="C2752" t="s">
        <v>193</v>
      </c>
      <c r="D2752" s="9">
        <v>19832</v>
      </c>
      <c r="E2752" s="5" t="s">
        <v>601</v>
      </c>
      <c r="F2752" t="s">
        <v>194</v>
      </c>
      <c r="G2752">
        <v>929</v>
      </c>
      <c r="H2752">
        <v>329</v>
      </c>
      <c r="I2752" s="8">
        <f t="shared" si="240"/>
        <v>0.35414424111948334</v>
      </c>
      <c r="J2752" s="17">
        <v>0.7</v>
      </c>
      <c r="K2752" s="12">
        <v>13.75</v>
      </c>
      <c r="L2752" s="2">
        <v>321.29999999999995</v>
      </c>
      <c r="M2752" s="15">
        <f t="shared" si="241"/>
        <v>4417.8749999999991</v>
      </c>
      <c r="N2752" t="str">
        <f t="shared" si="238"/>
        <v>SP</v>
      </c>
      <c r="O2752" t="str">
        <f t="shared" si="239"/>
        <v>Ribeirão Preto</v>
      </c>
    </row>
    <row r="2753" spans="1:15" x14ac:dyDescent="0.3">
      <c r="A2753" s="10">
        <v>46054</v>
      </c>
      <c r="B2753" s="9" t="s">
        <v>6</v>
      </c>
      <c r="C2753" t="s">
        <v>236</v>
      </c>
      <c r="D2753" s="9">
        <v>19606</v>
      </c>
      <c r="E2753" s="5" t="s">
        <v>602</v>
      </c>
      <c r="F2753" t="s">
        <v>237</v>
      </c>
      <c r="G2753">
        <v>1771</v>
      </c>
      <c r="H2753">
        <v>897</v>
      </c>
      <c r="I2753" s="8">
        <f t="shared" si="240"/>
        <v>0.50649350649350644</v>
      </c>
      <c r="J2753" s="17">
        <v>0.7</v>
      </c>
      <c r="K2753" s="12">
        <v>13.75</v>
      </c>
      <c r="L2753" s="2">
        <v>342.70000000000005</v>
      </c>
      <c r="M2753" s="15">
        <f t="shared" si="241"/>
        <v>4712.1250000000009</v>
      </c>
      <c r="N2753" t="str">
        <f t="shared" si="238"/>
        <v>PA</v>
      </c>
      <c r="O2753" t="str">
        <f t="shared" si="239"/>
        <v>Santarém</v>
      </c>
    </row>
    <row r="2754" spans="1:15" x14ac:dyDescent="0.3">
      <c r="A2754" s="10">
        <v>46054</v>
      </c>
      <c r="B2754" s="9" t="s">
        <v>14</v>
      </c>
      <c r="C2754" t="s">
        <v>29</v>
      </c>
      <c r="D2754" s="9">
        <v>19759</v>
      </c>
      <c r="E2754" s="5" t="s">
        <v>603</v>
      </c>
      <c r="F2754" t="s">
        <v>38</v>
      </c>
      <c r="G2754">
        <v>1419</v>
      </c>
      <c r="H2754">
        <v>624</v>
      </c>
      <c r="I2754" s="8">
        <f t="shared" si="240"/>
        <v>0.43974630021141647</v>
      </c>
      <c r="J2754" s="17">
        <v>0.7</v>
      </c>
      <c r="K2754" s="12">
        <v>13.75</v>
      </c>
      <c r="L2754" s="2">
        <v>369.29999999999995</v>
      </c>
      <c r="M2754" s="15">
        <f t="shared" si="241"/>
        <v>5077.8749999999991</v>
      </c>
      <c r="N2754" t="str">
        <f t="shared" ref="N2754:N2817" si="242">B2754</f>
        <v>MG</v>
      </c>
      <c r="O2754" t="str">
        <f t="shared" ref="O2754:O2817" si="243">C2754</f>
        <v>Belo Horizonte</v>
      </c>
    </row>
    <row r="2755" spans="1:15" x14ac:dyDescent="0.3">
      <c r="A2755" s="10">
        <v>46054</v>
      </c>
      <c r="B2755" s="9" t="s">
        <v>61</v>
      </c>
      <c r="C2755" t="s">
        <v>328</v>
      </c>
      <c r="D2755" s="9">
        <v>19706</v>
      </c>
      <c r="E2755" s="5" t="s">
        <v>604</v>
      </c>
      <c r="F2755" t="s">
        <v>77</v>
      </c>
      <c r="G2755">
        <v>2282</v>
      </c>
      <c r="H2755">
        <v>1086</v>
      </c>
      <c r="I2755" s="8">
        <f t="shared" ref="I2755:I2818" si="244">H2755/G2755</f>
        <v>0.47589833479404031</v>
      </c>
      <c r="J2755" s="17">
        <v>0.7</v>
      </c>
      <c r="K2755" s="12">
        <v>13.75</v>
      </c>
      <c r="L2755" s="2">
        <v>511.39999999999986</v>
      </c>
      <c r="M2755" s="15">
        <f t="shared" ref="M2755:M2818" si="245">L2755*K2755</f>
        <v>7031.7499999999982</v>
      </c>
      <c r="N2755" t="str">
        <f t="shared" si="242"/>
        <v>PB</v>
      </c>
      <c r="O2755" t="str">
        <f t="shared" si="243"/>
        <v>João Pessoa</v>
      </c>
    </row>
    <row r="2756" spans="1:15" x14ac:dyDescent="0.3">
      <c r="A2756" s="10">
        <v>46054</v>
      </c>
      <c r="B2756" s="9" t="s">
        <v>59</v>
      </c>
      <c r="C2756" t="s">
        <v>289</v>
      </c>
      <c r="D2756" s="9">
        <v>19581</v>
      </c>
      <c r="E2756" s="5" t="s">
        <v>616</v>
      </c>
      <c r="F2756" t="s">
        <v>290</v>
      </c>
      <c r="G2756">
        <v>1997</v>
      </c>
      <c r="H2756">
        <v>610</v>
      </c>
      <c r="I2756" s="8">
        <f t="shared" si="244"/>
        <v>0.30545818728092139</v>
      </c>
      <c r="J2756" s="17">
        <v>0.7</v>
      </c>
      <c r="K2756" s="12">
        <v>13.75</v>
      </c>
      <c r="L2756" s="2">
        <v>787.89999999999986</v>
      </c>
      <c r="M2756" s="15">
        <f t="shared" si="245"/>
        <v>10833.624999999998</v>
      </c>
      <c r="N2756" t="str">
        <f t="shared" si="242"/>
        <v>ES</v>
      </c>
      <c r="O2756" t="str">
        <f t="shared" si="243"/>
        <v>Vila Velha</v>
      </c>
    </row>
    <row r="2757" spans="1:15" x14ac:dyDescent="0.3">
      <c r="A2757" s="10">
        <v>46054</v>
      </c>
      <c r="B2757" s="9" t="s">
        <v>15</v>
      </c>
      <c r="C2757" t="s">
        <v>171</v>
      </c>
      <c r="D2757" s="9">
        <v>19520</v>
      </c>
      <c r="E2757" s="5" t="s">
        <v>605</v>
      </c>
      <c r="F2757" t="s">
        <v>172</v>
      </c>
      <c r="G2757">
        <v>828</v>
      </c>
      <c r="H2757">
        <v>434</v>
      </c>
      <c r="I2757" s="8">
        <f t="shared" si="244"/>
        <v>0.52415458937198067</v>
      </c>
      <c r="J2757" s="17">
        <v>0.7</v>
      </c>
      <c r="K2757" s="12">
        <v>13.75</v>
      </c>
      <c r="L2757" s="2">
        <v>145.59999999999991</v>
      </c>
      <c r="M2757" s="15">
        <f t="shared" si="245"/>
        <v>2001.9999999999986</v>
      </c>
      <c r="N2757" t="str">
        <f t="shared" si="242"/>
        <v>RJ</v>
      </c>
      <c r="O2757" t="str">
        <f t="shared" si="243"/>
        <v>Petrópolis</v>
      </c>
    </row>
    <row r="2758" spans="1:15" x14ac:dyDescent="0.3">
      <c r="A2758" s="10">
        <v>46054</v>
      </c>
      <c r="B2758" s="9" t="s">
        <v>40</v>
      </c>
      <c r="C2758" t="s">
        <v>41</v>
      </c>
      <c r="D2758" s="9">
        <v>19868</v>
      </c>
      <c r="E2758" s="5" t="s">
        <v>606</v>
      </c>
      <c r="F2758" t="s">
        <v>43</v>
      </c>
      <c r="G2758">
        <v>1368</v>
      </c>
      <c r="H2758">
        <v>1005</v>
      </c>
      <c r="I2758" s="8">
        <f t="shared" si="244"/>
        <v>0.73464912280701755</v>
      </c>
      <c r="J2758" s="17">
        <v>0.7</v>
      </c>
      <c r="K2758" s="12">
        <v>13.75</v>
      </c>
      <c r="L2758" s="2">
        <v>363</v>
      </c>
      <c r="M2758" s="15">
        <f t="shared" si="245"/>
        <v>4991.25</v>
      </c>
      <c r="N2758" t="str">
        <f t="shared" si="242"/>
        <v>RR</v>
      </c>
      <c r="O2758" t="str">
        <f t="shared" si="243"/>
        <v>Boa Vista</v>
      </c>
    </row>
    <row r="2759" spans="1:15" x14ac:dyDescent="0.3">
      <c r="A2759" s="10">
        <v>46054</v>
      </c>
      <c r="B2759" s="9" t="s">
        <v>78</v>
      </c>
      <c r="C2759" t="s">
        <v>323</v>
      </c>
      <c r="D2759" s="9">
        <v>19958</v>
      </c>
      <c r="E2759" s="5" t="s">
        <v>615</v>
      </c>
      <c r="F2759" t="s">
        <v>627</v>
      </c>
      <c r="G2759">
        <v>1490</v>
      </c>
      <c r="H2759">
        <v>800</v>
      </c>
      <c r="I2759" s="8">
        <f t="shared" si="244"/>
        <v>0.53691275167785235</v>
      </c>
      <c r="J2759" s="17">
        <v>0.7</v>
      </c>
      <c r="K2759" s="12">
        <v>13.75</v>
      </c>
      <c r="L2759" s="2">
        <v>243</v>
      </c>
      <c r="M2759" s="15">
        <f t="shared" si="245"/>
        <v>3341.25</v>
      </c>
      <c r="N2759" t="str">
        <f t="shared" si="242"/>
        <v>MT</v>
      </c>
      <c r="O2759" t="str">
        <f t="shared" si="243"/>
        <v>Tangará da Serra</v>
      </c>
    </row>
    <row r="2760" spans="1:15" x14ac:dyDescent="0.3">
      <c r="A2760" s="10">
        <v>46054</v>
      </c>
      <c r="B2760" s="9" t="s">
        <v>15</v>
      </c>
      <c r="C2760" t="s">
        <v>151</v>
      </c>
      <c r="D2760" s="9">
        <v>19599</v>
      </c>
      <c r="E2760" s="5" t="s">
        <v>607</v>
      </c>
      <c r="F2760" t="s">
        <v>152</v>
      </c>
      <c r="G2760">
        <v>2076</v>
      </c>
      <c r="H2760">
        <v>978</v>
      </c>
      <c r="I2760" s="8">
        <f t="shared" si="244"/>
        <v>0.47109826589595377</v>
      </c>
      <c r="J2760" s="17">
        <v>0.7</v>
      </c>
      <c r="K2760" s="12">
        <v>13.75</v>
      </c>
      <c r="L2760" s="2">
        <v>475.19999999999982</v>
      </c>
      <c r="M2760" s="15">
        <f t="shared" si="245"/>
        <v>6533.9999999999973</v>
      </c>
      <c r="N2760" t="str">
        <f t="shared" si="242"/>
        <v>RJ</v>
      </c>
      <c r="O2760" t="str">
        <f t="shared" si="243"/>
        <v>Nova Iguaçu</v>
      </c>
    </row>
    <row r="2761" spans="1:15" x14ac:dyDescent="0.3">
      <c r="A2761" s="10">
        <v>46054</v>
      </c>
      <c r="B2761" s="9" t="s">
        <v>3</v>
      </c>
      <c r="C2761" t="s">
        <v>248</v>
      </c>
      <c r="D2761" s="9">
        <v>19855</v>
      </c>
      <c r="E2761" s="5" t="s">
        <v>608</v>
      </c>
      <c r="F2761" t="s">
        <v>257</v>
      </c>
      <c r="G2761">
        <v>1033</v>
      </c>
      <c r="H2761">
        <v>301</v>
      </c>
      <c r="I2761" s="8">
        <f t="shared" si="244"/>
        <v>0.29138431752178123</v>
      </c>
      <c r="J2761" s="17">
        <v>0.7</v>
      </c>
      <c r="K2761" s="12">
        <v>13.75</v>
      </c>
      <c r="L2761" s="2">
        <v>422.09999999999991</v>
      </c>
      <c r="M2761" s="15">
        <f t="shared" si="245"/>
        <v>5803.8749999999991</v>
      </c>
      <c r="N2761" t="str">
        <f t="shared" si="242"/>
        <v>SP</v>
      </c>
      <c r="O2761" t="str">
        <f t="shared" si="243"/>
        <v>São Paulo</v>
      </c>
    </row>
    <row r="2762" spans="1:15" x14ac:dyDescent="0.3">
      <c r="A2762" s="10">
        <v>46054</v>
      </c>
      <c r="B2762" s="9" t="s">
        <v>3</v>
      </c>
      <c r="C2762" t="s">
        <v>248</v>
      </c>
      <c r="D2762" s="9">
        <v>19821</v>
      </c>
      <c r="E2762" s="5" t="s">
        <v>609</v>
      </c>
      <c r="F2762" t="s">
        <v>256</v>
      </c>
      <c r="G2762">
        <v>1138</v>
      </c>
      <c r="H2762">
        <v>415</v>
      </c>
      <c r="I2762" s="8">
        <f t="shared" si="244"/>
        <v>0.36467486818980666</v>
      </c>
      <c r="J2762" s="17">
        <v>0.7</v>
      </c>
      <c r="K2762" s="12">
        <v>13.75</v>
      </c>
      <c r="L2762" s="2">
        <v>381.6</v>
      </c>
      <c r="M2762" s="15">
        <f t="shared" si="245"/>
        <v>5247</v>
      </c>
      <c r="N2762" t="str">
        <f t="shared" si="242"/>
        <v>SP</v>
      </c>
      <c r="O2762" t="str">
        <f t="shared" si="243"/>
        <v>São Paulo</v>
      </c>
    </row>
    <row r="2763" spans="1:15" x14ac:dyDescent="0.3">
      <c r="A2763" s="10">
        <v>46054</v>
      </c>
      <c r="B2763" s="9" t="s">
        <v>14</v>
      </c>
      <c r="C2763" t="s">
        <v>283</v>
      </c>
      <c r="D2763" s="9">
        <v>19912</v>
      </c>
      <c r="E2763" s="5" t="s">
        <v>610</v>
      </c>
      <c r="F2763" t="s">
        <v>284</v>
      </c>
      <c r="G2763">
        <v>1329</v>
      </c>
      <c r="H2763">
        <v>645</v>
      </c>
      <c r="I2763" s="8">
        <f t="shared" si="244"/>
        <v>0.48532731376975169</v>
      </c>
      <c r="J2763" s="17">
        <v>0.7</v>
      </c>
      <c r="K2763" s="12">
        <v>13.75</v>
      </c>
      <c r="L2763" s="2">
        <v>285.29999999999984</v>
      </c>
      <c r="M2763" s="15">
        <f t="shared" si="245"/>
        <v>3922.8749999999977</v>
      </c>
      <c r="N2763" t="str">
        <f t="shared" si="242"/>
        <v>MG</v>
      </c>
      <c r="O2763" t="str">
        <f t="shared" si="243"/>
        <v>Uberaba</v>
      </c>
    </row>
    <row r="2764" spans="1:15" x14ac:dyDescent="0.3">
      <c r="A2764" s="10">
        <v>46054</v>
      </c>
      <c r="B2764" s="9" t="s">
        <v>6</v>
      </c>
      <c r="C2764" t="s">
        <v>26</v>
      </c>
      <c r="D2764" s="9">
        <v>19959</v>
      </c>
      <c r="E2764" s="5" t="s">
        <v>620</v>
      </c>
      <c r="F2764" t="s">
        <v>327</v>
      </c>
      <c r="G2764">
        <v>669</v>
      </c>
      <c r="H2764">
        <v>392</v>
      </c>
      <c r="I2764" s="8">
        <f t="shared" si="244"/>
        <v>0.58594917787742895</v>
      </c>
      <c r="J2764" s="17">
        <v>0.7</v>
      </c>
      <c r="K2764" s="12">
        <v>13.75</v>
      </c>
      <c r="L2764" s="2">
        <v>76.300000000000011</v>
      </c>
      <c r="M2764" s="15">
        <f t="shared" si="245"/>
        <v>1049.1250000000002</v>
      </c>
      <c r="N2764" t="str">
        <f t="shared" si="242"/>
        <v>PA</v>
      </c>
      <c r="O2764" t="str">
        <f t="shared" si="243"/>
        <v>Belém</v>
      </c>
    </row>
    <row r="2765" spans="1:15" x14ac:dyDescent="0.3">
      <c r="A2765" s="10">
        <v>46054</v>
      </c>
      <c r="B2765" s="9" t="s">
        <v>82</v>
      </c>
      <c r="C2765" t="s">
        <v>314</v>
      </c>
      <c r="D2765" s="9">
        <v>19772</v>
      </c>
      <c r="E2765" s="5" t="s">
        <v>613</v>
      </c>
      <c r="F2765" t="s">
        <v>96</v>
      </c>
      <c r="G2765">
        <v>1158</v>
      </c>
      <c r="H2765">
        <v>704</v>
      </c>
      <c r="I2765" s="8">
        <f t="shared" si="244"/>
        <v>0.60794473229706392</v>
      </c>
      <c r="J2765" s="17">
        <v>0.7</v>
      </c>
      <c r="K2765" s="12">
        <v>13.75</v>
      </c>
      <c r="L2765" s="2">
        <v>106.59999999999991</v>
      </c>
      <c r="M2765" s="15">
        <f t="shared" si="245"/>
        <v>1465.7499999999986</v>
      </c>
      <c r="N2765" t="str">
        <f t="shared" si="242"/>
        <v>PR</v>
      </c>
      <c r="O2765" t="str">
        <f t="shared" si="243"/>
        <v>Foz do Iguaçu</v>
      </c>
    </row>
    <row r="2766" spans="1:15" x14ac:dyDescent="0.3">
      <c r="A2766" s="10">
        <v>46054</v>
      </c>
      <c r="B2766" s="9" t="s">
        <v>46</v>
      </c>
      <c r="C2766" t="s">
        <v>47</v>
      </c>
      <c r="D2766" s="9">
        <v>19666</v>
      </c>
      <c r="E2766" s="5" t="s">
        <v>617</v>
      </c>
      <c r="F2766" t="s">
        <v>49</v>
      </c>
      <c r="G2766">
        <v>2256</v>
      </c>
      <c r="H2766">
        <v>853</v>
      </c>
      <c r="I2766" s="8">
        <f t="shared" si="244"/>
        <v>0.37810283687943264</v>
      </c>
      <c r="J2766" s="17">
        <v>0.7</v>
      </c>
      <c r="K2766" s="12">
        <v>13.75</v>
      </c>
      <c r="L2766" s="2">
        <v>726.19999999999982</v>
      </c>
      <c r="M2766" s="15">
        <f t="shared" si="245"/>
        <v>9985.2499999999982</v>
      </c>
      <c r="N2766" t="str">
        <f t="shared" si="242"/>
        <v>DF</v>
      </c>
      <c r="O2766" t="str">
        <f t="shared" si="243"/>
        <v>Brasília</v>
      </c>
    </row>
    <row r="2767" spans="1:15" x14ac:dyDescent="0.3">
      <c r="A2767" s="10">
        <v>46054</v>
      </c>
      <c r="B2767" s="9" t="s">
        <v>14</v>
      </c>
      <c r="C2767" t="s">
        <v>325</v>
      </c>
      <c r="D2767" s="9">
        <v>19961</v>
      </c>
      <c r="E2767" s="5" t="s">
        <v>622</v>
      </c>
      <c r="F2767" t="s">
        <v>326</v>
      </c>
      <c r="G2767">
        <v>1375</v>
      </c>
      <c r="H2767">
        <v>554</v>
      </c>
      <c r="I2767" s="8">
        <f t="shared" si="244"/>
        <v>0.40290909090909088</v>
      </c>
      <c r="J2767" s="17">
        <v>0.7</v>
      </c>
      <c r="K2767" s="12">
        <v>13.75</v>
      </c>
      <c r="L2767" s="2">
        <v>408.5</v>
      </c>
      <c r="M2767" s="15">
        <f t="shared" si="245"/>
        <v>5616.875</v>
      </c>
      <c r="N2767" t="str">
        <f t="shared" si="242"/>
        <v>MG</v>
      </c>
      <c r="O2767" t="str">
        <f t="shared" si="243"/>
        <v>Coronel Fabriciano</v>
      </c>
    </row>
    <row r="2768" spans="1:15" x14ac:dyDescent="0.3">
      <c r="A2768" s="10">
        <v>46054</v>
      </c>
      <c r="B2768" s="9" t="s">
        <v>82</v>
      </c>
      <c r="C2768" t="s">
        <v>83</v>
      </c>
      <c r="D2768" s="9">
        <v>19547</v>
      </c>
      <c r="E2768" s="5" t="s">
        <v>618</v>
      </c>
      <c r="F2768" t="s">
        <v>87</v>
      </c>
      <c r="G2768">
        <v>1470</v>
      </c>
      <c r="H2768">
        <v>400</v>
      </c>
      <c r="I2768" s="8">
        <f t="shared" si="244"/>
        <v>0.27210884353741499</v>
      </c>
      <c r="J2768" s="17">
        <v>0.7</v>
      </c>
      <c r="K2768" s="12">
        <v>13.75</v>
      </c>
      <c r="L2768" s="2">
        <v>629</v>
      </c>
      <c r="M2768" s="15">
        <f t="shared" si="245"/>
        <v>8648.75</v>
      </c>
      <c r="N2768" t="str">
        <f t="shared" si="242"/>
        <v>PR</v>
      </c>
      <c r="O2768" t="str">
        <f t="shared" si="243"/>
        <v>Curitiba</v>
      </c>
    </row>
    <row r="2769" spans="1:15" x14ac:dyDescent="0.3">
      <c r="A2769" s="10">
        <v>46054</v>
      </c>
      <c r="B2769" s="9" t="s">
        <v>82</v>
      </c>
      <c r="C2769" t="s">
        <v>83</v>
      </c>
      <c r="D2769" s="9">
        <v>19936</v>
      </c>
      <c r="E2769" s="5" t="s">
        <v>619</v>
      </c>
      <c r="F2769" t="s">
        <v>86</v>
      </c>
      <c r="G2769">
        <v>1189</v>
      </c>
      <c r="H2769">
        <v>316</v>
      </c>
      <c r="I2769" s="8">
        <f t="shared" si="244"/>
        <v>0.26576955424726662</v>
      </c>
      <c r="J2769" s="17">
        <v>0.7</v>
      </c>
      <c r="K2769" s="12">
        <v>13.75</v>
      </c>
      <c r="L2769" s="2">
        <v>516.29999999999995</v>
      </c>
      <c r="M2769" s="15">
        <f t="shared" si="245"/>
        <v>7099.1249999999991</v>
      </c>
      <c r="N2769" t="str">
        <f t="shared" si="242"/>
        <v>PR</v>
      </c>
      <c r="O2769" t="str">
        <f t="shared" si="243"/>
        <v>Curitiba</v>
      </c>
    </row>
    <row r="2770" spans="1:15" x14ac:dyDescent="0.3">
      <c r="A2770" s="10">
        <v>46082</v>
      </c>
      <c r="B2770" s="9" t="s">
        <v>15</v>
      </c>
      <c r="C2770" t="s">
        <v>319</v>
      </c>
      <c r="D2770" s="9">
        <v>19685</v>
      </c>
      <c r="E2770" s="5" t="s">
        <v>359</v>
      </c>
      <c r="F2770" t="s">
        <v>198</v>
      </c>
      <c r="G2770">
        <v>1144</v>
      </c>
      <c r="H2770">
        <v>438</v>
      </c>
      <c r="I2770" s="8">
        <f t="shared" si="244"/>
        <v>0.38286713286713286</v>
      </c>
      <c r="J2770" s="17">
        <v>0.7</v>
      </c>
      <c r="K2770" s="12">
        <v>13.75</v>
      </c>
      <c r="L2770" s="2">
        <v>706</v>
      </c>
      <c r="M2770" s="15">
        <f t="shared" si="245"/>
        <v>9707.5</v>
      </c>
      <c r="N2770" t="str">
        <f t="shared" si="242"/>
        <v>RJ</v>
      </c>
      <c r="O2770" t="str">
        <f t="shared" si="243"/>
        <v>Rio de Janeiro</v>
      </c>
    </row>
    <row r="2771" spans="1:15" x14ac:dyDescent="0.3">
      <c r="A2771" s="10">
        <v>46082</v>
      </c>
      <c r="B2771" s="9" t="s">
        <v>71</v>
      </c>
      <c r="C2771" t="s">
        <v>175</v>
      </c>
      <c r="D2771" s="9">
        <v>19540</v>
      </c>
      <c r="E2771" s="5" t="s">
        <v>370</v>
      </c>
      <c r="F2771" t="s">
        <v>176</v>
      </c>
      <c r="G2771">
        <v>346</v>
      </c>
      <c r="H2771">
        <v>145</v>
      </c>
      <c r="I2771" s="8">
        <f t="shared" si="244"/>
        <v>0.41907514450867051</v>
      </c>
      <c r="J2771" s="17">
        <v>0.7</v>
      </c>
      <c r="K2771" s="12">
        <v>13.75</v>
      </c>
      <c r="L2771" s="2">
        <v>201</v>
      </c>
      <c r="M2771" s="15">
        <f t="shared" si="245"/>
        <v>2763.75</v>
      </c>
      <c r="N2771" t="str">
        <f t="shared" si="242"/>
        <v>RS</v>
      </c>
      <c r="O2771" t="str">
        <f t="shared" si="243"/>
        <v>Porto Alegre</v>
      </c>
    </row>
    <row r="2772" spans="1:15" x14ac:dyDescent="0.3">
      <c r="A2772" s="10">
        <v>46082</v>
      </c>
      <c r="B2772" s="9" t="s">
        <v>15</v>
      </c>
      <c r="C2772" t="s">
        <v>319</v>
      </c>
      <c r="D2772" s="9">
        <v>19521</v>
      </c>
      <c r="E2772" s="5" t="s">
        <v>371</v>
      </c>
      <c r="F2772" t="s">
        <v>199</v>
      </c>
      <c r="G2772">
        <v>3511</v>
      </c>
      <c r="H2772">
        <v>1717</v>
      </c>
      <c r="I2772" s="8">
        <f t="shared" si="244"/>
        <v>0.48903446311592141</v>
      </c>
      <c r="J2772" s="17">
        <v>0.7</v>
      </c>
      <c r="K2772" s="12">
        <v>13.75</v>
      </c>
      <c r="L2772" s="2">
        <v>1794</v>
      </c>
      <c r="M2772" s="15">
        <f t="shared" si="245"/>
        <v>24667.5</v>
      </c>
      <c r="N2772" t="str">
        <f t="shared" si="242"/>
        <v>RJ</v>
      </c>
      <c r="O2772" t="str">
        <f t="shared" si="243"/>
        <v>Rio de Janeiro</v>
      </c>
    </row>
    <row r="2773" spans="1:15" x14ac:dyDescent="0.3">
      <c r="A2773" s="10">
        <v>46082</v>
      </c>
      <c r="B2773" s="9" t="s">
        <v>14</v>
      </c>
      <c r="C2773" t="s">
        <v>285</v>
      </c>
      <c r="D2773" s="9">
        <v>19563</v>
      </c>
      <c r="E2773" s="5" t="s">
        <v>374</v>
      </c>
      <c r="F2773" t="s">
        <v>286</v>
      </c>
      <c r="G2773">
        <v>2829</v>
      </c>
      <c r="H2773">
        <v>1003</v>
      </c>
      <c r="I2773" s="8">
        <f t="shared" si="244"/>
        <v>0.35454224107458465</v>
      </c>
      <c r="J2773" s="17">
        <v>0.7</v>
      </c>
      <c r="K2773" s="12">
        <v>13.75</v>
      </c>
      <c r="L2773" s="2">
        <v>1826</v>
      </c>
      <c r="M2773" s="15">
        <f t="shared" si="245"/>
        <v>25107.5</v>
      </c>
      <c r="N2773" t="str">
        <f t="shared" si="242"/>
        <v>MG</v>
      </c>
      <c r="O2773" t="str">
        <f t="shared" si="243"/>
        <v>Uberlândia</v>
      </c>
    </row>
    <row r="2774" spans="1:15" x14ac:dyDescent="0.3">
      <c r="A2774" s="10">
        <v>46082</v>
      </c>
      <c r="B2774" s="9" t="s">
        <v>6</v>
      </c>
      <c r="C2774" t="s">
        <v>26</v>
      </c>
      <c r="D2774" s="9">
        <v>19597</v>
      </c>
      <c r="E2774" s="5" t="s">
        <v>375</v>
      </c>
      <c r="F2774" t="s">
        <v>27</v>
      </c>
      <c r="G2774">
        <v>3547</v>
      </c>
      <c r="H2774">
        <v>1909</v>
      </c>
      <c r="I2774" s="8">
        <f t="shared" si="244"/>
        <v>0.53820129687059481</v>
      </c>
      <c r="J2774" s="17">
        <v>0.7</v>
      </c>
      <c r="K2774" s="12">
        <v>13.75</v>
      </c>
      <c r="L2774" s="2">
        <v>1638</v>
      </c>
      <c r="M2774" s="15">
        <f t="shared" si="245"/>
        <v>22522.5</v>
      </c>
      <c r="N2774" t="str">
        <f t="shared" si="242"/>
        <v>PA</v>
      </c>
      <c r="O2774" t="str">
        <f t="shared" si="243"/>
        <v>Belém</v>
      </c>
    </row>
    <row r="2775" spans="1:15" x14ac:dyDescent="0.3">
      <c r="A2775" s="10">
        <v>46082</v>
      </c>
      <c r="B2775" s="9" t="s">
        <v>15</v>
      </c>
      <c r="C2775" t="s">
        <v>296</v>
      </c>
      <c r="D2775" s="9">
        <v>19524</v>
      </c>
      <c r="E2775" s="5" t="s">
        <v>376</v>
      </c>
      <c r="F2775" t="s">
        <v>297</v>
      </c>
      <c r="G2775">
        <v>2128</v>
      </c>
      <c r="H2775">
        <v>898</v>
      </c>
      <c r="I2775" s="8">
        <f t="shared" si="244"/>
        <v>0.42199248120300753</v>
      </c>
      <c r="J2775" s="17">
        <v>0.7</v>
      </c>
      <c r="K2775" s="12">
        <v>13.75</v>
      </c>
      <c r="L2775" s="2">
        <v>1230</v>
      </c>
      <c r="M2775" s="15">
        <f t="shared" si="245"/>
        <v>16912.5</v>
      </c>
      <c r="N2775" t="str">
        <f t="shared" si="242"/>
        <v>RJ</v>
      </c>
      <c r="O2775" t="str">
        <f t="shared" si="243"/>
        <v>Volta Redonda</v>
      </c>
    </row>
    <row r="2776" spans="1:15" x14ac:dyDescent="0.3">
      <c r="A2776" s="10">
        <v>46082</v>
      </c>
      <c r="B2776" s="9" t="s">
        <v>160</v>
      </c>
      <c r="C2776" t="s">
        <v>279</v>
      </c>
      <c r="D2776" s="9">
        <v>19564</v>
      </c>
      <c r="E2776" s="5" t="s">
        <v>378</v>
      </c>
      <c r="F2776" t="s">
        <v>280</v>
      </c>
      <c r="G2776">
        <v>1684</v>
      </c>
      <c r="H2776">
        <v>825</v>
      </c>
      <c r="I2776" s="8">
        <f t="shared" si="244"/>
        <v>0.48990498812351546</v>
      </c>
      <c r="J2776" s="17">
        <v>0.7</v>
      </c>
      <c r="K2776" s="12">
        <v>13.75</v>
      </c>
      <c r="L2776" s="2">
        <v>859</v>
      </c>
      <c r="M2776" s="15">
        <f t="shared" si="245"/>
        <v>11811.25</v>
      </c>
      <c r="N2776" t="str">
        <f t="shared" si="242"/>
        <v>PI</v>
      </c>
      <c r="O2776" t="str">
        <f t="shared" si="243"/>
        <v>Teresina</v>
      </c>
    </row>
    <row r="2777" spans="1:15" x14ac:dyDescent="0.3">
      <c r="A2777" s="10">
        <v>46082</v>
      </c>
      <c r="B2777" s="9" t="s">
        <v>15</v>
      </c>
      <c r="C2777" t="s">
        <v>319</v>
      </c>
      <c r="D2777" s="9">
        <v>19536</v>
      </c>
      <c r="E2777" s="5" t="s">
        <v>379</v>
      </c>
      <c r="F2777" t="s">
        <v>200</v>
      </c>
      <c r="G2777">
        <v>2600</v>
      </c>
      <c r="H2777">
        <v>940</v>
      </c>
      <c r="I2777" s="8">
        <f t="shared" si="244"/>
        <v>0.36153846153846153</v>
      </c>
      <c r="J2777" s="17">
        <v>0.7</v>
      </c>
      <c r="K2777" s="12">
        <v>13.75</v>
      </c>
      <c r="L2777" s="2">
        <v>1660</v>
      </c>
      <c r="M2777" s="15">
        <f t="shared" si="245"/>
        <v>22825</v>
      </c>
      <c r="N2777" t="str">
        <f t="shared" si="242"/>
        <v>RJ</v>
      </c>
      <c r="O2777" t="str">
        <f t="shared" si="243"/>
        <v>Rio de Janeiro</v>
      </c>
    </row>
    <row r="2778" spans="1:15" x14ac:dyDescent="0.3">
      <c r="A2778" s="10">
        <v>46082</v>
      </c>
      <c r="B2778" s="9" t="s">
        <v>15</v>
      </c>
      <c r="C2778" t="s">
        <v>319</v>
      </c>
      <c r="D2778" s="9">
        <v>19727</v>
      </c>
      <c r="E2778" s="5" t="s">
        <v>380</v>
      </c>
      <c r="F2778" t="s">
        <v>201</v>
      </c>
      <c r="G2778">
        <v>1595</v>
      </c>
      <c r="H2778">
        <v>720</v>
      </c>
      <c r="I2778" s="8">
        <f t="shared" si="244"/>
        <v>0.45141065830721006</v>
      </c>
      <c r="J2778" s="17">
        <v>0.7</v>
      </c>
      <c r="K2778" s="12">
        <v>13.75</v>
      </c>
      <c r="L2778" s="2">
        <v>875</v>
      </c>
      <c r="M2778" s="15">
        <f t="shared" si="245"/>
        <v>12031.25</v>
      </c>
      <c r="N2778" t="str">
        <f t="shared" si="242"/>
        <v>RJ</v>
      </c>
      <c r="O2778" t="str">
        <f t="shared" si="243"/>
        <v>Rio de Janeiro</v>
      </c>
    </row>
    <row r="2779" spans="1:15" x14ac:dyDescent="0.3">
      <c r="A2779" s="10">
        <v>46082</v>
      </c>
      <c r="B2779" s="9" t="s">
        <v>3</v>
      </c>
      <c r="C2779" t="s">
        <v>248</v>
      </c>
      <c r="D2779" s="9">
        <v>19572</v>
      </c>
      <c r="E2779" s="5" t="s">
        <v>381</v>
      </c>
      <c r="F2779" t="s">
        <v>249</v>
      </c>
      <c r="G2779">
        <v>4604</v>
      </c>
      <c r="H2779">
        <v>2151</v>
      </c>
      <c r="I2779" s="8">
        <f t="shared" si="244"/>
        <v>0.46720243266724587</v>
      </c>
      <c r="J2779" s="17">
        <v>0.7</v>
      </c>
      <c r="K2779" s="12">
        <v>13.75</v>
      </c>
      <c r="L2779" s="2">
        <v>2453</v>
      </c>
      <c r="M2779" s="15">
        <f t="shared" si="245"/>
        <v>33728.75</v>
      </c>
      <c r="N2779" t="str">
        <f t="shared" si="242"/>
        <v>SP</v>
      </c>
      <c r="O2779" t="str">
        <f t="shared" si="243"/>
        <v>São Paulo</v>
      </c>
    </row>
    <row r="2780" spans="1:15" x14ac:dyDescent="0.3">
      <c r="A2780" s="10">
        <v>46082</v>
      </c>
      <c r="B2780" s="9" t="s">
        <v>3</v>
      </c>
      <c r="C2780" t="s">
        <v>167</v>
      </c>
      <c r="D2780" s="9">
        <v>19578</v>
      </c>
      <c r="E2780" s="5" t="s">
        <v>382</v>
      </c>
      <c r="F2780" t="s">
        <v>168</v>
      </c>
      <c r="G2780">
        <v>2157</v>
      </c>
      <c r="H2780">
        <v>753</v>
      </c>
      <c r="I2780" s="8">
        <f t="shared" si="244"/>
        <v>0.34909596662030595</v>
      </c>
      <c r="J2780" s="17">
        <v>0.7</v>
      </c>
      <c r="K2780" s="12">
        <v>13.75</v>
      </c>
      <c r="L2780" s="2">
        <v>1404</v>
      </c>
      <c r="M2780" s="15">
        <f t="shared" si="245"/>
        <v>19305</v>
      </c>
      <c r="N2780" t="str">
        <f t="shared" si="242"/>
        <v>SP</v>
      </c>
      <c r="O2780" t="str">
        <f t="shared" si="243"/>
        <v>Perdizes</v>
      </c>
    </row>
    <row r="2781" spans="1:15" x14ac:dyDescent="0.3">
      <c r="A2781" s="10">
        <v>46082</v>
      </c>
      <c r="B2781" s="9" t="s">
        <v>3</v>
      </c>
      <c r="C2781" t="s">
        <v>248</v>
      </c>
      <c r="D2781" s="9">
        <v>19774</v>
      </c>
      <c r="E2781" s="5" t="s">
        <v>383</v>
      </c>
      <c r="F2781" t="s">
        <v>250</v>
      </c>
      <c r="G2781">
        <v>2984</v>
      </c>
      <c r="H2781">
        <v>1231</v>
      </c>
      <c r="I2781" s="8">
        <f t="shared" si="244"/>
        <v>0.41253351206434319</v>
      </c>
      <c r="J2781" s="17">
        <v>0.7</v>
      </c>
      <c r="K2781" s="12">
        <v>13.75</v>
      </c>
      <c r="L2781" s="2">
        <v>1753</v>
      </c>
      <c r="M2781" s="15">
        <f t="shared" si="245"/>
        <v>24103.75</v>
      </c>
      <c r="N2781" t="str">
        <f t="shared" si="242"/>
        <v>SP</v>
      </c>
      <c r="O2781" t="str">
        <f t="shared" si="243"/>
        <v>São Paulo</v>
      </c>
    </row>
    <row r="2782" spans="1:15" x14ac:dyDescent="0.3">
      <c r="A2782" s="10">
        <v>46082</v>
      </c>
      <c r="B2782" s="9" t="s">
        <v>46</v>
      </c>
      <c r="C2782" t="s">
        <v>47</v>
      </c>
      <c r="D2782" s="9">
        <v>19551</v>
      </c>
      <c r="E2782" s="5" t="s">
        <v>384</v>
      </c>
      <c r="F2782" t="s">
        <v>48</v>
      </c>
      <c r="G2782">
        <v>2820</v>
      </c>
      <c r="H2782">
        <v>1011</v>
      </c>
      <c r="I2782" s="8">
        <f t="shared" si="244"/>
        <v>0.35851063829787233</v>
      </c>
      <c r="J2782" s="17">
        <v>0.7</v>
      </c>
      <c r="K2782" s="12">
        <v>13.75</v>
      </c>
      <c r="L2782" s="2">
        <v>1809</v>
      </c>
      <c r="M2782" s="15">
        <f t="shared" si="245"/>
        <v>24873.75</v>
      </c>
      <c r="N2782" t="str">
        <f t="shared" si="242"/>
        <v>DF</v>
      </c>
      <c r="O2782" t="str">
        <f t="shared" si="243"/>
        <v>Brasília</v>
      </c>
    </row>
    <row r="2783" spans="1:15" x14ac:dyDescent="0.3">
      <c r="A2783" s="10">
        <v>46082</v>
      </c>
      <c r="B2783" s="9" t="s">
        <v>15</v>
      </c>
      <c r="C2783" t="s">
        <v>151</v>
      </c>
      <c r="D2783" s="9">
        <v>19596</v>
      </c>
      <c r="E2783" s="5" t="s">
        <v>385</v>
      </c>
      <c r="F2783" t="s">
        <v>153</v>
      </c>
      <c r="G2783">
        <v>2299</v>
      </c>
      <c r="H2783">
        <v>893</v>
      </c>
      <c r="I2783" s="8">
        <f t="shared" si="244"/>
        <v>0.38842975206611569</v>
      </c>
      <c r="J2783" s="17">
        <v>0.7</v>
      </c>
      <c r="K2783" s="12">
        <v>13.75</v>
      </c>
      <c r="L2783" s="2">
        <v>1406</v>
      </c>
      <c r="M2783" s="15">
        <f t="shared" si="245"/>
        <v>19332.5</v>
      </c>
      <c r="N2783" t="str">
        <f t="shared" si="242"/>
        <v>RJ</v>
      </c>
      <c r="O2783" t="str">
        <f t="shared" si="243"/>
        <v>Nova Iguaçu</v>
      </c>
    </row>
    <row r="2784" spans="1:15" x14ac:dyDescent="0.3">
      <c r="A2784" s="10">
        <v>46082</v>
      </c>
      <c r="B2784" s="9" t="s">
        <v>15</v>
      </c>
      <c r="C2784" t="s">
        <v>319</v>
      </c>
      <c r="D2784" s="9">
        <v>19618</v>
      </c>
      <c r="E2784" s="5" t="s">
        <v>386</v>
      </c>
      <c r="F2784" t="s">
        <v>202</v>
      </c>
      <c r="G2784">
        <v>2434</v>
      </c>
      <c r="H2784">
        <v>957</v>
      </c>
      <c r="I2784" s="8">
        <f t="shared" si="244"/>
        <v>0.39317995069843881</v>
      </c>
      <c r="J2784" s="17">
        <v>0.7</v>
      </c>
      <c r="K2784" s="12">
        <v>13.75</v>
      </c>
      <c r="L2784" s="2">
        <v>1477</v>
      </c>
      <c r="M2784" s="15">
        <f t="shared" si="245"/>
        <v>20308.75</v>
      </c>
      <c r="N2784" t="str">
        <f t="shared" si="242"/>
        <v>RJ</v>
      </c>
      <c r="O2784" t="str">
        <f t="shared" si="243"/>
        <v>Rio de Janeiro</v>
      </c>
    </row>
    <row r="2785" spans="1:15" x14ac:dyDescent="0.3">
      <c r="A2785" s="10">
        <v>46082</v>
      </c>
      <c r="B2785" s="9" t="s">
        <v>21</v>
      </c>
      <c r="C2785" t="s">
        <v>22</v>
      </c>
      <c r="D2785" s="9">
        <v>19741</v>
      </c>
      <c r="E2785" s="5" t="s">
        <v>387</v>
      </c>
      <c r="F2785" t="s">
        <v>23</v>
      </c>
      <c r="G2785">
        <v>1489</v>
      </c>
      <c r="H2785">
        <v>679</v>
      </c>
      <c r="I2785" s="8">
        <f t="shared" si="244"/>
        <v>0.45601074546675624</v>
      </c>
      <c r="J2785" s="17">
        <v>0.7</v>
      </c>
      <c r="K2785" s="12">
        <v>13.75</v>
      </c>
      <c r="L2785" s="2">
        <v>810</v>
      </c>
      <c r="M2785" s="15">
        <f t="shared" si="245"/>
        <v>11137.5</v>
      </c>
      <c r="N2785" t="str">
        <f t="shared" si="242"/>
        <v>BA</v>
      </c>
      <c r="O2785" t="str">
        <f t="shared" si="243"/>
        <v>Barreiras</v>
      </c>
    </row>
    <row r="2786" spans="1:15" x14ac:dyDescent="0.3">
      <c r="A2786" s="10">
        <v>46082</v>
      </c>
      <c r="B2786" s="9" t="s">
        <v>74</v>
      </c>
      <c r="C2786" t="s">
        <v>169</v>
      </c>
      <c r="D2786" s="9">
        <v>19897</v>
      </c>
      <c r="E2786" s="5" t="s">
        <v>388</v>
      </c>
      <c r="F2786" t="s">
        <v>170</v>
      </c>
      <c r="G2786">
        <v>2053</v>
      </c>
      <c r="H2786">
        <v>907</v>
      </c>
      <c r="I2786" s="8">
        <f t="shared" si="244"/>
        <v>0.44179249878226984</v>
      </c>
      <c r="J2786" s="17">
        <v>0.7</v>
      </c>
      <c r="K2786" s="12">
        <v>13.75</v>
      </c>
      <c r="L2786" s="2">
        <v>1146</v>
      </c>
      <c r="M2786" s="15">
        <f t="shared" si="245"/>
        <v>15757.5</v>
      </c>
      <c r="N2786" t="str">
        <f t="shared" si="242"/>
        <v>PE</v>
      </c>
      <c r="O2786" t="str">
        <f t="shared" si="243"/>
        <v>Petrolina</v>
      </c>
    </row>
    <row r="2787" spans="1:15" x14ac:dyDescent="0.3">
      <c r="A2787" s="10">
        <v>46082</v>
      </c>
      <c r="B2787" s="9" t="s">
        <v>6</v>
      </c>
      <c r="C2787" t="s">
        <v>26</v>
      </c>
      <c r="D2787" s="9">
        <v>19622</v>
      </c>
      <c r="E2787" s="5" t="s">
        <v>390</v>
      </c>
      <c r="F2787" t="s">
        <v>28</v>
      </c>
      <c r="G2787">
        <v>2155</v>
      </c>
      <c r="H2787">
        <v>1109</v>
      </c>
      <c r="I2787" s="8">
        <f t="shared" si="244"/>
        <v>0.51461716937354984</v>
      </c>
      <c r="J2787" s="17">
        <v>0.7</v>
      </c>
      <c r="K2787" s="12">
        <v>13.75</v>
      </c>
      <c r="L2787" s="2">
        <v>1046</v>
      </c>
      <c r="M2787" s="15">
        <f t="shared" si="245"/>
        <v>14382.5</v>
      </c>
      <c r="N2787" t="str">
        <f t="shared" si="242"/>
        <v>PA</v>
      </c>
      <c r="O2787" t="str">
        <f t="shared" si="243"/>
        <v>Belém</v>
      </c>
    </row>
    <row r="2788" spans="1:15" x14ac:dyDescent="0.3">
      <c r="A2788" s="10">
        <v>46082</v>
      </c>
      <c r="B2788" s="9" t="s">
        <v>15</v>
      </c>
      <c r="C2788" t="s">
        <v>319</v>
      </c>
      <c r="D2788" s="9">
        <v>19632</v>
      </c>
      <c r="E2788" s="5" t="s">
        <v>392</v>
      </c>
      <c r="F2788" t="s">
        <v>203</v>
      </c>
      <c r="G2788">
        <v>2476</v>
      </c>
      <c r="H2788">
        <v>1091</v>
      </c>
      <c r="I2788" s="8">
        <f t="shared" si="244"/>
        <v>0.44063004846526654</v>
      </c>
      <c r="J2788" s="17">
        <v>0.7</v>
      </c>
      <c r="K2788" s="12">
        <v>13.75</v>
      </c>
      <c r="L2788" s="2">
        <v>1385</v>
      </c>
      <c r="M2788" s="15">
        <f t="shared" si="245"/>
        <v>19043.75</v>
      </c>
      <c r="N2788" t="str">
        <f t="shared" si="242"/>
        <v>RJ</v>
      </c>
      <c r="O2788" t="str">
        <f t="shared" si="243"/>
        <v>Rio de Janeiro</v>
      </c>
    </row>
    <row r="2789" spans="1:15" x14ac:dyDescent="0.3">
      <c r="A2789" s="10">
        <v>46082</v>
      </c>
      <c r="B2789" s="9" t="s">
        <v>46</v>
      </c>
      <c r="C2789" t="s">
        <v>47</v>
      </c>
      <c r="D2789" s="9">
        <v>19552</v>
      </c>
      <c r="E2789" s="5" t="s">
        <v>393</v>
      </c>
      <c r="F2789" t="s">
        <v>50</v>
      </c>
      <c r="G2789">
        <v>4314</v>
      </c>
      <c r="H2789">
        <v>1850</v>
      </c>
      <c r="I2789" s="8">
        <f t="shared" si="244"/>
        <v>0.42883634677793231</v>
      </c>
      <c r="J2789" s="17">
        <v>0.7</v>
      </c>
      <c r="K2789" s="12">
        <v>13.75</v>
      </c>
      <c r="L2789" s="2">
        <v>2464</v>
      </c>
      <c r="M2789" s="15">
        <f t="shared" si="245"/>
        <v>33880</v>
      </c>
      <c r="N2789" t="str">
        <f t="shared" si="242"/>
        <v>DF</v>
      </c>
      <c r="O2789" t="str">
        <f t="shared" si="243"/>
        <v>Brasília</v>
      </c>
    </row>
    <row r="2790" spans="1:15" x14ac:dyDescent="0.3">
      <c r="A2790" s="10">
        <v>46082</v>
      </c>
      <c r="B2790" s="9" t="s">
        <v>15</v>
      </c>
      <c r="C2790" t="s">
        <v>191</v>
      </c>
      <c r="D2790" s="9">
        <v>19636</v>
      </c>
      <c r="E2790" s="5" t="s">
        <v>394</v>
      </c>
      <c r="F2790" t="s">
        <v>192</v>
      </c>
      <c r="G2790">
        <v>2271</v>
      </c>
      <c r="H2790">
        <v>938</v>
      </c>
      <c r="I2790" s="8">
        <f t="shared" si="244"/>
        <v>0.41303390576838395</v>
      </c>
      <c r="J2790" s="17">
        <v>0.7</v>
      </c>
      <c r="K2790" s="12">
        <v>13.75</v>
      </c>
      <c r="L2790" s="2">
        <v>1333</v>
      </c>
      <c r="M2790" s="15">
        <f t="shared" si="245"/>
        <v>18328.75</v>
      </c>
      <c r="N2790" t="str">
        <f t="shared" si="242"/>
        <v>RJ</v>
      </c>
      <c r="O2790" t="str">
        <f t="shared" si="243"/>
        <v>Resende</v>
      </c>
    </row>
    <row r="2791" spans="1:15" x14ac:dyDescent="0.3">
      <c r="A2791" s="10">
        <v>46082</v>
      </c>
      <c r="B2791" s="9" t="s">
        <v>74</v>
      </c>
      <c r="C2791" t="s">
        <v>186</v>
      </c>
      <c r="D2791" s="9">
        <v>19649</v>
      </c>
      <c r="E2791" s="5" t="s">
        <v>395</v>
      </c>
      <c r="F2791" t="s">
        <v>187</v>
      </c>
      <c r="G2791">
        <v>2967</v>
      </c>
      <c r="H2791">
        <v>1312</v>
      </c>
      <c r="I2791" s="8">
        <f t="shared" si="244"/>
        <v>0.44219750589821366</v>
      </c>
      <c r="J2791" s="17">
        <v>0.7</v>
      </c>
      <c r="K2791" s="12">
        <v>13.75</v>
      </c>
      <c r="L2791" s="2">
        <v>1655</v>
      </c>
      <c r="M2791" s="15">
        <f t="shared" si="245"/>
        <v>22756.25</v>
      </c>
      <c r="N2791" t="str">
        <f t="shared" si="242"/>
        <v>PE</v>
      </c>
      <c r="O2791" t="str">
        <f t="shared" si="243"/>
        <v>Recife</v>
      </c>
    </row>
    <row r="2792" spans="1:15" x14ac:dyDescent="0.3">
      <c r="A2792" s="10">
        <v>46082</v>
      </c>
      <c r="B2792" s="9" t="s">
        <v>74</v>
      </c>
      <c r="C2792" t="s">
        <v>186</v>
      </c>
      <c r="D2792" s="9">
        <v>19601</v>
      </c>
      <c r="E2792" s="5" t="s">
        <v>396</v>
      </c>
      <c r="F2792" t="s">
        <v>188</v>
      </c>
      <c r="G2792">
        <v>2649</v>
      </c>
      <c r="H2792">
        <v>1142</v>
      </c>
      <c r="I2792" s="8">
        <f t="shared" si="244"/>
        <v>0.43110607776519444</v>
      </c>
      <c r="J2792" s="17">
        <v>0.7</v>
      </c>
      <c r="K2792" s="12">
        <v>13.75</v>
      </c>
      <c r="L2792" s="2">
        <v>1507</v>
      </c>
      <c r="M2792" s="15">
        <f t="shared" si="245"/>
        <v>20721.25</v>
      </c>
      <c r="N2792" t="str">
        <f t="shared" si="242"/>
        <v>PE</v>
      </c>
      <c r="O2792" t="str">
        <f t="shared" si="243"/>
        <v>Recife</v>
      </c>
    </row>
    <row r="2793" spans="1:15" x14ac:dyDescent="0.3">
      <c r="A2793" s="10">
        <v>46082</v>
      </c>
      <c r="B2793" s="9" t="s">
        <v>74</v>
      </c>
      <c r="C2793" t="s">
        <v>186</v>
      </c>
      <c r="D2793" s="9">
        <v>19565</v>
      </c>
      <c r="E2793" s="5" t="s">
        <v>397</v>
      </c>
      <c r="F2793" t="s">
        <v>189</v>
      </c>
      <c r="G2793">
        <v>2557</v>
      </c>
      <c r="H2793">
        <v>977</v>
      </c>
      <c r="I2793" s="8">
        <f t="shared" si="244"/>
        <v>0.38208838482596791</v>
      </c>
      <c r="J2793" s="17">
        <v>0.7</v>
      </c>
      <c r="K2793" s="12">
        <v>13.75</v>
      </c>
      <c r="L2793" s="2">
        <v>1580</v>
      </c>
      <c r="M2793" s="15">
        <f t="shared" si="245"/>
        <v>21725</v>
      </c>
      <c r="N2793" t="str">
        <f t="shared" si="242"/>
        <v>PE</v>
      </c>
      <c r="O2793" t="str">
        <f t="shared" si="243"/>
        <v>Recife</v>
      </c>
    </row>
    <row r="2794" spans="1:15" x14ac:dyDescent="0.3">
      <c r="A2794" s="10">
        <v>46082</v>
      </c>
      <c r="B2794" s="9" t="s">
        <v>74</v>
      </c>
      <c r="C2794" t="s">
        <v>186</v>
      </c>
      <c r="D2794" s="9">
        <v>19654</v>
      </c>
      <c r="E2794" s="5" t="s">
        <v>398</v>
      </c>
      <c r="F2794" t="s">
        <v>190</v>
      </c>
      <c r="G2794">
        <v>2088</v>
      </c>
      <c r="H2794">
        <v>715</v>
      </c>
      <c r="I2794" s="8">
        <f t="shared" si="244"/>
        <v>0.34243295019157088</v>
      </c>
      <c r="J2794" s="17">
        <v>0.7</v>
      </c>
      <c r="K2794" s="12">
        <v>13.75</v>
      </c>
      <c r="L2794" s="2">
        <v>1373</v>
      </c>
      <c r="M2794" s="15">
        <f t="shared" si="245"/>
        <v>18878.75</v>
      </c>
      <c r="N2794" t="str">
        <f t="shared" si="242"/>
        <v>PE</v>
      </c>
      <c r="O2794" t="str">
        <f t="shared" si="243"/>
        <v>Recife</v>
      </c>
    </row>
    <row r="2795" spans="1:15" x14ac:dyDescent="0.3">
      <c r="A2795" s="10">
        <v>46082</v>
      </c>
      <c r="B2795" s="9" t="s">
        <v>74</v>
      </c>
      <c r="C2795" t="s">
        <v>315</v>
      </c>
      <c r="D2795" s="9">
        <v>19624</v>
      </c>
      <c r="E2795" s="5" t="s">
        <v>399</v>
      </c>
      <c r="F2795" t="s">
        <v>116</v>
      </c>
      <c r="G2795">
        <v>1608</v>
      </c>
      <c r="H2795">
        <v>602</v>
      </c>
      <c r="I2795" s="8">
        <f t="shared" si="244"/>
        <v>0.37437810945273631</v>
      </c>
      <c r="J2795" s="17">
        <v>0.7</v>
      </c>
      <c r="K2795" s="12">
        <v>13.75</v>
      </c>
      <c r="L2795" s="2">
        <v>1006</v>
      </c>
      <c r="M2795" s="15">
        <f t="shared" si="245"/>
        <v>13832.5</v>
      </c>
      <c r="N2795" t="str">
        <f t="shared" si="242"/>
        <v>PE</v>
      </c>
      <c r="O2795" t="str">
        <f t="shared" si="243"/>
        <v>Jaboatão dos Guararapes</v>
      </c>
    </row>
    <row r="2796" spans="1:15" x14ac:dyDescent="0.3">
      <c r="A2796" s="10">
        <v>46082</v>
      </c>
      <c r="B2796" s="9" t="s">
        <v>15</v>
      </c>
      <c r="C2796" t="s">
        <v>143</v>
      </c>
      <c r="D2796" s="9">
        <v>19648</v>
      </c>
      <c r="E2796" s="5" t="s">
        <v>400</v>
      </c>
      <c r="F2796" t="s">
        <v>144</v>
      </c>
      <c r="G2796">
        <v>1728</v>
      </c>
      <c r="H2796">
        <v>512</v>
      </c>
      <c r="I2796" s="8">
        <f t="shared" si="244"/>
        <v>0.29629629629629628</v>
      </c>
      <c r="J2796" s="17">
        <v>0.7</v>
      </c>
      <c r="K2796" s="12">
        <v>13.75</v>
      </c>
      <c r="L2796" s="2">
        <v>1216</v>
      </c>
      <c r="M2796" s="15">
        <f t="shared" si="245"/>
        <v>16720</v>
      </c>
      <c r="N2796" t="str">
        <f t="shared" si="242"/>
        <v>RJ</v>
      </c>
      <c r="O2796" t="str">
        <f t="shared" si="243"/>
        <v>Nilópolis</v>
      </c>
    </row>
    <row r="2797" spans="1:15" x14ac:dyDescent="0.3">
      <c r="A2797" s="10">
        <v>46082</v>
      </c>
      <c r="B2797" s="9" t="s">
        <v>15</v>
      </c>
      <c r="C2797" t="s">
        <v>57</v>
      </c>
      <c r="D2797" s="9">
        <v>19657</v>
      </c>
      <c r="E2797" s="5" t="s">
        <v>401</v>
      </c>
      <c r="F2797" t="s">
        <v>58</v>
      </c>
      <c r="G2797">
        <v>1796</v>
      </c>
      <c r="H2797">
        <v>770</v>
      </c>
      <c r="I2797" s="8">
        <f t="shared" si="244"/>
        <v>0.4287305122494432</v>
      </c>
      <c r="J2797" s="17">
        <v>0.7</v>
      </c>
      <c r="K2797" s="12">
        <v>13.75</v>
      </c>
      <c r="L2797" s="2">
        <v>1026</v>
      </c>
      <c r="M2797" s="15">
        <f t="shared" si="245"/>
        <v>14107.5</v>
      </c>
      <c r="N2797" t="str">
        <f t="shared" si="242"/>
        <v>RJ</v>
      </c>
      <c r="O2797" t="str">
        <f t="shared" si="243"/>
        <v>Cabo Frio</v>
      </c>
    </row>
    <row r="2798" spans="1:15" x14ac:dyDescent="0.3">
      <c r="A2798" s="10">
        <v>46082</v>
      </c>
      <c r="B2798" s="9" t="s">
        <v>82</v>
      </c>
      <c r="C2798" t="s">
        <v>119</v>
      </c>
      <c r="D2798" s="9">
        <v>19661</v>
      </c>
      <c r="E2798" s="5" t="s">
        <v>403</v>
      </c>
      <c r="F2798" t="s">
        <v>120</v>
      </c>
      <c r="G2798">
        <v>2600</v>
      </c>
      <c r="H2798">
        <v>887</v>
      </c>
      <c r="I2798" s="8">
        <f t="shared" si="244"/>
        <v>0.34115384615384614</v>
      </c>
      <c r="J2798" s="17">
        <v>0.7</v>
      </c>
      <c r="K2798" s="12">
        <v>13.75</v>
      </c>
      <c r="L2798" s="2">
        <v>1713</v>
      </c>
      <c r="M2798" s="15">
        <f t="shared" si="245"/>
        <v>23553.75</v>
      </c>
      <c r="N2798" t="str">
        <f t="shared" si="242"/>
        <v>PR</v>
      </c>
      <c r="O2798" t="str">
        <f t="shared" si="243"/>
        <v>Londrina</v>
      </c>
    </row>
    <row r="2799" spans="1:15" x14ac:dyDescent="0.3">
      <c r="A2799" s="10">
        <v>46082</v>
      </c>
      <c r="B2799" s="9" t="s">
        <v>183</v>
      </c>
      <c r="C2799" t="s">
        <v>184</v>
      </c>
      <c r="D2799" s="9">
        <v>19752</v>
      </c>
      <c r="E2799" s="5" t="s">
        <v>404</v>
      </c>
      <c r="F2799" t="s">
        <v>185</v>
      </c>
      <c r="G2799">
        <v>1267</v>
      </c>
      <c r="H2799">
        <v>682</v>
      </c>
      <c r="I2799" s="8">
        <f t="shared" si="244"/>
        <v>0.53827940015785325</v>
      </c>
      <c r="J2799" s="17">
        <v>0.7</v>
      </c>
      <c r="K2799" s="12">
        <v>13.75</v>
      </c>
      <c r="L2799" s="2">
        <v>585</v>
      </c>
      <c r="M2799" s="15">
        <f t="shared" si="245"/>
        <v>8043.75</v>
      </c>
      <c r="N2799" t="str">
        <f t="shared" si="242"/>
        <v>RO</v>
      </c>
      <c r="O2799" t="str">
        <f t="shared" si="243"/>
        <v>Porto Velho</v>
      </c>
    </row>
    <row r="2800" spans="1:15" x14ac:dyDescent="0.3">
      <c r="A2800" s="10">
        <v>46082</v>
      </c>
      <c r="B2800" s="9" t="s">
        <v>15</v>
      </c>
      <c r="C2800" t="s">
        <v>281</v>
      </c>
      <c r="D2800" s="9">
        <v>19671</v>
      </c>
      <c r="E2800" s="5" t="s">
        <v>405</v>
      </c>
      <c r="F2800" t="s">
        <v>282</v>
      </c>
      <c r="G2800">
        <v>2456</v>
      </c>
      <c r="H2800">
        <v>994</v>
      </c>
      <c r="I2800" s="8">
        <f t="shared" si="244"/>
        <v>0.40472312703583063</v>
      </c>
      <c r="J2800" s="17">
        <v>0.7</v>
      </c>
      <c r="K2800" s="12">
        <v>13.75</v>
      </c>
      <c r="L2800" s="2">
        <v>1462</v>
      </c>
      <c r="M2800" s="15">
        <f t="shared" si="245"/>
        <v>20102.5</v>
      </c>
      <c r="N2800" t="str">
        <f t="shared" si="242"/>
        <v>RJ</v>
      </c>
      <c r="O2800" t="str">
        <f t="shared" si="243"/>
        <v>Teresópolis</v>
      </c>
    </row>
    <row r="2801" spans="1:15" x14ac:dyDescent="0.3">
      <c r="A2801" s="10">
        <v>46082</v>
      </c>
      <c r="B2801" s="9" t="s">
        <v>3</v>
      </c>
      <c r="C2801" t="s">
        <v>248</v>
      </c>
      <c r="D2801" s="9">
        <v>19674</v>
      </c>
      <c r="E2801" s="5" t="s">
        <v>406</v>
      </c>
      <c r="F2801" t="s">
        <v>251</v>
      </c>
      <c r="G2801">
        <v>1948</v>
      </c>
      <c r="H2801">
        <v>749</v>
      </c>
      <c r="I2801" s="8">
        <f t="shared" si="244"/>
        <v>0.3844969199178645</v>
      </c>
      <c r="J2801" s="17">
        <v>0.7</v>
      </c>
      <c r="K2801" s="12">
        <v>13.75</v>
      </c>
      <c r="L2801" s="2">
        <v>1199</v>
      </c>
      <c r="M2801" s="15">
        <f t="shared" si="245"/>
        <v>16486.25</v>
      </c>
      <c r="N2801" t="str">
        <f t="shared" si="242"/>
        <v>SP</v>
      </c>
      <c r="O2801" t="str">
        <f t="shared" si="243"/>
        <v>São Paulo</v>
      </c>
    </row>
    <row r="2802" spans="1:15" x14ac:dyDescent="0.3">
      <c r="A2802" s="10">
        <v>46082</v>
      </c>
      <c r="B2802" s="9" t="s">
        <v>3</v>
      </c>
      <c r="C2802" t="s">
        <v>248</v>
      </c>
      <c r="D2802" s="9">
        <v>19809</v>
      </c>
      <c r="E2802" s="5" t="s">
        <v>408</v>
      </c>
      <c r="F2802" t="s">
        <v>253</v>
      </c>
      <c r="G2802">
        <v>1954</v>
      </c>
      <c r="H2802">
        <v>751</v>
      </c>
      <c r="I2802" s="8">
        <f t="shared" si="244"/>
        <v>0.38433981576253839</v>
      </c>
      <c r="J2802" s="17">
        <v>0.7</v>
      </c>
      <c r="K2802" s="12">
        <v>13.75</v>
      </c>
      <c r="L2802" s="2">
        <v>1203</v>
      </c>
      <c r="M2802" s="15">
        <f t="shared" si="245"/>
        <v>16541.25</v>
      </c>
      <c r="N2802" t="str">
        <f t="shared" si="242"/>
        <v>SP</v>
      </c>
      <c r="O2802" t="str">
        <f t="shared" si="243"/>
        <v>São Paulo</v>
      </c>
    </row>
    <row r="2803" spans="1:15" x14ac:dyDescent="0.3">
      <c r="A2803" s="10">
        <v>46082</v>
      </c>
      <c r="B2803" s="9" t="s">
        <v>3</v>
      </c>
      <c r="C2803" t="s">
        <v>248</v>
      </c>
      <c r="D2803" s="9">
        <v>19579</v>
      </c>
      <c r="E2803" s="5" t="s">
        <v>409</v>
      </c>
      <c r="F2803" t="s">
        <v>254</v>
      </c>
      <c r="G2803">
        <v>1422</v>
      </c>
      <c r="H2803">
        <v>527</v>
      </c>
      <c r="I2803" s="8">
        <f t="shared" si="244"/>
        <v>0.37060478199718705</v>
      </c>
      <c r="J2803" s="17">
        <v>0.7</v>
      </c>
      <c r="K2803" s="12">
        <v>13.75</v>
      </c>
      <c r="L2803" s="2">
        <v>895</v>
      </c>
      <c r="M2803" s="15">
        <f t="shared" si="245"/>
        <v>12306.25</v>
      </c>
      <c r="N2803" t="str">
        <f t="shared" si="242"/>
        <v>SP</v>
      </c>
      <c r="O2803" t="str">
        <f t="shared" si="243"/>
        <v>São Paulo</v>
      </c>
    </row>
    <row r="2804" spans="1:15" x14ac:dyDescent="0.3">
      <c r="A2804" s="10">
        <v>46082</v>
      </c>
      <c r="B2804" s="9" t="s">
        <v>126</v>
      </c>
      <c r="C2804" t="s">
        <v>127</v>
      </c>
      <c r="D2804" s="9">
        <v>19623</v>
      </c>
      <c r="E2804" s="5" t="s">
        <v>410</v>
      </c>
      <c r="F2804" t="s">
        <v>128</v>
      </c>
      <c r="G2804">
        <v>1803</v>
      </c>
      <c r="H2804">
        <v>824</v>
      </c>
      <c r="I2804" s="8">
        <f t="shared" si="244"/>
        <v>0.45701608430393786</v>
      </c>
      <c r="J2804" s="17">
        <v>0.7</v>
      </c>
      <c r="K2804" s="12">
        <v>13.75</v>
      </c>
      <c r="L2804" s="2">
        <v>979</v>
      </c>
      <c r="M2804" s="15">
        <f t="shared" si="245"/>
        <v>13461.25</v>
      </c>
      <c r="N2804" t="str">
        <f t="shared" si="242"/>
        <v>AL</v>
      </c>
      <c r="O2804" t="str">
        <f t="shared" si="243"/>
        <v>Maceió</v>
      </c>
    </row>
    <row r="2805" spans="1:15" x14ac:dyDescent="0.3">
      <c r="A2805" s="10">
        <v>46082</v>
      </c>
      <c r="B2805" s="9" t="s">
        <v>46</v>
      </c>
      <c r="C2805" t="s">
        <v>47</v>
      </c>
      <c r="D2805" s="9">
        <v>19693</v>
      </c>
      <c r="E2805" s="5" t="s">
        <v>411</v>
      </c>
      <c r="F2805" t="s">
        <v>51</v>
      </c>
      <c r="G2805">
        <v>2151</v>
      </c>
      <c r="H2805">
        <v>793</v>
      </c>
      <c r="I2805" s="8">
        <f t="shared" si="244"/>
        <v>0.36866573686657367</v>
      </c>
      <c r="J2805" s="17">
        <v>0.7</v>
      </c>
      <c r="K2805" s="12">
        <v>13.75</v>
      </c>
      <c r="L2805" s="2">
        <v>1358</v>
      </c>
      <c r="M2805" s="15">
        <f t="shared" si="245"/>
        <v>18672.5</v>
      </c>
      <c r="N2805" t="str">
        <f t="shared" si="242"/>
        <v>DF</v>
      </c>
      <c r="O2805" t="str">
        <f t="shared" si="243"/>
        <v>Brasília</v>
      </c>
    </row>
    <row r="2806" spans="1:15" x14ac:dyDescent="0.3">
      <c r="A2806" s="10">
        <v>46082</v>
      </c>
      <c r="B2806" s="9" t="s">
        <v>78</v>
      </c>
      <c r="C2806" t="s">
        <v>79</v>
      </c>
      <c r="D2806" s="9">
        <v>19730</v>
      </c>
      <c r="E2806" s="5" t="s">
        <v>413</v>
      </c>
      <c r="F2806" t="s">
        <v>80</v>
      </c>
      <c r="G2806">
        <v>2729</v>
      </c>
      <c r="H2806">
        <v>1372</v>
      </c>
      <c r="I2806" s="8">
        <f t="shared" si="244"/>
        <v>0.50274825943569068</v>
      </c>
      <c r="J2806" s="17">
        <v>0.7</v>
      </c>
      <c r="K2806" s="12">
        <v>13.75</v>
      </c>
      <c r="L2806" s="2">
        <v>1357</v>
      </c>
      <c r="M2806" s="15">
        <f t="shared" si="245"/>
        <v>18658.75</v>
      </c>
      <c r="N2806" t="str">
        <f t="shared" si="242"/>
        <v>MT</v>
      </c>
      <c r="O2806" t="str">
        <f t="shared" si="243"/>
        <v>Cuiabá</v>
      </c>
    </row>
    <row r="2807" spans="1:15" x14ac:dyDescent="0.3">
      <c r="A2807" s="10">
        <v>46082</v>
      </c>
      <c r="B2807" s="9" t="s">
        <v>78</v>
      </c>
      <c r="C2807" t="s">
        <v>79</v>
      </c>
      <c r="D2807" s="9">
        <v>19794</v>
      </c>
      <c r="E2807" s="5" t="s">
        <v>414</v>
      </c>
      <c r="F2807" t="s">
        <v>81</v>
      </c>
      <c r="G2807">
        <v>2824</v>
      </c>
      <c r="H2807">
        <v>1072</v>
      </c>
      <c r="I2807" s="8">
        <f t="shared" si="244"/>
        <v>0.37960339943342775</v>
      </c>
      <c r="J2807" s="17">
        <v>0.7</v>
      </c>
      <c r="K2807" s="12">
        <v>13.75</v>
      </c>
      <c r="L2807" s="2">
        <v>1752</v>
      </c>
      <c r="M2807" s="15">
        <f t="shared" si="245"/>
        <v>24090</v>
      </c>
      <c r="N2807" t="str">
        <f t="shared" si="242"/>
        <v>MT</v>
      </c>
      <c r="O2807" t="str">
        <f t="shared" si="243"/>
        <v>Cuiabá</v>
      </c>
    </row>
    <row r="2808" spans="1:15" x14ac:dyDescent="0.3">
      <c r="A2808" s="10">
        <v>46082</v>
      </c>
      <c r="B2808" s="9" t="s">
        <v>7</v>
      </c>
      <c r="C2808" t="s">
        <v>99</v>
      </c>
      <c r="D2808" s="9">
        <v>19691</v>
      </c>
      <c r="E2808" s="5" t="s">
        <v>415</v>
      </c>
      <c r="F2808" t="s">
        <v>100</v>
      </c>
      <c r="G2808">
        <v>2461</v>
      </c>
      <c r="H2808">
        <v>1092</v>
      </c>
      <c r="I2808" s="8">
        <f t="shared" si="244"/>
        <v>0.44372206420154409</v>
      </c>
      <c r="J2808" s="17">
        <v>0.7</v>
      </c>
      <c r="K2808" s="12">
        <v>13.75</v>
      </c>
      <c r="L2808" s="2">
        <v>1369</v>
      </c>
      <c r="M2808" s="15">
        <f t="shared" si="245"/>
        <v>18823.75</v>
      </c>
      <c r="N2808" t="str">
        <f t="shared" si="242"/>
        <v>GO</v>
      </c>
      <c r="O2808" t="str">
        <f t="shared" si="243"/>
        <v>Goiânia</v>
      </c>
    </row>
    <row r="2809" spans="1:15" x14ac:dyDescent="0.3">
      <c r="A2809" s="10">
        <v>46082</v>
      </c>
      <c r="B2809" s="9" t="s">
        <v>15</v>
      </c>
      <c r="C2809" t="s">
        <v>319</v>
      </c>
      <c r="D2809" s="9">
        <v>19505</v>
      </c>
      <c r="E2809" s="5" t="s">
        <v>416</v>
      </c>
      <c r="F2809" t="s">
        <v>204</v>
      </c>
      <c r="G2809">
        <v>2348</v>
      </c>
      <c r="H2809">
        <v>961</v>
      </c>
      <c r="I2809" s="8">
        <f t="shared" si="244"/>
        <v>0.40928449744463374</v>
      </c>
      <c r="J2809" s="17">
        <v>0.7</v>
      </c>
      <c r="K2809" s="12">
        <v>13.75</v>
      </c>
      <c r="L2809" s="2">
        <v>1387</v>
      </c>
      <c r="M2809" s="15">
        <f t="shared" si="245"/>
        <v>19071.25</v>
      </c>
      <c r="N2809" t="str">
        <f t="shared" si="242"/>
        <v>RJ</v>
      </c>
      <c r="O2809" t="str">
        <f t="shared" si="243"/>
        <v>Rio de Janeiro</v>
      </c>
    </row>
    <row r="2810" spans="1:15" x14ac:dyDescent="0.3">
      <c r="A2810" s="10">
        <v>46082</v>
      </c>
      <c r="B2810" s="9" t="s">
        <v>15</v>
      </c>
      <c r="C2810" t="s">
        <v>319</v>
      </c>
      <c r="D2810" s="9">
        <v>19515</v>
      </c>
      <c r="E2810" s="5" t="s">
        <v>417</v>
      </c>
      <c r="F2810" t="s">
        <v>205</v>
      </c>
      <c r="G2810">
        <v>3130</v>
      </c>
      <c r="H2810">
        <v>1136</v>
      </c>
      <c r="I2810" s="8">
        <f t="shared" si="244"/>
        <v>0.36293929712460066</v>
      </c>
      <c r="J2810" s="17">
        <v>0.7</v>
      </c>
      <c r="K2810" s="12">
        <v>13.75</v>
      </c>
      <c r="L2810" s="2">
        <v>1994</v>
      </c>
      <c r="M2810" s="15">
        <f t="shared" si="245"/>
        <v>27417.5</v>
      </c>
      <c r="N2810" t="str">
        <f t="shared" si="242"/>
        <v>RJ</v>
      </c>
      <c r="O2810" t="str">
        <f t="shared" si="243"/>
        <v>Rio de Janeiro</v>
      </c>
    </row>
    <row r="2811" spans="1:15" x14ac:dyDescent="0.3">
      <c r="A2811" s="10">
        <v>46082</v>
      </c>
      <c r="B2811" s="9" t="s">
        <v>15</v>
      </c>
      <c r="C2811" t="s">
        <v>319</v>
      </c>
      <c r="D2811" s="9">
        <v>19519</v>
      </c>
      <c r="E2811" s="5" t="s">
        <v>418</v>
      </c>
      <c r="F2811" t="s">
        <v>206</v>
      </c>
      <c r="G2811">
        <v>5830</v>
      </c>
      <c r="H2811">
        <v>2385</v>
      </c>
      <c r="I2811" s="8">
        <f t="shared" si="244"/>
        <v>0.40909090909090912</v>
      </c>
      <c r="J2811" s="17">
        <v>0.7</v>
      </c>
      <c r="K2811" s="12">
        <v>13.75</v>
      </c>
      <c r="L2811" s="2">
        <v>3445</v>
      </c>
      <c r="M2811" s="15">
        <f t="shared" si="245"/>
        <v>47368.75</v>
      </c>
      <c r="N2811" t="str">
        <f t="shared" si="242"/>
        <v>RJ</v>
      </c>
      <c r="O2811" t="str">
        <f t="shared" si="243"/>
        <v>Rio de Janeiro</v>
      </c>
    </row>
    <row r="2812" spans="1:15" x14ac:dyDescent="0.3">
      <c r="A2812" s="10">
        <v>46082</v>
      </c>
      <c r="B2812" s="9" t="s">
        <v>15</v>
      </c>
      <c r="C2812" t="s">
        <v>319</v>
      </c>
      <c r="D2812" s="9">
        <v>19518</v>
      </c>
      <c r="E2812" s="5" t="s">
        <v>419</v>
      </c>
      <c r="F2812" t="s">
        <v>207</v>
      </c>
      <c r="G2812">
        <v>4466</v>
      </c>
      <c r="H2812">
        <v>1978</v>
      </c>
      <c r="I2812" s="8">
        <f t="shared" si="244"/>
        <v>0.44290192566054637</v>
      </c>
      <c r="J2812" s="17">
        <v>0.7</v>
      </c>
      <c r="K2812" s="12">
        <v>13.75</v>
      </c>
      <c r="L2812" s="2">
        <v>2488</v>
      </c>
      <c r="M2812" s="15">
        <f t="shared" si="245"/>
        <v>34210</v>
      </c>
      <c r="N2812" t="str">
        <f t="shared" si="242"/>
        <v>RJ</v>
      </c>
      <c r="O2812" t="str">
        <f t="shared" si="243"/>
        <v>Rio de Janeiro</v>
      </c>
    </row>
    <row r="2813" spans="1:15" x14ac:dyDescent="0.3">
      <c r="A2813" s="10">
        <v>46082</v>
      </c>
      <c r="B2813" s="9" t="s">
        <v>15</v>
      </c>
      <c r="C2813" t="s">
        <v>319</v>
      </c>
      <c r="D2813" s="9">
        <v>19507</v>
      </c>
      <c r="E2813" s="5" t="s">
        <v>420</v>
      </c>
      <c r="F2813" t="s">
        <v>208</v>
      </c>
      <c r="G2813">
        <v>3118</v>
      </c>
      <c r="H2813">
        <v>1128</v>
      </c>
      <c r="I2813" s="8">
        <f t="shared" si="244"/>
        <v>0.36177036561898651</v>
      </c>
      <c r="J2813" s="17">
        <v>0.7</v>
      </c>
      <c r="K2813" s="12">
        <v>13.75</v>
      </c>
      <c r="L2813" s="2">
        <v>1990</v>
      </c>
      <c r="M2813" s="15">
        <f t="shared" si="245"/>
        <v>27362.5</v>
      </c>
      <c r="N2813" t="str">
        <f t="shared" si="242"/>
        <v>RJ</v>
      </c>
      <c r="O2813" t="str">
        <f t="shared" si="243"/>
        <v>Rio de Janeiro</v>
      </c>
    </row>
    <row r="2814" spans="1:15" x14ac:dyDescent="0.3">
      <c r="A2814" s="10">
        <v>46082</v>
      </c>
      <c r="B2814" s="9" t="s">
        <v>15</v>
      </c>
      <c r="C2814" t="s">
        <v>319</v>
      </c>
      <c r="D2814" s="9">
        <v>19714</v>
      </c>
      <c r="E2814" s="5" t="s">
        <v>421</v>
      </c>
      <c r="F2814" t="s">
        <v>209</v>
      </c>
      <c r="G2814">
        <v>2342</v>
      </c>
      <c r="H2814">
        <v>836</v>
      </c>
      <c r="I2814" s="8">
        <f t="shared" si="244"/>
        <v>0.35695986336464558</v>
      </c>
      <c r="J2814" s="17">
        <v>0.7</v>
      </c>
      <c r="K2814" s="12">
        <v>13.75</v>
      </c>
      <c r="L2814" s="2">
        <v>1506</v>
      </c>
      <c r="M2814" s="15">
        <f t="shared" si="245"/>
        <v>20707.5</v>
      </c>
      <c r="N2814" t="str">
        <f t="shared" si="242"/>
        <v>RJ</v>
      </c>
      <c r="O2814" t="str">
        <f t="shared" si="243"/>
        <v>Rio de Janeiro</v>
      </c>
    </row>
    <row r="2815" spans="1:15" x14ac:dyDescent="0.3">
      <c r="A2815" s="10">
        <v>46082</v>
      </c>
      <c r="B2815" s="9" t="s">
        <v>15</v>
      </c>
      <c r="C2815" t="s">
        <v>319</v>
      </c>
      <c r="D2815" s="9">
        <v>19844</v>
      </c>
      <c r="E2815" s="5" t="s">
        <v>428</v>
      </c>
      <c r="F2815" t="s">
        <v>210</v>
      </c>
      <c r="G2815">
        <v>1934</v>
      </c>
      <c r="H2815">
        <v>722</v>
      </c>
      <c r="I2815" s="8">
        <f t="shared" si="244"/>
        <v>0.37331954498448811</v>
      </c>
      <c r="J2815" s="17">
        <v>0.7</v>
      </c>
      <c r="K2815" s="12">
        <v>13.75</v>
      </c>
      <c r="L2815" s="2">
        <v>1212</v>
      </c>
      <c r="M2815" s="15">
        <f t="shared" si="245"/>
        <v>16665</v>
      </c>
      <c r="N2815" t="str">
        <f t="shared" si="242"/>
        <v>RJ</v>
      </c>
      <c r="O2815" t="str">
        <f t="shared" si="243"/>
        <v>Rio de Janeiro</v>
      </c>
    </row>
    <row r="2816" spans="1:15" x14ac:dyDescent="0.3">
      <c r="A2816" s="10">
        <v>46082</v>
      </c>
      <c r="B2816" s="9" t="s">
        <v>14</v>
      </c>
      <c r="C2816" t="s">
        <v>29</v>
      </c>
      <c r="D2816" s="9">
        <v>19793</v>
      </c>
      <c r="E2816" s="5" t="s">
        <v>611</v>
      </c>
      <c r="F2816" t="s">
        <v>39</v>
      </c>
      <c r="G2816">
        <v>1443</v>
      </c>
      <c r="H2816">
        <v>637</v>
      </c>
      <c r="I2816" s="8">
        <f t="shared" si="244"/>
        <v>0.44144144144144143</v>
      </c>
      <c r="J2816" s="17">
        <v>0.7</v>
      </c>
      <c r="K2816" s="12">
        <v>13.75</v>
      </c>
      <c r="L2816" s="2">
        <v>806</v>
      </c>
      <c r="M2816" s="15">
        <f t="shared" si="245"/>
        <v>11082.5</v>
      </c>
      <c r="N2816" t="str">
        <f t="shared" si="242"/>
        <v>MG</v>
      </c>
      <c r="O2816" t="str">
        <f t="shared" si="243"/>
        <v>Belo Horizonte</v>
      </c>
    </row>
    <row r="2817" spans="1:15" x14ac:dyDescent="0.3">
      <c r="A2817" s="10">
        <v>46082</v>
      </c>
      <c r="B2817" s="9" t="s">
        <v>14</v>
      </c>
      <c r="C2817" t="s">
        <v>29</v>
      </c>
      <c r="D2817" s="9">
        <v>19704</v>
      </c>
      <c r="E2817" s="5" t="s">
        <v>429</v>
      </c>
      <c r="F2817" t="s">
        <v>30</v>
      </c>
      <c r="G2817">
        <v>3737</v>
      </c>
      <c r="H2817">
        <v>2014</v>
      </c>
      <c r="I2817" s="8">
        <f t="shared" si="244"/>
        <v>0.53893497457853889</v>
      </c>
      <c r="J2817" s="17">
        <v>0.7</v>
      </c>
      <c r="K2817" s="12">
        <v>13.75</v>
      </c>
      <c r="L2817" s="2">
        <v>1723</v>
      </c>
      <c r="M2817" s="15">
        <f t="shared" si="245"/>
        <v>23691.25</v>
      </c>
      <c r="N2817" t="str">
        <f t="shared" si="242"/>
        <v>MG</v>
      </c>
      <c r="O2817" t="str">
        <f t="shared" si="243"/>
        <v>Belo Horizonte</v>
      </c>
    </row>
    <row r="2818" spans="1:15" x14ac:dyDescent="0.3">
      <c r="A2818" s="10">
        <v>46082</v>
      </c>
      <c r="B2818" s="9" t="s">
        <v>15</v>
      </c>
      <c r="C2818" t="s">
        <v>319</v>
      </c>
      <c r="D2818" s="9">
        <v>19512</v>
      </c>
      <c r="E2818" s="5" t="s">
        <v>430</v>
      </c>
      <c r="F2818" t="s">
        <v>211</v>
      </c>
      <c r="G2818">
        <v>2092</v>
      </c>
      <c r="H2818">
        <v>802</v>
      </c>
      <c r="I2818" s="8">
        <f t="shared" si="244"/>
        <v>0.38336520076481834</v>
      </c>
      <c r="J2818" s="17">
        <v>0.7</v>
      </c>
      <c r="K2818" s="12">
        <v>13.75</v>
      </c>
      <c r="L2818" s="2">
        <v>1290</v>
      </c>
      <c r="M2818" s="15">
        <f t="shared" si="245"/>
        <v>17737.5</v>
      </c>
      <c r="N2818" t="str">
        <f t="shared" ref="N2818:N2881" si="246">B2818</f>
        <v>RJ</v>
      </c>
      <c r="O2818" t="str">
        <f t="shared" ref="O2818:O2881" si="247">C2818</f>
        <v>Rio de Janeiro</v>
      </c>
    </row>
    <row r="2819" spans="1:15" x14ac:dyDescent="0.3">
      <c r="A2819" s="10">
        <v>46082</v>
      </c>
      <c r="B2819" s="9" t="s">
        <v>14</v>
      </c>
      <c r="C2819" t="s">
        <v>29</v>
      </c>
      <c r="D2819" s="9">
        <v>19562</v>
      </c>
      <c r="E2819" s="5" t="s">
        <v>431</v>
      </c>
      <c r="F2819" t="s">
        <v>31</v>
      </c>
      <c r="G2819">
        <v>1919</v>
      </c>
      <c r="H2819">
        <v>878</v>
      </c>
      <c r="I2819" s="8">
        <f t="shared" ref="I2819:I2882" si="248">H2819/G2819</f>
        <v>0.45752996352266806</v>
      </c>
      <c r="J2819" s="17">
        <v>0.7</v>
      </c>
      <c r="K2819" s="12">
        <v>13.75</v>
      </c>
      <c r="L2819" s="2">
        <v>1041</v>
      </c>
      <c r="M2819" s="15">
        <f t="shared" ref="M2819:M2882" si="249">L2819*K2819</f>
        <v>14313.75</v>
      </c>
      <c r="N2819" t="str">
        <f t="shared" si="246"/>
        <v>MG</v>
      </c>
      <c r="O2819" t="str">
        <f t="shared" si="247"/>
        <v>Belo Horizonte</v>
      </c>
    </row>
    <row r="2820" spans="1:15" x14ac:dyDescent="0.3">
      <c r="A2820" s="10">
        <v>46082</v>
      </c>
      <c r="B2820" s="9" t="s">
        <v>14</v>
      </c>
      <c r="C2820" t="s">
        <v>29</v>
      </c>
      <c r="D2820" s="9">
        <v>19748</v>
      </c>
      <c r="E2820" s="5" t="s">
        <v>432</v>
      </c>
      <c r="F2820" t="s">
        <v>32</v>
      </c>
      <c r="G2820">
        <v>2187</v>
      </c>
      <c r="H2820">
        <v>942</v>
      </c>
      <c r="I2820" s="8">
        <f t="shared" si="248"/>
        <v>0.43072702331961593</v>
      </c>
      <c r="J2820" s="17">
        <v>0.7</v>
      </c>
      <c r="K2820" s="12">
        <v>13.75</v>
      </c>
      <c r="L2820" s="2">
        <v>1245</v>
      </c>
      <c r="M2820" s="15">
        <f t="shared" si="249"/>
        <v>17118.75</v>
      </c>
      <c r="N2820" t="str">
        <f t="shared" si="246"/>
        <v>MG</v>
      </c>
      <c r="O2820" t="str">
        <f t="shared" si="247"/>
        <v>Belo Horizonte</v>
      </c>
    </row>
    <row r="2821" spans="1:15" x14ac:dyDescent="0.3">
      <c r="A2821" s="10">
        <v>46082</v>
      </c>
      <c r="B2821" s="9" t="s">
        <v>14</v>
      </c>
      <c r="C2821" t="s">
        <v>29</v>
      </c>
      <c r="D2821" s="9">
        <v>19561</v>
      </c>
      <c r="E2821" s="5" t="s">
        <v>433</v>
      </c>
      <c r="F2821" t="s">
        <v>33</v>
      </c>
      <c r="G2821">
        <v>1551</v>
      </c>
      <c r="H2821">
        <v>643</v>
      </c>
      <c r="I2821" s="8">
        <f t="shared" si="248"/>
        <v>0.41457124435847842</v>
      </c>
      <c r="J2821" s="17">
        <v>0.7</v>
      </c>
      <c r="K2821" s="12">
        <v>13.75</v>
      </c>
      <c r="L2821" s="2">
        <v>908</v>
      </c>
      <c r="M2821" s="15">
        <f t="shared" si="249"/>
        <v>12485</v>
      </c>
      <c r="N2821" t="str">
        <f t="shared" si="246"/>
        <v>MG</v>
      </c>
      <c r="O2821" t="str">
        <f t="shared" si="247"/>
        <v>Belo Horizonte</v>
      </c>
    </row>
    <row r="2822" spans="1:15" x14ac:dyDescent="0.3">
      <c r="A2822" s="10">
        <v>46082</v>
      </c>
      <c r="B2822" s="9" t="s">
        <v>14</v>
      </c>
      <c r="C2822" t="s">
        <v>29</v>
      </c>
      <c r="D2822" s="9">
        <v>19560</v>
      </c>
      <c r="E2822" s="5" t="s">
        <v>435</v>
      </c>
      <c r="F2822" t="s">
        <v>34</v>
      </c>
      <c r="G2822">
        <v>4009</v>
      </c>
      <c r="H2822">
        <v>1633</v>
      </c>
      <c r="I2822" s="8">
        <f t="shared" si="248"/>
        <v>0.40733349962584187</v>
      </c>
      <c r="J2822" s="17">
        <v>0.7</v>
      </c>
      <c r="K2822" s="12">
        <v>13.75</v>
      </c>
      <c r="L2822" s="2">
        <v>2376</v>
      </c>
      <c r="M2822" s="15">
        <f t="shared" si="249"/>
        <v>32670</v>
      </c>
      <c r="N2822" t="str">
        <f t="shared" si="246"/>
        <v>MG</v>
      </c>
      <c r="O2822" t="str">
        <f t="shared" si="247"/>
        <v>Belo Horizonte</v>
      </c>
    </row>
    <row r="2823" spans="1:15" x14ac:dyDescent="0.3">
      <c r="A2823" s="10">
        <v>46082</v>
      </c>
      <c r="B2823" s="9" t="s">
        <v>15</v>
      </c>
      <c r="C2823" t="s">
        <v>319</v>
      </c>
      <c r="D2823" s="9">
        <v>19508</v>
      </c>
      <c r="E2823" s="5" t="s">
        <v>444</v>
      </c>
      <c r="F2823" t="s">
        <v>212</v>
      </c>
      <c r="G2823">
        <v>2684</v>
      </c>
      <c r="H2823">
        <v>1085</v>
      </c>
      <c r="I2823" s="8">
        <f t="shared" si="248"/>
        <v>0.40424739195230996</v>
      </c>
      <c r="J2823" s="17">
        <v>0.7</v>
      </c>
      <c r="K2823" s="12">
        <v>13.75</v>
      </c>
      <c r="L2823" s="2">
        <v>1599</v>
      </c>
      <c r="M2823" s="15">
        <f t="shared" si="249"/>
        <v>21986.25</v>
      </c>
      <c r="N2823" t="str">
        <f t="shared" si="246"/>
        <v>RJ</v>
      </c>
      <c r="O2823" t="str">
        <f t="shared" si="247"/>
        <v>Rio de Janeiro</v>
      </c>
    </row>
    <row r="2824" spans="1:15" x14ac:dyDescent="0.3">
      <c r="A2824" s="10">
        <v>46082</v>
      </c>
      <c r="B2824" s="9" t="s">
        <v>15</v>
      </c>
      <c r="C2824" t="s">
        <v>319</v>
      </c>
      <c r="D2824" s="9">
        <v>19894</v>
      </c>
      <c r="E2824" s="5" t="s">
        <v>446</v>
      </c>
      <c r="F2824" t="s">
        <v>213</v>
      </c>
      <c r="G2824">
        <v>2380</v>
      </c>
      <c r="H2824">
        <v>865</v>
      </c>
      <c r="I2824" s="8">
        <f t="shared" si="248"/>
        <v>0.36344537815126049</v>
      </c>
      <c r="J2824" s="17">
        <v>0.7</v>
      </c>
      <c r="K2824" s="12">
        <v>13.75</v>
      </c>
      <c r="L2824" s="2">
        <v>1515</v>
      </c>
      <c r="M2824" s="15">
        <f t="shared" si="249"/>
        <v>20831.25</v>
      </c>
      <c r="N2824" t="str">
        <f t="shared" si="246"/>
        <v>RJ</v>
      </c>
      <c r="O2824" t="str">
        <f t="shared" si="247"/>
        <v>Rio de Janeiro</v>
      </c>
    </row>
    <row r="2825" spans="1:15" x14ac:dyDescent="0.3">
      <c r="A2825" s="10">
        <v>46082</v>
      </c>
      <c r="B2825" s="9" t="s">
        <v>15</v>
      </c>
      <c r="C2825" t="s">
        <v>319</v>
      </c>
      <c r="D2825" s="9">
        <v>19526</v>
      </c>
      <c r="E2825" s="5" t="s">
        <v>447</v>
      </c>
      <c r="F2825" t="s">
        <v>214</v>
      </c>
      <c r="G2825">
        <v>1708</v>
      </c>
      <c r="H2825">
        <v>543</v>
      </c>
      <c r="I2825" s="8">
        <f t="shared" si="248"/>
        <v>0.31791569086651056</v>
      </c>
      <c r="J2825" s="17">
        <v>0.7</v>
      </c>
      <c r="K2825" s="12">
        <v>13.75</v>
      </c>
      <c r="L2825" s="2">
        <v>1165</v>
      </c>
      <c r="M2825" s="15">
        <f t="shared" si="249"/>
        <v>16018.75</v>
      </c>
      <c r="N2825" t="str">
        <f t="shared" si="246"/>
        <v>RJ</v>
      </c>
      <c r="O2825" t="str">
        <f t="shared" si="247"/>
        <v>Rio de Janeiro</v>
      </c>
    </row>
    <row r="2826" spans="1:15" x14ac:dyDescent="0.3">
      <c r="A2826" s="10">
        <v>46082</v>
      </c>
      <c r="B2826" s="9" t="s">
        <v>15</v>
      </c>
      <c r="C2826" t="s">
        <v>319</v>
      </c>
      <c r="D2826" s="9">
        <v>19509</v>
      </c>
      <c r="E2826" s="5" t="s">
        <v>448</v>
      </c>
      <c r="F2826" t="s">
        <v>215</v>
      </c>
      <c r="G2826">
        <v>1677</v>
      </c>
      <c r="H2826">
        <v>678</v>
      </c>
      <c r="I2826" s="8">
        <f t="shared" si="248"/>
        <v>0.40429338103756707</v>
      </c>
      <c r="J2826" s="17">
        <v>0.7</v>
      </c>
      <c r="K2826" s="12">
        <v>13.75</v>
      </c>
      <c r="L2826" s="2">
        <v>999</v>
      </c>
      <c r="M2826" s="15">
        <f t="shared" si="249"/>
        <v>13736.25</v>
      </c>
      <c r="N2826" t="str">
        <f t="shared" si="246"/>
        <v>RJ</v>
      </c>
      <c r="O2826" t="str">
        <f t="shared" si="247"/>
        <v>Rio de Janeiro</v>
      </c>
    </row>
    <row r="2827" spans="1:15" x14ac:dyDescent="0.3">
      <c r="A2827" s="10">
        <v>46082</v>
      </c>
      <c r="B2827" s="9" t="s">
        <v>15</v>
      </c>
      <c r="C2827" t="s">
        <v>319</v>
      </c>
      <c r="D2827" s="9">
        <v>19635</v>
      </c>
      <c r="E2827" s="5" t="s">
        <v>452</v>
      </c>
      <c r="F2827" t="s">
        <v>216</v>
      </c>
      <c r="G2827">
        <v>1862</v>
      </c>
      <c r="H2827">
        <v>854</v>
      </c>
      <c r="I2827" s="8">
        <f t="shared" si="248"/>
        <v>0.45864661654135336</v>
      </c>
      <c r="J2827" s="17">
        <v>0.7</v>
      </c>
      <c r="K2827" s="12">
        <v>13.75</v>
      </c>
      <c r="L2827" s="2">
        <v>1008</v>
      </c>
      <c r="M2827" s="15">
        <f t="shared" si="249"/>
        <v>13860</v>
      </c>
      <c r="N2827" t="str">
        <f t="shared" si="246"/>
        <v>RJ</v>
      </c>
      <c r="O2827" t="str">
        <f t="shared" si="247"/>
        <v>Rio de Janeiro</v>
      </c>
    </row>
    <row r="2828" spans="1:15" x14ac:dyDescent="0.3">
      <c r="A2828" s="10">
        <v>46082</v>
      </c>
      <c r="B2828" s="9" t="s">
        <v>15</v>
      </c>
      <c r="C2828" t="s">
        <v>319</v>
      </c>
      <c r="D2828" s="9">
        <v>19665</v>
      </c>
      <c r="E2828" s="5" t="s">
        <v>453</v>
      </c>
      <c r="F2828" t="s">
        <v>217</v>
      </c>
      <c r="G2828">
        <v>1751</v>
      </c>
      <c r="H2828">
        <v>671</v>
      </c>
      <c r="I2828" s="8">
        <f t="shared" si="248"/>
        <v>0.38320959451741859</v>
      </c>
      <c r="J2828" s="17">
        <v>0.7</v>
      </c>
      <c r="K2828" s="12">
        <v>13.75</v>
      </c>
      <c r="L2828" s="2">
        <v>1080</v>
      </c>
      <c r="M2828" s="15">
        <f t="shared" si="249"/>
        <v>14850</v>
      </c>
      <c r="N2828" t="str">
        <f t="shared" si="246"/>
        <v>RJ</v>
      </c>
      <c r="O2828" t="str">
        <f t="shared" si="247"/>
        <v>Rio de Janeiro</v>
      </c>
    </row>
    <row r="2829" spans="1:15" x14ac:dyDescent="0.3">
      <c r="A2829" s="10">
        <v>46082</v>
      </c>
      <c r="B2829" s="9" t="s">
        <v>15</v>
      </c>
      <c r="C2829" t="s">
        <v>319</v>
      </c>
      <c r="D2829" s="9">
        <v>19504</v>
      </c>
      <c r="E2829" s="5" t="s">
        <v>454</v>
      </c>
      <c r="F2829" t="s">
        <v>218</v>
      </c>
      <c r="G2829">
        <v>2547</v>
      </c>
      <c r="H2829">
        <v>995</v>
      </c>
      <c r="I2829" s="8">
        <f t="shared" si="248"/>
        <v>0.39065567334118573</v>
      </c>
      <c r="J2829" s="17">
        <v>0.7</v>
      </c>
      <c r="K2829" s="12">
        <v>13.75</v>
      </c>
      <c r="L2829" s="2">
        <v>1552</v>
      </c>
      <c r="M2829" s="15">
        <f t="shared" si="249"/>
        <v>21340</v>
      </c>
      <c r="N2829" t="str">
        <f t="shared" si="246"/>
        <v>RJ</v>
      </c>
      <c r="O2829" t="str">
        <f t="shared" si="247"/>
        <v>Rio de Janeiro</v>
      </c>
    </row>
    <row r="2830" spans="1:15" x14ac:dyDescent="0.3">
      <c r="A2830" s="10">
        <v>46082</v>
      </c>
      <c r="B2830" s="9" t="s">
        <v>15</v>
      </c>
      <c r="C2830" t="s">
        <v>319</v>
      </c>
      <c r="D2830" s="9">
        <v>19511</v>
      </c>
      <c r="E2830" s="5" t="s">
        <v>455</v>
      </c>
      <c r="F2830" t="s">
        <v>219</v>
      </c>
      <c r="G2830">
        <v>2622</v>
      </c>
      <c r="H2830">
        <v>1050</v>
      </c>
      <c r="I2830" s="8">
        <f t="shared" si="248"/>
        <v>0.40045766590389015</v>
      </c>
      <c r="J2830" s="17">
        <v>0.7</v>
      </c>
      <c r="K2830" s="12">
        <v>13.75</v>
      </c>
      <c r="L2830" s="2">
        <v>1572</v>
      </c>
      <c r="M2830" s="15">
        <f t="shared" si="249"/>
        <v>21615</v>
      </c>
      <c r="N2830" t="str">
        <f t="shared" si="246"/>
        <v>RJ</v>
      </c>
      <c r="O2830" t="str">
        <f t="shared" si="247"/>
        <v>Rio de Janeiro</v>
      </c>
    </row>
    <row r="2831" spans="1:15" x14ac:dyDescent="0.3">
      <c r="A2831" s="10">
        <v>46082</v>
      </c>
      <c r="B2831" s="9" t="s">
        <v>14</v>
      </c>
      <c r="C2831" t="s">
        <v>285</v>
      </c>
      <c r="D2831" s="9">
        <v>19698</v>
      </c>
      <c r="E2831" s="5" t="s">
        <v>456</v>
      </c>
      <c r="F2831" t="s">
        <v>331</v>
      </c>
      <c r="G2831">
        <v>388</v>
      </c>
      <c r="H2831">
        <v>142</v>
      </c>
      <c r="I2831" s="8">
        <f t="shared" si="248"/>
        <v>0.36597938144329895</v>
      </c>
      <c r="J2831" s="17">
        <v>0.7</v>
      </c>
      <c r="K2831" s="12">
        <v>13.75</v>
      </c>
      <c r="L2831" s="2">
        <v>246</v>
      </c>
      <c r="M2831" s="15">
        <f t="shared" si="249"/>
        <v>3382.5</v>
      </c>
      <c r="N2831" t="str">
        <f t="shared" si="246"/>
        <v>MG</v>
      </c>
      <c r="O2831" t="str">
        <f t="shared" si="247"/>
        <v>Uberlândia</v>
      </c>
    </row>
    <row r="2832" spans="1:15" x14ac:dyDescent="0.3">
      <c r="A2832" s="10">
        <v>46082</v>
      </c>
      <c r="B2832" s="9" t="s">
        <v>15</v>
      </c>
      <c r="C2832" t="s">
        <v>319</v>
      </c>
      <c r="D2832" s="9">
        <v>19506</v>
      </c>
      <c r="E2832" s="5" t="s">
        <v>457</v>
      </c>
      <c r="F2832" t="s">
        <v>220</v>
      </c>
      <c r="G2832">
        <v>2705</v>
      </c>
      <c r="H2832">
        <v>937</v>
      </c>
      <c r="I2832" s="8">
        <f t="shared" si="248"/>
        <v>0.34639556377079483</v>
      </c>
      <c r="J2832" s="17">
        <v>0.7</v>
      </c>
      <c r="K2832" s="12">
        <v>13.75</v>
      </c>
      <c r="L2832" s="2">
        <v>1768</v>
      </c>
      <c r="M2832" s="15">
        <f t="shared" si="249"/>
        <v>24310</v>
      </c>
      <c r="N2832" t="str">
        <f t="shared" si="246"/>
        <v>RJ</v>
      </c>
      <c r="O2832" t="str">
        <f t="shared" si="247"/>
        <v>Rio de Janeiro</v>
      </c>
    </row>
    <row r="2833" spans="1:15" x14ac:dyDescent="0.3">
      <c r="A2833" s="10">
        <v>46082</v>
      </c>
      <c r="B2833" s="9" t="s">
        <v>7</v>
      </c>
      <c r="C2833" t="s">
        <v>8</v>
      </c>
      <c r="D2833" s="9">
        <v>19700</v>
      </c>
      <c r="E2833" s="5" t="s">
        <v>458</v>
      </c>
      <c r="F2833" t="s">
        <v>9</v>
      </c>
      <c r="G2833">
        <v>1670</v>
      </c>
      <c r="H2833">
        <v>611</v>
      </c>
      <c r="I2833" s="8">
        <f t="shared" si="248"/>
        <v>0.3658682634730539</v>
      </c>
      <c r="J2833" s="17">
        <v>0.7</v>
      </c>
      <c r="K2833" s="12">
        <v>13.75</v>
      </c>
      <c r="L2833" s="2">
        <v>1059</v>
      </c>
      <c r="M2833" s="15">
        <f t="shared" si="249"/>
        <v>14561.25</v>
      </c>
      <c r="N2833" t="str">
        <f t="shared" si="246"/>
        <v>GO</v>
      </c>
      <c r="O2833" t="str">
        <f t="shared" si="247"/>
        <v>Anápolis</v>
      </c>
    </row>
    <row r="2834" spans="1:15" x14ac:dyDescent="0.3">
      <c r="A2834" s="10">
        <v>46082</v>
      </c>
      <c r="B2834" s="9" t="s">
        <v>46</v>
      </c>
      <c r="C2834" t="s">
        <v>47</v>
      </c>
      <c r="D2834" s="9">
        <v>19722</v>
      </c>
      <c r="E2834" s="5" t="s">
        <v>460</v>
      </c>
      <c r="F2834" t="s">
        <v>52</v>
      </c>
      <c r="G2834">
        <v>1444</v>
      </c>
      <c r="H2834">
        <v>427</v>
      </c>
      <c r="I2834" s="8">
        <f t="shared" si="248"/>
        <v>0.29570637119113574</v>
      </c>
      <c r="J2834" s="17">
        <v>0.7</v>
      </c>
      <c r="K2834" s="12">
        <v>13.75</v>
      </c>
      <c r="L2834" s="2">
        <v>1017</v>
      </c>
      <c r="M2834" s="15">
        <f t="shared" si="249"/>
        <v>13983.75</v>
      </c>
      <c r="N2834" t="str">
        <f t="shared" si="246"/>
        <v>DF</v>
      </c>
      <c r="O2834" t="str">
        <f t="shared" si="247"/>
        <v>Brasília</v>
      </c>
    </row>
    <row r="2835" spans="1:15" x14ac:dyDescent="0.3">
      <c r="A2835" s="10">
        <v>46082</v>
      </c>
      <c r="B2835" s="9" t="s">
        <v>3</v>
      </c>
      <c r="C2835" t="s">
        <v>248</v>
      </c>
      <c r="D2835" s="9">
        <v>19716</v>
      </c>
      <c r="E2835" s="5" t="s">
        <v>461</v>
      </c>
      <c r="F2835" t="s">
        <v>262</v>
      </c>
      <c r="G2835">
        <v>1741</v>
      </c>
      <c r="H2835">
        <v>745</v>
      </c>
      <c r="I2835" s="8">
        <f t="shared" si="248"/>
        <v>0.42791499138426192</v>
      </c>
      <c r="J2835" s="17">
        <v>0.7</v>
      </c>
      <c r="K2835" s="12">
        <v>13.75</v>
      </c>
      <c r="L2835" s="2">
        <v>996</v>
      </c>
      <c r="M2835" s="15">
        <f t="shared" si="249"/>
        <v>13695</v>
      </c>
      <c r="N2835" t="str">
        <f t="shared" si="246"/>
        <v>SP</v>
      </c>
      <c r="O2835" t="str">
        <f t="shared" si="247"/>
        <v>São Paulo</v>
      </c>
    </row>
    <row r="2836" spans="1:15" x14ac:dyDescent="0.3">
      <c r="A2836" s="10">
        <v>46082</v>
      </c>
      <c r="B2836" s="9" t="s">
        <v>3</v>
      </c>
      <c r="C2836" t="s">
        <v>17</v>
      </c>
      <c r="D2836" s="9">
        <v>19715</v>
      </c>
      <c r="E2836" s="5" t="s">
        <v>462</v>
      </c>
      <c r="F2836" t="s">
        <v>18</v>
      </c>
      <c r="G2836">
        <v>1416</v>
      </c>
      <c r="H2836">
        <v>790</v>
      </c>
      <c r="I2836" s="8">
        <f t="shared" si="248"/>
        <v>0.55790960451977401</v>
      </c>
      <c r="J2836" s="17">
        <v>0.7</v>
      </c>
      <c r="K2836" s="12">
        <v>13.75</v>
      </c>
      <c r="L2836" s="2">
        <v>626</v>
      </c>
      <c r="M2836" s="15">
        <f t="shared" si="249"/>
        <v>8607.5</v>
      </c>
      <c r="N2836" t="str">
        <f t="shared" si="246"/>
        <v>SP</v>
      </c>
      <c r="O2836" t="str">
        <f t="shared" si="247"/>
        <v>Atibaia</v>
      </c>
    </row>
    <row r="2837" spans="1:15" x14ac:dyDescent="0.3">
      <c r="A2837" s="10">
        <v>46082</v>
      </c>
      <c r="B2837" s="9" t="s">
        <v>21</v>
      </c>
      <c r="C2837" t="s">
        <v>324</v>
      </c>
      <c r="D2837" s="9">
        <v>19736</v>
      </c>
      <c r="E2837" s="5" t="s">
        <v>464</v>
      </c>
      <c r="F2837" t="s">
        <v>295</v>
      </c>
      <c r="G2837">
        <v>3620</v>
      </c>
      <c r="H2837">
        <v>1364</v>
      </c>
      <c r="I2837" s="8">
        <f t="shared" si="248"/>
        <v>0.37679558011049724</v>
      </c>
      <c r="J2837" s="17">
        <v>0.7</v>
      </c>
      <c r="K2837" s="12">
        <v>13.75</v>
      </c>
      <c r="L2837" s="2">
        <v>2256</v>
      </c>
      <c r="M2837" s="15">
        <f t="shared" si="249"/>
        <v>31020</v>
      </c>
      <c r="N2837" t="str">
        <f t="shared" si="246"/>
        <v>BA</v>
      </c>
      <c r="O2837" t="str">
        <f t="shared" si="247"/>
        <v>Vitória da Conquista</v>
      </c>
    </row>
    <row r="2838" spans="1:15" x14ac:dyDescent="0.3">
      <c r="A2838" s="10">
        <v>46082</v>
      </c>
      <c r="B2838" s="9" t="s">
        <v>21</v>
      </c>
      <c r="C2838" t="s">
        <v>228</v>
      </c>
      <c r="D2838" s="9">
        <v>19740</v>
      </c>
      <c r="E2838" s="5" t="s">
        <v>465</v>
      </c>
      <c r="F2838" t="s">
        <v>229</v>
      </c>
      <c r="G2838">
        <v>2131</v>
      </c>
      <c r="H2838">
        <v>741</v>
      </c>
      <c r="I2838" s="8">
        <f t="shared" si="248"/>
        <v>0.34772407320506804</v>
      </c>
      <c r="J2838" s="17">
        <v>0.7</v>
      </c>
      <c r="K2838" s="12">
        <v>13.75</v>
      </c>
      <c r="L2838" s="2">
        <v>1390</v>
      </c>
      <c r="M2838" s="15">
        <f t="shared" si="249"/>
        <v>19112.5</v>
      </c>
      <c r="N2838" t="str">
        <f t="shared" si="246"/>
        <v>BA</v>
      </c>
      <c r="O2838" t="str">
        <f t="shared" si="247"/>
        <v>Salvador</v>
      </c>
    </row>
    <row r="2839" spans="1:15" x14ac:dyDescent="0.3">
      <c r="A2839" s="10">
        <v>46082</v>
      </c>
      <c r="B2839" s="9" t="s">
        <v>21</v>
      </c>
      <c r="C2839" t="s">
        <v>317</v>
      </c>
      <c r="D2839" s="9">
        <v>19738</v>
      </c>
      <c r="E2839" s="5" t="s">
        <v>466</v>
      </c>
      <c r="F2839" t="s">
        <v>118</v>
      </c>
      <c r="G2839">
        <v>4177</v>
      </c>
      <c r="H2839">
        <v>2097</v>
      </c>
      <c r="I2839" s="8">
        <f t="shared" si="248"/>
        <v>0.50203495331577686</v>
      </c>
      <c r="J2839" s="17">
        <v>0.7</v>
      </c>
      <c r="K2839" s="12">
        <v>13.75</v>
      </c>
      <c r="L2839" s="2">
        <v>2080</v>
      </c>
      <c r="M2839" s="15">
        <f t="shared" si="249"/>
        <v>28600</v>
      </c>
      <c r="N2839" t="str">
        <f t="shared" si="246"/>
        <v>BA</v>
      </c>
      <c r="O2839" t="str">
        <f t="shared" si="247"/>
        <v>Lauro de Freitas</v>
      </c>
    </row>
    <row r="2840" spans="1:15" x14ac:dyDescent="0.3">
      <c r="A2840" s="10">
        <v>46082</v>
      </c>
      <c r="B2840" s="9" t="s">
        <v>129</v>
      </c>
      <c r="C2840" t="s">
        <v>130</v>
      </c>
      <c r="D2840" s="9">
        <v>19742</v>
      </c>
      <c r="E2840" s="5" t="s">
        <v>467</v>
      </c>
      <c r="F2840" t="s">
        <v>131</v>
      </c>
      <c r="G2840">
        <v>1468</v>
      </c>
      <c r="H2840">
        <v>675</v>
      </c>
      <c r="I2840" s="8">
        <f t="shared" si="248"/>
        <v>0.4598092643051771</v>
      </c>
      <c r="J2840" s="17">
        <v>0.7</v>
      </c>
      <c r="K2840" s="12">
        <v>13.75</v>
      </c>
      <c r="L2840" s="2">
        <v>793</v>
      </c>
      <c r="M2840" s="15">
        <f t="shared" si="249"/>
        <v>10903.75</v>
      </c>
      <c r="N2840" t="str">
        <f t="shared" si="246"/>
        <v>AM</v>
      </c>
      <c r="O2840" t="str">
        <f t="shared" si="247"/>
        <v>Manaus</v>
      </c>
    </row>
    <row r="2841" spans="1:15" x14ac:dyDescent="0.3">
      <c r="A2841" s="10">
        <v>46082</v>
      </c>
      <c r="B2841" s="9" t="s">
        <v>129</v>
      </c>
      <c r="C2841" t="s">
        <v>130</v>
      </c>
      <c r="D2841" s="9">
        <v>19785</v>
      </c>
      <c r="E2841" s="5" t="s">
        <v>468</v>
      </c>
      <c r="F2841" t="s">
        <v>132</v>
      </c>
      <c r="G2841">
        <v>1655</v>
      </c>
      <c r="H2841">
        <v>775</v>
      </c>
      <c r="I2841" s="8">
        <f t="shared" si="248"/>
        <v>0.46827794561933533</v>
      </c>
      <c r="J2841" s="17">
        <v>0.7</v>
      </c>
      <c r="K2841" s="12">
        <v>13.75</v>
      </c>
      <c r="L2841" s="2">
        <v>880</v>
      </c>
      <c r="M2841" s="15">
        <f t="shared" si="249"/>
        <v>12100</v>
      </c>
      <c r="N2841" t="str">
        <f t="shared" si="246"/>
        <v>AM</v>
      </c>
      <c r="O2841" t="str">
        <f t="shared" si="247"/>
        <v>Manaus</v>
      </c>
    </row>
    <row r="2842" spans="1:15" x14ac:dyDescent="0.3">
      <c r="A2842" s="10">
        <v>46082</v>
      </c>
      <c r="B2842" s="9" t="s">
        <v>129</v>
      </c>
      <c r="C2842" t="s">
        <v>130</v>
      </c>
      <c r="D2842" s="9">
        <v>19843</v>
      </c>
      <c r="E2842" s="5" t="s">
        <v>469</v>
      </c>
      <c r="F2842" t="s">
        <v>133</v>
      </c>
      <c r="G2842">
        <v>1418</v>
      </c>
      <c r="H2842">
        <v>647</v>
      </c>
      <c r="I2842" s="8">
        <f t="shared" si="248"/>
        <v>0.45627644569816644</v>
      </c>
      <c r="J2842" s="17">
        <v>0.7</v>
      </c>
      <c r="K2842" s="12">
        <v>13.75</v>
      </c>
      <c r="L2842" s="2">
        <v>771</v>
      </c>
      <c r="M2842" s="15">
        <f t="shared" si="249"/>
        <v>10601.25</v>
      </c>
      <c r="N2842" t="str">
        <f t="shared" si="246"/>
        <v>AM</v>
      </c>
      <c r="O2842" t="str">
        <f t="shared" si="247"/>
        <v>Manaus</v>
      </c>
    </row>
    <row r="2843" spans="1:15" x14ac:dyDescent="0.3">
      <c r="A2843" s="10">
        <v>46082</v>
      </c>
      <c r="B2843" s="9" t="s">
        <v>129</v>
      </c>
      <c r="C2843" t="s">
        <v>130</v>
      </c>
      <c r="D2843" s="9">
        <v>19879</v>
      </c>
      <c r="E2843" s="5" t="s">
        <v>470</v>
      </c>
      <c r="F2843" t="s">
        <v>134</v>
      </c>
      <c r="G2843">
        <v>1392</v>
      </c>
      <c r="H2843">
        <v>723</v>
      </c>
      <c r="I2843" s="8">
        <f t="shared" si="248"/>
        <v>0.5193965517241379</v>
      </c>
      <c r="J2843" s="17">
        <v>0.7</v>
      </c>
      <c r="K2843" s="12">
        <v>13.75</v>
      </c>
      <c r="L2843" s="2">
        <v>669</v>
      </c>
      <c r="M2843" s="15">
        <f t="shared" si="249"/>
        <v>9198.75</v>
      </c>
      <c r="N2843" t="str">
        <f t="shared" si="246"/>
        <v>AM</v>
      </c>
      <c r="O2843" t="str">
        <f t="shared" si="247"/>
        <v>Manaus</v>
      </c>
    </row>
    <row r="2844" spans="1:15" x14ac:dyDescent="0.3">
      <c r="A2844" s="10">
        <v>46082</v>
      </c>
      <c r="B2844" s="9" t="s">
        <v>89</v>
      </c>
      <c r="C2844" t="s">
        <v>313</v>
      </c>
      <c r="D2844" s="9">
        <v>19735</v>
      </c>
      <c r="E2844" s="5" t="s">
        <v>471</v>
      </c>
      <c r="F2844" t="s">
        <v>90</v>
      </c>
      <c r="G2844">
        <v>528</v>
      </c>
      <c r="H2844">
        <v>206</v>
      </c>
      <c r="I2844" s="8">
        <f t="shared" si="248"/>
        <v>0.39015151515151514</v>
      </c>
      <c r="J2844" s="17">
        <v>0.7</v>
      </c>
      <c r="K2844" s="12">
        <v>13.75</v>
      </c>
      <c r="L2844" s="2">
        <v>322</v>
      </c>
      <c r="M2844" s="15">
        <f t="shared" si="249"/>
        <v>4427.5</v>
      </c>
      <c r="N2844" t="str">
        <f t="shared" si="246"/>
        <v>CE</v>
      </c>
      <c r="O2844" t="str">
        <f t="shared" si="247"/>
        <v>FORTALEZA</v>
      </c>
    </row>
    <row r="2845" spans="1:15" x14ac:dyDescent="0.3">
      <c r="A2845" s="10">
        <v>46082</v>
      </c>
      <c r="B2845" s="9" t="s">
        <v>89</v>
      </c>
      <c r="C2845" t="s">
        <v>313</v>
      </c>
      <c r="D2845" s="9">
        <v>19607</v>
      </c>
      <c r="E2845" s="5" t="s">
        <v>472</v>
      </c>
      <c r="F2845" t="s">
        <v>91</v>
      </c>
      <c r="G2845">
        <v>1930</v>
      </c>
      <c r="H2845">
        <v>697</v>
      </c>
      <c r="I2845" s="8">
        <f t="shared" si="248"/>
        <v>0.36113989637305699</v>
      </c>
      <c r="J2845" s="17">
        <v>0.7</v>
      </c>
      <c r="K2845" s="12">
        <v>13.75</v>
      </c>
      <c r="L2845" s="2">
        <v>1233</v>
      </c>
      <c r="M2845" s="15">
        <f t="shared" si="249"/>
        <v>16953.75</v>
      </c>
      <c r="N2845" t="str">
        <f t="shared" si="246"/>
        <v>CE</v>
      </c>
      <c r="O2845" t="str">
        <f t="shared" si="247"/>
        <v>FORTALEZA</v>
      </c>
    </row>
    <row r="2846" spans="1:15" x14ac:dyDescent="0.3">
      <c r="A2846" s="10">
        <v>46082</v>
      </c>
      <c r="B2846" s="9" t="s">
        <v>89</v>
      </c>
      <c r="C2846" t="s">
        <v>313</v>
      </c>
      <c r="D2846" s="9">
        <v>19642</v>
      </c>
      <c r="E2846" s="5" t="s">
        <v>473</v>
      </c>
      <c r="F2846" t="s">
        <v>92</v>
      </c>
      <c r="G2846">
        <v>1703</v>
      </c>
      <c r="H2846">
        <v>684</v>
      </c>
      <c r="I2846" s="8">
        <f t="shared" si="248"/>
        <v>0.40164415736934822</v>
      </c>
      <c r="J2846" s="17">
        <v>0.7</v>
      </c>
      <c r="K2846" s="12">
        <v>13.75</v>
      </c>
      <c r="L2846" s="2">
        <v>1019</v>
      </c>
      <c r="M2846" s="15">
        <f t="shared" si="249"/>
        <v>14011.25</v>
      </c>
      <c r="N2846" t="str">
        <f t="shared" si="246"/>
        <v>CE</v>
      </c>
      <c r="O2846" t="str">
        <f t="shared" si="247"/>
        <v>FORTALEZA</v>
      </c>
    </row>
    <row r="2847" spans="1:15" x14ac:dyDescent="0.3">
      <c r="A2847" s="10">
        <v>46082</v>
      </c>
      <c r="B2847" s="9" t="s">
        <v>89</v>
      </c>
      <c r="C2847" t="s">
        <v>313</v>
      </c>
      <c r="D2847" s="9">
        <v>19725</v>
      </c>
      <c r="E2847" s="5" t="s">
        <v>474</v>
      </c>
      <c r="F2847" t="s">
        <v>93</v>
      </c>
      <c r="G2847">
        <v>1658</v>
      </c>
      <c r="H2847">
        <v>746</v>
      </c>
      <c r="I2847" s="8">
        <f t="shared" si="248"/>
        <v>0.44993968636911941</v>
      </c>
      <c r="J2847" s="17">
        <v>0.7</v>
      </c>
      <c r="K2847" s="12">
        <v>13.75</v>
      </c>
      <c r="L2847" s="2">
        <v>912</v>
      </c>
      <c r="M2847" s="15">
        <f t="shared" si="249"/>
        <v>12540</v>
      </c>
      <c r="N2847" t="str">
        <f t="shared" si="246"/>
        <v>CE</v>
      </c>
      <c r="O2847" t="str">
        <f t="shared" si="247"/>
        <v>FORTALEZA</v>
      </c>
    </row>
    <row r="2848" spans="1:15" x14ac:dyDescent="0.3">
      <c r="A2848" s="10">
        <v>46082</v>
      </c>
      <c r="B2848" s="9" t="s">
        <v>89</v>
      </c>
      <c r="C2848" t="s">
        <v>313</v>
      </c>
      <c r="D2848" s="9">
        <v>19902</v>
      </c>
      <c r="E2848" s="5" t="s">
        <v>475</v>
      </c>
      <c r="F2848" t="s">
        <v>94</v>
      </c>
      <c r="G2848">
        <v>2068</v>
      </c>
      <c r="H2848">
        <v>954</v>
      </c>
      <c r="I2848" s="8">
        <f t="shared" si="248"/>
        <v>0.46131528046421666</v>
      </c>
      <c r="J2848" s="17">
        <v>0.7</v>
      </c>
      <c r="K2848" s="12">
        <v>13.75</v>
      </c>
      <c r="L2848" s="2">
        <v>1114</v>
      </c>
      <c r="M2848" s="15">
        <f t="shared" si="249"/>
        <v>15317.5</v>
      </c>
      <c r="N2848" t="str">
        <f t="shared" si="246"/>
        <v>CE</v>
      </c>
      <c r="O2848" t="str">
        <f t="shared" si="247"/>
        <v>FORTALEZA</v>
      </c>
    </row>
    <row r="2849" spans="1:15" x14ac:dyDescent="0.3">
      <c r="A2849" s="10">
        <v>46082</v>
      </c>
      <c r="B2849" s="9" t="s">
        <v>89</v>
      </c>
      <c r="C2849" t="s">
        <v>313</v>
      </c>
      <c r="D2849" s="9">
        <v>19903</v>
      </c>
      <c r="E2849" s="5" t="s">
        <v>476</v>
      </c>
      <c r="F2849" t="s">
        <v>95</v>
      </c>
      <c r="G2849">
        <v>2244</v>
      </c>
      <c r="H2849">
        <v>1368</v>
      </c>
      <c r="I2849" s="8">
        <f t="shared" si="248"/>
        <v>0.60962566844919786</v>
      </c>
      <c r="J2849" s="17">
        <v>0.7</v>
      </c>
      <c r="K2849" s="12">
        <v>13.75</v>
      </c>
      <c r="L2849" s="2">
        <v>876</v>
      </c>
      <c r="M2849" s="15">
        <f t="shared" si="249"/>
        <v>12045</v>
      </c>
      <c r="N2849" t="str">
        <f t="shared" si="246"/>
        <v>CE</v>
      </c>
      <c r="O2849" t="str">
        <f t="shared" si="247"/>
        <v>FORTALEZA</v>
      </c>
    </row>
    <row r="2850" spans="1:15" x14ac:dyDescent="0.3">
      <c r="A2850" s="10">
        <v>46082</v>
      </c>
      <c r="B2850" s="9" t="s">
        <v>82</v>
      </c>
      <c r="C2850" t="s">
        <v>135</v>
      </c>
      <c r="D2850" s="9">
        <v>19749</v>
      </c>
      <c r="E2850" s="5" t="s">
        <v>477</v>
      </c>
      <c r="F2850" t="s">
        <v>136</v>
      </c>
      <c r="G2850">
        <v>1463</v>
      </c>
      <c r="H2850">
        <v>536</v>
      </c>
      <c r="I2850" s="8">
        <f t="shared" si="248"/>
        <v>0.36637047163362951</v>
      </c>
      <c r="J2850" s="17">
        <v>0.7</v>
      </c>
      <c r="K2850" s="12">
        <v>13.75</v>
      </c>
      <c r="L2850" s="2">
        <v>927</v>
      </c>
      <c r="M2850" s="15">
        <f t="shared" si="249"/>
        <v>12746.25</v>
      </c>
      <c r="N2850" t="str">
        <f t="shared" si="246"/>
        <v>PR</v>
      </c>
      <c r="O2850" t="str">
        <f t="shared" si="247"/>
        <v>Maringá</v>
      </c>
    </row>
    <row r="2851" spans="1:15" x14ac:dyDescent="0.3">
      <c r="A2851" s="10">
        <v>46082</v>
      </c>
      <c r="B2851" s="9" t="s">
        <v>82</v>
      </c>
      <c r="C2851" t="s">
        <v>83</v>
      </c>
      <c r="D2851" s="9">
        <v>19545</v>
      </c>
      <c r="E2851" s="5" t="s">
        <v>478</v>
      </c>
      <c r="F2851" t="s">
        <v>84</v>
      </c>
      <c r="G2851">
        <v>1931</v>
      </c>
      <c r="H2851">
        <v>669</v>
      </c>
      <c r="I2851" s="8">
        <f t="shared" si="248"/>
        <v>0.34645261522527188</v>
      </c>
      <c r="J2851" s="17">
        <v>0.7</v>
      </c>
      <c r="K2851" s="12">
        <v>13.75</v>
      </c>
      <c r="L2851" s="2">
        <v>1262</v>
      </c>
      <c r="M2851" s="15">
        <f t="shared" si="249"/>
        <v>17352.5</v>
      </c>
      <c r="N2851" t="str">
        <f t="shared" si="246"/>
        <v>PR</v>
      </c>
      <c r="O2851" t="str">
        <f t="shared" si="247"/>
        <v>Curitiba</v>
      </c>
    </row>
    <row r="2852" spans="1:15" x14ac:dyDescent="0.3">
      <c r="A2852" s="10">
        <v>46082</v>
      </c>
      <c r="B2852" s="9" t="s">
        <v>82</v>
      </c>
      <c r="C2852" t="s">
        <v>83</v>
      </c>
      <c r="D2852" s="9">
        <v>19546</v>
      </c>
      <c r="E2852" s="5" t="s">
        <v>479</v>
      </c>
      <c r="F2852" t="s">
        <v>85</v>
      </c>
      <c r="G2852">
        <v>2016</v>
      </c>
      <c r="H2852">
        <v>791</v>
      </c>
      <c r="I2852" s="8">
        <f t="shared" si="248"/>
        <v>0.3923611111111111</v>
      </c>
      <c r="J2852" s="17">
        <v>0.7</v>
      </c>
      <c r="K2852" s="12">
        <v>13.75</v>
      </c>
      <c r="L2852" s="2">
        <v>1225</v>
      </c>
      <c r="M2852" s="15">
        <f t="shared" si="249"/>
        <v>16843.75</v>
      </c>
      <c r="N2852" t="str">
        <f t="shared" si="246"/>
        <v>PR</v>
      </c>
      <c r="O2852" t="str">
        <f t="shared" si="247"/>
        <v>Curitiba</v>
      </c>
    </row>
    <row r="2853" spans="1:15" x14ac:dyDescent="0.3">
      <c r="A2853" s="10">
        <v>46082</v>
      </c>
      <c r="B2853" s="9" t="s">
        <v>3</v>
      </c>
      <c r="C2853" t="s">
        <v>248</v>
      </c>
      <c r="D2853" s="9">
        <v>19753</v>
      </c>
      <c r="E2853" s="5" t="s">
        <v>483</v>
      </c>
      <c r="F2853" t="s">
        <v>265</v>
      </c>
      <c r="G2853">
        <v>2174</v>
      </c>
      <c r="H2853">
        <v>915</v>
      </c>
      <c r="I2853" s="8">
        <f t="shared" si="248"/>
        <v>0.42088316467341308</v>
      </c>
      <c r="J2853" s="17">
        <v>0.7</v>
      </c>
      <c r="K2853" s="12">
        <v>13.75</v>
      </c>
      <c r="L2853" s="2">
        <v>1259</v>
      </c>
      <c r="M2853" s="15">
        <f t="shared" si="249"/>
        <v>17311.25</v>
      </c>
      <c r="N2853" t="str">
        <f t="shared" si="246"/>
        <v>SP</v>
      </c>
      <c r="O2853" t="str">
        <f t="shared" si="247"/>
        <v>São Paulo</v>
      </c>
    </row>
    <row r="2854" spans="1:15" x14ac:dyDescent="0.3">
      <c r="A2854" s="10">
        <v>46082</v>
      </c>
      <c r="B2854" s="9" t="s">
        <v>7</v>
      </c>
      <c r="C2854" t="s">
        <v>99</v>
      </c>
      <c r="D2854" s="9">
        <v>19754</v>
      </c>
      <c r="E2854" s="5" t="s">
        <v>484</v>
      </c>
      <c r="F2854" t="s">
        <v>101</v>
      </c>
      <c r="G2854">
        <v>2841</v>
      </c>
      <c r="H2854">
        <v>1079</v>
      </c>
      <c r="I2854" s="8">
        <f t="shared" si="248"/>
        <v>0.37979584653291093</v>
      </c>
      <c r="J2854" s="17">
        <v>0.7</v>
      </c>
      <c r="K2854" s="12">
        <v>13.75</v>
      </c>
      <c r="L2854" s="2">
        <v>1762</v>
      </c>
      <c r="M2854" s="15">
        <f t="shared" si="249"/>
        <v>24227.5</v>
      </c>
      <c r="N2854" t="str">
        <f t="shared" si="246"/>
        <v>GO</v>
      </c>
      <c r="O2854" t="str">
        <f t="shared" si="247"/>
        <v>Goiânia</v>
      </c>
    </row>
    <row r="2855" spans="1:15" x14ac:dyDescent="0.3">
      <c r="A2855" s="10">
        <v>46082</v>
      </c>
      <c r="B2855" s="9" t="s">
        <v>195</v>
      </c>
      <c r="C2855" t="s">
        <v>196</v>
      </c>
      <c r="D2855" s="9">
        <v>19762</v>
      </c>
      <c r="E2855" s="5" t="s">
        <v>486</v>
      </c>
      <c r="F2855" t="s">
        <v>197</v>
      </c>
      <c r="G2855">
        <v>1388</v>
      </c>
      <c r="H2855">
        <v>695</v>
      </c>
      <c r="I2855" s="8">
        <f t="shared" si="248"/>
        <v>0.50072046109510082</v>
      </c>
      <c r="J2855" s="17">
        <v>0.7</v>
      </c>
      <c r="K2855" s="12">
        <v>13.75</v>
      </c>
      <c r="L2855" s="2">
        <v>693</v>
      </c>
      <c r="M2855" s="15">
        <f t="shared" si="249"/>
        <v>9528.75</v>
      </c>
      <c r="N2855" t="str">
        <f t="shared" si="246"/>
        <v>AC</v>
      </c>
      <c r="O2855" t="str">
        <f t="shared" si="247"/>
        <v>Rio Branco</v>
      </c>
    </row>
    <row r="2856" spans="1:15" x14ac:dyDescent="0.3">
      <c r="A2856" s="10">
        <v>46082</v>
      </c>
      <c r="B2856" s="9" t="s">
        <v>15</v>
      </c>
      <c r="C2856" t="s">
        <v>312</v>
      </c>
      <c r="D2856" s="9">
        <v>19687</v>
      </c>
      <c r="E2856" s="5" t="s">
        <v>488</v>
      </c>
      <c r="F2856" t="s">
        <v>88</v>
      </c>
      <c r="G2856">
        <v>1989</v>
      </c>
      <c r="H2856">
        <v>1573</v>
      </c>
      <c r="I2856" s="8">
        <f t="shared" si="248"/>
        <v>0.79084967320261434</v>
      </c>
      <c r="J2856" s="17">
        <v>0.7</v>
      </c>
      <c r="K2856" s="12">
        <v>13.75</v>
      </c>
      <c r="L2856" s="2">
        <v>416</v>
      </c>
      <c r="M2856" s="15">
        <f t="shared" si="249"/>
        <v>5720</v>
      </c>
      <c r="N2856" t="str">
        <f t="shared" si="246"/>
        <v>RJ</v>
      </c>
      <c r="O2856" t="str">
        <f t="shared" si="247"/>
        <v>Duque de Caxias</v>
      </c>
    </row>
    <row r="2857" spans="1:15" x14ac:dyDescent="0.3">
      <c r="A2857" s="10">
        <v>46082</v>
      </c>
      <c r="B2857" s="9" t="s">
        <v>21</v>
      </c>
      <c r="C2857" t="s">
        <v>181</v>
      </c>
      <c r="D2857" s="9">
        <v>19778</v>
      </c>
      <c r="E2857" s="5" t="s">
        <v>489</v>
      </c>
      <c r="F2857" t="s">
        <v>182</v>
      </c>
      <c r="G2857">
        <v>1376</v>
      </c>
      <c r="H2857">
        <v>865</v>
      </c>
      <c r="I2857" s="8">
        <f t="shared" si="248"/>
        <v>0.62863372093023251</v>
      </c>
      <c r="J2857" s="17">
        <v>0.7</v>
      </c>
      <c r="K2857" s="12">
        <v>13.75</v>
      </c>
      <c r="L2857" s="2">
        <v>511</v>
      </c>
      <c r="M2857" s="15">
        <f t="shared" si="249"/>
        <v>7026.25</v>
      </c>
      <c r="N2857" t="str">
        <f t="shared" si="246"/>
        <v>BA</v>
      </c>
      <c r="O2857" t="str">
        <f t="shared" si="247"/>
        <v>Porto Seguro</v>
      </c>
    </row>
    <row r="2858" spans="1:15" x14ac:dyDescent="0.3">
      <c r="A2858" s="10">
        <v>46082</v>
      </c>
      <c r="B2858" s="9" t="s">
        <v>40</v>
      </c>
      <c r="C2858" t="s">
        <v>41</v>
      </c>
      <c r="D2858" s="9">
        <v>19787</v>
      </c>
      <c r="E2858" s="5" t="s">
        <v>492</v>
      </c>
      <c r="F2858" t="s">
        <v>42</v>
      </c>
      <c r="G2858">
        <v>955</v>
      </c>
      <c r="H2858">
        <v>579</v>
      </c>
      <c r="I2858" s="8">
        <f t="shared" si="248"/>
        <v>0.60628272251308901</v>
      </c>
      <c r="J2858" s="17">
        <v>0.7</v>
      </c>
      <c r="K2858" s="12">
        <v>13.75</v>
      </c>
      <c r="L2858" s="2">
        <v>376</v>
      </c>
      <c r="M2858" s="15">
        <f t="shared" si="249"/>
        <v>5170</v>
      </c>
      <c r="N2858" t="str">
        <f t="shared" si="246"/>
        <v>RR</v>
      </c>
      <c r="O2858" t="str">
        <f t="shared" si="247"/>
        <v>Boa Vista</v>
      </c>
    </row>
    <row r="2859" spans="1:15" x14ac:dyDescent="0.3">
      <c r="A2859" s="10">
        <v>46082</v>
      </c>
      <c r="B2859" s="9" t="s">
        <v>71</v>
      </c>
      <c r="C2859" t="s">
        <v>175</v>
      </c>
      <c r="D2859" s="9">
        <v>19788</v>
      </c>
      <c r="E2859" s="5" t="s">
        <v>495</v>
      </c>
      <c r="F2859" t="s">
        <v>177</v>
      </c>
      <c r="G2859">
        <v>4504</v>
      </c>
      <c r="H2859">
        <v>1510</v>
      </c>
      <c r="I2859" s="8">
        <f t="shared" si="248"/>
        <v>0.33525754884547071</v>
      </c>
      <c r="J2859" s="17">
        <v>0.7</v>
      </c>
      <c r="K2859" s="12">
        <v>13.75</v>
      </c>
      <c r="L2859" s="2">
        <v>2994</v>
      </c>
      <c r="M2859" s="15">
        <f t="shared" si="249"/>
        <v>41167.5</v>
      </c>
      <c r="N2859" t="str">
        <f t="shared" si="246"/>
        <v>RS</v>
      </c>
      <c r="O2859" t="str">
        <f t="shared" si="247"/>
        <v>Porto Alegre</v>
      </c>
    </row>
    <row r="2860" spans="1:15" x14ac:dyDescent="0.3">
      <c r="A2860" s="10">
        <v>46082</v>
      </c>
      <c r="B2860" s="9" t="s">
        <v>21</v>
      </c>
      <c r="C2860" t="s">
        <v>228</v>
      </c>
      <c r="D2860" s="9">
        <v>19790</v>
      </c>
      <c r="E2860" s="5" t="s">
        <v>497</v>
      </c>
      <c r="F2860" t="s">
        <v>232</v>
      </c>
      <c r="G2860">
        <v>3008</v>
      </c>
      <c r="H2860">
        <v>1504</v>
      </c>
      <c r="I2860" s="8">
        <f t="shared" si="248"/>
        <v>0.5</v>
      </c>
      <c r="J2860" s="17">
        <v>0.7</v>
      </c>
      <c r="K2860" s="12">
        <v>13.75</v>
      </c>
      <c r="L2860" s="2">
        <v>1504</v>
      </c>
      <c r="M2860" s="15">
        <f t="shared" si="249"/>
        <v>20680</v>
      </c>
      <c r="N2860" t="str">
        <f t="shared" si="246"/>
        <v>BA</v>
      </c>
      <c r="O2860" t="str">
        <f t="shared" si="247"/>
        <v>Salvador</v>
      </c>
    </row>
    <row r="2861" spans="1:15" x14ac:dyDescent="0.3">
      <c r="A2861" s="10">
        <v>46082</v>
      </c>
      <c r="B2861" s="9" t="s">
        <v>71</v>
      </c>
      <c r="C2861" t="s">
        <v>175</v>
      </c>
      <c r="D2861" s="9">
        <v>19842</v>
      </c>
      <c r="E2861" s="5" t="s">
        <v>498</v>
      </c>
      <c r="F2861" t="s">
        <v>178</v>
      </c>
      <c r="G2861">
        <v>3424</v>
      </c>
      <c r="H2861">
        <v>1148</v>
      </c>
      <c r="I2861" s="8">
        <f t="shared" si="248"/>
        <v>0.33528037383177572</v>
      </c>
      <c r="J2861" s="17">
        <v>0.7</v>
      </c>
      <c r="K2861" s="12">
        <v>13.75</v>
      </c>
      <c r="L2861" s="2">
        <v>2276</v>
      </c>
      <c r="M2861" s="15">
        <f t="shared" si="249"/>
        <v>31295</v>
      </c>
      <c r="N2861" t="str">
        <f t="shared" si="246"/>
        <v>RS</v>
      </c>
      <c r="O2861" t="str">
        <f t="shared" si="247"/>
        <v>Porto Alegre</v>
      </c>
    </row>
    <row r="2862" spans="1:15" x14ac:dyDescent="0.3">
      <c r="A2862" s="10">
        <v>46082</v>
      </c>
      <c r="B2862" s="9" t="s">
        <v>59</v>
      </c>
      <c r="C2862" t="s">
        <v>289</v>
      </c>
      <c r="D2862" s="9">
        <v>19876</v>
      </c>
      <c r="E2862" s="5" t="s">
        <v>502</v>
      </c>
      <c r="F2862" t="s">
        <v>291</v>
      </c>
      <c r="G2862">
        <v>2420</v>
      </c>
      <c r="H2862">
        <v>767</v>
      </c>
      <c r="I2862" s="8">
        <f t="shared" si="248"/>
        <v>0.31694214876033056</v>
      </c>
      <c r="J2862" s="17">
        <v>0.7</v>
      </c>
      <c r="K2862" s="12">
        <v>13.75</v>
      </c>
      <c r="L2862" s="2">
        <v>1653</v>
      </c>
      <c r="M2862" s="15">
        <f t="shared" si="249"/>
        <v>22728.75</v>
      </c>
      <c r="N2862" t="str">
        <f t="shared" si="246"/>
        <v>ES</v>
      </c>
      <c r="O2862" t="str">
        <f t="shared" si="247"/>
        <v>Vila Velha</v>
      </c>
    </row>
    <row r="2863" spans="1:15" x14ac:dyDescent="0.3">
      <c r="A2863" s="10">
        <v>46082</v>
      </c>
      <c r="B2863" s="9" t="s">
        <v>71</v>
      </c>
      <c r="C2863" t="s">
        <v>175</v>
      </c>
      <c r="D2863" s="9">
        <v>19874</v>
      </c>
      <c r="E2863" s="5" t="s">
        <v>504</v>
      </c>
      <c r="F2863" t="s">
        <v>179</v>
      </c>
      <c r="G2863">
        <v>3733</v>
      </c>
      <c r="H2863">
        <v>1381</v>
      </c>
      <c r="I2863" s="8">
        <f t="shared" si="248"/>
        <v>0.36994374497723009</v>
      </c>
      <c r="J2863" s="17">
        <v>0.7</v>
      </c>
      <c r="K2863" s="12">
        <v>13.75</v>
      </c>
      <c r="L2863" s="2">
        <v>2352</v>
      </c>
      <c r="M2863" s="15">
        <f t="shared" si="249"/>
        <v>32340</v>
      </c>
      <c r="N2863" t="str">
        <f t="shared" si="246"/>
        <v>RS</v>
      </c>
      <c r="O2863" t="str">
        <f t="shared" si="247"/>
        <v>Porto Alegre</v>
      </c>
    </row>
    <row r="2864" spans="1:15" x14ac:dyDescent="0.3">
      <c r="A2864" s="10">
        <v>46082</v>
      </c>
      <c r="B2864" s="9" t="s">
        <v>3</v>
      </c>
      <c r="C2864" t="s">
        <v>165</v>
      </c>
      <c r="D2864" s="9">
        <v>19761</v>
      </c>
      <c r="E2864" s="5" t="s">
        <v>505</v>
      </c>
      <c r="F2864" t="s">
        <v>166</v>
      </c>
      <c r="G2864">
        <v>1352</v>
      </c>
      <c r="H2864">
        <v>514</v>
      </c>
      <c r="I2864" s="8">
        <f t="shared" si="248"/>
        <v>0.38017751479289941</v>
      </c>
      <c r="J2864" s="17">
        <v>0.7</v>
      </c>
      <c r="K2864" s="12">
        <v>13.75</v>
      </c>
      <c r="L2864" s="2">
        <v>838</v>
      </c>
      <c r="M2864" s="15">
        <f t="shared" si="249"/>
        <v>11522.5</v>
      </c>
      <c r="N2864" t="str">
        <f t="shared" si="246"/>
        <v>SP</v>
      </c>
      <c r="O2864" t="str">
        <f t="shared" si="247"/>
        <v>Paulínia</v>
      </c>
    </row>
    <row r="2865" spans="1:15" x14ac:dyDescent="0.3">
      <c r="A2865" s="10">
        <v>46082</v>
      </c>
      <c r="B2865" s="9" t="s">
        <v>46</v>
      </c>
      <c r="C2865" t="s">
        <v>47</v>
      </c>
      <c r="D2865" s="9">
        <v>19881</v>
      </c>
      <c r="E2865" s="5" t="s">
        <v>507</v>
      </c>
      <c r="F2865" t="s">
        <v>54</v>
      </c>
      <c r="G2865">
        <v>3083</v>
      </c>
      <c r="H2865">
        <v>1182</v>
      </c>
      <c r="I2865" s="8">
        <f t="shared" si="248"/>
        <v>0.38339279922153746</v>
      </c>
      <c r="J2865" s="17">
        <v>0.7</v>
      </c>
      <c r="K2865" s="12">
        <v>13.75</v>
      </c>
      <c r="L2865" s="2">
        <v>1901</v>
      </c>
      <c r="M2865" s="15">
        <f t="shared" si="249"/>
        <v>26138.75</v>
      </c>
      <c r="N2865" t="str">
        <f t="shared" si="246"/>
        <v>DF</v>
      </c>
      <c r="O2865" t="str">
        <f t="shared" si="247"/>
        <v>Brasília</v>
      </c>
    </row>
    <row r="2866" spans="1:15" x14ac:dyDescent="0.3">
      <c r="A2866" s="10">
        <v>46082</v>
      </c>
      <c r="B2866" s="9" t="s">
        <v>3</v>
      </c>
      <c r="C2866" t="s">
        <v>64</v>
      </c>
      <c r="D2866" s="9">
        <v>19696</v>
      </c>
      <c r="E2866" s="5" t="s">
        <v>508</v>
      </c>
      <c r="F2866" t="s">
        <v>65</v>
      </c>
      <c r="G2866">
        <v>1030</v>
      </c>
      <c r="H2866">
        <v>312</v>
      </c>
      <c r="I2866" s="8">
        <f t="shared" si="248"/>
        <v>0.30291262135922331</v>
      </c>
      <c r="J2866" s="17">
        <v>0.7</v>
      </c>
      <c r="K2866" s="12">
        <v>13.75</v>
      </c>
      <c r="L2866" s="2">
        <v>718</v>
      </c>
      <c r="M2866" s="15">
        <f t="shared" si="249"/>
        <v>9872.5</v>
      </c>
      <c r="N2866" t="str">
        <f t="shared" si="246"/>
        <v>SP</v>
      </c>
      <c r="O2866" t="str">
        <f t="shared" si="247"/>
        <v>Campinas</v>
      </c>
    </row>
    <row r="2867" spans="1:15" x14ac:dyDescent="0.3">
      <c r="A2867" s="10">
        <v>46082</v>
      </c>
      <c r="B2867" s="9" t="s">
        <v>71</v>
      </c>
      <c r="C2867" t="s">
        <v>72</v>
      </c>
      <c r="D2867" s="9">
        <v>19883</v>
      </c>
      <c r="E2867" s="5" t="s">
        <v>509</v>
      </c>
      <c r="F2867" t="s">
        <v>73</v>
      </c>
      <c r="G2867">
        <v>1771</v>
      </c>
      <c r="H2867">
        <v>652</v>
      </c>
      <c r="I2867" s="8">
        <f t="shared" si="248"/>
        <v>0.36815358554488992</v>
      </c>
      <c r="J2867" s="17">
        <v>0.7</v>
      </c>
      <c r="K2867" s="12">
        <v>13.75</v>
      </c>
      <c r="L2867" s="2">
        <v>1119</v>
      </c>
      <c r="M2867" s="15">
        <f t="shared" si="249"/>
        <v>15386.25</v>
      </c>
      <c r="N2867" t="str">
        <f t="shared" si="246"/>
        <v>RS</v>
      </c>
      <c r="O2867" t="str">
        <f t="shared" si="247"/>
        <v>Canoas</v>
      </c>
    </row>
    <row r="2868" spans="1:15" x14ac:dyDescent="0.3">
      <c r="A2868" s="10">
        <v>46082</v>
      </c>
      <c r="B2868" s="9" t="s">
        <v>15</v>
      </c>
      <c r="C2868" t="s">
        <v>319</v>
      </c>
      <c r="D2868" s="9">
        <v>19514</v>
      </c>
      <c r="E2868" s="5" t="s">
        <v>510</v>
      </c>
      <c r="F2868" t="s">
        <v>221</v>
      </c>
      <c r="G2868">
        <v>3010</v>
      </c>
      <c r="H2868">
        <v>1025</v>
      </c>
      <c r="I2868" s="8">
        <f t="shared" si="248"/>
        <v>0.34053156146179403</v>
      </c>
      <c r="J2868" s="17">
        <v>0.7</v>
      </c>
      <c r="K2868" s="12">
        <v>13.75</v>
      </c>
      <c r="L2868" s="2">
        <v>1985</v>
      </c>
      <c r="M2868" s="15">
        <f t="shared" si="249"/>
        <v>27293.75</v>
      </c>
      <c r="N2868" t="str">
        <f t="shared" si="246"/>
        <v>RJ</v>
      </c>
      <c r="O2868" t="str">
        <f t="shared" si="247"/>
        <v>Rio de Janeiro</v>
      </c>
    </row>
    <row r="2869" spans="1:15" x14ac:dyDescent="0.3">
      <c r="A2869" s="10">
        <v>46082</v>
      </c>
      <c r="B2869" s="9" t="s">
        <v>15</v>
      </c>
      <c r="C2869" t="s">
        <v>319</v>
      </c>
      <c r="D2869" s="9">
        <v>19600</v>
      </c>
      <c r="E2869" s="5" t="s">
        <v>511</v>
      </c>
      <c r="F2869" t="s">
        <v>222</v>
      </c>
      <c r="G2869">
        <v>2133</v>
      </c>
      <c r="H2869">
        <v>847</v>
      </c>
      <c r="I2869" s="8">
        <f t="shared" si="248"/>
        <v>0.39709329582747305</v>
      </c>
      <c r="J2869" s="17">
        <v>0.7</v>
      </c>
      <c r="K2869" s="12">
        <v>13.75</v>
      </c>
      <c r="L2869" s="2">
        <v>1286</v>
      </c>
      <c r="M2869" s="15">
        <f t="shared" si="249"/>
        <v>17682.5</v>
      </c>
      <c r="N2869" t="str">
        <f t="shared" si="246"/>
        <v>RJ</v>
      </c>
      <c r="O2869" t="str">
        <f t="shared" si="247"/>
        <v>Rio de Janeiro</v>
      </c>
    </row>
    <row r="2870" spans="1:15" x14ac:dyDescent="0.3">
      <c r="A2870" s="10">
        <v>46082</v>
      </c>
      <c r="B2870" s="9" t="s">
        <v>78</v>
      </c>
      <c r="C2870" t="s">
        <v>277</v>
      </c>
      <c r="D2870" s="9">
        <v>19896</v>
      </c>
      <c r="E2870" s="5" t="s">
        <v>512</v>
      </c>
      <c r="F2870" t="s">
        <v>278</v>
      </c>
      <c r="G2870">
        <v>1379</v>
      </c>
      <c r="H2870">
        <v>600</v>
      </c>
      <c r="I2870" s="8">
        <f t="shared" si="248"/>
        <v>0.43509789702683105</v>
      </c>
      <c r="J2870" s="17">
        <v>0.7</v>
      </c>
      <c r="K2870" s="12">
        <v>13.75</v>
      </c>
      <c r="L2870" s="2">
        <v>779</v>
      </c>
      <c r="M2870" s="15">
        <f t="shared" si="249"/>
        <v>10711.25</v>
      </c>
      <c r="N2870" t="str">
        <f t="shared" si="246"/>
        <v>MT</v>
      </c>
      <c r="O2870" t="str">
        <f t="shared" si="247"/>
        <v>Sorriso</v>
      </c>
    </row>
    <row r="2871" spans="1:15" x14ac:dyDescent="0.3">
      <c r="A2871" s="10">
        <v>46082</v>
      </c>
      <c r="B2871" s="9" t="s">
        <v>14</v>
      </c>
      <c r="C2871" t="s">
        <v>287</v>
      </c>
      <c r="D2871" s="9">
        <v>19905</v>
      </c>
      <c r="E2871" s="5" t="s">
        <v>513</v>
      </c>
      <c r="F2871" t="s">
        <v>288</v>
      </c>
      <c r="G2871">
        <v>1124</v>
      </c>
      <c r="H2871">
        <v>506</v>
      </c>
      <c r="I2871" s="8">
        <f t="shared" si="248"/>
        <v>0.45017793594306049</v>
      </c>
      <c r="J2871" s="17">
        <v>0.7</v>
      </c>
      <c r="K2871" s="12">
        <v>13.75</v>
      </c>
      <c r="L2871" s="2">
        <v>618</v>
      </c>
      <c r="M2871" s="15">
        <f t="shared" si="249"/>
        <v>8497.5</v>
      </c>
      <c r="N2871" t="str">
        <f t="shared" si="246"/>
        <v>MG</v>
      </c>
      <c r="O2871" t="str">
        <f t="shared" si="247"/>
        <v>Varginha</v>
      </c>
    </row>
    <row r="2872" spans="1:15" x14ac:dyDescent="0.3">
      <c r="A2872" s="10">
        <v>46082</v>
      </c>
      <c r="B2872" s="9" t="s">
        <v>3</v>
      </c>
      <c r="C2872" t="s">
        <v>12</v>
      </c>
      <c r="D2872" s="9">
        <v>19901</v>
      </c>
      <c r="E2872" s="5" t="s">
        <v>514</v>
      </c>
      <c r="F2872" t="s">
        <v>13</v>
      </c>
      <c r="G2872">
        <v>734</v>
      </c>
      <c r="H2872">
        <v>200</v>
      </c>
      <c r="I2872" s="8">
        <f t="shared" si="248"/>
        <v>0.27247956403269757</v>
      </c>
      <c r="J2872" s="17">
        <v>0.7</v>
      </c>
      <c r="K2872" s="12">
        <v>13.75</v>
      </c>
      <c r="L2872" s="2">
        <v>534</v>
      </c>
      <c r="M2872" s="15">
        <f t="shared" si="249"/>
        <v>7342.5</v>
      </c>
      <c r="N2872" t="str">
        <f t="shared" si="246"/>
        <v>SP</v>
      </c>
      <c r="O2872" t="str">
        <f t="shared" si="247"/>
        <v>Araras</v>
      </c>
    </row>
    <row r="2873" spans="1:15" x14ac:dyDescent="0.3">
      <c r="A2873" s="10">
        <v>46082</v>
      </c>
      <c r="B2873" s="9" t="s">
        <v>14</v>
      </c>
      <c r="C2873" t="s">
        <v>137</v>
      </c>
      <c r="D2873" s="9">
        <v>19899</v>
      </c>
      <c r="E2873" s="5" t="s">
        <v>515</v>
      </c>
      <c r="F2873" t="s">
        <v>138</v>
      </c>
      <c r="G2873">
        <v>1400</v>
      </c>
      <c r="H2873">
        <v>636</v>
      </c>
      <c r="I2873" s="8">
        <f t="shared" si="248"/>
        <v>0.45428571428571429</v>
      </c>
      <c r="J2873" s="17">
        <v>0.7</v>
      </c>
      <c r="K2873" s="12">
        <v>13.75</v>
      </c>
      <c r="L2873" s="2">
        <v>764</v>
      </c>
      <c r="M2873" s="15">
        <f t="shared" si="249"/>
        <v>10505</v>
      </c>
      <c r="N2873" t="str">
        <f t="shared" si="246"/>
        <v>MG</v>
      </c>
      <c r="O2873" t="str">
        <f t="shared" si="247"/>
        <v>Montes Claros</v>
      </c>
    </row>
    <row r="2874" spans="1:15" x14ac:dyDescent="0.3">
      <c r="A2874" s="10">
        <v>46082</v>
      </c>
      <c r="B2874" s="9" t="s">
        <v>14</v>
      </c>
      <c r="C2874" t="s">
        <v>137</v>
      </c>
      <c r="D2874" s="9">
        <v>19796</v>
      </c>
      <c r="E2874" s="5" t="s">
        <v>516</v>
      </c>
      <c r="F2874" t="s">
        <v>139</v>
      </c>
      <c r="G2874">
        <v>2599</v>
      </c>
      <c r="H2874">
        <v>1334</v>
      </c>
      <c r="I2874" s="8">
        <f t="shared" si="248"/>
        <v>0.51327433628318586</v>
      </c>
      <c r="J2874" s="17">
        <v>0.7</v>
      </c>
      <c r="K2874" s="12">
        <v>13.75</v>
      </c>
      <c r="L2874" s="2">
        <v>1265</v>
      </c>
      <c r="M2874" s="15">
        <f t="shared" si="249"/>
        <v>17393.75</v>
      </c>
      <c r="N2874" t="str">
        <f t="shared" si="246"/>
        <v>MG</v>
      </c>
      <c r="O2874" t="str">
        <f t="shared" si="247"/>
        <v>Montes Claros</v>
      </c>
    </row>
    <row r="2875" spans="1:15" x14ac:dyDescent="0.3">
      <c r="A2875" s="10">
        <v>46082</v>
      </c>
      <c r="B2875" s="9" t="s">
        <v>15</v>
      </c>
      <c r="C2875" t="s">
        <v>319</v>
      </c>
      <c r="D2875" s="9">
        <v>19528</v>
      </c>
      <c r="E2875" s="5" t="s">
        <v>517</v>
      </c>
      <c r="F2875" t="s">
        <v>223</v>
      </c>
      <c r="G2875">
        <v>2571</v>
      </c>
      <c r="H2875">
        <v>798</v>
      </c>
      <c r="I2875" s="8">
        <f t="shared" si="248"/>
        <v>0.31038506417736289</v>
      </c>
      <c r="J2875" s="17">
        <v>0.7</v>
      </c>
      <c r="K2875" s="12">
        <v>13.75</v>
      </c>
      <c r="L2875" s="2">
        <v>1773</v>
      </c>
      <c r="M2875" s="15">
        <f t="shared" si="249"/>
        <v>24378.75</v>
      </c>
      <c r="N2875" t="str">
        <f t="shared" si="246"/>
        <v>RJ</v>
      </c>
      <c r="O2875" t="str">
        <f t="shared" si="247"/>
        <v>Rio de Janeiro</v>
      </c>
    </row>
    <row r="2876" spans="1:15" x14ac:dyDescent="0.3">
      <c r="A2876" s="10">
        <v>46082</v>
      </c>
      <c r="B2876" s="9" t="s">
        <v>6</v>
      </c>
      <c r="C2876" t="s">
        <v>158</v>
      </c>
      <c r="D2876" s="9">
        <v>19914</v>
      </c>
      <c r="E2876" s="5" t="s">
        <v>519</v>
      </c>
      <c r="F2876" t="s">
        <v>159</v>
      </c>
      <c r="G2876">
        <v>2544</v>
      </c>
      <c r="H2876">
        <v>1467</v>
      </c>
      <c r="I2876" s="8">
        <f t="shared" si="248"/>
        <v>0.57665094339622647</v>
      </c>
      <c r="J2876" s="17">
        <v>0.7</v>
      </c>
      <c r="K2876" s="12">
        <v>13.75</v>
      </c>
      <c r="L2876" s="2">
        <v>1077</v>
      </c>
      <c r="M2876" s="15">
        <f t="shared" si="249"/>
        <v>14808.75</v>
      </c>
      <c r="N2876" t="str">
        <f t="shared" si="246"/>
        <v>PA</v>
      </c>
      <c r="O2876" t="str">
        <f t="shared" si="247"/>
        <v>Parauapebas</v>
      </c>
    </row>
    <row r="2877" spans="1:15" x14ac:dyDescent="0.3">
      <c r="A2877" s="10">
        <v>46082</v>
      </c>
      <c r="B2877" s="9" t="s">
        <v>74</v>
      </c>
      <c r="C2877" t="s">
        <v>97</v>
      </c>
      <c r="D2877" s="9">
        <v>19911</v>
      </c>
      <c r="E2877" s="5" t="s">
        <v>522</v>
      </c>
      <c r="F2877" t="s">
        <v>98</v>
      </c>
      <c r="G2877">
        <v>2058</v>
      </c>
      <c r="H2877">
        <v>1214</v>
      </c>
      <c r="I2877" s="8">
        <f t="shared" si="248"/>
        <v>0.58989310009718177</v>
      </c>
      <c r="J2877" s="17">
        <v>0.7</v>
      </c>
      <c r="K2877" s="12">
        <v>13.75</v>
      </c>
      <c r="L2877" s="2">
        <v>844</v>
      </c>
      <c r="M2877" s="15">
        <f t="shared" si="249"/>
        <v>11605</v>
      </c>
      <c r="N2877" t="str">
        <f t="shared" si="246"/>
        <v>PE</v>
      </c>
      <c r="O2877" t="str">
        <f t="shared" si="247"/>
        <v>Garanhuns</v>
      </c>
    </row>
    <row r="2878" spans="1:15" x14ac:dyDescent="0.3">
      <c r="A2878" s="10">
        <v>46082</v>
      </c>
      <c r="B2878" s="9" t="s">
        <v>21</v>
      </c>
      <c r="C2878" t="s">
        <v>121</v>
      </c>
      <c r="D2878" s="9">
        <v>19910</v>
      </c>
      <c r="E2878" s="5" t="s">
        <v>524</v>
      </c>
      <c r="F2878" t="s">
        <v>122</v>
      </c>
      <c r="G2878">
        <v>1290</v>
      </c>
      <c r="H2878">
        <v>684</v>
      </c>
      <c r="I2878" s="8">
        <f t="shared" si="248"/>
        <v>0.53023255813953485</v>
      </c>
      <c r="J2878" s="17">
        <v>0.7</v>
      </c>
      <c r="K2878" s="12">
        <v>13.75</v>
      </c>
      <c r="L2878" s="2">
        <v>606</v>
      </c>
      <c r="M2878" s="15">
        <f t="shared" si="249"/>
        <v>8332.5</v>
      </c>
      <c r="N2878" t="str">
        <f t="shared" si="246"/>
        <v>BA</v>
      </c>
      <c r="O2878" t="str">
        <f t="shared" si="247"/>
        <v>Luís Eduardo Magalhães</v>
      </c>
    </row>
    <row r="2879" spans="1:15" x14ac:dyDescent="0.3">
      <c r="A2879" s="10">
        <v>46082</v>
      </c>
      <c r="B2879" s="9" t="s">
        <v>82</v>
      </c>
      <c r="C2879" t="s">
        <v>173</v>
      </c>
      <c r="D2879" s="9">
        <v>19926</v>
      </c>
      <c r="E2879" s="5" t="s">
        <v>525</v>
      </c>
      <c r="F2879" t="s">
        <v>174</v>
      </c>
      <c r="G2879">
        <v>1059</v>
      </c>
      <c r="H2879">
        <v>482</v>
      </c>
      <c r="I2879" s="8">
        <f t="shared" si="248"/>
        <v>0.45514636449480644</v>
      </c>
      <c r="J2879" s="17">
        <v>0.7</v>
      </c>
      <c r="K2879" s="12">
        <v>13.75</v>
      </c>
      <c r="L2879" s="2">
        <v>577</v>
      </c>
      <c r="M2879" s="15">
        <f t="shared" si="249"/>
        <v>7933.75</v>
      </c>
      <c r="N2879" t="str">
        <f t="shared" si="246"/>
        <v>PR</v>
      </c>
      <c r="O2879" t="str">
        <f t="shared" si="247"/>
        <v>Ponta Grossa</v>
      </c>
    </row>
    <row r="2880" spans="1:15" x14ac:dyDescent="0.3">
      <c r="A2880" s="10">
        <v>46082</v>
      </c>
      <c r="B2880" s="9" t="s">
        <v>15</v>
      </c>
      <c r="C2880" t="s">
        <v>319</v>
      </c>
      <c r="D2880" s="9">
        <v>19523</v>
      </c>
      <c r="E2880" s="5" t="s">
        <v>526</v>
      </c>
      <c r="F2880" t="s">
        <v>224</v>
      </c>
      <c r="G2880">
        <v>3057</v>
      </c>
      <c r="H2880">
        <v>925</v>
      </c>
      <c r="I2880" s="8">
        <f t="shared" si="248"/>
        <v>0.30258423290807984</v>
      </c>
      <c r="J2880" s="17">
        <v>0.7</v>
      </c>
      <c r="K2880" s="12">
        <v>13.75</v>
      </c>
      <c r="L2880" s="2">
        <v>2132</v>
      </c>
      <c r="M2880" s="15">
        <f t="shared" si="249"/>
        <v>29315</v>
      </c>
      <c r="N2880" t="str">
        <f t="shared" si="246"/>
        <v>RJ</v>
      </c>
      <c r="O2880" t="str">
        <f t="shared" si="247"/>
        <v>Rio de Janeiro</v>
      </c>
    </row>
    <row r="2881" spans="1:15" x14ac:dyDescent="0.3">
      <c r="A2881" s="10">
        <v>46082</v>
      </c>
      <c r="B2881" s="9" t="s">
        <v>15</v>
      </c>
      <c r="C2881" t="s">
        <v>319</v>
      </c>
      <c r="D2881" s="9">
        <v>19652</v>
      </c>
      <c r="E2881" s="5" t="s">
        <v>527</v>
      </c>
      <c r="F2881" t="s">
        <v>225</v>
      </c>
      <c r="G2881">
        <v>4682</v>
      </c>
      <c r="H2881">
        <v>1318</v>
      </c>
      <c r="I2881" s="8">
        <f t="shared" si="248"/>
        <v>0.2815036309269543</v>
      </c>
      <c r="J2881" s="17">
        <v>0.7</v>
      </c>
      <c r="K2881" s="12">
        <v>13.75</v>
      </c>
      <c r="L2881" s="2">
        <v>3364</v>
      </c>
      <c r="M2881" s="15">
        <f t="shared" si="249"/>
        <v>46255</v>
      </c>
      <c r="N2881" t="str">
        <f t="shared" si="246"/>
        <v>RJ</v>
      </c>
      <c r="O2881" t="str">
        <f t="shared" si="247"/>
        <v>Rio de Janeiro</v>
      </c>
    </row>
    <row r="2882" spans="1:15" x14ac:dyDescent="0.3">
      <c r="A2882" s="10">
        <v>46082</v>
      </c>
      <c r="B2882" s="9" t="s">
        <v>15</v>
      </c>
      <c r="C2882" t="s">
        <v>319</v>
      </c>
      <c r="D2882" s="9">
        <v>19529</v>
      </c>
      <c r="E2882" s="5" t="s">
        <v>528</v>
      </c>
      <c r="F2882" t="s">
        <v>226</v>
      </c>
      <c r="G2882">
        <v>5187</v>
      </c>
      <c r="H2882">
        <v>1668</v>
      </c>
      <c r="I2882" s="8">
        <f t="shared" si="248"/>
        <v>0.32157316367842681</v>
      </c>
      <c r="J2882" s="17">
        <v>0.7</v>
      </c>
      <c r="K2882" s="12">
        <v>13.75</v>
      </c>
      <c r="L2882" s="2">
        <v>3519</v>
      </c>
      <c r="M2882" s="15">
        <f t="shared" si="249"/>
        <v>48386.25</v>
      </c>
      <c r="N2882" t="str">
        <f t="shared" ref="N2882:N2945" si="250">B2882</f>
        <v>RJ</v>
      </c>
      <c r="O2882" t="str">
        <f t="shared" ref="O2882:O2945" si="251">C2882</f>
        <v>Rio de Janeiro</v>
      </c>
    </row>
    <row r="2883" spans="1:15" x14ac:dyDescent="0.3">
      <c r="A2883" s="10">
        <v>46082</v>
      </c>
      <c r="B2883" s="9" t="s">
        <v>3</v>
      </c>
      <c r="C2883" t="s">
        <v>248</v>
      </c>
      <c r="D2883" s="9">
        <v>19889</v>
      </c>
      <c r="E2883" s="5" t="s">
        <v>529</v>
      </c>
      <c r="F2883" t="s">
        <v>266</v>
      </c>
      <c r="G2883">
        <v>1533</v>
      </c>
      <c r="H2883">
        <v>522</v>
      </c>
      <c r="I2883" s="8">
        <f t="shared" ref="I2883:I2946" si="252">H2883/G2883</f>
        <v>0.3405088062622309</v>
      </c>
      <c r="J2883" s="17">
        <v>0.7</v>
      </c>
      <c r="K2883" s="12">
        <v>13.75</v>
      </c>
      <c r="L2883" s="2">
        <v>1011</v>
      </c>
      <c r="M2883" s="15">
        <f t="shared" ref="M2883:M2946" si="253">L2883*K2883</f>
        <v>13901.25</v>
      </c>
      <c r="N2883" t="str">
        <f t="shared" si="250"/>
        <v>SP</v>
      </c>
      <c r="O2883" t="str">
        <f t="shared" si="251"/>
        <v>São Paulo</v>
      </c>
    </row>
    <row r="2884" spans="1:15" x14ac:dyDescent="0.3">
      <c r="A2884" s="10">
        <v>46082</v>
      </c>
      <c r="B2884" s="9" t="s">
        <v>3</v>
      </c>
      <c r="C2884" t="s">
        <v>248</v>
      </c>
      <c r="D2884" s="9">
        <v>19888</v>
      </c>
      <c r="E2884" s="5" t="s">
        <v>530</v>
      </c>
      <c r="F2884" t="s">
        <v>267</v>
      </c>
      <c r="G2884">
        <v>1279</v>
      </c>
      <c r="H2884">
        <v>436</v>
      </c>
      <c r="I2884" s="8">
        <f t="shared" si="252"/>
        <v>0.3408913213448006</v>
      </c>
      <c r="J2884" s="17">
        <v>0.7</v>
      </c>
      <c r="K2884" s="12">
        <v>13.75</v>
      </c>
      <c r="L2884" s="2">
        <v>843</v>
      </c>
      <c r="M2884" s="15">
        <f t="shared" si="253"/>
        <v>11591.25</v>
      </c>
      <c r="N2884" t="str">
        <f t="shared" si="250"/>
        <v>SP</v>
      </c>
      <c r="O2884" t="str">
        <f t="shared" si="251"/>
        <v>São Paulo</v>
      </c>
    </row>
    <row r="2885" spans="1:15" x14ac:dyDescent="0.3">
      <c r="A2885" s="10">
        <v>46082</v>
      </c>
      <c r="B2885" s="9" t="s">
        <v>82</v>
      </c>
      <c r="C2885" t="s">
        <v>106</v>
      </c>
      <c r="D2885" s="9">
        <v>19927</v>
      </c>
      <c r="E2885" s="5" t="s">
        <v>531</v>
      </c>
      <c r="F2885" t="s">
        <v>107</v>
      </c>
      <c r="G2885">
        <v>693</v>
      </c>
      <c r="H2885">
        <v>222</v>
      </c>
      <c r="I2885" s="8">
        <f t="shared" si="252"/>
        <v>0.32034632034632032</v>
      </c>
      <c r="J2885" s="17">
        <v>0.7</v>
      </c>
      <c r="K2885" s="12">
        <v>13.75</v>
      </c>
      <c r="L2885" s="2">
        <v>471</v>
      </c>
      <c r="M2885" s="15">
        <f t="shared" si="253"/>
        <v>6476.25</v>
      </c>
      <c r="N2885" t="str">
        <f t="shared" si="250"/>
        <v>PR</v>
      </c>
      <c r="O2885" t="str">
        <f t="shared" si="251"/>
        <v>Guarapuava</v>
      </c>
    </row>
    <row r="2886" spans="1:15" x14ac:dyDescent="0.3">
      <c r="A2886" s="10">
        <v>46082</v>
      </c>
      <c r="B2886" s="9" t="s">
        <v>3</v>
      </c>
      <c r="C2886" t="s">
        <v>44</v>
      </c>
      <c r="D2886" s="9">
        <v>19930</v>
      </c>
      <c r="E2886" s="5" t="s">
        <v>533</v>
      </c>
      <c r="F2886" t="s">
        <v>45</v>
      </c>
      <c r="G2886">
        <v>2224</v>
      </c>
      <c r="H2886">
        <v>1092</v>
      </c>
      <c r="I2886" s="8">
        <f t="shared" si="252"/>
        <v>0.49100719424460432</v>
      </c>
      <c r="J2886" s="17">
        <v>0.7</v>
      </c>
      <c r="K2886" s="12">
        <v>13.75</v>
      </c>
      <c r="L2886" s="2">
        <v>1132</v>
      </c>
      <c r="M2886" s="15">
        <f t="shared" si="253"/>
        <v>15565</v>
      </c>
      <c r="N2886" t="str">
        <f t="shared" si="250"/>
        <v>SP</v>
      </c>
      <c r="O2886" t="str">
        <f t="shared" si="251"/>
        <v>Botucatu</v>
      </c>
    </row>
    <row r="2887" spans="1:15" x14ac:dyDescent="0.3">
      <c r="A2887" s="10">
        <v>46082</v>
      </c>
      <c r="B2887" s="9" t="s">
        <v>15</v>
      </c>
      <c r="C2887" t="s">
        <v>319</v>
      </c>
      <c r="D2887" s="9">
        <v>19609</v>
      </c>
      <c r="E2887" s="5" t="s">
        <v>535</v>
      </c>
      <c r="F2887" t="s">
        <v>227</v>
      </c>
      <c r="G2887">
        <v>1890</v>
      </c>
      <c r="H2887">
        <v>895</v>
      </c>
      <c r="I2887" s="8">
        <f t="shared" si="252"/>
        <v>0.47354497354497355</v>
      </c>
      <c r="J2887" s="17">
        <v>0.7</v>
      </c>
      <c r="K2887" s="12">
        <v>13.75</v>
      </c>
      <c r="L2887" s="2">
        <v>995</v>
      </c>
      <c r="M2887" s="15">
        <f t="shared" si="253"/>
        <v>13681.25</v>
      </c>
      <c r="N2887" t="str">
        <f t="shared" si="250"/>
        <v>RJ</v>
      </c>
      <c r="O2887" t="str">
        <f t="shared" si="251"/>
        <v>Rio de Janeiro</v>
      </c>
    </row>
    <row r="2888" spans="1:15" x14ac:dyDescent="0.3">
      <c r="A2888" s="10">
        <v>46082</v>
      </c>
      <c r="B2888" s="9" t="s">
        <v>3</v>
      </c>
      <c r="C2888" t="s">
        <v>4</v>
      </c>
      <c r="D2888" s="9">
        <v>19928</v>
      </c>
      <c r="E2888" s="5" t="s">
        <v>536</v>
      </c>
      <c r="F2888" t="s">
        <v>5</v>
      </c>
      <c r="G2888">
        <v>1588</v>
      </c>
      <c r="H2888">
        <v>766</v>
      </c>
      <c r="I2888" s="8">
        <f t="shared" si="252"/>
        <v>0.48236775818639799</v>
      </c>
      <c r="J2888" s="17">
        <v>0.7</v>
      </c>
      <c r="K2888" s="12">
        <v>13.75</v>
      </c>
      <c r="L2888" s="2">
        <v>822</v>
      </c>
      <c r="M2888" s="15">
        <f t="shared" si="253"/>
        <v>11302.5</v>
      </c>
      <c r="N2888" t="str">
        <f t="shared" si="250"/>
        <v>SP</v>
      </c>
      <c r="O2888" t="str">
        <f t="shared" si="251"/>
        <v>Americana</v>
      </c>
    </row>
    <row r="2889" spans="1:15" x14ac:dyDescent="0.3">
      <c r="A2889" s="10">
        <v>46082</v>
      </c>
      <c r="B2889" s="9" t="s">
        <v>15</v>
      </c>
      <c r="C2889" t="s">
        <v>149</v>
      </c>
      <c r="D2889" s="9">
        <v>19746</v>
      </c>
      <c r="E2889" s="5" t="s">
        <v>537</v>
      </c>
      <c r="F2889" t="s">
        <v>150</v>
      </c>
      <c r="G2889">
        <v>2455</v>
      </c>
      <c r="H2889">
        <v>1509</v>
      </c>
      <c r="I2889" s="8">
        <f t="shared" si="252"/>
        <v>0.61466395112016292</v>
      </c>
      <c r="J2889" s="17">
        <v>0.7</v>
      </c>
      <c r="K2889" s="12">
        <v>13.75</v>
      </c>
      <c r="L2889" s="2">
        <v>946</v>
      </c>
      <c r="M2889" s="15">
        <f t="shared" si="253"/>
        <v>13007.5</v>
      </c>
      <c r="N2889" t="str">
        <f t="shared" si="250"/>
        <v>RJ</v>
      </c>
      <c r="O2889" t="str">
        <f t="shared" si="251"/>
        <v>Nova Friburgo</v>
      </c>
    </row>
    <row r="2890" spans="1:15" x14ac:dyDescent="0.3">
      <c r="A2890" s="10">
        <v>46082</v>
      </c>
      <c r="B2890" s="9" t="s">
        <v>71</v>
      </c>
      <c r="C2890" t="s">
        <v>163</v>
      </c>
      <c r="D2890" s="9">
        <v>19933</v>
      </c>
      <c r="E2890" s="5" t="s">
        <v>538</v>
      </c>
      <c r="F2890" t="s">
        <v>164</v>
      </c>
      <c r="G2890">
        <v>590</v>
      </c>
      <c r="H2890">
        <v>184</v>
      </c>
      <c r="I2890" s="8">
        <f t="shared" si="252"/>
        <v>0.31186440677966104</v>
      </c>
      <c r="J2890" s="17">
        <v>0.7</v>
      </c>
      <c r="K2890" s="12">
        <v>13.75</v>
      </c>
      <c r="L2890" s="2">
        <v>406</v>
      </c>
      <c r="M2890" s="15">
        <f t="shared" si="253"/>
        <v>5582.5</v>
      </c>
      <c r="N2890" t="str">
        <f t="shared" si="250"/>
        <v>RS</v>
      </c>
      <c r="O2890" t="str">
        <f t="shared" si="251"/>
        <v>Passo</v>
      </c>
    </row>
    <row r="2891" spans="1:15" x14ac:dyDescent="0.3">
      <c r="A2891" s="10">
        <v>46082</v>
      </c>
      <c r="B2891" s="9" t="s">
        <v>59</v>
      </c>
      <c r="C2891" t="s">
        <v>311</v>
      </c>
      <c r="D2891" s="9">
        <v>19944</v>
      </c>
      <c r="E2891" s="5" t="s">
        <v>539</v>
      </c>
      <c r="F2891" t="s">
        <v>60</v>
      </c>
      <c r="G2891">
        <v>2510</v>
      </c>
      <c r="H2891">
        <v>1100</v>
      </c>
      <c r="I2891" s="8">
        <f t="shared" si="252"/>
        <v>0.43824701195219123</v>
      </c>
      <c r="J2891" s="17">
        <v>0.7</v>
      </c>
      <c r="K2891" s="12">
        <v>13.75</v>
      </c>
      <c r="L2891" s="2">
        <v>1410</v>
      </c>
      <c r="M2891" s="15">
        <f t="shared" si="253"/>
        <v>19387.5</v>
      </c>
      <c r="N2891" t="str">
        <f t="shared" si="250"/>
        <v>ES</v>
      </c>
      <c r="O2891" t="str">
        <f t="shared" si="251"/>
        <v>Cachoeira de Itapemirim</v>
      </c>
    </row>
    <row r="2892" spans="1:15" x14ac:dyDescent="0.3">
      <c r="A2892" s="10">
        <v>46082</v>
      </c>
      <c r="B2892" s="9" t="s">
        <v>21</v>
      </c>
      <c r="C2892" t="s">
        <v>228</v>
      </c>
      <c r="D2892" s="9">
        <v>19931</v>
      </c>
      <c r="E2892" s="5" t="s">
        <v>541</v>
      </c>
      <c r="F2892" t="s">
        <v>233</v>
      </c>
      <c r="G2892">
        <v>1915</v>
      </c>
      <c r="H2892">
        <v>982</v>
      </c>
      <c r="I2892" s="8">
        <f t="shared" si="252"/>
        <v>0.51279373368146219</v>
      </c>
      <c r="J2892" s="17">
        <v>0.7</v>
      </c>
      <c r="K2892" s="12">
        <v>13.75</v>
      </c>
      <c r="L2892" s="2">
        <v>933</v>
      </c>
      <c r="M2892" s="15">
        <f t="shared" si="253"/>
        <v>12828.75</v>
      </c>
      <c r="N2892" t="str">
        <f t="shared" si="250"/>
        <v>BA</v>
      </c>
      <c r="O2892" t="str">
        <f t="shared" si="251"/>
        <v>Salvador</v>
      </c>
    </row>
    <row r="2893" spans="1:15" x14ac:dyDescent="0.3">
      <c r="A2893" s="10">
        <v>46082</v>
      </c>
      <c r="B2893" s="9" t="s">
        <v>46</v>
      </c>
      <c r="C2893" t="s">
        <v>102</v>
      </c>
      <c r="D2893" s="9">
        <v>19553</v>
      </c>
      <c r="E2893" s="5" t="s">
        <v>543</v>
      </c>
      <c r="F2893" t="s">
        <v>103</v>
      </c>
      <c r="G2893">
        <v>2032</v>
      </c>
      <c r="H2893">
        <v>762</v>
      </c>
      <c r="I2893" s="8">
        <f t="shared" si="252"/>
        <v>0.375</v>
      </c>
      <c r="J2893" s="17">
        <v>0.7</v>
      </c>
      <c r="K2893" s="12">
        <v>13.75</v>
      </c>
      <c r="L2893" s="2">
        <v>1270</v>
      </c>
      <c r="M2893" s="15">
        <f t="shared" si="253"/>
        <v>17462.5</v>
      </c>
      <c r="N2893" t="str">
        <f t="shared" si="250"/>
        <v>DF</v>
      </c>
      <c r="O2893" t="str">
        <f t="shared" si="251"/>
        <v>Guará</v>
      </c>
    </row>
    <row r="2894" spans="1:15" x14ac:dyDescent="0.3">
      <c r="A2894" s="10">
        <v>46082</v>
      </c>
      <c r="B2894" s="9" t="s">
        <v>140</v>
      </c>
      <c r="C2894" t="s">
        <v>141</v>
      </c>
      <c r="D2894" s="9">
        <v>19940</v>
      </c>
      <c r="E2894" s="5" t="s">
        <v>545</v>
      </c>
      <c r="F2894" t="s">
        <v>142</v>
      </c>
      <c r="G2894">
        <v>2059</v>
      </c>
      <c r="H2894">
        <v>1210</v>
      </c>
      <c r="I2894" s="8">
        <f t="shared" si="252"/>
        <v>0.58766391452161248</v>
      </c>
      <c r="J2894" s="17">
        <v>0.7</v>
      </c>
      <c r="K2894" s="12">
        <v>13.75</v>
      </c>
      <c r="L2894" s="2">
        <v>849</v>
      </c>
      <c r="M2894" s="15">
        <f t="shared" si="253"/>
        <v>11673.75</v>
      </c>
      <c r="N2894" t="str">
        <f t="shared" si="250"/>
        <v>RN</v>
      </c>
      <c r="O2894" t="str">
        <f t="shared" si="251"/>
        <v>Natal</v>
      </c>
    </row>
    <row r="2895" spans="1:15" x14ac:dyDescent="0.3">
      <c r="A2895" s="10">
        <v>46082</v>
      </c>
      <c r="B2895" s="9" t="s">
        <v>123</v>
      </c>
      <c r="C2895" t="s">
        <v>124</v>
      </c>
      <c r="D2895" s="9">
        <v>19945</v>
      </c>
      <c r="E2895" s="5" t="s">
        <v>546</v>
      </c>
      <c r="F2895" t="s">
        <v>125</v>
      </c>
      <c r="G2895">
        <v>1334</v>
      </c>
      <c r="H2895">
        <v>803</v>
      </c>
      <c r="I2895" s="8">
        <f t="shared" si="252"/>
        <v>0.60194902548725637</v>
      </c>
      <c r="J2895" s="17">
        <v>0.7</v>
      </c>
      <c r="K2895" s="12">
        <v>13.75</v>
      </c>
      <c r="L2895" s="2">
        <v>531</v>
      </c>
      <c r="M2895" s="15">
        <f t="shared" si="253"/>
        <v>7301.25</v>
      </c>
      <c r="N2895" t="str">
        <f t="shared" si="250"/>
        <v>AP</v>
      </c>
      <c r="O2895" t="str">
        <f t="shared" si="251"/>
        <v>Macapa</v>
      </c>
    </row>
    <row r="2896" spans="1:15" x14ac:dyDescent="0.3">
      <c r="A2896" s="10">
        <v>46082</v>
      </c>
      <c r="B2896" s="9" t="s">
        <v>21</v>
      </c>
      <c r="C2896" t="s">
        <v>228</v>
      </c>
      <c r="D2896" s="9">
        <v>19907</v>
      </c>
      <c r="E2896" s="5" t="s">
        <v>547</v>
      </c>
      <c r="F2896" t="s">
        <v>234</v>
      </c>
      <c r="G2896">
        <v>1001</v>
      </c>
      <c r="H2896">
        <v>222</v>
      </c>
      <c r="I2896" s="8">
        <f t="shared" si="252"/>
        <v>0.22177822177822179</v>
      </c>
      <c r="J2896" s="17">
        <v>0.7</v>
      </c>
      <c r="K2896" s="12">
        <v>13.75</v>
      </c>
      <c r="L2896" s="2">
        <v>779</v>
      </c>
      <c r="M2896" s="15">
        <f t="shared" si="253"/>
        <v>10711.25</v>
      </c>
      <c r="N2896" t="str">
        <f t="shared" si="250"/>
        <v>BA</v>
      </c>
      <c r="O2896" t="str">
        <f t="shared" si="251"/>
        <v>Salvador</v>
      </c>
    </row>
    <row r="2897" spans="1:15" x14ac:dyDescent="0.3">
      <c r="A2897" s="10">
        <v>46082</v>
      </c>
      <c r="B2897" s="9" t="s">
        <v>15</v>
      </c>
      <c r="C2897" t="s">
        <v>145</v>
      </c>
      <c r="D2897" s="9">
        <v>19538</v>
      </c>
      <c r="E2897" s="5" t="s">
        <v>548</v>
      </c>
      <c r="F2897" t="s">
        <v>146</v>
      </c>
      <c r="G2897">
        <v>3044</v>
      </c>
      <c r="H2897">
        <v>1325</v>
      </c>
      <c r="I2897" s="8">
        <f t="shared" si="252"/>
        <v>0.4352825229960578</v>
      </c>
      <c r="J2897" s="17">
        <v>0.7</v>
      </c>
      <c r="K2897" s="12">
        <v>13.75</v>
      </c>
      <c r="L2897" s="2">
        <v>1719</v>
      </c>
      <c r="M2897" s="15">
        <f t="shared" si="253"/>
        <v>23636.25</v>
      </c>
      <c r="N2897" t="str">
        <f t="shared" si="250"/>
        <v>RJ</v>
      </c>
      <c r="O2897" t="str">
        <f t="shared" si="251"/>
        <v>Niterói</v>
      </c>
    </row>
    <row r="2898" spans="1:15" x14ac:dyDescent="0.3">
      <c r="A2898" s="10">
        <v>46082</v>
      </c>
      <c r="B2898" s="9" t="s">
        <v>71</v>
      </c>
      <c r="C2898" t="s">
        <v>175</v>
      </c>
      <c r="D2898" s="9">
        <v>19947</v>
      </c>
      <c r="E2898" s="5" t="s">
        <v>550</v>
      </c>
      <c r="F2898" t="s">
        <v>180</v>
      </c>
      <c r="G2898">
        <v>3095</v>
      </c>
      <c r="H2898">
        <v>1011</v>
      </c>
      <c r="I2898" s="8">
        <f t="shared" si="252"/>
        <v>0.32665589660743133</v>
      </c>
      <c r="J2898" s="17">
        <v>0.7</v>
      </c>
      <c r="K2898" s="12">
        <v>13.75</v>
      </c>
      <c r="L2898" s="2">
        <v>2084</v>
      </c>
      <c r="M2898" s="15">
        <f t="shared" si="253"/>
        <v>28655</v>
      </c>
      <c r="N2898" t="str">
        <f t="shared" si="250"/>
        <v>RS</v>
      </c>
      <c r="O2898" t="str">
        <f t="shared" si="251"/>
        <v>Porto Alegre</v>
      </c>
    </row>
    <row r="2899" spans="1:15" x14ac:dyDescent="0.3">
      <c r="A2899" s="10">
        <v>46082</v>
      </c>
      <c r="B2899" s="9" t="s">
        <v>14</v>
      </c>
      <c r="C2899" t="s">
        <v>114</v>
      </c>
      <c r="D2899" s="9">
        <v>19943</v>
      </c>
      <c r="E2899" s="5" t="s">
        <v>551</v>
      </c>
      <c r="F2899" t="s">
        <v>115</v>
      </c>
      <c r="G2899">
        <v>1027</v>
      </c>
      <c r="H2899">
        <v>448</v>
      </c>
      <c r="I2899" s="8">
        <f t="shared" si="252"/>
        <v>0.43622200584225901</v>
      </c>
      <c r="J2899" s="17">
        <v>0.7</v>
      </c>
      <c r="K2899" s="12">
        <v>13.75</v>
      </c>
      <c r="L2899" s="2">
        <v>579</v>
      </c>
      <c r="M2899" s="15">
        <f t="shared" si="253"/>
        <v>7961.25</v>
      </c>
      <c r="N2899" t="str">
        <f t="shared" si="250"/>
        <v>MG</v>
      </c>
      <c r="O2899" t="str">
        <f t="shared" si="251"/>
        <v>Ituiutaba</v>
      </c>
    </row>
    <row r="2900" spans="1:15" x14ac:dyDescent="0.3">
      <c r="A2900" s="10">
        <v>46082</v>
      </c>
      <c r="B2900" s="9" t="s">
        <v>244</v>
      </c>
      <c r="C2900" t="s">
        <v>245</v>
      </c>
      <c r="D2900" s="9">
        <v>19617</v>
      </c>
      <c r="E2900" s="5" t="s">
        <v>552</v>
      </c>
      <c r="F2900" t="s">
        <v>246</v>
      </c>
      <c r="G2900">
        <v>3629</v>
      </c>
      <c r="H2900">
        <v>1506</v>
      </c>
      <c r="I2900" s="8">
        <f t="shared" si="252"/>
        <v>0.41499035546982638</v>
      </c>
      <c r="J2900" s="17">
        <v>0.7</v>
      </c>
      <c r="K2900" s="12">
        <v>13.75</v>
      </c>
      <c r="L2900" s="2">
        <v>2123</v>
      </c>
      <c r="M2900" s="15">
        <f t="shared" si="253"/>
        <v>29191.25</v>
      </c>
      <c r="N2900" t="str">
        <f t="shared" si="250"/>
        <v>MA</v>
      </c>
      <c r="O2900" t="str">
        <f t="shared" si="251"/>
        <v>São Luís</v>
      </c>
    </row>
    <row r="2901" spans="1:15" x14ac:dyDescent="0.3">
      <c r="A2901" s="10">
        <v>46082</v>
      </c>
      <c r="B2901" s="9" t="s">
        <v>244</v>
      </c>
      <c r="C2901" t="s">
        <v>245</v>
      </c>
      <c r="D2901" s="9">
        <v>19595</v>
      </c>
      <c r="E2901" s="5" t="s">
        <v>553</v>
      </c>
      <c r="F2901" t="s">
        <v>247</v>
      </c>
      <c r="G2901">
        <v>2841</v>
      </c>
      <c r="H2901">
        <v>1281</v>
      </c>
      <c r="I2901" s="8">
        <f t="shared" si="252"/>
        <v>0.45089757127771912</v>
      </c>
      <c r="J2901" s="17">
        <v>0.7</v>
      </c>
      <c r="K2901" s="12">
        <v>13.75</v>
      </c>
      <c r="L2901" s="2">
        <v>1560</v>
      </c>
      <c r="M2901" s="15">
        <f t="shared" si="253"/>
        <v>21450</v>
      </c>
      <c r="N2901" t="str">
        <f t="shared" si="250"/>
        <v>MA</v>
      </c>
      <c r="O2901" t="str">
        <f t="shared" si="251"/>
        <v>São Luís</v>
      </c>
    </row>
    <row r="2902" spans="1:15" x14ac:dyDescent="0.3">
      <c r="A2902" s="10">
        <v>46082</v>
      </c>
      <c r="B2902" s="9" t="s">
        <v>3</v>
      </c>
      <c r="C2902" t="s">
        <v>10</v>
      </c>
      <c r="D2902" s="9">
        <v>19948</v>
      </c>
      <c r="E2902" s="5" t="s">
        <v>555</v>
      </c>
      <c r="F2902" t="s">
        <v>11</v>
      </c>
      <c r="G2902">
        <v>1301</v>
      </c>
      <c r="H2902">
        <v>581</v>
      </c>
      <c r="I2902" s="8">
        <f t="shared" si="252"/>
        <v>0.44657955418908529</v>
      </c>
      <c r="J2902" s="17">
        <v>0.7</v>
      </c>
      <c r="K2902" s="12">
        <v>13.75</v>
      </c>
      <c r="L2902" s="2">
        <v>720</v>
      </c>
      <c r="M2902" s="15">
        <f t="shared" si="253"/>
        <v>9900</v>
      </c>
      <c r="N2902" t="str">
        <f t="shared" si="250"/>
        <v>SP</v>
      </c>
      <c r="O2902" t="str">
        <f t="shared" si="251"/>
        <v>Araraquara</v>
      </c>
    </row>
    <row r="2903" spans="1:15" x14ac:dyDescent="0.3">
      <c r="A2903" s="10">
        <v>46082</v>
      </c>
      <c r="B2903" s="9" t="s">
        <v>74</v>
      </c>
      <c r="C2903" t="s">
        <v>75</v>
      </c>
      <c r="D2903" s="9">
        <v>19798</v>
      </c>
      <c r="E2903" s="5" t="s">
        <v>556</v>
      </c>
      <c r="F2903" t="s">
        <v>76</v>
      </c>
      <c r="G2903">
        <v>3385</v>
      </c>
      <c r="H2903">
        <v>1658</v>
      </c>
      <c r="I2903" s="8">
        <f t="shared" si="252"/>
        <v>0.48980797636632201</v>
      </c>
      <c r="J2903" s="17">
        <v>0.7</v>
      </c>
      <c r="K2903" s="12">
        <v>13.75</v>
      </c>
      <c r="L2903" s="2">
        <v>1727</v>
      </c>
      <c r="M2903" s="15">
        <f t="shared" si="253"/>
        <v>23746.25</v>
      </c>
      <c r="N2903" t="str">
        <f t="shared" si="250"/>
        <v>PE</v>
      </c>
      <c r="O2903" t="str">
        <f t="shared" si="251"/>
        <v>Caruaru</v>
      </c>
    </row>
    <row r="2904" spans="1:15" x14ac:dyDescent="0.3">
      <c r="A2904" s="10">
        <v>46082</v>
      </c>
      <c r="B2904" s="9" t="s">
        <v>15</v>
      </c>
      <c r="C2904" t="s">
        <v>19</v>
      </c>
      <c r="D2904" s="9">
        <v>19694</v>
      </c>
      <c r="E2904" s="5" t="s">
        <v>557</v>
      </c>
      <c r="F2904" t="s">
        <v>20</v>
      </c>
      <c r="G2904">
        <v>1776</v>
      </c>
      <c r="H2904">
        <v>902</v>
      </c>
      <c r="I2904" s="8">
        <f t="shared" si="252"/>
        <v>0.50788288288288286</v>
      </c>
      <c r="J2904" s="17">
        <v>0.7</v>
      </c>
      <c r="K2904" s="12">
        <v>13.75</v>
      </c>
      <c r="L2904" s="2">
        <v>874</v>
      </c>
      <c r="M2904" s="15">
        <f t="shared" si="253"/>
        <v>12017.5</v>
      </c>
      <c r="N2904" t="str">
        <f t="shared" si="250"/>
        <v>RJ</v>
      </c>
      <c r="O2904" t="str">
        <f t="shared" si="251"/>
        <v>Barra Mansa</v>
      </c>
    </row>
    <row r="2905" spans="1:15" x14ac:dyDescent="0.3">
      <c r="A2905" s="10">
        <v>46082</v>
      </c>
      <c r="B2905" s="9" t="s">
        <v>14</v>
      </c>
      <c r="C2905" t="s">
        <v>112</v>
      </c>
      <c r="D2905" s="9">
        <v>19951</v>
      </c>
      <c r="E2905" s="5" t="s">
        <v>558</v>
      </c>
      <c r="F2905" t="s">
        <v>113</v>
      </c>
      <c r="G2905">
        <v>2153</v>
      </c>
      <c r="H2905">
        <v>762</v>
      </c>
      <c r="I2905" s="8">
        <f t="shared" si="252"/>
        <v>0.35392475615420343</v>
      </c>
      <c r="J2905" s="17">
        <v>0.7</v>
      </c>
      <c r="K2905" s="12">
        <v>13.75</v>
      </c>
      <c r="L2905" s="2">
        <v>1391</v>
      </c>
      <c r="M2905" s="15">
        <f t="shared" si="253"/>
        <v>19126.25</v>
      </c>
      <c r="N2905" t="str">
        <f t="shared" si="250"/>
        <v>MG</v>
      </c>
      <c r="O2905" t="str">
        <f t="shared" si="251"/>
        <v>Ipatinga</v>
      </c>
    </row>
    <row r="2906" spans="1:15" x14ac:dyDescent="0.3">
      <c r="A2906" s="10">
        <v>46082</v>
      </c>
      <c r="B2906" s="9" t="s">
        <v>160</v>
      </c>
      <c r="C2906" t="s">
        <v>161</v>
      </c>
      <c r="D2906" s="9">
        <v>19954</v>
      </c>
      <c r="E2906" s="5" t="s">
        <v>559</v>
      </c>
      <c r="F2906" t="s">
        <v>162</v>
      </c>
      <c r="G2906">
        <v>714</v>
      </c>
      <c r="H2906">
        <v>430</v>
      </c>
      <c r="I2906" s="8">
        <f t="shared" si="252"/>
        <v>0.60224089635854339</v>
      </c>
      <c r="J2906" s="17">
        <v>0.7</v>
      </c>
      <c r="K2906" s="12">
        <v>13.75</v>
      </c>
      <c r="L2906" s="2">
        <v>284</v>
      </c>
      <c r="M2906" s="15">
        <f t="shared" si="253"/>
        <v>3905</v>
      </c>
      <c r="N2906" t="str">
        <f t="shared" si="250"/>
        <v>PI</v>
      </c>
      <c r="O2906" t="str">
        <f t="shared" si="251"/>
        <v>Parnaíba</v>
      </c>
    </row>
    <row r="2907" spans="1:15" x14ac:dyDescent="0.3">
      <c r="A2907" s="10">
        <v>46082</v>
      </c>
      <c r="B2907" s="9" t="s">
        <v>14</v>
      </c>
      <c r="C2907" t="s">
        <v>316</v>
      </c>
      <c r="D2907" s="9">
        <v>19615</v>
      </c>
      <c r="E2907" s="5" t="s">
        <v>560</v>
      </c>
      <c r="F2907" t="s">
        <v>117</v>
      </c>
      <c r="G2907">
        <v>2797</v>
      </c>
      <c r="H2907">
        <v>1058</v>
      </c>
      <c r="I2907" s="8">
        <f t="shared" si="252"/>
        <v>0.37826242402574184</v>
      </c>
      <c r="J2907" s="17">
        <v>0.7</v>
      </c>
      <c r="K2907" s="12">
        <v>13.75</v>
      </c>
      <c r="L2907" s="2">
        <v>1739</v>
      </c>
      <c r="M2907" s="15">
        <f t="shared" si="253"/>
        <v>23911.25</v>
      </c>
      <c r="N2907" t="str">
        <f t="shared" si="250"/>
        <v>MG</v>
      </c>
      <c r="O2907" t="str">
        <f t="shared" si="251"/>
        <v>Juiz de Fora</v>
      </c>
    </row>
    <row r="2908" spans="1:15" x14ac:dyDescent="0.3">
      <c r="A2908" s="10">
        <v>46082</v>
      </c>
      <c r="B2908" s="9" t="s">
        <v>46</v>
      </c>
      <c r="C2908" t="s">
        <v>47</v>
      </c>
      <c r="D2908" s="9">
        <v>19647</v>
      </c>
      <c r="E2908" s="5" t="s">
        <v>561</v>
      </c>
      <c r="F2908" t="s">
        <v>55</v>
      </c>
      <c r="G2908">
        <v>1628</v>
      </c>
      <c r="H2908">
        <v>462</v>
      </c>
      <c r="I2908" s="8">
        <f t="shared" si="252"/>
        <v>0.28378378378378377</v>
      </c>
      <c r="J2908" s="17">
        <v>0.7</v>
      </c>
      <c r="K2908" s="12">
        <v>13.75</v>
      </c>
      <c r="L2908" s="2">
        <v>1166</v>
      </c>
      <c r="M2908" s="15">
        <f t="shared" si="253"/>
        <v>16032.5</v>
      </c>
      <c r="N2908" t="str">
        <f t="shared" si="250"/>
        <v>DF</v>
      </c>
      <c r="O2908" t="str">
        <f t="shared" si="251"/>
        <v>Brasília</v>
      </c>
    </row>
    <row r="2909" spans="1:15" x14ac:dyDescent="0.3">
      <c r="A2909" s="10">
        <v>46082</v>
      </c>
      <c r="B2909" s="9" t="s">
        <v>46</v>
      </c>
      <c r="C2909" t="s">
        <v>47</v>
      </c>
      <c r="D2909" s="9">
        <v>19898</v>
      </c>
      <c r="E2909" s="5" t="s">
        <v>562</v>
      </c>
      <c r="F2909" t="s">
        <v>56</v>
      </c>
      <c r="G2909">
        <v>1163</v>
      </c>
      <c r="H2909">
        <v>361</v>
      </c>
      <c r="I2909" s="8">
        <f t="shared" si="252"/>
        <v>0.31040412725709371</v>
      </c>
      <c r="J2909" s="17">
        <v>0.7</v>
      </c>
      <c r="K2909" s="12">
        <v>13.75</v>
      </c>
      <c r="L2909" s="2">
        <v>802</v>
      </c>
      <c r="M2909" s="15">
        <f t="shared" si="253"/>
        <v>11027.5</v>
      </c>
      <c r="N2909" t="str">
        <f t="shared" si="250"/>
        <v>DF</v>
      </c>
      <c r="O2909" t="str">
        <f t="shared" si="251"/>
        <v>Brasília</v>
      </c>
    </row>
    <row r="2910" spans="1:15" x14ac:dyDescent="0.3">
      <c r="A2910" s="10">
        <v>46082</v>
      </c>
      <c r="B2910" s="9" t="s">
        <v>3</v>
      </c>
      <c r="C2910" t="s">
        <v>64</v>
      </c>
      <c r="D2910" s="9">
        <v>19616</v>
      </c>
      <c r="E2910" s="5" t="s">
        <v>563</v>
      </c>
      <c r="F2910" t="s">
        <v>66</v>
      </c>
      <c r="G2910">
        <v>3406</v>
      </c>
      <c r="H2910">
        <v>1354</v>
      </c>
      <c r="I2910" s="8">
        <f t="shared" si="252"/>
        <v>0.39753376394597767</v>
      </c>
      <c r="J2910" s="17">
        <v>0.7</v>
      </c>
      <c r="K2910" s="12">
        <v>13.75</v>
      </c>
      <c r="L2910" s="2">
        <v>2052</v>
      </c>
      <c r="M2910" s="15">
        <f t="shared" si="253"/>
        <v>28215</v>
      </c>
      <c r="N2910" t="str">
        <f t="shared" si="250"/>
        <v>SP</v>
      </c>
      <c r="O2910" t="str">
        <f t="shared" si="251"/>
        <v>Campinas</v>
      </c>
    </row>
    <row r="2911" spans="1:15" x14ac:dyDescent="0.3">
      <c r="A2911" s="10">
        <v>46082</v>
      </c>
      <c r="B2911" s="9" t="s">
        <v>3</v>
      </c>
      <c r="C2911" t="s">
        <v>64</v>
      </c>
      <c r="D2911" s="9">
        <v>19688</v>
      </c>
      <c r="E2911" s="5" t="s">
        <v>564</v>
      </c>
      <c r="F2911" t="s">
        <v>67</v>
      </c>
      <c r="G2911">
        <v>1633</v>
      </c>
      <c r="H2911">
        <v>534</v>
      </c>
      <c r="I2911" s="8">
        <f t="shared" si="252"/>
        <v>0.32700551132884265</v>
      </c>
      <c r="J2911" s="17">
        <v>0.7</v>
      </c>
      <c r="K2911" s="12">
        <v>13.75</v>
      </c>
      <c r="L2911" s="2">
        <v>1099</v>
      </c>
      <c r="M2911" s="15">
        <f t="shared" si="253"/>
        <v>15111.25</v>
      </c>
      <c r="N2911" t="str">
        <f t="shared" si="250"/>
        <v>SP</v>
      </c>
      <c r="O2911" t="str">
        <f t="shared" si="251"/>
        <v>Campinas</v>
      </c>
    </row>
    <row r="2912" spans="1:15" x14ac:dyDescent="0.3">
      <c r="A2912" s="10">
        <v>46082</v>
      </c>
      <c r="B2912" s="9" t="s">
        <v>3</v>
      </c>
      <c r="C2912" t="s">
        <v>275</v>
      </c>
      <c r="D2912" s="9">
        <v>19721</v>
      </c>
      <c r="E2912" s="5" t="s">
        <v>565</v>
      </c>
      <c r="F2912" t="s">
        <v>276</v>
      </c>
      <c r="G2912">
        <v>2240</v>
      </c>
      <c r="H2912">
        <v>889</v>
      </c>
      <c r="I2912" s="8">
        <f t="shared" si="252"/>
        <v>0.39687499999999998</v>
      </c>
      <c r="J2912" s="17">
        <v>0.7</v>
      </c>
      <c r="K2912" s="12">
        <v>13.75</v>
      </c>
      <c r="L2912" s="2">
        <v>1351</v>
      </c>
      <c r="M2912" s="15">
        <f t="shared" si="253"/>
        <v>18576.25</v>
      </c>
      <c r="N2912" t="str">
        <f t="shared" si="250"/>
        <v>SP</v>
      </c>
      <c r="O2912" t="str">
        <f t="shared" si="251"/>
        <v>Sorocaba</v>
      </c>
    </row>
    <row r="2913" spans="1:15" x14ac:dyDescent="0.3">
      <c r="A2913" s="10">
        <v>46082</v>
      </c>
      <c r="B2913" s="9" t="s">
        <v>3</v>
      </c>
      <c r="C2913" t="s">
        <v>248</v>
      </c>
      <c r="D2913" s="9">
        <v>19863</v>
      </c>
      <c r="E2913" s="5" t="s">
        <v>566</v>
      </c>
      <c r="F2913" t="s">
        <v>268</v>
      </c>
      <c r="G2913">
        <v>2560</v>
      </c>
      <c r="H2913">
        <v>819</v>
      </c>
      <c r="I2913" s="8">
        <f t="shared" si="252"/>
        <v>0.31992187500000002</v>
      </c>
      <c r="J2913" s="17">
        <v>0.7</v>
      </c>
      <c r="K2913" s="12">
        <v>13.75</v>
      </c>
      <c r="L2913" s="2">
        <v>1741</v>
      </c>
      <c r="M2913" s="15">
        <f t="shared" si="253"/>
        <v>23938.75</v>
      </c>
      <c r="N2913" t="str">
        <f t="shared" si="250"/>
        <v>SP</v>
      </c>
      <c r="O2913" t="str">
        <f t="shared" si="251"/>
        <v>São Paulo</v>
      </c>
    </row>
    <row r="2914" spans="1:15" x14ac:dyDescent="0.3">
      <c r="A2914" s="10">
        <v>46082</v>
      </c>
      <c r="B2914" s="9" t="s">
        <v>3</v>
      </c>
      <c r="C2914" t="s">
        <v>248</v>
      </c>
      <c r="D2914" s="9">
        <v>19817</v>
      </c>
      <c r="E2914" s="5" t="s">
        <v>567</v>
      </c>
      <c r="F2914" t="s">
        <v>269</v>
      </c>
      <c r="G2914">
        <v>1411</v>
      </c>
      <c r="H2914">
        <v>492</v>
      </c>
      <c r="I2914" s="8">
        <f t="shared" si="252"/>
        <v>0.34868887313961727</v>
      </c>
      <c r="J2914" s="17">
        <v>0.7</v>
      </c>
      <c r="K2914" s="12">
        <v>13.75</v>
      </c>
      <c r="L2914" s="2">
        <v>919</v>
      </c>
      <c r="M2914" s="15">
        <f t="shared" si="253"/>
        <v>12636.25</v>
      </c>
      <c r="N2914" t="str">
        <f t="shared" si="250"/>
        <v>SP</v>
      </c>
      <c r="O2914" t="str">
        <f t="shared" si="251"/>
        <v>São Paulo</v>
      </c>
    </row>
    <row r="2915" spans="1:15" x14ac:dyDescent="0.3">
      <c r="A2915" s="10">
        <v>46082</v>
      </c>
      <c r="B2915" s="9" t="s">
        <v>3</v>
      </c>
      <c r="C2915" t="s">
        <v>248</v>
      </c>
      <c r="D2915" s="9">
        <v>19866</v>
      </c>
      <c r="E2915" s="5" t="s">
        <v>568</v>
      </c>
      <c r="F2915" t="s">
        <v>270</v>
      </c>
      <c r="G2915">
        <v>1526</v>
      </c>
      <c r="H2915">
        <v>579</v>
      </c>
      <c r="I2915" s="8">
        <f t="shared" si="252"/>
        <v>0.37942332896461339</v>
      </c>
      <c r="J2915" s="17">
        <v>0.7</v>
      </c>
      <c r="K2915" s="12">
        <v>13.75</v>
      </c>
      <c r="L2915" s="2">
        <v>947</v>
      </c>
      <c r="M2915" s="15">
        <f t="shared" si="253"/>
        <v>13021.25</v>
      </c>
      <c r="N2915" t="str">
        <f t="shared" si="250"/>
        <v>SP</v>
      </c>
      <c r="O2915" t="str">
        <f t="shared" si="251"/>
        <v>São Paulo</v>
      </c>
    </row>
    <row r="2916" spans="1:15" x14ac:dyDescent="0.3">
      <c r="A2916" s="10">
        <v>46082</v>
      </c>
      <c r="B2916" s="9" t="s">
        <v>3</v>
      </c>
      <c r="C2916" t="s">
        <v>110</v>
      </c>
      <c r="D2916" s="9">
        <v>19884</v>
      </c>
      <c r="E2916" s="5" t="s">
        <v>577</v>
      </c>
      <c r="F2916" t="s">
        <v>111</v>
      </c>
      <c r="G2916">
        <v>1503</v>
      </c>
      <c r="H2916">
        <v>523</v>
      </c>
      <c r="I2916" s="8">
        <f t="shared" si="252"/>
        <v>0.34797072521623418</v>
      </c>
      <c r="J2916" s="17">
        <v>0.7</v>
      </c>
      <c r="K2916" s="12">
        <v>13.75</v>
      </c>
      <c r="L2916" s="2">
        <v>980</v>
      </c>
      <c r="M2916" s="15">
        <f t="shared" si="253"/>
        <v>13475</v>
      </c>
      <c r="N2916" t="str">
        <f t="shared" si="250"/>
        <v>SP</v>
      </c>
      <c r="O2916" t="str">
        <f t="shared" si="251"/>
        <v>Guarulhos</v>
      </c>
    </row>
    <row r="2917" spans="1:15" x14ac:dyDescent="0.3">
      <c r="A2917" s="10">
        <v>46082</v>
      </c>
      <c r="B2917" s="9" t="s">
        <v>3</v>
      </c>
      <c r="C2917" t="s">
        <v>248</v>
      </c>
      <c r="D2917" s="9">
        <v>19859</v>
      </c>
      <c r="E2917" s="5" t="s">
        <v>578</v>
      </c>
      <c r="F2917" t="s">
        <v>258</v>
      </c>
      <c r="G2917">
        <v>1616</v>
      </c>
      <c r="H2917">
        <v>525</v>
      </c>
      <c r="I2917" s="8">
        <f t="shared" si="252"/>
        <v>0.32487623762376239</v>
      </c>
      <c r="J2917" s="17">
        <v>0.7</v>
      </c>
      <c r="K2917" s="12">
        <v>13.75</v>
      </c>
      <c r="L2917" s="2">
        <v>1091</v>
      </c>
      <c r="M2917" s="15">
        <f t="shared" si="253"/>
        <v>15001.25</v>
      </c>
      <c r="N2917" t="str">
        <f t="shared" si="250"/>
        <v>SP</v>
      </c>
      <c r="O2917" t="str">
        <f t="shared" si="251"/>
        <v>São Paulo</v>
      </c>
    </row>
    <row r="2918" spans="1:15" x14ac:dyDescent="0.3">
      <c r="A2918" s="10">
        <v>46082</v>
      </c>
      <c r="B2918" s="9" t="s">
        <v>3</v>
      </c>
      <c r="C2918" t="s">
        <v>248</v>
      </c>
      <c r="D2918" s="9">
        <v>19711</v>
      </c>
      <c r="E2918" s="5" t="s">
        <v>579</v>
      </c>
      <c r="F2918" t="s">
        <v>264</v>
      </c>
      <c r="G2918">
        <v>1370</v>
      </c>
      <c r="H2918">
        <v>547</v>
      </c>
      <c r="I2918" s="8">
        <f t="shared" si="252"/>
        <v>0.39927007299270073</v>
      </c>
      <c r="J2918" s="17">
        <v>0.7</v>
      </c>
      <c r="K2918" s="12">
        <v>13.75</v>
      </c>
      <c r="L2918" s="2">
        <v>823</v>
      </c>
      <c r="M2918" s="15">
        <f t="shared" si="253"/>
        <v>11316.25</v>
      </c>
      <c r="N2918" t="str">
        <f t="shared" si="250"/>
        <v>SP</v>
      </c>
      <c r="O2918" t="str">
        <f t="shared" si="251"/>
        <v>São Paulo</v>
      </c>
    </row>
    <row r="2919" spans="1:15" x14ac:dyDescent="0.3">
      <c r="A2919" s="10">
        <v>46082</v>
      </c>
      <c r="B2919" s="9" t="s">
        <v>3</v>
      </c>
      <c r="C2919" t="s">
        <v>248</v>
      </c>
      <c r="D2919" s="9">
        <v>19763</v>
      </c>
      <c r="E2919" s="5" t="s">
        <v>580</v>
      </c>
      <c r="F2919" t="s">
        <v>263</v>
      </c>
      <c r="G2919">
        <v>1286</v>
      </c>
      <c r="H2919">
        <v>502</v>
      </c>
      <c r="I2919" s="8">
        <f t="shared" si="252"/>
        <v>0.39035769828926903</v>
      </c>
      <c r="J2919" s="17">
        <v>0.7</v>
      </c>
      <c r="K2919" s="12">
        <v>13.75</v>
      </c>
      <c r="L2919" s="2">
        <v>784</v>
      </c>
      <c r="M2919" s="15">
        <f t="shared" si="253"/>
        <v>10780</v>
      </c>
      <c r="N2919" t="str">
        <f t="shared" si="250"/>
        <v>SP</v>
      </c>
      <c r="O2919" t="str">
        <f t="shared" si="251"/>
        <v>São Paulo</v>
      </c>
    </row>
    <row r="2920" spans="1:15" x14ac:dyDescent="0.3">
      <c r="A2920" s="10">
        <v>46082</v>
      </c>
      <c r="B2920" s="9" t="s">
        <v>68</v>
      </c>
      <c r="C2920" t="s">
        <v>69</v>
      </c>
      <c r="D2920" s="9">
        <v>19602</v>
      </c>
      <c r="E2920" s="5" t="s">
        <v>570</v>
      </c>
      <c r="F2920" t="s">
        <v>70</v>
      </c>
      <c r="G2920">
        <v>256</v>
      </c>
      <c r="H2920">
        <v>51</v>
      </c>
      <c r="I2920" s="8">
        <f t="shared" si="252"/>
        <v>0.19921875</v>
      </c>
      <c r="J2920" s="17">
        <v>0.7</v>
      </c>
      <c r="K2920" s="12">
        <v>13.75</v>
      </c>
      <c r="L2920" s="2">
        <v>205</v>
      </c>
      <c r="M2920" s="15">
        <f t="shared" si="253"/>
        <v>2818.75</v>
      </c>
      <c r="N2920" t="str">
        <f t="shared" si="250"/>
        <v>MS</v>
      </c>
      <c r="O2920" t="str">
        <f t="shared" si="251"/>
        <v>Campo Grande</v>
      </c>
    </row>
    <row r="2921" spans="1:15" x14ac:dyDescent="0.3">
      <c r="A2921" s="10">
        <v>46082</v>
      </c>
      <c r="B2921" s="9" t="s">
        <v>46</v>
      </c>
      <c r="C2921" t="s">
        <v>47</v>
      </c>
      <c r="D2921" s="9">
        <v>19755</v>
      </c>
      <c r="E2921" s="5" t="s">
        <v>581</v>
      </c>
      <c r="F2921" t="s">
        <v>53</v>
      </c>
      <c r="G2921">
        <v>918</v>
      </c>
      <c r="H2921">
        <v>343</v>
      </c>
      <c r="I2921" s="8">
        <f t="shared" si="252"/>
        <v>0.37363834422657954</v>
      </c>
      <c r="J2921" s="17">
        <v>0.7</v>
      </c>
      <c r="K2921" s="12">
        <v>13.75</v>
      </c>
      <c r="L2921" s="2">
        <v>575</v>
      </c>
      <c r="M2921" s="15">
        <f t="shared" si="253"/>
        <v>7906.25</v>
      </c>
      <c r="N2921" t="str">
        <f t="shared" si="250"/>
        <v>DF</v>
      </c>
      <c r="O2921" t="str">
        <f t="shared" si="251"/>
        <v>Brasília</v>
      </c>
    </row>
    <row r="2922" spans="1:15" x14ac:dyDescent="0.3">
      <c r="A2922" s="10">
        <v>46082</v>
      </c>
      <c r="B2922" s="9" t="s">
        <v>14</v>
      </c>
      <c r="C2922" t="s">
        <v>29</v>
      </c>
      <c r="D2922" s="9">
        <v>19780</v>
      </c>
      <c r="E2922" s="5" t="s">
        <v>582</v>
      </c>
      <c r="F2922" t="s">
        <v>35</v>
      </c>
      <c r="G2922">
        <v>1608</v>
      </c>
      <c r="H2922">
        <v>1031</v>
      </c>
      <c r="I2922" s="8">
        <f t="shared" si="252"/>
        <v>0.64116915422885568</v>
      </c>
      <c r="J2922" s="17">
        <v>0.7</v>
      </c>
      <c r="K2922" s="12">
        <v>13.75</v>
      </c>
      <c r="L2922" s="2">
        <v>577</v>
      </c>
      <c r="M2922" s="15">
        <f t="shared" si="253"/>
        <v>7933.75</v>
      </c>
      <c r="N2922" t="str">
        <f t="shared" si="250"/>
        <v>MG</v>
      </c>
      <c r="O2922" t="str">
        <f t="shared" si="251"/>
        <v>Belo Horizonte</v>
      </c>
    </row>
    <row r="2923" spans="1:15" x14ac:dyDescent="0.3">
      <c r="A2923" s="10">
        <v>46082</v>
      </c>
      <c r="B2923" s="9" t="s">
        <v>3</v>
      </c>
      <c r="C2923" t="s">
        <v>321</v>
      </c>
      <c r="D2923" s="9">
        <v>19825</v>
      </c>
      <c r="E2923" s="5" t="s">
        <v>583</v>
      </c>
      <c r="F2923" t="s">
        <v>241</v>
      </c>
      <c r="G2923">
        <v>1304</v>
      </c>
      <c r="H2923">
        <v>486</v>
      </c>
      <c r="I2923" s="8">
        <f t="shared" si="252"/>
        <v>0.3726993865030675</v>
      </c>
      <c r="J2923" s="17">
        <v>0.7</v>
      </c>
      <c r="K2923" s="12">
        <v>13.75</v>
      </c>
      <c r="L2923" s="2">
        <v>818</v>
      </c>
      <c r="M2923" s="15">
        <f t="shared" si="253"/>
        <v>11247.5</v>
      </c>
      <c r="N2923" t="str">
        <f t="shared" si="250"/>
        <v>SP</v>
      </c>
      <c r="O2923" t="str">
        <f t="shared" si="251"/>
        <v>SÃO BERNARDO DO CAMPO</v>
      </c>
    </row>
    <row r="2924" spans="1:15" x14ac:dyDescent="0.3">
      <c r="A2924" s="10">
        <v>46082</v>
      </c>
      <c r="B2924" s="9" t="s">
        <v>3</v>
      </c>
      <c r="C2924" t="s">
        <v>320</v>
      </c>
      <c r="D2924" s="9">
        <v>19847</v>
      </c>
      <c r="E2924" s="5" t="s">
        <v>584</v>
      </c>
      <c r="F2924" t="s">
        <v>238</v>
      </c>
      <c r="G2924">
        <v>1366</v>
      </c>
      <c r="H2924">
        <v>429</v>
      </c>
      <c r="I2924" s="8">
        <f t="shared" si="252"/>
        <v>0.31405563689604687</v>
      </c>
      <c r="J2924" s="17">
        <v>0.7</v>
      </c>
      <c r="K2924" s="12">
        <v>13.75</v>
      </c>
      <c r="L2924" s="2">
        <v>937</v>
      </c>
      <c r="M2924" s="15">
        <f t="shared" si="253"/>
        <v>12883.75</v>
      </c>
      <c r="N2924" t="str">
        <f t="shared" si="250"/>
        <v>SP</v>
      </c>
      <c r="O2924" t="str">
        <f t="shared" si="251"/>
        <v>SANTO ANDRÉ</v>
      </c>
    </row>
    <row r="2925" spans="1:15" x14ac:dyDescent="0.3">
      <c r="A2925" s="10">
        <v>46082</v>
      </c>
      <c r="B2925" s="9" t="s">
        <v>3</v>
      </c>
      <c r="C2925" t="s">
        <v>248</v>
      </c>
      <c r="D2925" s="9">
        <v>19890</v>
      </c>
      <c r="E2925" s="5" t="s">
        <v>585</v>
      </c>
      <c r="F2925" t="s">
        <v>259</v>
      </c>
      <c r="G2925">
        <v>1217</v>
      </c>
      <c r="H2925">
        <v>435</v>
      </c>
      <c r="I2925" s="8">
        <f t="shared" si="252"/>
        <v>0.35743631881676252</v>
      </c>
      <c r="J2925" s="17">
        <v>0.7</v>
      </c>
      <c r="K2925" s="12">
        <v>13.75</v>
      </c>
      <c r="L2925" s="2">
        <v>782</v>
      </c>
      <c r="M2925" s="15">
        <f t="shared" si="253"/>
        <v>10752.5</v>
      </c>
      <c r="N2925" t="str">
        <f t="shared" si="250"/>
        <v>SP</v>
      </c>
      <c r="O2925" t="str">
        <f t="shared" si="251"/>
        <v>São Paulo</v>
      </c>
    </row>
    <row r="2926" spans="1:15" x14ac:dyDescent="0.3">
      <c r="A2926" s="10">
        <v>46082</v>
      </c>
      <c r="B2926" s="9" t="s">
        <v>3</v>
      </c>
      <c r="C2926" t="s">
        <v>239</v>
      </c>
      <c r="D2926" s="9">
        <v>19708</v>
      </c>
      <c r="E2926" s="5" t="s">
        <v>586</v>
      </c>
      <c r="F2926" t="s">
        <v>240</v>
      </c>
      <c r="G2926">
        <v>2206</v>
      </c>
      <c r="H2926">
        <v>889</v>
      </c>
      <c r="I2926" s="8">
        <f t="shared" si="252"/>
        <v>0.40299184043517677</v>
      </c>
      <c r="J2926" s="17">
        <v>0.7</v>
      </c>
      <c r="K2926" s="12">
        <v>13.75</v>
      </c>
      <c r="L2926" s="2">
        <v>1317</v>
      </c>
      <c r="M2926" s="15">
        <f t="shared" si="253"/>
        <v>18108.75</v>
      </c>
      <c r="N2926" t="str">
        <f t="shared" si="250"/>
        <v>SP</v>
      </c>
      <c r="O2926" t="str">
        <f t="shared" si="251"/>
        <v>Santos</v>
      </c>
    </row>
    <row r="2927" spans="1:15" x14ac:dyDescent="0.3">
      <c r="A2927" s="10">
        <v>46082</v>
      </c>
      <c r="B2927" s="9" t="s">
        <v>3</v>
      </c>
      <c r="C2927" t="s">
        <v>318</v>
      </c>
      <c r="D2927" s="9">
        <v>19745</v>
      </c>
      <c r="E2927" s="5" t="s">
        <v>587</v>
      </c>
      <c r="F2927" t="s">
        <v>154</v>
      </c>
      <c r="G2927">
        <v>1666</v>
      </c>
      <c r="H2927">
        <v>770</v>
      </c>
      <c r="I2927" s="8">
        <f t="shared" si="252"/>
        <v>0.46218487394957986</v>
      </c>
      <c r="J2927" s="17">
        <v>0.7</v>
      </c>
      <c r="K2927" s="12">
        <v>13.75</v>
      </c>
      <c r="L2927" s="2">
        <v>896</v>
      </c>
      <c r="M2927" s="15">
        <f t="shared" si="253"/>
        <v>12320</v>
      </c>
      <c r="N2927" t="str">
        <f t="shared" si="250"/>
        <v>SP</v>
      </c>
      <c r="O2927" t="str">
        <f t="shared" si="251"/>
        <v>OSASCO</v>
      </c>
    </row>
    <row r="2928" spans="1:15" x14ac:dyDescent="0.3">
      <c r="A2928" s="10">
        <v>46082</v>
      </c>
      <c r="B2928" s="9" t="s">
        <v>3</v>
      </c>
      <c r="C2928" t="s">
        <v>248</v>
      </c>
      <c r="D2928" s="9">
        <v>19710</v>
      </c>
      <c r="E2928" s="5" t="s">
        <v>588</v>
      </c>
      <c r="F2928" t="s">
        <v>261</v>
      </c>
      <c r="G2928">
        <v>1641</v>
      </c>
      <c r="H2928">
        <v>756</v>
      </c>
      <c r="I2928" s="8">
        <f t="shared" si="252"/>
        <v>0.46069469835466181</v>
      </c>
      <c r="J2928" s="17">
        <v>0.7</v>
      </c>
      <c r="K2928" s="12">
        <v>13.75</v>
      </c>
      <c r="L2928" s="2">
        <v>885</v>
      </c>
      <c r="M2928" s="15">
        <f t="shared" si="253"/>
        <v>12168.75</v>
      </c>
      <c r="N2928" t="str">
        <f t="shared" si="250"/>
        <v>SP</v>
      </c>
      <c r="O2928" t="str">
        <f t="shared" si="251"/>
        <v>São Paulo</v>
      </c>
    </row>
    <row r="2929" spans="1:15" x14ac:dyDescent="0.3">
      <c r="A2929" s="10">
        <v>46082</v>
      </c>
      <c r="B2929" s="9" t="s">
        <v>3</v>
      </c>
      <c r="C2929" t="s">
        <v>248</v>
      </c>
      <c r="D2929" s="9">
        <v>19891</v>
      </c>
      <c r="E2929" s="5" t="s">
        <v>612</v>
      </c>
      <c r="F2929" t="s">
        <v>260</v>
      </c>
      <c r="G2929">
        <v>1629</v>
      </c>
      <c r="H2929">
        <v>810</v>
      </c>
      <c r="I2929" s="8">
        <f t="shared" si="252"/>
        <v>0.49723756906077349</v>
      </c>
      <c r="J2929" s="17">
        <v>0.7</v>
      </c>
      <c r="K2929" s="12">
        <v>13.75</v>
      </c>
      <c r="L2929" s="2">
        <v>819</v>
      </c>
      <c r="M2929" s="15">
        <f t="shared" si="253"/>
        <v>11261.25</v>
      </c>
      <c r="N2929" t="str">
        <f t="shared" si="250"/>
        <v>SP</v>
      </c>
      <c r="O2929" t="str">
        <f t="shared" si="251"/>
        <v>São Paulo</v>
      </c>
    </row>
    <row r="2930" spans="1:15" x14ac:dyDescent="0.3">
      <c r="A2930" s="10">
        <v>46082</v>
      </c>
      <c r="B2930" s="9" t="s">
        <v>3</v>
      </c>
      <c r="C2930" t="s">
        <v>322</v>
      </c>
      <c r="D2930" s="9">
        <v>19808</v>
      </c>
      <c r="E2930" s="5" t="s">
        <v>589</v>
      </c>
      <c r="F2930" t="s">
        <v>243</v>
      </c>
      <c r="G2930">
        <v>1304</v>
      </c>
      <c r="H2930">
        <v>384</v>
      </c>
      <c r="I2930" s="8">
        <f t="shared" si="252"/>
        <v>0.29447852760736198</v>
      </c>
      <c r="J2930" s="17">
        <v>0.7</v>
      </c>
      <c r="K2930" s="12">
        <v>13.75</v>
      </c>
      <c r="L2930" s="2">
        <v>920</v>
      </c>
      <c r="M2930" s="15">
        <f t="shared" si="253"/>
        <v>12650</v>
      </c>
      <c r="N2930" t="str">
        <f t="shared" si="250"/>
        <v>SP</v>
      </c>
      <c r="O2930" t="str">
        <f t="shared" si="251"/>
        <v>São Caetano do Sul</v>
      </c>
    </row>
    <row r="2931" spans="1:15" x14ac:dyDescent="0.3">
      <c r="A2931" s="10">
        <v>46082</v>
      </c>
      <c r="B2931" s="9" t="s">
        <v>3</v>
      </c>
      <c r="C2931" t="s">
        <v>248</v>
      </c>
      <c r="D2931" s="9">
        <v>19804</v>
      </c>
      <c r="E2931" s="5" t="s">
        <v>590</v>
      </c>
      <c r="F2931" t="s">
        <v>255</v>
      </c>
      <c r="G2931">
        <v>1333</v>
      </c>
      <c r="H2931">
        <v>488</v>
      </c>
      <c r="I2931" s="8">
        <f t="shared" si="252"/>
        <v>0.36609152288072017</v>
      </c>
      <c r="J2931" s="17">
        <v>0.7</v>
      </c>
      <c r="K2931" s="12">
        <v>13.75</v>
      </c>
      <c r="L2931" s="2">
        <v>845</v>
      </c>
      <c r="M2931" s="15">
        <f t="shared" si="253"/>
        <v>11618.75</v>
      </c>
      <c r="N2931" t="str">
        <f t="shared" si="250"/>
        <v>SP</v>
      </c>
      <c r="O2931" t="str">
        <f t="shared" si="251"/>
        <v>São Paulo</v>
      </c>
    </row>
    <row r="2932" spans="1:15" x14ac:dyDescent="0.3">
      <c r="A2932" s="10">
        <v>46082</v>
      </c>
      <c r="B2932" s="9" t="s">
        <v>3</v>
      </c>
      <c r="C2932" t="s">
        <v>321</v>
      </c>
      <c r="D2932" s="9">
        <v>19820</v>
      </c>
      <c r="E2932" s="5" t="s">
        <v>591</v>
      </c>
      <c r="F2932" t="s">
        <v>242</v>
      </c>
      <c r="G2932">
        <v>1364</v>
      </c>
      <c r="H2932">
        <v>398</v>
      </c>
      <c r="I2932" s="8">
        <f t="shared" si="252"/>
        <v>0.29178885630498536</v>
      </c>
      <c r="J2932" s="17">
        <v>0.7</v>
      </c>
      <c r="K2932" s="12">
        <v>13.75</v>
      </c>
      <c r="L2932" s="2">
        <v>966</v>
      </c>
      <c r="M2932" s="15">
        <f t="shared" si="253"/>
        <v>13282.5</v>
      </c>
      <c r="N2932" t="str">
        <f t="shared" si="250"/>
        <v>SP</v>
      </c>
      <c r="O2932" t="str">
        <f t="shared" si="251"/>
        <v>SÃO BERNARDO DO CAMPO</v>
      </c>
    </row>
    <row r="2933" spans="1:15" x14ac:dyDescent="0.3">
      <c r="A2933" s="10">
        <v>46082</v>
      </c>
      <c r="B2933" s="9" t="s">
        <v>3</v>
      </c>
      <c r="C2933" t="s">
        <v>24</v>
      </c>
      <c r="D2933" s="9">
        <v>19805</v>
      </c>
      <c r="E2933" s="5" t="s">
        <v>592</v>
      </c>
      <c r="F2933" t="s">
        <v>25</v>
      </c>
      <c r="G2933">
        <v>1368</v>
      </c>
      <c r="H2933">
        <v>626</v>
      </c>
      <c r="I2933" s="8">
        <f t="shared" si="252"/>
        <v>0.45760233918128657</v>
      </c>
      <c r="J2933" s="17">
        <v>0.7</v>
      </c>
      <c r="K2933" s="12">
        <v>13.75</v>
      </c>
      <c r="L2933" s="2">
        <v>742</v>
      </c>
      <c r="M2933" s="15">
        <f t="shared" si="253"/>
        <v>10202.5</v>
      </c>
      <c r="N2933" t="str">
        <f t="shared" si="250"/>
        <v>SP</v>
      </c>
      <c r="O2933" t="str">
        <f t="shared" si="251"/>
        <v>Barueri</v>
      </c>
    </row>
    <row r="2934" spans="1:15" x14ac:dyDescent="0.3">
      <c r="A2934" s="10">
        <v>46082</v>
      </c>
      <c r="B2934" s="9" t="s">
        <v>14</v>
      </c>
      <c r="C2934" t="s">
        <v>29</v>
      </c>
      <c r="D2934" s="9">
        <v>19720</v>
      </c>
      <c r="E2934" s="5" t="s">
        <v>593</v>
      </c>
      <c r="F2934" t="s">
        <v>36</v>
      </c>
      <c r="G2934">
        <v>1456</v>
      </c>
      <c r="H2934">
        <v>509</v>
      </c>
      <c r="I2934" s="8">
        <f t="shared" si="252"/>
        <v>0.34958791208791207</v>
      </c>
      <c r="J2934" s="17">
        <v>0.7</v>
      </c>
      <c r="K2934" s="12">
        <v>13.75</v>
      </c>
      <c r="L2934" s="2">
        <v>947</v>
      </c>
      <c r="M2934" s="15">
        <f t="shared" si="253"/>
        <v>13021.25</v>
      </c>
      <c r="N2934" t="str">
        <f t="shared" si="250"/>
        <v>MG</v>
      </c>
      <c r="O2934" t="str">
        <f t="shared" si="251"/>
        <v>Belo Horizonte</v>
      </c>
    </row>
    <row r="2935" spans="1:15" x14ac:dyDescent="0.3">
      <c r="A2935" s="10">
        <v>46082</v>
      </c>
      <c r="B2935" s="9" t="s">
        <v>3</v>
      </c>
      <c r="C2935" t="s">
        <v>108</v>
      </c>
      <c r="D2935" s="9">
        <v>19877</v>
      </c>
      <c r="E2935" s="5" t="s">
        <v>594</v>
      </c>
      <c r="F2935" t="s">
        <v>109</v>
      </c>
      <c r="G2935">
        <v>1901</v>
      </c>
      <c r="H2935">
        <v>797</v>
      </c>
      <c r="I2935" s="8">
        <f t="shared" si="252"/>
        <v>0.41925302472382958</v>
      </c>
      <c r="J2935" s="17">
        <v>0.7</v>
      </c>
      <c r="K2935" s="12">
        <v>13.75</v>
      </c>
      <c r="L2935" s="2">
        <v>1104</v>
      </c>
      <c r="M2935" s="15">
        <f t="shared" si="253"/>
        <v>15180</v>
      </c>
      <c r="N2935" t="str">
        <f t="shared" si="250"/>
        <v>SP</v>
      </c>
      <c r="O2935" t="str">
        <f t="shared" si="251"/>
        <v>Guarujá</v>
      </c>
    </row>
    <row r="2936" spans="1:15" x14ac:dyDescent="0.3">
      <c r="A2936" s="10">
        <v>46082</v>
      </c>
      <c r="B2936" s="9" t="s">
        <v>15</v>
      </c>
      <c r="C2936" t="s">
        <v>332</v>
      </c>
      <c r="D2936" s="9">
        <v>19679</v>
      </c>
      <c r="E2936" s="5" t="s">
        <v>571</v>
      </c>
      <c r="F2936" t="s">
        <v>333</v>
      </c>
      <c r="G2936">
        <v>2316</v>
      </c>
      <c r="H2936">
        <v>1108</v>
      </c>
      <c r="I2936" s="8">
        <f t="shared" si="252"/>
        <v>0.47841105354058722</v>
      </c>
      <c r="J2936" s="17">
        <v>0.7</v>
      </c>
      <c r="K2936" s="12">
        <v>13.75</v>
      </c>
      <c r="L2936" s="2">
        <v>1208</v>
      </c>
      <c r="M2936" s="15">
        <f t="shared" si="253"/>
        <v>16610</v>
      </c>
      <c r="N2936" t="str">
        <f t="shared" si="250"/>
        <v>RJ</v>
      </c>
      <c r="O2936" t="str">
        <f t="shared" si="251"/>
        <v>Macaé</v>
      </c>
    </row>
    <row r="2937" spans="1:15" x14ac:dyDescent="0.3">
      <c r="A2937" s="10">
        <v>46082</v>
      </c>
      <c r="B2937" s="9" t="s">
        <v>59</v>
      </c>
      <c r="C2937" t="s">
        <v>104</v>
      </c>
      <c r="D2937" s="9">
        <v>19872</v>
      </c>
      <c r="E2937" s="5" t="s">
        <v>572</v>
      </c>
      <c r="F2937" t="s">
        <v>105</v>
      </c>
      <c r="G2937">
        <v>2156</v>
      </c>
      <c r="H2937">
        <v>1054</v>
      </c>
      <c r="I2937" s="8">
        <f t="shared" si="252"/>
        <v>0.48886827458256027</v>
      </c>
      <c r="J2937" s="17">
        <v>0.7</v>
      </c>
      <c r="K2937" s="12">
        <v>13.75</v>
      </c>
      <c r="L2937" s="2">
        <v>1102</v>
      </c>
      <c r="M2937" s="15">
        <f t="shared" si="253"/>
        <v>15152.5</v>
      </c>
      <c r="N2937" t="str">
        <f t="shared" si="250"/>
        <v>ES</v>
      </c>
      <c r="O2937" t="str">
        <f t="shared" si="251"/>
        <v>Guarapari</v>
      </c>
    </row>
    <row r="2938" spans="1:15" x14ac:dyDescent="0.3">
      <c r="A2938" s="10">
        <v>46082</v>
      </c>
      <c r="B2938" s="9" t="s">
        <v>15</v>
      </c>
      <c r="C2938" t="s">
        <v>145</v>
      </c>
      <c r="D2938" s="9">
        <v>19513</v>
      </c>
      <c r="E2938" s="5" t="s">
        <v>574</v>
      </c>
      <c r="F2938" t="s">
        <v>147</v>
      </c>
      <c r="G2938">
        <v>2946</v>
      </c>
      <c r="H2938">
        <v>1003</v>
      </c>
      <c r="I2938" s="8">
        <f t="shared" si="252"/>
        <v>0.34046164290563474</v>
      </c>
      <c r="J2938" s="17">
        <v>0.7</v>
      </c>
      <c r="K2938" s="12">
        <v>13.75</v>
      </c>
      <c r="L2938" s="2">
        <v>1943</v>
      </c>
      <c r="M2938" s="15">
        <f t="shared" si="253"/>
        <v>26716.25</v>
      </c>
      <c r="N2938" t="str">
        <f t="shared" si="250"/>
        <v>RJ</v>
      </c>
      <c r="O2938" t="str">
        <f t="shared" si="251"/>
        <v>Niterói</v>
      </c>
    </row>
    <row r="2939" spans="1:15" x14ac:dyDescent="0.3">
      <c r="A2939" s="10">
        <v>46082</v>
      </c>
      <c r="B2939" s="9" t="s">
        <v>15</v>
      </c>
      <c r="C2939" t="s">
        <v>145</v>
      </c>
      <c r="D2939" s="9">
        <v>19525</v>
      </c>
      <c r="E2939" s="5" t="s">
        <v>575</v>
      </c>
      <c r="F2939" t="s">
        <v>148</v>
      </c>
      <c r="G2939">
        <v>2891</v>
      </c>
      <c r="H2939">
        <v>905</v>
      </c>
      <c r="I2939" s="8">
        <f t="shared" si="252"/>
        <v>0.31304047042545829</v>
      </c>
      <c r="J2939" s="17">
        <v>0.7</v>
      </c>
      <c r="K2939" s="12">
        <v>13.75</v>
      </c>
      <c r="L2939" s="2">
        <v>1986</v>
      </c>
      <c r="M2939" s="15">
        <f t="shared" si="253"/>
        <v>27307.5</v>
      </c>
      <c r="N2939" t="str">
        <f t="shared" si="250"/>
        <v>RJ</v>
      </c>
      <c r="O2939" t="str">
        <f t="shared" si="251"/>
        <v>Niterói</v>
      </c>
    </row>
    <row r="2940" spans="1:15" x14ac:dyDescent="0.3">
      <c r="A2940" s="10">
        <v>46082</v>
      </c>
      <c r="B2940" s="9" t="s">
        <v>71</v>
      </c>
      <c r="C2940" t="s">
        <v>308</v>
      </c>
      <c r="D2940" s="9">
        <v>19956</v>
      </c>
      <c r="E2940" s="5" t="s">
        <v>614</v>
      </c>
      <c r="F2940" t="s">
        <v>309</v>
      </c>
      <c r="G2940">
        <v>877</v>
      </c>
      <c r="H2940">
        <v>408</v>
      </c>
      <c r="I2940" s="8">
        <f t="shared" si="252"/>
        <v>0.46522234891676167</v>
      </c>
      <c r="J2940" s="17">
        <v>0.7</v>
      </c>
      <c r="K2940" s="12">
        <v>13.75</v>
      </c>
      <c r="L2940" s="2">
        <v>469</v>
      </c>
      <c r="M2940" s="15">
        <f t="shared" si="253"/>
        <v>6448.75</v>
      </c>
      <c r="N2940" t="str">
        <f t="shared" si="250"/>
        <v>RS</v>
      </c>
      <c r="O2940" t="str">
        <f t="shared" si="251"/>
        <v>Lajeado</v>
      </c>
    </row>
    <row r="2941" spans="1:15" x14ac:dyDescent="0.3">
      <c r="A2941" s="10">
        <v>46082</v>
      </c>
      <c r="B2941" s="9" t="s">
        <v>15</v>
      </c>
      <c r="C2941" t="s">
        <v>310</v>
      </c>
      <c r="D2941" s="9">
        <v>19908</v>
      </c>
      <c r="E2941" s="5" t="s">
        <v>595</v>
      </c>
      <c r="F2941" t="s">
        <v>16</v>
      </c>
      <c r="G2941">
        <v>1597</v>
      </c>
      <c r="H2941">
        <v>839</v>
      </c>
      <c r="I2941" s="8">
        <f t="shared" si="252"/>
        <v>0.52536005009392606</v>
      </c>
      <c r="J2941" s="17">
        <v>0.7</v>
      </c>
      <c r="K2941" s="12">
        <v>13.75</v>
      </c>
      <c r="L2941" s="2">
        <v>758</v>
      </c>
      <c r="M2941" s="15">
        <f t="shared" si="253"/>
        <v>10422.5</v>
      </c>
      <c r="N2941" t="str">
        <f t="shared" si="250"/>
        <v>RJ</v>
      </c>
      <c r="O2941" t="str">
        <f t="shared" si="251"/>
        <v>Armação dos Búzios</v>
      </c>
    </row>
    <row r="2942" spans="1:15" x14ac:dyDescent="0.3">
      <c r="A2942" s="10">
        <v>46082</v>
      </c>
      <c r="B2942" s="9" t="s">
        <v>21</v>
      </c>
      <c r="C2942" t="s">
        <v>228</v>
      </c>
      <c r="D2942" s="9">
        <v>19625</v>
      </c>
      <c r="E2942" s="5" t="s">
        <v>596</v>
      </c>
      <c r="F2942" t="s">
        <v>231</v>
      </c>
      <c r="G2942">
        <v>2091</v>
      </c>
      <c r="H2942">
        <v>956</v>
      </c>
      <c r="I2942" s="8">
        <f t="shared" si="252"/>
        <v>0.45719751315160212</v>
      </c>
      <c r="J2942" s="17">
        <v>0.7</v>
      </c>
      <c r="K2942" s="12">
        <v>13.75</v>
      </c>
      <c r="L2942" s="2">
        <v>1135</v>
      </c>
      <c r="M2942" s="15">
        <f t="shared" si="253"/>
        <v>15606.25</v>
      </c>
      <c r="N2942" t="str">
        <f t="shared" si="250"/>
        <v>BA</v>
      </c>
      <c r="O2942" t="str">
        <f t="shared" si="251"/>
        <v>Salvador</v>
      </c>
    </row>
    <row r="2943" spans="1:15" x14ac:dyDescent="0.3">
      <c r="A2943" s="10">
        <v>46082</v>
      </c>
      <c r="B2943" s="9" t="s">
        <v>21</v>
      </c>
      <c r="C2943" t="s">
        <v>228</v>
      </c>
      <c r="D2943" s="9">
        <v>19771</v>
      </c>
      <c r="E2943" s="5" t="s">
        <v>576</v>
      </c>
      <c r="F2943" t="s">
        <v>235</v>
      </c>
      <c r="G2943">
        <v>1823</v>
      </c>
      <c r="H2943">
        <v>716</v>
      </c>
      <c r="I2943" s="8">
        <f t="shared" si="252"/>
        <v>0.39275918815139882</v>
      </c>
      <c r="J2943" s="17">
        <v>0.7</v>
      </c>
      <c r="K2943" s="12">
        <v>13.75</v>
      </c>
      <c r="L2943" s="2">
        <v>1107</v>
      </c>
      <c r="M2943" s="15">
        <f t="shared" si="253"/>
        <v>15221.25</v>
      </c>
      <c r="N2943" t="str">
        <f t="shared" si="250"/>
        <v>BA</v>
      </c>
      <c r="O2943" t="str">
        <f t="shared" si="251"/>
        <v>Salvador</v>
      </c>
    </row>
    <row r="2944" spans="1:15" x14ac:dyDescent="0.3">
      <c r="A2944" s="10">
        <v>46082</v>
      </c>
      <c r="B2944" s="9" t="s">
        <v>21</v>
      </c>
      <c r="C2944" t="s">
        <v>228</v>
      </c>
      <c r="D2944" s="9">
        <v>19689</v>
      </c>
      <c r="E2944" s="5" t="s">
        <v>597</v>
      </c>
      <c r="F2944" t="s">
        <v>230</v>
      </c>
      <c r="G2944">
        <v>2132</v>
      </c>
      <c r="H2944">
        <v>1112</v>
      </c>
      <c r="I2944" s="8">
        <f t="shared" si="252"/>
        <v>0.52157598499061919</v>
      </c>
      <c r="J2944" s="17">
        <v>0.7</v>
      </c>
      <c r="K2944" s="12">
        <v>13.75</v>
      </c>
      <c r="L2944" s="2">
        <v>1020</v>
      </c>
      <c r="M2944" s="15">
        <f t="shared" si="253"/>
        <v>14025</v>
      </c>
      <c r="N2944" t="str">
        <f t="shared" si="250"/>
        <v>BA</v>
      </c>
      <c r="O2944" t="str">
        <f t="shared" si="251"/>
        <v>Salvador</v>
      </c>
    </row>
    <row r="2945" spans="1:15" x14ac:dyDescent="0.3">
      <c r="A2945" s="10">
        <v>46082</v>
      </c>
      <c r="B2945" s="9" t="s">
        <v>59</v>
      </c>
      <c r="C2945" t="s">
        <v>271</v>
      </c>
      <c r="D2945" s="9">
        <v>19775</v>
      </c>
      <c r="E2945" s="5" t="s">
        <v>598</v>
      </c>
      <c r="F2945" t="s">
        <v>272</v>
      </c>
      <c r="G2945">
        <v>1548</v>
      </c>
      <c r="H2945">
        <v>603</v>
      </c>
      <c r="I2945" s="8">
        <f t="shared" si="252"/>
        <v>0.38953488372093026</v>
      </c>
      <c r="J2945" s="17">
        <v>0.7</v>
      </c>
      <c r="K2945" s="12">
        <v>13.75</v>
      </c>
      <c r="L2945" s="2">
        <v>945</v>
      </c>
      <c r="M2945" s="15">
        <f t="shared" si="253"/>
        <v>12993.75</v>
      </c>
      <c r="N2945" t="str">
        <f t="shared" si="250"/>
        <v>ES</v>
      </c>
      <c r="O2945" t="str">
        <f t="shared" si="251"/>
        <v>Serra</v>
      </c>
    </row>
    <row r="2946" spans="1:15" x14ac:dyDescent="0.3">
      <c r="A2946" s="10">
        <v>46082</v>
      </c>
      <c r="B2946" s="9" t="s">
        <v>59</v>
      </c>
      <c r="C2946" t="s">
        <v>292</v>
      </c>
      <c r="D2946" s="9">
        <v>19580</v>
      </c>
      <c r="E2946" s="5" t="s">
        <v>599</v>
      </c>
      <c r="F2946" t="s">
        <v>293</v>
      </c>
      <c r="G2946">
        <v>2100</v>
      </c>
      <c r="H2946">
        <v>513</v>
      </c>
      <c r="I2946" s="8">
        <f t="shared" si="252"/>
        <v>0.24428571428571427</v>
      </c>
      <c r="J2946" s="17">
        <v>0.7</v>
      </c>
      <c r="K2946" s="12">
        <v>13.75</v>
      </c>
      <c r="L2946" s="2">
        <v>1587</v>
      </c>
      <c r="M2946" s="15">
        <f t="shared" si="253"/>
        <v>21821.25</v>
      </c>
      <c r="N2946" t="str">
        <f t="shared" ref="N2946:N2985" si="254">B2946</f>
        <v>ES</v>
      </c>
      <c r="O2946" t="str">
        <f t="shared" ref="O2946:O2985" si="255">C2946</f>
        <v>Vitória</v>
      </c>
    </row>
    <row r="2947" spans="1:15" x14ac:dyDescent="0.3">
      <c r="A2947" s="10">
        <v>46082</v>
      </c>
      <c r="B2947" s="9" t="s">
        <v>59</v>
      </c>
      <c r="C2947" t="s">
        <v>292</v>
      </c>
      <c r="D2947" s="9">
        <v>19719</v>
      </c>
      <c r="E2947" s="5" t="s">
        <v>600</v>
      </c>
      <c r="F2947" t="s">
        <v>294</v>
      </c>
      <c r="G2947">
        <v>1593</v>
      </c>
      <c r="H2947">
        <v>594</v>
      </c>
      <c r="I2947" s="8">
        <f t="shared" ref="I2947:I3010" si="256">H2947/G2947</f>
        <v>0.3728813559322034</v>
      </c>
      <c r="J2947" s="17">
        <v>0.7</v>
      </c>
      <c r="K2947" s="12">
        <v>13.75</v>
      </c>
      <c r="L2947" s="2">
        <v>999</v>
      </c>
      <c r="M2947" s="15">
        <f t="shared" ref="M2947:M3010" si="257">L2947*K2947</f>
        <v>13736.25</v>
      </c>
      <c r="N2947" t="str">
        <f t="shared" si="254"/>
        <v>ES</v>
      </c>
      <c r="O2947" t="str">
        <f t="shared" si="255"/>
        <v>Vitória</v>
      </c>
    </row>
    <row r="2948" spans="1:15" x14ac:dyDescent="0.3">
      <c r="A2948" s="10">
        <v>46082</v>
      </c>
      <c r="B2948" s="9" t="s">
        <v>3</v>
      </c>
      <c r="C2948" t="s">
        <v>193</v>
      </c>
      <c r="D2948" s="9">
        <v>19832</v>
      </c>
      <c r="E2948" s="5" t="s">
        <v>601</v>
      </c>
      <c r="F2948" t="s">
        <v>194</v>
      </c>
      <c r="G2948">
        <v>1099</v>
      </c>
      <c r="H2948">
        <v>388</v>
      </c>
      <c r="I2948" s="8">
        <f t="shared" si="256"/>
        <v>0.35304822565969063</v>
      </c>
      <c r="J2948" s="17">
        <v>0.7</v>
      </c>
      <c r="K2948" s="12">
        <v>13.75</v>
      </c>
      <c r="L2948" s="2">
        <v>711</v>
      </c>
      <c r="M2948" s="15">
        <f t="shared" si="257"/>
        <v>9776.25</v>
      </c>
      <c r="N2948" t="str">
        <f t="shared" si="254"/>
        <v>SP</v>
      </c>
      <c r="O2948" t="str">
        <f t="shared" si="255"/>
        <v>Ribeirão Preto</v>
      </c>
    </row>
    <row r="2949" spans="1:15" x14ac:dyDescent="0.3">
      <c r="A2949" s="10">
        <v>46082</v>
      </c>
      <c r="B2949" s="9" t="s">
        <v>6</v>
      </c>
      <c r="C2949" t="s">
        <v>236</v>
      </c>
      <c r="D2949" s="9">
        <v>19606</v>
      </c>
      <c r="E2949" s="5" t="s">
        <v>602</v>
      </c>
      <c r="F2949" t="s">
        <v>237</v>
      </c>
      <c r="G2949">
        <v>2016</v>
      </c>
      <c r="H2949">
        <v>1039</v>
      </c>
      <c r="I2949" s="8">
        <f t="shared" si="256"/>
        <v>0.51537698412698407</v>
      </c>
      <c r="J2949" s="17">
        <v>0.7</v>
      </c>
      <c r="K2949" s="12">
        <v>13.75</v>
      </c>
      <c r="L2949" s="2">
        <v>977</v>
      </c>
      <c r="M2949" s="15">
        <f t="shared" si="257"/>
        <v>13433.75</v>
      </c>
      <c r="N2949" t="str">
        <f t="shared" si="254"/>
        <v>PA</v>
      </c>
      <c r="O2949" t="str">
        <f t="shared" si="255"/>
        <v>Santarém</v>
      </c>
    </row>
    <row r="2950" spans="1:15" x14ac:dyDescent="0.3">
      <c r="A2950" s="10">
        <v>46082</v>
      </c>
      <c r="B2950" s="9" t="s">
        <v>14</v>
      </c>
      <c r="C2950" t="s">
        <v>29</v>
      </c>
      <c r="D2950" s="9">
        <v>19759</v>
      </c>
      <c r="E2950" s="5" t="s">
        <v>603</v>
      </c>
      <c r="F2950" t="s">
        <v>38</v>
      </c>
      <c r="G2950">
        <v>1352</v>
      </c>
      <c r="H2950">
        <v>643</v>
      </c>
      <c r="I2950" s="8">
        <f t="shared" si="256"/>
        <v>0.47559171597633138</v>
      </c>
      <c r="J2950" s="17">
        <v>0.7</v>
      </c>
      <c r="K2950" s="12">
        <v>13.75</v>
      </c>
      <c r="L2950" s="2">
        <v>709</v>
      </c>
      <c r="M2950" s="15">
        <f t="shared" si="257"/>
        <v>9748.75</v>
      </c>
      <c r="N2950" t="str">
        <f t="shared" si="254"/>
        <v>MG</v>
      </c>
      <c r="O2950" t="str">
        <f t="shared" si="255"/>
        <v>Belo Horizonte</v>
      </c>
    </row>
    <row r="2951" spans="1:15" x14ac:dyDescent="0.3">
      <c r="A2951" s="10">
        <v>46082</v>
      </c>
      <c r="B2951" s="9" t="s">
        <v>61</v>
      </c>
      <c r="C2951" t="s">
        <v>328</v>
      </c>
      <c r="D2951" s="9">
        <v>19706</v>
      </c>
      <c r="E2951" s="5" t="s">
        <v>604</v>
      </c>
      <c r="F2951" t="s">
        <v>77</v>
      </c>
      <c r="G2951">
        <v>2447</v>
      </c>
      <c r="H2951">
        <v>1179</v>
      </c>
      <c r="I2951" s="8">
        <f t="shared" si="256"/>
        <v>0.48181446669391093</v>
      </c>
      <c r="J2951" s="17">
        <v>0.7</v>
      </c>
      <c r="K2951" s="12">
        <v>13.75</v>
      </c>
      <c r="L2951" s="2">
        <v>1268</v>
      </c>
      <c r="M2951" s="15">
        <f t="shared" si="257"/>
        <v>17435</v>
      </c>
      <c r="N2951" t="str">
        <f t="shared" si="254"/>
        <v>PB</v>
      </c>
      <c r="O2951" t="str">
        <f t="shared" si="255"/>
        <v>João Pessoa</v>
      </c>
    </row>
    <row r="2952" spans="1:15" x14ac:dyDescent="0.3">
      <c r="A2952" s="10">
        <v>46082</v>
      </c>
      <c r="B2952" s="9" t="s">
        <v>59</v>
      </c>
      <c r="C2952" t="s">
        <v>289</v>
      </c>
      <c r="D2952" s="9">
        <v>19581</v>
      </c>
      <c r="E2952" s="5" t="s">
        <v>616</v>
      </c>
      <c r="F2952" t="s">
        <v>290</v>
      </c>
      <c r="G2952">
        <v>2226</v>
      </c>
      <c r="H2952">
        <v>710</v>
      </c>
      <c r="I2952" s="8">
        <f t="shared" si="256"/>
        <v>0.31895777178796048</v>
      </c>
      <c r="J2952" s="17">
        <v>0.7</v>
      </c>
      <c r="K2952" s="12">
        <v>13.75</v>
      </c>
      <c r="L2952" s="2">
        <v>1516</v>
      </c>
      <c r="M2952" s="15">
        <f t="shared" si="257"/>
        <v>20845</v>
      </c>
      <c r="N2952" t="str">
        <f t="shared" si="254"/>
        <v>ES</v>
      </c>
      <c r="O2952" t="str">
        <f t="shared" si="255"/>
        <v>Vila Velha</v>
      </c>
    </row>
    <row r="2953" spans="1:15" x14ac:dyDescent="0.3">
      <c r="A2953" s="10">
        <v>46082</v>
      </c>
      <c r="B2953" s="9" t="s">
        <v>15</v>
      </c>
      <c r="C2953" t="s">
        <v>171</v>
      </c>
      <c r="D2953" s="9">
        <v>19520</v>
      </c>
      <c r="E2953" s="5" t="s">
        <v>605</v>
      </c>
      <c r="F2953" t="s">
        <v>172</v>
      </c>
      <c r="G2953">
        <v>985</v>
      </c>
      <c r="H2953">
        <v>461</v>
      </c>
      <c r="I2953" s="8">
        <f t="shared" si="256"/>
        <v>0.46802030456852795</v>
      </c>
      <c r="J2953" s="17">
        <v>0.7</v>
      </c>
      <c r="K2953" s="12">
        <v>13.75</v>
      </c>
      <c r="L2953" s="2">
        <v>524</v>
      </c>
      <c r="M2953" s="15">
        <f t="shared" si="257"/>
        <v>7205</v>
      </c>
      <c r="N2953" t="str">
        <f t="shared" si="254"/>
        <v>RJ</v>
      </c>
      <c r="O2953" t="str">
        <f t="shared" si="255"/>
        <v>Petrópolis</v>
      </c>
    </row>
    <row r="2954" spans="1:15" x14ac:dyDescent="0.3">
      <c r="A2954" s="10">
        <v>46082</v>
      </c>
      <c r="B2954" s="9" t="s">
        <v>40</v>
      </c>
      <c r="C2954" t="s">
        <v>41</v>
      </c>
      <c r="D2954" s="9">
        <v>19868</v>
      </c>
      <c r="E2954" s="5" t="s">
        <v>606</v>
      </c>
      <c r="F2954" t="s">
        <v>43</v>
      </c>
      <c r="G2954">
        <v>1695</v>
      </c>
      <c r="H2954">
        <v>1203</v>
      </c>
      <c r="I2954" s="8">
        <f t="shared" si="256"/>
        <v>0.70973451327433623</v>
      </c>
      <c r="J2954" s="17">
        <v>0.7</v>
      </c>
      <c r="K2954" s="12">
        <v>13.75</v>
      </c>
      <c r="L2954" s="2">
        <v>492</v>
      </c>
      <c r="M2954" s="15">
        <f t="shared" si="257"/>
        <v>6765</v>
      </c>
      <c r="N2954" t="str">
        <f t="shared" si="254"/>
        <v>RR</v>
      </c>
      <c r="O2954" t="str">
        <f t="shared" si="255"/>
        <v>Boa Vista</v>
      </c>
    </row>
    <row r="2955" spans="1:15" x14ac:dyDescent="0.3">
      <c r="A2955" s="10">
        <v>46082</v>
      </c>
      <c r="B2955" s="9" t="s">
        <v>78</v>
      </c>
      <c r="C2955" t="s">
        <v>323</v>
      </c>
      <c r="D2955" s="9">
        <v>19958</v>
      </c>
      <c r="E2955" s="5" t="s">
        <v>615</v>
      </c>
      <c r="F2955" t="s">
        <v>627</v>
      </c>
      <c r="G2955">
        <v>1573</v>
      </c>
      <c r="H2955">
        <v>831</v>
      </c>
      <c r="I2955" s="8">
        <f t="shared" si="256"/>
        <v>0.52828989192625553</v>
      </c>
      <c r="J2955" s="17">
        <v>0.7</v>
      </c>
      <c r="K2955" s="12">
        <v>13.75</v>
      </c>
      <c r="L2955" s="2">
        <v>742</v>
      </c>
      <c r="M2955" s="15">
        <f t="shared" si="257"/>
        <v>10202.5</v>
      </c>
      <c r="N2955" t="str">
        <f t="shared" si="254"/>
        <v>MT</v>
      </c>
      <c r="O2955" t="str">
        <f t="shared" si="255"/>
        <v>Tangará da Serra</v>
      </c>
    </row>
    <row r="2956" spans="1:15" x14ac:dyDescent="0.3">
      <c r="A2956" s="10">
        <v>46082</v>
      </c>
      <c r="B2956" s="9" t="s">
        <v>15</v>
      </c>
      <c r="C2956" t="s">
        <v>151</v>
      </c>
      <c r="D2956" s="9">
        <v>19599</v>
      </c>
      <c r="E2956" s="5" t="s">
        <v>607</v>
      </c>
      <c r="F2956" t="s">
        <v>152</v>
      </c>
      <c r="G2956">
        <v>2651</v>
      </c>
      <c r="H2956">
        <v>1297</v>
      </c>
      <c r="I2956" s="8">
        <f t="shared" si="256"/>
        <v>0.48924933987174651</v>
      </c>
      <c r="J2956" s="17">
        <v>0.7</v>
      </c>
      <c r="K2956" s="12">
        <v>13.75</v>
      </c>
      <c r="L2956" s="2">
        <v>1354</v>
      </c>
      <c r="M2956" s="15">
        <f t="shared" si="257"/>
        <v>18617.5</v>
      </c>
      <c r="N2956" t="str">
        <f t="shared" si="254"/>
        <v>RJ</v>
      </c>
      <c r="O2956" t="str">
        <f t="shared" si="255"/>
        <v>Nova Iguaçu</v>
      </c>
    </row>
    <row r="2957" spans="1:15" x14ac:dyDescent="0.3">
      <c r="A2957" s="10">
        <v>46082</v>
      </c>
      <c r="B2957" s="9" t="s">
        <v>3</v>
      </c>
      <c r="C2957" t="s">
        <v>248</v>
      </c>
      <c r="D2957" s="9">
        <v>19855</v>
      </c>
      <c r="E2957" s="5" t="s">
        <v>608</v>
      </c>
      <c r="F2957" t="s">
        <v>257</v>
      </c>
      <c r="G2957">
        <v>1229</v>
      </c>
      <c r="H2957">
        <v>411</v>
      </c>
      <c r="I2957" s="8">
        <f t="shared" si="256"/>
        <v>0.33441822620016276</v>
      </c>
      <c r="J2957" s="17">
        <v>0.7</v>
      </c>
      <c r="K2957" s="12">
        <v>13.75</v>
      </c>
      <c r="L2957" s="2">
        <v>818</v>
      </c>
      <c r="M2957" s="15">
        <f t="shared" si="257"/>
        <v>11247.5</v>
      </c>
      <c r="N2957" t="str">
        <f t="shared" si="254"/>
        <v>SP</v>
      </c>
      <c r="O2957" t="str">
        <f t="shared" si="255"/>
        <v>São Paulo</v>
      </c>
    </row>
    <row r="2958" spans="1:15" x14ac:dyDescent="0.3">
      <c r="A2958" s="10">
        <v>46082</v>
      </c>
      <c r="B2958" s="9" t="s">
        <v>3</v>
      </c>
      <c r="C2958" t="s">
        <v>248</v>
      </c>
      <c r="D2958" s="9">
        <v>19821</v>
      </c>
      <c r="E2958" s="5" t="s">
        <v>609</v>
      </c>
      <c r="F2958" t="s">
        <v>256</v>
      </c>
      <c r="G2958">
        <v>1444</v>
      </c>
      <c r="H2958">
        <v>582</v>
      </c>
      <c r="I2958" s="8">
        <f t="shared" si="256"/>
        <v>0.40304709141274236</v>
      </c>
      <c r="J2958" s="17">
        <v>0.7</v>
      </c>
      <c r="K2958" s="12">
        <v>13.75</v>
      </c>
      <c r="L2958" s="2">
        <v>862</v>
      </c>
      <c r="M2958" s="15">
        <f t="shared" si="257"/>
        <v>11852.5</v>
      </c>
      <c r="N2958" t="str">
        <f t="shared" si="254"/>
        <v>SP</v>
      </c>
      <c r="O2958" t="str">
        <f t="shared" si="255"/>
        <v>São Paulo</v>
      </c>
    </row>
    <row r="2959" spans="1:15" x14ac:dyDescent="0.3">
      <c r="A2959" s="10">
        <v>46082</v>
      </c>
      <c r="B2959" s="9" t="s">
        <v>14</v>
      </c>
      <c r="C2959" t="s">
        <v>283</v>
      </c>
      <c r="D2959" s="9">
        <v>19912</v>
      </c>
      <c r="E2959" s="5" t="s">
        <v>610</v>
      </c>
      <c r="F2959" t="s">
        <v>284</v>
      </c>
      <c r="G2959">
        <v>1902</v>
      </c>
      <c r="H2959">
        <v>944</v>
      </c>
      <c r="I2959" s="8">
        <f t="shared" si="256"/>
        <v>0.49631966351209256</v>
      </c>
      <c r="J2959" s="17">
        <v>0.7</v>
      </c>
      <c r="K2959" s="12">
        <v>13.75</v>
      </c>
      <c r="L2959" s="2">
        <v>958</v>
      </c>
      <c r="M2959" s="15">
        <f t="shared" si="257"/>
        <v>13172.5</v>
      </c>
      <c r="N2959" t="str">
        <f t="shared" si="254"/>
        <v>MG</v>
      </c>
      <c r="O2959" t="str">
        <f t="shared" si="255"/>
        <v>Uberaba</v>
      </c>
    </row>
    <row r="2960" spans="1:15" x14ac:dyDescent="0.3">
      <c r="A2960" s="10">
        <v>46082</v>
      </c>
      <c r="B2960" s="9" t="s">
        <v>6</v>
      </c>
      <c r="C2960" t="s">
        <v>26</v>
      </c>
      <c r="D2960" s="9">
        <v>19959</v>
      </c>
      <c r="E2960" s="5" t="s">
        <v>620</v>
      </c>
      <c r="F2960" t="s">
        <v>327</v>
      </c>
      <c r="G2960">
        <v>546</v>
      </c>
      <c r="H2960">
        <v>327</v>
      </c>
      <c r="I2960" s="8">
        <f t="shared" si="256"/>
        <v>0.59890109890109888</v>
      </c>
      <c r="J2960" s="17">
        <v>0.7</v>
      </c>
      <c r="K2960" s="12">
        <v>13.75</v>
      </c>
      <c r="L2960" s="2">
        <v>219</v>
      </c>
      <c r="M2960" s="15">
        <f t="shared" si="257"/>
        <v>3011.25</v>
      </c>
      <c r="N2960" t="str">
        <f t="shared" si="254"/>
        <v>PA</v>
      </c>
      <c r="O2960" t="str">
        <f t="shared" si="255"/>
        <v>Belém</v>
      </c>
    </row>
    <row r="2961" spans="1:15" x14ac:dyDescent="0.3">
      <c r="A2961" s="10">
        <v>46082</v>
      </c>
      <c r="B2961" s="9" t="s">
        <v>15</v>
      </c>
      <c r="C2961" t="s">
        <v>329</v>
      </c>
      <c r="D2961" s="9">
        <v>19962</v>
      </c>
      <c r="E2961" s="5" t="s">
        <v>621</v>
      </c>
      <c r="F2961" t="s">
        <v>330</v>
      </c>
      <c r="G2961">
        <v>650</v>
      </c>
      <c r="H2961">
        <v>346</v>
      </c>
      <c r="I2961" s="8">
        <f t="shared" si="256"/>
        <v>0.53230769230769226</v>
      </c>
      <c r="J2961" s="17">
        <v>0.7</v>
      </c>
      <c r="K2961" s="12">
        <v>13.75</v>
      </c>
      <c r="L2961" s="2">
        <v>304</v>
      </c>
      <c r="M2961" s="15">
        <f t="shared" si="257"/>
        <v>4180</v>
      </c>
      <c r="N2961" t="str">
        <f t="shared" si="254"/>
        <v>RJ</v>
      </c>
      <c r="O2961" t="str">
        <f t="shared" si="255"/>
        <v>Araruama</v>
      </c>
    </row>
    <row r="2962" spans="1:15" x14ac:dyDescent="0.3">
      <c r="A2962" s="10">
        <v>46082</v>
      </c>
      <c r="B2962" s="9" t="s">
        <v>82</v>
      </c>
      <c r="C2962" t="s">
        <v>314</v>
      </c>
      <c r="D2962" s="9">
        <v>19772</v>
      </c>
      <c r="E2962" s="5" t="s">
        <v>613</v>
      </c>
      <c r="F2962" t="s">
        <v>96</v>
      </c>
      <c r="G2962">
        <v>1138</v>
      </c>
      <c r="H2962">
        <v>689</v>
      </c>
      <c r="I2962" s="8">
        <f t="shared" si="256"/>
        <v>0.60544815465729351</v>
      </c>
      <c r="J2962" s="17">
        <v>0.7</v>
      </c>
      <c r="K2962" s="12">
        <v>13.75</v>
      </c>
      <c r="L2962" s="2">
        <v>449</v>
      </c>
      <c r="M2962" s="15">
        <f t="shared" si="257"/>
        <v>6173.75</v>
      </c>
      <c r="N2962" t="str">
        <f t="shared" si="254"/>
        <v>PR</v>
      </c>
      <c r="O2962" t="str">
        <f t="shared" si="255"/>
        <v>Foz do Iguaçu</v>
      </c>
    </row>
    <row r="2963" spans="1:15" x14ac:dyDescent="0.3">
      <c r="A2963" s="10">
        <v>46082</v>
      </c>
      <c r="B2963" s="9" t="s">
        <v>46</v>
      </c>
      <c r="C2963" t="s">
        <v>47</v>
      </c>
      <c r="D2963" s="9">
        <v>19666</v>
      </c>
      <c r="E2963" s="5" t="s">
        <v>617</v>
      </c>
      <c r="F2963" t="s">
        <v>49</v>
      </c>
      <c r="G2963">
        <v>2781</v>
      </c>
      <c r="H2963">
        <v>1068</v>
      </c>
      <c r="I2963" s="8">
        <f t="shared" si="256"/>
        <v>0.38403451995685006</v>
      </c>
      <c r="J2963" s="17">
        <v>0.7</v>
      </c>
      <c r="K2963" s="12">
        <v>13.75</v>
      </c>
      <c r="L2963" s="2">
        <v>1713</v>
      </c>
      <c r="M2963" s="15">
        <f t="shared" si="257"/>
        <v>23553.75</v>
      </c>
      <c r="N2963" t="str">
        <f t="shared" si="254"/>
        <v>DF</v>
      </c>
      <c r="O2963" t="str">
        <f t="shared" si="255"/>
        <v>Brasília</v>
      </c>
    </row>
    <row r="2964" spans="1:15" x14ac:dyDescent="0.3">
      <c r="A2964" s="10">
        <v>46082</v>
      </c>
      <c r="B2964" s="9" t="s">
        <v>14</v>
      </c>
      <c r="C2964" t="s">
        <v>325</v>
      </c>
      <c r="D2964" s="9">
        <v>19961</v>
      </c>
      <c r="E2964" s="5" t="s">
        <v>622</v>
      </c>
      <c r="F2964" t="s">
        <v>326</v>
      </c>
      <c r="G2964">
        <v>719</v>
      </c>
      <c r="H2964">
        <v>266</v>
      </c>
      <c r="I2964" s="8">
        <f t="shared" si="256"/>
        <v>0.36995827538247567</v>
      </c>
      <c r="J2964" s="17">
        <v>0.7</v>
      </c>
      <c r="K2964" s="12">
        <v>13.75</v>
      </c>
      <c r="L2964" s="2">
        <v>453</v>
      </c>
      <c r="M2964" s="15">
        <f t="shared" si="257"/>
        <v>6228.75</v>
      </c>
      <c r="N2964" t="str">
        <f t="shared" si="254"/>
        <v>MG</v>
      </c>
      <c r="O2964" t="str">
        <f t="shared" si="255"/>
        <v>Coronel Fabriciano</v>
      </c>
    </row>
    <row r="2965" spans="1:15" x14ac:dyDescent="0.3">
      <c r="A2965" s="10">
        <v>46082</v>
      </c>
      <c r="B2965" s="9" t="s">
        <v>14</v>
      </c>
      <c r="C2965" t="s">
        <v>334</v>
      </c>
      <c r="D2965" s="9">
        <v>19963</v>
      </c>
      <c r="E2965" s="5" t="s">
        <v>623</v>
      </c>
      <c r="F2965" t="s">
        <v>335</v>
      </c>
      <c r="G2965">
        <v>1536</v>
      </c>
      <c r="H2965">
        <v>600</v>
      </c>
      <c r="I2965" s="8">
        <f t="shared" si="256"/>
        <v>0.390625</v>
      </c>
      <c r="J2965" s="17">
        <v>0.7</v>
      </c>
      <c r="K2965" s="12">
        <v>13.75</v>
      </c>
      <c r="L2965" s="2">
        <v>936</v>
      </c>
      <c r="M2965" s="15">
        <f t="shared" si="257"/>
        <v>12870</v>
      </c>
      <c r="N2965" t="str">
        <f t="shared" si="254"/>
        <v>MG</v>
      </c>
      <c r="O2965" t="str">
        <f t="shared" si="255"/>
        <v>Pouso Alegre</v>
      </c>
    </row>
    <row r="2966" spans="1:15" x14ac:dyDescent="0.3">
      <c r="A2966" s="10">
        <v>46082</v>
      </c>
      <c r="B2966" s="9" t="s">
        <v>82</v>
      </c>
      <c r="C2966" t="s">
        <v>83</v>
      </c>
      <c r="D2966" s="9">
        <v>19547</v>
      </c>
      <c r="E2966" s="5" t="s">
        <v>618</v>
      </c>
      <c r="F2966" t="s">
        <v>87</v>
      </c>
      <c r="G2966">
        <v>1864</v>
      </c>
      <c r="H2966">
        <v>518</v>
      </c>
      <c r="I2966" s="8">
        <f t="shared" si="256"/>
        <v>0.27789699570815452</v>
      </c>
      <c r="J2966" s="17">
        <v>0.7</v>
      </c>
      <c r="K2966" s="12">
        <v>13.75</v>
      </c>
      <c r="L2966" s="2">
        <v>1346</v>
      </c>
      <c r="M2966" s="15">
        <f t="shared" si="257"/>
        <v>18507.5</v>
      </c>
      <c r="N2966" t="str">
        <f t="shared" si="254"/>
        <v>PR</v>
      </c>
      <c r="O2966" t="str">
        <f t="shared" si="255"/>
        <v>Curitiba</v>
      </c>
    </row>
    <row r="2967" spans="1:15" x14ac:dyDescent="0.3">
      <c r="A2967" s="10">
        <v>46113</v>
      </c>
      <c r="B2967" s="9" t="s">
        <v>15</v>
      </c>
      <c r="C2967" t="s">
        <v>358</v>
      </c>
      <c r="D2967" s="9">
        <v>19685</v>
      </c>
      <c r="E2967" s="5" t="s">
        <v>359</v>
      </c>
      <c r="F2967" t="s">
        <v>198</v>
      </c>
      <c r="G2967">
        <v>1271</v>
      </c>
      <c r="H2967">
        <v>511</v>
      </c>
      <c r="I2967" s="8">
        <f t="shared" si="256"/>
        <v>0.4020456333595594</v>
      </c>
      <c r="J2967" s="17">
        <v>0.7</v>
      </c>
      <c r="K2967" s="12">
        <v>13.75</v>
      </c>
      <c r="L2967" s="2">
        <v>760</v>
      </c>
      <c r="M2967" s="15">
        <f t="shared" si="257"/>
        <v>10450</v>
      </c>
      <c r="N2967" t="str">
        <f t="shared" si="254"/>
        <v>RJ</v>
      </c>
      <c r="O2967" t="str">
        <f t="shared" si="255"/>
        <v>Rio De Janeiro</v>
      </c>
    </row>
    <row r="2968" spans="1:15" x14ac:dyDescent="0.3">
      <c r="A2968" s="10">
        <v>46113</v>
      </c>
      <c r="B2968" s="9" t="s">
        <v>15</v>
      </c>
      <c r="C2968" t="s">
        <v>358</v>
      </c>
      <c r="D2968" s="9">
        <v>19521</v>
      </c>
      <c r="E2968" s="5" t="s">
        <v>371</v>
      </c>
      <c r="F2968" t="s">
        <v>199</v>
      </c>
      <c r="G2968">
        <v>3377</v>
      </c>
      <c r="H2968">
        <v>1710</v>
      </c>
      <c r="I2968" s="8">
        <f t="shared" si="256"/>
        <v>0.50636659757180935</v>
      </c>
      <c r="J2968" s="17">
        <v>0.7</v>
      </c>
      <c r="K2968" s="12">
        <v>13.75</v>
      </c>
      <c r="L2968" s="2">
        <v>1667</v>
      </c>
      <c r="M2968" s="15">
        <f t="shared" si="257"/>
        <v>22921.25</v>
      </c>
      <c r="N2968" t="str">
        <f t="shared" si="254"/>
        <v>RJ</v>
      </c>
      <c r="O2968" t="str">
        <f t="shared" si="255"/>
        <v>Rio De Janeiro</v>
      </c>
    </row>
    <row r="2969" spans="1:15" x14ac:dyDescent="0.3">
      <c r="A2969" s="10">
        <v>46113</v>
      </c>
      <c r="B2969" s="9" t="s">
        <v>14</v>
      </c>
      <c r="C2969" t="s">
        <v>285</v>
      </c>
      <c r="D2969" s="9">
        <v>19563</v>
      </c>
      <c r="E2969" s="5" t="s">
        <v>374</v>
      </c>
      <c r="F2969" t="s">
        <v>286</v>
      </c>
      <c r="G2969">
        <v>2808</v>
      </c>
      <c r="H2969">
        <v>909</v>
      </c>
      <c r="I2969" s="8">
        <f t="shared" si="256"/>
        <v>0.32371794871794873</v>
      </c>
      <c r="J2969" s="17">
        <v>0.7</v>
      </c>
      <c r="K2969" s="12">
        <v>13.75</v>
      </c>
      <c r="L2969" s="2">
        <v>1899</v>
      </c>
      <c r="M2969" s="15">
        <f t="shared" si="257"/>
        <v>26111.25</v>
      </c>
      <c r="N2969" t="str">
        <f t="shared" si="254"/>
        <v>MG</v>
      </c>
      <c r="O2969" t="str">
        <f t="shared" si="255"/>
        <v>Uberlândia</v>
      </c>
    </row>
    <row r="2970" spans="1:15" x14ac:dyDescent="0.3">
      <c r="A2970" s="10">
        <v>46113</v>
      </c>
      <c r="B2970" s="9" t="s">
        <v>6</v>
      </c>
      <c r="C2970" t="s">
        <v>26</v>
      </c>
      <c r="D2970" s="9">
        <v>19597</v>
      </c>
      <c r="E2970" s="5" t="s">
        <v>375</v>
      </c>
      <c r="F2970" t="s">
        <v>27</v>
      </c>
      <c r="G2970">
        <v>3474</v>
      </c>
      <c r="H2970">
        <v>1935</v>
      </c>
      <c r="I2970" s="8">
        <f t="shared" si="256"/>
        <v>0.55699481865284972</v>
      </c>
      <c r="J2970" s="17">
        <v>0.7</v>
      </c>
      <c r="K2970" s="12">
        <v>13.75</v>
      </c>
      <c r="L2970" s="2">
        <v>1539</v>
      </c>
      <c r="M2970" s="15">
        <f t="shared" si="257"/>
        <v>21161.25</v>
      </c>
      <c r="N2970" t="str">
        <f t="shared" si="254"/>
        <v>PA</v>
      </c>
      <c r="O2970" t="str">
        <f t="shared" si="255"/>
        <v>Belém</v>
      </c>
    </row>
    <row r="2971" spans="1:15" x14ac:dyDescent="0.3">
      <c r="A2971" s="10">
        <v>46113</v>
      </c>
      <c r="B2971" s="9" t="s">
        <v>15</v>
      </c>
      <c r="C2971" t="s">
        <v>296</v>
      </c>
      <c r="D2971" s="9">
        <v>19524</v>
      </c>
      <c r="E2971" s="5" t="s">
        <v>376</v>
      </c>
      <c r="F2971" t="s">
        <v>297</v>
      </c>
      <c r="G2971">
        <v>2103</v>
      </c>
      <c r="H2971">
        <v>867</v>
      </c>
      <c r="I2971" s="8">
        <f t="shared" si="256"/>
        <v>0.41226818830242512</v>
      </c>
      <c r="J2971" s="17">
        <v>0.7</v>
      </c>
      <c r="K2971" s="12">
        <v>13.75</v>
      </c>
      <c r="L2971" s="2">
        <v>1236</v>
      </c>
      <c r="M2971" s="15">
        <f t="shared" si="257"/>
        <v>16995</v>
      </c>
      <c r="N2971" t="str">
        <f t="shared" si="254"/>
        <v>RJ</v>
      </c>
      <c r="O2971" t="str">
        <f t="shared" si="255"/>
        <v>Volta Redonda</v>
      </c>
    </row>
    <row r="2972" spans="1:15" x14ac:dyDescent="0.3">
      <c r="A2972" s="10">
        <v>46113</v>
      </c>
      <c r="B2972" s="9" t="s">
        <v>160</v>
      </c>
      <c r="C2972" t="s">
        <v>279</v>
      </c>
      <c r="D2972" s="9">
        <v>19564</v>
      </c>
      <c r="E2972" s="5" t="s">
        <v>378</v>
      </c>
      <c r="F2972" t="s">
        <v>280</v>
      </c>
      <c r="G2972">
        <v>1643</v>
      </c>
      <c r="H2972">
        <v>782</v>
      </c>
      <c r="I2972" s="8">
        <f t="shared" si="256"/>
        <v>0.47595861229458308</v>
      </c>
      <c r="J2972" s="17">
        <v>0.7</v>
      </c>
      <c r="K2972" s="12">
        <v>13.75</v>
      </c>
      <c r="L2972" s="2">
        <v>861</v>
      </c>
      <c r="M2972" s="15">
        <f t="shared" si="257"/>
        <v>11838.75</v>
      </c>
      <c r="N2972" t="str">
        <f t="shared" si="254"/>
        <v>PI</v>
      </c>
      <c r="O2972" t="str">
        <f t="shared" si="255"/>
        <v>Teresina</v>
      </c>
    </row>
    <row r="2973" spans="1:15" x14ac:dyDescent="0.3">
      <c r="A2973" s="10">
        <v>46113</v>
      </c>
      <c r="B2973" s="9" t="s">
        <v>15</v>
      </c>
      <c r="C2973" t="s">
        <v>358</v>
      </c>
      <c r="D2973" s="9">
        <v>19536</v>
      </c>
      <c r="E2973" s="5" t="s">
        <v>379</v>
      </c>
      <c r="F2973" t="s">
        <v>200</v>
      </c>
      <c r="G2973">
        <v>2577</v>
      </c>
      <c r="H2973">
        <v>908</v>
      </c>
      <c r="I2973" s="8">
        <f t="shared" si="256"/>
        <v>0.35234769111369812</v>
      </c>
      <c r="J2973" s="17">
        <v>0.7</v>
      </c>
      <c r="K2973" s="12">
        <v>13.75</v>
      </c>
      <c r="L2973" s="2">
        <v>1669</v>
      </c>
      <c r="M2973" s="15">
        <f t="shared" si="257"/>
        <v>22948.75</v>
      </c>
      <c r="N2973" t="str">
        <f t="shared" si="254"/>
        <v>RJ</v>
      </c>
      <c r="O2973" t="str">
        <f t="shared" si="255"/>
        <v>Rio De Janeiro</v>
      </c>
    </row>
    <row r="2974" spans="1:15" x14ac:dyDescent="0.3">
      <c r="A2974" s="10">
        <v>46113</v>
      </c>
      <c r="B2974" s="9" t="s">
        <v>15</v>
      </c>
      <c r="C2974" t="s">
        <v>358</v>
      </c>
      <c r="D2974" s="9">
        <v>19727</v>
      </c>
      <c r="E2974" s="5" t="s">
        <v>380</v>
      </c>
      <c r="F2974" t="s">
        <v>201</v>
      </c>
      <c r="G2974">
        <v>1462</v>
      </c>
      <c r="H2974">
        <v>689</v>
      </c>
      <c r="I2974" s="8">
        <f t="shared" si="256"/>
        <v>0.47127222982216144</v>
      </c>
      <c r="J2974" s="17">
        <v>0.7</v>
      </c>
      <c r="K2974" s="12">
        <v>13.75</v>
      </c>
      <c r="L2974" s="2">
        <v>773</v>
      </c>
      <c r="M2974" s="15">
        <f t="shared" si="257"/>
        <v>10628.75</v>
      </c>
      <c r="N2974" t="str">
        <f t="shared" si="254"/>
        <v>RJ</v>
      </c>
      <c r="O2974" t="str">
        <f t="shared" si="255"/>
        <v>Rio De Janeiro</v>
      </c>
    </row>
    <row r="2975" spans="1:15" x14ac:dyDescent="0.3">
      <c r="A2975" s="10">
        <v>46113</v>
      </c>
      <c r="B2975" s="9" t="s">
        <v>3</v>
      </c>
      <c r="C2975" t="s">
        <v>248</v>
      </c>
      <c r="D2975" s="9">
        <v>19572</v>
      </c>
      <c r="E2975" s="5" t="s">
        <v>381</v>
      </c>
      <c r="F2975" t="s">
        <v>249</v>
      </c>
      <c r="G2975">
        <v>3731</v>
      </c>
      <c r="H2975">
        <v>1583</v>
      </c>
      <c r="I2975" s="8">
        <f t="shared" si="256"/>
        <v>0.42428303403913159</v>
      </c>
      <c r="J2975" s="17">
        <v>0.7</v>
      </c>
      <c r="K2975" s="12">
        <v>13.75</v>
      </c>
      <c r="L2975" s="2">
        <v>2148</v>
      </c>
      <c r="M2975" s="15">
        <f t="shared" si="257"/>
        <v>29535</v>
      </c>
      <c r="N2975" t="str">
        <f t="shared" si="254"/>
        <v>SP</v>
      </c>
      <c r="O2975" t="str">
        <f t="shared" si="255"/>
        <v>São Paulo</v>
      </c>
    </row>
    <row r="2976" spans="1:15" x14ac:dyDescent="0.3">
      <c r="A2976" s="10">
        <v>46113</v>
      </c>
      <c r="B2976" s="9" t="s">
        <v>3</v>
      </c>
      <c r="C2976" t="s">
        <v>167</v>
      </c>
      <c r="D2976" s="9">
        <v>19578</v>
      </c>
      <c r="E2976" s="5" t="s">
        <v>382</v>
      </c>
      <c r="F2976" t="s">
        <v>168</v>
      </c>
      <c r="G2976">
        <v>1817</v>
      </c>
      <c r="H2976">
        <v>654</v>
      </c>
      <c r="I2976" s="8">
        <f t="shared" si="256"/>
        <v>0.35993395707209686</v>
      </c>
      <c r="J2976" s="17">
        <v>0.7</v>
      </c>
      <c r="K2976" s="12">
        <v>13.75</v>
      </c>
      <c r="L2976" s="2">
        <v>1163</v>
      </c>
      <c r="M2976" s="15">
        <f t="shared" si="257"/>
        <v>15991.25</v>
      </c>
      <c r="N2976" t="str">
        <f t="shared" si="254"/>
        <v>SP</v>
      </c>
      <c r="O2976" t="str">
        <f t="shared" si="255"/>
        <v>Perdizes</v>
      </c>
    </row>
    <row r="2977" spans="1:15" x14ac:dyDescent="0.3">
      <c r="A2977" s="10">
        <v>46113</v>
      </c>
      <c r="B2977" s="9" t="s">
        <v>3</v>
      </c>
      <c r="C2977" t="s">
        <v>248</v>
      </c>
      <c r="D2977" s="9">
        <v>19774</v>
      </c>
      <c r="E2977" s="5" t="s">
        <v>383</v>
      </c>
      <c r="F2977" t="s">
        <v>250</v>
      </c>
      <c r="G2977">
        <v>2703</v>
      </c>
      <c r="H2977">
        <v>1068</v>
      </c>
      <c r="I2977" s="8">
        <f t="shared" si="256"/>
        <v>0.39511653718091011</v>
      </c>
      <c r="J2977" s="17">
        <v>0.7</v>
      </c>
      <c r="K2977" s="12">
        <v>13.75</v>
      </c>
      <c r="L2977" s="2">
        <v>1635</v>
      </c>
      <c r="M2977" s="15">
        <f t="shared" si="257"/>
        <v>22481.25</v>
      </c>
      <c r="N2977" t="str">
        <f t="shared" si="254"/>
        <v>SP</v>
      </c>
      <c r="O2977" t="str">
        <f t="shared" si="255"/>
        <v>São Paulo</v>
      </c>
    </row>
    <row r="2978" spans="1:15" x14ac:dyDescent="0.3">
      <c r="A2978" s="10">
        <v>46113</v>
      </c>
      <c r="B2978" s="9" t="s">
        <v>46</v>
      </c>
      <c r="C2978" t="s">
        <v>47</v>
      </c>
      <c r="D2978" s="9">
        <v>19551</v>
      </c>
      <c r="E2978" s="5" t="s">
        <v>384</v>
      </c>
      <c r="F2978" t="s">
        <v>48</v>
      </c>
      <c r="G2978">
        <v>2535</v>
      </c>
      <c r="H2978">
        <v>995</v>
      </c>
      <c r="I2978" s="8">
        <f t="shared" si="256"/>
        <v>0.39250493096646943</v>
      </c>
      <c r="J2978" s="17">
        <v>0.7</v>
      </c>
      <c r="K2978" s="12">
        <v>13.75</v>
      </c>
      <c r="L2978" s="2">
        <v>1540</v>
      </c>
      <c r="M2978" s="15">
        <f t="shared" si="257"/>
        <v>21175</v>
      </c>
      <c r="N2978" t="str">
        <f t="shared" si="254"/>
        <v>DF</v>
      </c>
      <c r="O2978" t="str">
        <f t="shared" si="255"/>
        <v>Brasília</v>
      </c>
    </row>
    <row r="2979" spans="1:15" x14ac:dyDescent="0.3">
      <c r="A2979" s="10">
        <v>46113</v>
      </c>
      <c r="B2979" s="9" t="s">
        <v>15</v>
      </c>
      <c r="C2979" t="s">
        <v>151</v>
      </c>
      <c r="D2979" s="9">
        <v>19596</v>
      </c>
      <c r="E2979" s="5" t="s">
        <v>385</v>
      </c>
      <c r="F2979" t="s">
        <v>153</v>
      </c>
      <c r="G2979">
        <v>2385</v>
      </c>
      <c r="H2979">
        <v>938</v>
      </c>
      <c r="I2979" s="8">
        <f t="shared" si="256"/>
        <v>0.39329140461215933</v>
      </c>
      <c r="J2979" s="17">
        <v>0.7</v>
      </c>
      <c r="K2979" s="12">
        <v>13.75</v>
      </c>
      <c r="L2979" s="2">
        <v>1447</v>
      </c>
      <c r="M2979" s="15">
        <f t="shared" si="257"/>
        <v>19896.25</v>
      </c>
      <c r="N2979" t="str">
        <f t="shared" si="254"/>
        <v>RJ</v>
      </c>
      <c r="O2979" t="str">
        <f t="shared" si="255"/>
        <v>Nova Iguaçu</v>
      </c>
    </row>
    <row r="2980" spans="1:15" x14ac:dyDescent="0.3">
      <c r="A2980" s="10">
        <v>46113</v>
      </c>
      <c r="B2980" s="9" t="s">
        <v>15</v>
      </c>
      <c r="C2980" t="s">
        <v>358</v>
      </c>
      <c r="D2980" s="9">
        <v>19618</v>
      </c>
      <c r="E2980" s="5" t="s">
        <v>386</v>
      </c>
      <c r="F2980" t="s">
        <v>202</v>
      </c>
      <c r="G2980">
        <v>2480</v>
      </c>
      <c r="H2980">
        <v>1086</v>
      </c>
      <c r="I2980" s="8">
        <f t="shared" si="256"/>
        <v>0.43790322580645163</v>
      </c>
      <c r="J2980" s="17">
        <v>0.7</v>
      </c>
      <c r="K2980" s="12">
        <v>13.75</v>
      </c>
      <c r="L2980" s="2">
        <v>1394</v>
      </c>
      <c r="M2980" s="15">
        <f t="shared" si="257"/>
        <v>19167.5</v>
      </c>
      <c r="N2980" t="str">
        <f t="shared" si="254"/>
        <v>RJ</v>
      </c>
      <c r="O2980" t="str">
        <f t="shared" si="255"/>
        <v>Rio De Janeiro</v>
      </c>
    </row>
    <row r="2981" spans="1:15" x14ac:dyDescent="0.3">
      <c r="A2981" s="10">
        <v>46113</v>
      </c>
      <c r="B2981" s="9" t="s">
        <v>21</v>
      </c>
      <c r="C2981" t="s">
        <v>22</v>
      </c>
      <c r="D2981" s="9">
        <v>19741</v>
      </c>
      <c r="E2981" s="5" t="s">
        <v>387</v>
      </c>
      <c r="F2981" t="s">
        <v>23</v>
      </c>
      <c r="G2981">
        <v>1778</v>
      </c>
      <c r="H2981">
        <v>900</v>
      </c>
      <c r="I2981" s="8">
        <f t="shared" si="256"/>
        <v>0.50618672665916764</v>
      </c>
      <c r="J2981" s="17">
        <v>0.7</v>
      </c>
      <c r="K2981" s="12">
        <v>13.75</v>
      </c>
      <c r="L2981" s="2">
        <v>878</v>
      </c>
      <c r="M2981" s="15">
        <f t="shared" si="257"/>
        <v>12072.5</v>
      </c>
      <c r="N2981" t="str">
        <f t="shared" si="254"/>
        <v>BA</v>
      </c>
      <c r="O2981" t="str">
        <f t="shared" si="255"/>
        <v>Barreiras</v>
      </c>
    </row>
    <row r="2982" spans="1:15" x14ac:dyDescent="0.3">
      <c r="A2982" s="10">
        <v>46113</v>
      </c>
      <c r="B2982" s="9" t="s">
        <v>74</v>
      </c>
      <c r="C2982" t="s">
        <v>169</v>
      </c>
      <c r="D2982" s="9">
        <v>19897</v>
      </c>
      <c r="E2982" s="5" t="s">
        <v>388</v>
      </c>
      <c r="F2982" t="s">
        <v>170</v>
      </c>
      <c r="G2982">
        <v>1729</v>
      </c>
      <c r="H2982">
        <v>811</v>
      </c>
      <c r="I2982" s="8">
        <f t="shared" si="256"/>
        <v>0.46905725853094277</v>
      </c>
      <c r="J2982" s="17">
        <v>0.7</v>
      </c>
      <c r="K2982" s="12">
        <v>13.75</v>
      </c>
      <c r="L2982" s="2">
        <v>918</v>
      </c>
      <c r="M2982" s="15">
        <f t="shared" si="257"/>
        <v>12622.5</v>
      </c>
      <c r="N2982" t="str">
        <f t="shared" si="254"/>
        <v>PE</v>
      </c>
      <c r="O2982" t="str">
        <f t="shared" si="255"/>
        <v>Petrolina</v>
      </c>
    </row>
    <row r="2983" spans="1:15" x14ac:dyDescent="0.3">
      <c r="A2983" s="10">
        <v>46113</v>
      </c>
      <c r="B2983" s="9" t="s">
        <v>6</v>
      </c>
      <c r="C2983" t="s">
        <v>26</v>
      </c>
      <c r="D2983" s="9">
        <v>19622</v>
      </c>
      <c r="E2983" s="5" t="s">
        <v>390</v>
      </c>
      <c r="F2983" t="s">
        <v>28</v>
      </c>
      <c r="G2983">
        <v>2127</v>
      </c>
      <c r="H2983">
        <v>1180</v>
      </c>
      <c r="I2983" s="8">
        <f t="shared" si="256"/>
        <v>0.55477197931358724</v>
      </c>
      <c r="J2983" s="17">
        <v>0.7</v>
      </c>
      <c r="K2983" s="12">
        <v>13.75</v>
      </c>
      <c r="L2983" s="2">
        <v>947</v>
      </c>
      <c r="M2983" s="15">
        <f t="shared" si="257"/>
        <v>13021.25</v>
      </c>
      <c r="N2983" t="str">
        <f t="shared" si="254"/>
        <v>PA</v>
      </c>
      <c r="O2983" t="str">
        <f t="shared" si="255"/>
        <v>Belém</v>
      </c>
    </row>
    <row r="2984" spans="1:15" x14ac:dyDescent="0.3">
      <c r="A2984" s="10">
        <v>46113</v>
      </c>
      <c r="B2984" s="9" t="s">
        <v>15</v>
      </c>
      <c r="C2984" t="s">
        <v>358</v>
      </c>
      <c r="D2984" s="9">
        <v>19632</v>
      </c>
      <c r="E2984" s="5" t="s">
        <v>392</v>
      </c>
      <c r="F2984" t="s">
        <v>203</v>
      </c>
      <c r="G2984">
        <v>2424</v>
      </c>
      <c r="H2984">
        <v>1193</v>
      </c>
      <c r="I2984" s="8">
        <f t="shared" si="256"/>
        <v>0.49216171617161714</v>
      </c>
      <c r="J2984" s="17">
        <v>0.7</v>
      </c>
      <c r="K2984" s="12">
        <v>13.75</v>
      </c>
      <c r="L2984" s="2">
        <v>1231</v>
      </c>
      <c r="M2984" s="15">
        <f t="shared" si="257"/>
        <v>16926.25</v>
      </c>
      <c r="N2984" t="str">
        <f t="shared" si="254"/>
        <v>RJ</v>
      </c>
      <c r="O2984" t="str">
        <f t="shared" si="255"/>
        <v>Rio De Janeiro</v>
      </c>
    </row>
    <row r="2985" spans="1:15" x14ac:dyDescent="0.3">
      <c r="A2985" s="10">
        <v>46113</v>
      </c>
      <c r="B2985" s="9" t="s">
        <v>46</v>
      </c>
      <c r="C2985" t="s">
        <v>47</v>
      </c>
      <c r="D2985" s="9">
        <v>19552</v>
      </c>
      <c r="E2985" s="5" t="s">
        <v>393</v>
      </c>
      <c r="F2985" t="s">
        <v>50</v>
      </c>
      <c r="G2985">
        <v>4068</v>
      </c>
      <c r="H2985">
        <v>1723</v>
      </c>
      <c r="I2985" s="8">
        <f t="shared" si="256"/>
        <v>0.42354965585054083</v>
      </c>
      <c r="J2985" s="17">
        <v>0.7</v>
      </c>
      <c r="K2985" s="12">
        <v>13.75</v>
      </c>
      <c r="L2985" s="2">
        <v>2345</v>
      </c>
      <c r="M2985" s="15">
        <f t="shared" si="257"/>
        <v>32243.75</v>
      </c>
      <c r="N2985" t="str">
        <f t="shared" si="254"/>
        <v>DF</v>
      </c>
      <c r="O2985" t="str">
        <f t="shared" si="255"/>
        <v>Brasília</v>
      </c>
    </row>
    <row r="2986" spans="1:15" x14ac:dyDescent="0.3">
      <c r="A2986" s="10">
        <v>46113</v>
      </c>
      <c r="B2986" s="9" t="s">
        <v>15</v>
      </c>
      <c r="C2986" t="s">
        <v>191</v>
      </c>
      <c r="D2986" s="9">
        <v>19636</v>
      </c>
      <c r="E2986" s="5" t="s">
        <v>394</v>
      </c>
      <c r="F2986" t="s">
        <v>192</v>
      </c>
      <c r="G2986">
        <v>2359</v>
      </c>
      <c r="H2986">
        <v>1001</v>
      </c>
      <c r="I2986" s="8">
        <f t="shared" si="256"/>
        <v>0.42433234421364985</v>
      </c>
      <c r="J2986" s="17">
        <v>0.7</v>
      </c>
      <c r="K2986" s="12">
        <v>13.75</v>
      </c>
      <c r="L2986" s="2">
        <v>1358</v>
      </c>
      <c r="M2986" s="15">
        <f t="shared" si="257"/>
        <v>18672.5</v>
      </c>
    </row>
    <row r="2987" spans="1:15" x14ac:dyDescent="0.3">
      <c r="A2987" s="10">
        <v>46113</v>
      </c>
      <c r="B2987" s="9" t="s">
        <v>74</v>
      </c>
      <c r="C2987" t="s">
        <v>186</v>
      </c>
      <c r="D2987" s="9">
        <v>19649</v>
      </c>
      <c r="E2987" s="5" t="s">
        <v>395</v>
      </c>
      <c r="F2987" t="s">
        <v>187</v>
      </c>
      <c r="G2987">
        <v>1378</v>
      </c>
      <c r="H2987">
        <v>597</v>
      </c>
      <c r="I2987" s="8">
        <f t="shared" si="256"/>
        <v>0.43323657474600868</v>
      </c>
      <c r="J2987" s="17">
        <v>0.7</v>
      </c>
      <c r="K2987" s="12">
        <v>13.75</v>
      </c>
      <c r="L2987" s="2">
        <v>781</v>
      </c>
      <c r="M2987" s="15">
        <f t="shared" si="257"/>
        <v>10738.75</v>
      </c>
    </row>
    <row r="2988" spans="1:15" x14ac:dyDescent="0.3">
      <c r="A2988" s="10">
        <v>46113</v>
      </c>
      <c r="B2988" s="9" t="s">
        <v>74</v>
      </c>
      <c r="C2988" t="s">
        <v>186</v>
      </c>
      <c r="D2988" s="9">
        <v>19601</v>
      </c>
      <c r="E2988" s="5" t="s">
        <v>396</v>
      </c>
      <c r="F2988" t="s">
        <v>188</v>
      </c>
      <c r="G2988">
        <v>2563</v>
      </c>
      <c r="H2988">
        <v>1076</v>
      </c>
      <c r="I2988" s="8">
        <f t="shared" si="256"/>
        <v>0.41982052282481469</v>
      </c>
      <c r="J2988" s="17">
        <v>0.7</v>
      </c>
      <c r="K2988" s="12">
        <v>13.75</v>
      </c>
      <c r="L2988" s="2">
        <v>1487</v>
      </c>
      <c r="M2988" s="15">
        <f t="shared" si="257"/>
        <v>20446.25</v>
      </c>
    </row>
    <row r="2989" spans="1:15" x14ac:dyDescent="0.3">
      <c r="A2989" s="10">
        <v>46113</v>
      </c>
      <c r="B2989" s="9" t="s">
        <v>74</v>
      </c>
      <c r="C2989" t="s">
        <v>186</v>
      </c>
      <c r="D2989" s="9">
        <v>19565</v>
      </c>
      <c r="E2989" s="5" t="s">
        <v>397</v>
      </c>
      <c r="F2989" t="s">
        <v>189</v>
      </c>
      <c r="G2989">
        <v>2601</v>
      </c>
      <c r="H2989">
        <v>955</v>
      </c>
      <c r="I2989" s="8">
        <f t="shared" si="256"/>
        <v>0.36716647443291039</v>
      </c>
      <c r="J2989" s="17">
        <v>0.7</v>
      </c>
      <c r="K2989" s="12">
        <v>13.75</v>
      </c>
      <c r="L2989" s="2">
        <v>1646</v>
      </c>
      <c r="M2989" s="15">
        <f t="shared" si="257"/>
        <v>22632.5</v>
      </c>
    </row>
    <row r="2990" spans="1:15" x14ac:dyDescent="0.3">
      <c r="A2990" s="10">
        <v>46113</v>
      </c>
      <c r="B2990" s="9" t="s">
        <v>74</v>
      </c>
      <c r="C2990" t="s">
        <v>186</v>
      </c>
      <c r="D2990" s="9">
        <v>19654</v>
      </c>
      <c r="E2990" s="5" t="s">
        <v>398</v>
      </c>
      <c r="F2990" t="s">
        <v>190</v>
      </c>
      <c r="G2990">
        <v>1972</v>
      </c>
      <c r="H2990">
        <v>720</v>
      </c>
      <c r="I2990" s="8">
        <f t="shared" si="256"/>
        <v>0.36511156186612576</v>
      </c>
      <c r="J2990" s="17">
        <v>0.7</v>
      </c>
      <c r="K2990" s="12">
        <v>13.75</v>
      </c>
      <c r="L2990" s="2">
        <v>1252</v>
      </c>
      <c r="M2990" s="15">
        <f t="shared" si="257"/>
        <v>17215</v>
      </c>
    </row>
    <row r="2991" spans="1:15" x14ac:dyDescent="0.3">
      <c r="A2991" s="10">
        <v>46113</v>
      </c>
      <c r="B2991" s="9" t="s">
        <v>74</v>
      </c>
      <c r="C2991" t="s">
        <v>350</v>
      </c>
      <c r="D2991" s="9">
        <v>19624</v>
      </c>
      <c r="E2991" s="5" t="s">
        <v>399</v>
      </c>
      <c r="F2991" t="s">
        <v>116</v>
      </c>
      <c r="G2991">
        <v>1692</v>
      </c>
      <c r="H2991">
        <v>652</v>
      </c>
      <c r="I2991" s="8">
        <f t="shared" si="256"/>
        <v>0.38534278959810875</v>
      </c>
      <c r="J2991" s="17">
        <v>0.7</v>
      </c>
      <c r="K2991" s="12">
        <v>13.75</v>
      </c>
      <c r="L2991" s="2">
        <v>1040</v>
      </c>
      <c r="M2991" s="15">
        <f t="shared" si="257"/>
        <v>14300</v>
      </c>
    </row>
    <row r="2992" spans="1:15" x14ac:dyDescent="0.3">
      <c r="A2992" s="10">
        <v>46113</v>
      </c>
      <c r="B2992" s="9" t="s">
        <v>15</v>
      </c>
      <c r="C2992" t="s">
        <v>143</v>
      </c>
      <c r="D2992" s="9">
        <v>19648</v>
      </c>
      <c r="E2992" s="5" t="s">
        <v>400</v>
      </c>
      <c r="F2992" t="s">
        <v>144</v>
      </c>
      <c r="G2992">
        <v>1790</v>
      </c>
      <c r="H2992">
        <v>531</v>
      </c>
      <c r="I2992" s="8">
        <f t="shared" si="256"/>
        <v>0.29664804469273742</v>
      </c>
      <c r="J2992" s="17">
        <v>0.7</v>
      </c>
      <c r="K2992" s="12">
        <v>13.75</v>
      </c>
      <c r="L2992" s="2">
        <v>1259</v>
      </c>
      <c r="M2992" s="15">
        <f t="shared" si="257"/>
        <v>17311.25</v>
      </c>
    </row>
    <row r="2993" spans="1:13" x14ac:dyDescent="0.3">
      <c r="A2993" s="10">
        <v>46113</v>
      </c>
      <c r="B2993" s="9" t="s">
        <v>15</v>
      </c>
      <c r="C2993" t="s">
        <v>57</v>
      </c>
      <c r="D2993" s="9">
        <v>19657</v>
      </c>
      <c r="E2993" s="5" t="s">
        <v>401</v>
      </c>
      <c r="F2993" t="s">
        <v>58</v>
      </c>
      <c r="G2993">
        <v>1842</v>
      </c>
      <c r="H2993">
        <v>815</v>
      </c>
      <c r="I2993" s="8">
        <f t="shared" si="256"/>
        <v>0.44245385450597174</v>
      </c>
      <c r="J2993" s="17">
        <v>0.7</v>
      </c>
      <c r="K2993" s="12">
        <v>13.75</v>
      </c>
      <c r="L2993" s="2">
        <v>1027</v>
      </c>
      <c r="M2993" s="15">
        <f t="shared" si="257"/>
        <v>14121.25</v>
      </c>
    </row>
    <row r="2994" spans="1:13" x14ac:dyDescent="0.3">
      <c r="A2994" s="10">
        <v>46113</v>
      </c>
      <c r="B2994" s="9" t="s">
        <v>82</v>
      </c>
      <c r="C2994" t="s">
        <v>119</v>
      </c>
      <c r="D2994" s="9">
        <v>19661</v>
      </c>
      <c r="E2994" s="5" t="s">
        <v>403</v>
      </c>
      <c r="F2994" t="s">
        <v>120</v>
      </c>
      <c r="G2994">
        <v>2470</v>
      </c>
      <c r="H2994">
        <v>820</v>
      </c>
      <c r="I2994" s="8">
        <f t="shared" si="256"/>
        <v>0.33198380566801622</v>
      </c>
      <c r="J2994" s="17">
        <v>0.7</v>
      </c>
      <c r="K2994" s="12">
        <v>13.75</v>
      </c>
      <c r="L2994" s="2">
        <v>1650</v>
      </c>
      <c r="M2994" s="15">
        <f t="shared" si="257"/>
        <v>22687.5</v>
      </c>
    </row>
    <row r="2995" spans="1:13" x14ac:dyDescent="0.3">
      <c r="A2995" s="10">
        <v>46113</v>
      </c>
      <c r="B2995" s="9" t="s">
        <v>183</v>
      </c>
      <c r="C2995" t="s">
        <v>184</v>
      </c>
      <c r="D2995" s="9">
        <v>19752</v>
      </c>
      <c r="E2995" s="5" t="s">
        <v>404</v>
      </c>
      <c r="F2995" t="s">
        <v>185</v>
      </c>
      <c r="G2995">
        <v>1118</v>
      </c>
      <c r="H2995">
        <v>674</v>
      </c>
      <c r="I2995" s="8">
        <f t="shared" si="256"/>
        <v>0.60286225402504467</v>
      </c>
      <c r="J2995" s="17">
        <v>0.7</v>
      </c>
      <c r="K2995" s="12">
        <v>13.75</v>
      </c>
      <c r="L2995" s="2">
        <v>444</v>
      </c>
      <c r="M2995" s="15">
        <f t="shared" si="257"/>
        <v>6105</v>
      </c>
    </row>
    <row r="2996" spans="1:13" x14ac:dyDescent="0.3">
      <c r="A2996" s="10">
        <v>46113</v>
      </c>
      <c r="B2996" s="9" t="s">
        <v>15</v>
      </c>
      <c r="C2996" t="s">
        <v>281</v>
      </c>
      <c r="D2996" s="9">
        <v>19671</v>
      </c>
      <c r="E2996" s="5" t="s">
        <v>405</v>
      </c>
      <c r="F2996" t="s">
        <v>282</v>
      </c>
      <c r="G2996">
        <v>2513</v>
      </c>
      <c r="H2996">
        <v>999</v>
      </c>
      <c r="I2996" s="8">
        <f t="shared" si="256"/>
        <v>0.39753282928770395</v>
      </c>
      <c r="J2996" s="17">
        <v>0.7</v>
      </c>
      <c r="K2996" s="12">
        <v>13.75</v>
      </c>
      <c r="L2996" s="2">
        <v>1514</v>
      </c>
      <c r="M2996" s="15">
        <f t="shared" si="257"/>
        <v>20817.5</v>
      </c>
    </row>
    <row r="2997" spans="1:13" x14ac:dyDescent="0.3">
      <c r="A2997" s="10">
        <v>46113</v>
      </c>
      <c r="B2997" s="9" t="s">
        <v>3</v>
      </c>
      <c r="C2997" t="s">
        <v>248</v>
      </c>
      <c r="D2997" s="9">
        <v>19674</v>
      </c>
      <c r="E2997" s="5" t="s">
        <v>406</v>
      </c>
      <c r="F2997" t="s">
        <v>251</v>
      </c>
      <c r="G2997">
        <v>1958</v>
      </c>
      <c r="H2997">
        <v>838</v>
      </c>
      <c r="I2997" s="8">
        <f t="shared" si="256"/>
        <v>0.42798774259448419</v>
      </c>
      <c r="J2997" s="17">
        <v>0.7</v>
      </c>
      <c r="K2997" s="12">
        <v>13.75</v>
      </c>
      <c r="L2997" s="2">
        <v>1120</v>
      </c>
      <c r="M2997" s="15">
        <f t="shared" si="257"/>
        <v>15400</v>
      </c>
    </row>
    <row r="2998" spans="1:13" x14ac:dyDescent="0.3">
      <c r="A2998" s="10">
        <v>46113</v>
      </c>
      <c r="B2998" s="9" t="s">
        <v>3</v>
      </c>
      <c r="C2998" t="s">
        <v>248</v>
      </c>
      <c r="D2998" s="9">
        <v>19809</v>
      </c>
      <c r="E2998" s="5" t="s">
        <v>408</v>
      </c>
      <c r="F2998" t="s">
        <v>253</v>
      </c>
      <c r="G2998">
        <v>1905</v>
      </c>
      <c r="H2998">
        <v>748</v>
      </c>
      <c r="I2998" s="8">
        <f t="shared" si="256"/>
        <v>0.3926509186351706</v>
      </c>
      <c r="J2998" s="17">
        <v>0.7</v>
      </c>
      <c r="K2998" s="12">
        <v>13.75</v>
      </c>
      <c r="L2998" s="2">
        <v>1157</v>
      </c>
      <c r="M2998" s="15">
        <f t="shared" si="257"/>
        <v>15908.75</v>
      </c>
    </row>
    <row r="2999" spans="1:13" x14ac:dyDescent="0.3">
      <c r="A2999" s="10">
        <v>46113</v>
      </c>
      <c r="B2999" s="9" t="s">
        <v>3</v>
      </c>
      <c r="C2999" t="s">
        <v>248</v>
      </c>
      <c r="D2999" s="9">
        <v>19579</v>
      </c>
      <c r="E2999" s="5" t="s">
        <v>409</v>
      </c>
      <c r="F2999" t="s">
        <v>254</v>
      </c>
      <c r="G2999">
        <v>1524</v>
      </c>
      <c r="H2999">
        <v>547</v>
      </c>
      <c r="I2999" s="8">
        <f t="shared" si="256"/>
        <v>0.35892388451443569</v>
      </c>
      <c r="J2999" s="17">
        <v>0.7</v>
      </c>
      <c r="K2999" s="12">
        <v>13.75</v>
      </c>
      <c r="L2999" s="2">
        <v>977</v>
      </c>
      <c r="M2999" s="15">
        <f t="shared" si="257"/>
        <v>13433.75</v>
      </c>
    </row>
    <row r="3000" spans="1:13" x14ac:dyDescent="0.3">
      <c r="A3000" s="10">
        <v>46113</v>
      </c>
      <c r="B3000" s="9" t="s">
        <v>126</v>
      </c>
      <c r="C3000" t="s">
        <v>127</v>
      </c>
      <c r="D3000" s="9">
        <v>19623</v>
      </c>
      <c r="E3000" s="5" t="s">
        <v>410</v>
      </c>
      <c r="F3000" t="s">
        <v>128</v>
      </c>
      <c r="G3000">
        <v>1732</v>
      </c>
      <c r="H3000">
        <v>876</v>
      </c>
      <c r="I3000" s="8">
        <f t="shared" si="256"/>
        <v>0.50577367205542723</v>
      </c>
      <c r="J3000" s="17">
        <v>0.7</v>
      </c>
      <c r="K3000" s="12">
        <v>13.75</v>
      </c>
      <c r="L3000" s="2">
        <v>856</v>
      </c>
      <c r="M3000" s="15">
        <f t="shared" si="257"/>
        <v>11770</v>
      </c>
    </row>
    <row r="3001" spans="1:13" x14ac:dyDescent="0.3">
      <c r="A3001" s="10">
        <v>46113</v>
      </c>
      <c r="B3001" s="9" t="s">
        <v>46</v>
      </c>
      <c r="C3001" t="s">
        <v>47</v>
      </c>
      <c r="D3001" s="9">
        <v>19693</v>
      </c>
      <c r="E3001" s="5" t="s">
        <v>411</v>
      </c>
      <c r="F3001" t="s">
        <v>51</v>
      </c>
      <c r="G3001">
        <v>2013</v>
      </c>
      <c r="H3001">
        <v>657</v>
      </c>
      <c r="I3001" s="8">
        <f t="shared" si="256"/>
        <v>0.3263785394932936</v>
      </c>
      <c r="J3001" s="17">
        <v>0.7</v>
      </c>
      <c r="K3001" s="12">
        <v>13.75</v>
      </c>
      <c r="L3001" s="2">
        <v>1356</v>
      </c>
      <c r="M3001" s="15">
        <f t="shared" si="257"/>
        <v>18645</v>
      </c>
    </row>
    <row r="3002" spans="1:13" x14ac:dyDescent="0.3">
      <c r="A3002" s="10">
        <v>46113</v>
      </c>
      <c r="B3002" s="9" t="s">
        <v>78</v>
      </c>
      <c r="C3002" t="s">
        <v>79</v>
      </c>
      <c r="D3002" s="9">
        <v>19730</v>
      </c>
      <c r="E3002" s="5" t="s">
        <v>413</v>
      </c>
      <c r="F3002" t="s">
        <v>80</v>
      </c>
      <c r="G3002">
        <v>2641</v>
      </c>
      <c r="H3002">
        <v>1189</v>
      </c>
      <c r="I3002" s="8">
        <f t="shared" si="256"/>
        <v>0.45020825444907231</v>
      </c>
      <c r="J3002" s="17">
        <v>0.7</v>
      </c>
      <c r="K3002" s="12">
        <v>13.75</v>
      </c>
      <c r="L3002" s="2">
        <v>1452</v>
      </c>
      <c r="M3002" s="15">
        <f t="shared" si="257"/>
        <v>19965</v>
      </c>
    </row>
    <row r="3003" spans="1:13" x14ac:dyDescent="0.3">
      <c r="A3003" s="10">
        <v>46113</v>
      </c>
      <c r="B3003" s="9" t="s">
        <v>78</v>
      </c>
      <c r="C3003" t="s">
        <v>79</v>
      </c>
      <c r="D3003" s="9">
        <v>19794</v>
      </c>
      <c r="E3003" s="5" t="s">
        <v>414</v>
      </c>
      <c r="F3003" t="s">
        <v>81</v>
      </c>
      <c r="G3003">
        <v>2791</v>
      </c>
      <c r="H3003">
        <v>1049</v>
      </c>
      <c r="I3003" s="8">
        <f t="shared" si="256"/>
        <v>0.37585094948047293</v>
      </c>
      <c r="J3003" s="17">
        <v>0.7</v>
      </c>
      <c r="K3003" s="12">
        <v>13.75</v>
      </c>
      <c r="L3003" s="2">
        <v>1742</v>
      </c>
      <c r="M3003" s="15">
        <f t="shared" si="257"/>
        <v>23952.5</v>
      </c>
    </row>
    <row r="3004" spans="1:13" x14ac:dyDescent="0.3">
      <c r="A3004" s="10">
        <v>46113</v>
      </c>
      <c r="B3004" s="9" t="s">
        <v>7</v>
      </c>
      <c r="C3004" t="s">
        <v>99</v>
      </c>
      <c r="D3004" s="9">
        <v>19691</v>
      </c>
      <c r="E3004" s="5" t="s">
        <v>415</v>
      </c>
      <c r="F3004" t="s">
        <v>100</v>
      </c>
      <c r="G3004">
        <v>2361</v>
      </c>
      <c r="H3004">
        <v>1074</v>
      </c>
      <c r="I3004" s="8">
        <f t="shared" si="256"/>
        <v>0.45489199491740789</v>
      </c>
      <c r="J3004" s="17">
        <v>0.7</v>
      </c>
      <c r="K3004" s="12">
        <v>13.75</v>
      </c>
      <c r="L3004" s="2">
        <v>1287</v>
      </c>
      <c r="M3004" s="15">
        <f t="shared" si="257"/>
        <v>17696.25</v>
      </c>
    </row>
    <row r="3005" spans="1:13" x14ac:dyDescent="0.3">
      <c r="A3005" s="10">
        <v>46113</v>
      </c>
      <c r="B3005" s="9" t="s">
        <v>15</v>
      </c>
      <c r="C3005" t="s">
        <v>358</v>
      </c>
      <c r="D3005" s="9">
        <v>19505</v>
      </c>
      <c r="E3005" s="5" t="s">
        <v>416</v>
      </c>
      <c r="F3005" t="s">
        <v>204</v>
      </c>
      <c r="G3005">
        <v>2301</v>
      </c>
      <c r="H3005">
        <v>920</v>
      </c>
      <c r="I3005" s="8">
        <f t="shared" si="256"/>
        <v>0.39982616253802694</v>
      </c>
      <c r="J3005" s="17">
        <v>0.7</v>
      </c>
      <c r="K3005" s="12">
        <v>13.75</v>
      </c>
      <c r="L3005" s="2">
        <v>1381</v>
      </c>
      <c r="M3005" s="15">
        <f t="shared" si="257"/>
        <v>18988.75</v>
      </c>
    </row>
    <row r="3006" spans="1:13" x14ac:dyDescent="0.3">
      <c r="A3006" s="10">
        <v>46113</v>
      </c>
      <c r="B3006" s="9" t="s">
        <v>15</v>
      </c>
      <c r="C3006" t="s">
        <v>358</v>
      </c>
      <c r="D3006" s="9">
        <v>19515</v>
      </c>
      <c r="E3006" s="5" t="s">
        <v>417</v>
      </c>
      <c r="F3006" t="s">
        <v>205</v>
      </c>
      <c r="G3006">
        <v>2917</v>
      </c>
      <c r="H3006">
        <v>1124</v>
      </c>
      <c r="I3006" s="8">
        <f t="shared" si="256"/>
        <v>0.38532739115529652</v>
      </c>
      <c r="J3006" s="17">
        <v>0.7</v>
      </c>
      <c r="K3006" s="12">
        <v>13.75</v>
      </c>
      <c r="L3006" s="2">
        <v>1793</v>
      </c>
      <c r="M3006" s="15">
        <f t="shared" si="257"/>
        <v>24653.75</v>
      </c>
    </row>
    <row r="3007" spans="1:13" x14ac:dyDescent="0.3">
      <c r="A3007" s="10">
        <v>46113</v>
      </c>
      <c r="B3007" s="9" t="s">
        <v>15</v>
      </c>
      <c r="C3007" t="s">
        <v>358</v>
      </c>
      <c r="D3007" s="9">
        <v>19519</v>
      </c>
      <c r="E3007" s="5" t="s">
        <v>418</v>
      </c>
      <c r="F3007" t="s">
        <v>206</v>
      </c>
      <c r="G3007">
        <v>5485</v>
      </c>
      <c r="H3007">
        <v>2164</v>
      </c>
      <c r="I3007" s="8">
        <f t="shared" si="256"/>
        <v>0.39453053783044667</v>
      </c>
      <c r="J3007" s="17">
        <v>0.7</v>
      </c>
      <c r="K3007" s="12">
        <v>13.75</v>
      </c>
      <c r="L3007" s="2">
        <v>3321</v>
      </c>
      <c r="M3007" s="15">
        <f t="shared" si="257"/>
        <v>45663.75</v>
      </c>
    </row>
    <row r="3008" spans="1:13" x14ac:dyDescent="0.3">
      <c r="A3008" s="10">
        <v>46113</v>
      </c>
      <c r="B3008" s="9" t="s">
        <v>15</v>
      </c>
      <c r="C3008" t="s">
        <v>358</v>
      </c>
      <c r="D3008" s="9">
        <v>19518</v>
      </c>
      <c r="E3008" s="5" t="s">
        <v>419</v>
      </c>
      <c r="F3008" t="s">
        <v>207</v>
      </c>
      <c r="G3008">
        <v>4139</v>
      </c>
      <c r="H3008">
        <v>1800</v>
      </c>
      <c r="I3008" s="8">
        <f t="shared" si="256"/>
        <v>0.43488765402271079</v>
      </c>
      <c r="J3008" s="17">
        <v>0.7</v>
      </c>
      <c r="K3008" s="12">
        <v>13.75</v>
      </c>
      <c r="L3008" s="2">
        <v>2339</v>
      </c>
      <c r="M3008" s="15">
        <f t="shared" si="257"/>
        <v>32161.25</v>
      </c>
    </row>
    <row r="3009" spans="1:13" x14ac:dyDescent="0.3">
      <c r="A3009" s="10">
        <v>46113</v>
      </c>
      <c r="B3009" s="9" t="s">
        <v>15</v>
      </c>
      <c r="C3009" t="s">
        <v>358</v>
      </c>
      <c r="D3009" s="9">
        <v>19507</v>
      </c>
      <c r="E3009" s="5" t="s">
        <v>420</v>
      </c>
      <c r="F3009" t="s">
        <v>208</v>
      </c>
      <c r="G3009">
        <v>2946</v>
      </c>
      <c r="H3009">
        <v>1104</v>
      </c>
      <c r="I3009" s="8">
        <f t="shared" si="256"/>
        <v>0.37474541751527496</v>
      </c>
      <c r="J3009" s="17">
        <v>0.7</v>
      </c>
      <c r="K3009" s="12">
        <v>13.75</v>
      </c>
      <c r="L3009" s="2">
        <v>1842</v>
      </c>
      <c r="M3009" s="15">
        <f t="shared" si="257"/>
        <v>25327.5</v>
      </c>
    </row>
    <row r="3010" spans="1:13" x14ac:dyDescent="0.3">
      <c r="A3010" s="10">
        <v>46113</v>
      </c>
      <c r="B3010" s="9" t="s">
        <v>15</v>
      </c>
      <c r="C3010" t="s">
        <v>358</v>
      </c>
      <c r="D3010" s="9">
        <v>19714</v>
      </c>
      <c r="E3010" s="5" t="s">
        <v>421</v>
      </c>
      <c r="F3010" t="s">
        <v>209</v>
      </c>
      <c r="G3010">
        <v>2522</v>
      </c>
      <c r="H3010">
        <v>917</v>
      </c>
      <c r="I3010" s="8">
        <f t="shared" si="256"/>
        <v>0.36360031720856462</v>
      </c>
      <c r="J3010" s="17">
        <v>0.7</v>
      </c>
      <c r="K3010" s="12">
        <v>13.75</v>
      </c>
      <c r="L3010" s="2">
        <v>1605</v>
      </c>
      <c r="M3010" s="15">
        <f t="shared" si="257"/>
        <v>22068.75</v>
      </c>
    </row>
    <row r="3011" spans="1:13" x14ac:dyDescent="0.3">
      <c r="A3011" s="10">
        <v>46113</v>
      </c>
      <c r="B3011" s="9" t="s">
        <v>15</v>
      </c>
      <c r="C3011" t="s">
        <v>358</v>
      </c>
      <c r="D3011" s="9">
        <v>19844</v>
      </c>
      <c r="E3011" s="5" t="s">
        <v>428</v>
      </c>
      <c r="F3011" t="s">
        <v>210</v>
      </c>
      <c r="G3011">
        <v>2064</v>
      </c>
      <c r="H3011">
        <v>739</v>
      </c>
      <c r="I3011" s="8">
        <f t="shared" ref="I3011:I3074" si="258">H3011/G3011</f>
        <v>0.35804263565891475</v>
      </c>
      <c r="J3011" s="17">
        <v>0.7</v>
      </c>
      <c r="K3011" s="12">
        <v>13.75</v>
      </c>
      <c r="L3011" s="2">
        <v>1325</v>
      </c>
      <c r="M3011" s="15">
        <f t="shared" ref="M3011:M3074" si="259">L3011*K3011</f>
        <v>18218.75</v>
      </c>
    </row>
    <row r="3012" spans="1:13" x14ac:dyDescent="0.3">
      <c r="A3012" s="10">
        <v>46113</v>
      </c>
      <c r="B3012" s="9" t="s">
        <v>14</v>
      </c>
      <c r="C3012" t="s">
        <v>29</v>
      </c>
      <c r="D3012" s="9">
        <v>19793</v>
      </c>
      <c r="E3012" s="5" t="s">
        <v>611</v>
      </c>
      <c r="F3012" t="s">
        <v>39</v>
      </c>
      <c r="G3012">
        <v>1423</v>
      </c>
      <c r="H3012">
        <v>636</v>
      </c>
      <c r="I3012" s="8">
        <f t="shared" si="258"/>
        <v>0.44694307800421645</v>
      </c>
      <c r="J3012" s="17">
        <v>0.7</v>
      </c>
      <c r="K3012" s="12">
        <v>13.75</v>
      </c>
      <c r="L3012" s="2">
        <v>787</v>
      </c>
      <c r="M3012" s="15">
        <f t="shared" si="259"/>
        <v>10821.25</v>
      </c>
    </row>
    <row r="3013" spans="1:13" x14ac:dyDescent="0.3">
      <c r="A3013" s="10">
        <v>46113</v>
      </c>
      <c r="B3013" s="9" t="s">
        <v>14</v>
      </c>
      <c r="C3013" t="s">
        <v>29</v>
      </c>
      <c r="D3013" s="9">
        <v>19704</v>
      </c>
      <c r="E3013" s="5" t="s">
        <v>429</v>
      </c>
      <c r="F3013" t="s">
        <v>30</v>
      </c>
      <c r="G3013">
        <v>3373</v>
      </c>
      <c r="H3013">
        <v>1696</v>
      </c>
      <c r="I3013" s="8">
        <f t="shared" si="258"/>
        <v>0.50281648384227695</v>
      </c>
      <c r="J3013" s="17">
        <v>0.7</v>
      </c>
      <c r="K3013" s="12">
        <v>13.75</v>
      </c>
      <c r="L3013" s="2">
        <v>1677</v>
      </c>
      <c r="M3013" s="15">
        <f t="shared" si="259"/>
        <v>23058.75</v>
      </c>
    </row>
    <row r="3014" spans="1:13" x14ac:dyDescent="0.3">
      <c r="A3014" s="10">
        <v>46113</v>
      </c>
      <c r="B3014" s="9" t="s">
        <v>15</v>
      </c>
      <c r="C3014" t="s">
        <v>358</v>
      </c>
      <c r="D3014" s="9">
        <v>19512</v>
      </c>
      <c r="E3014" s="5" t="s">
        <v>430</v>
      </c>
      <c r="F3014" t="s">
        <v>211</v>
      </c>
      <c r="G3014">
        <v>2095</v>
      </c>
      <c r="H3014">
        <v>843</v>
      </c>
      <c r="I3014" s="8">
        <f t="shared" si="258"/>
        <v>0.40238663484486875</v>
      </c>
      <c r="J3014" s="17">
        <v>0.7</v>
      </c>
      <c r="K3014" s="12">
        <v>13.75</v>
      </c>
      <c r="L3014" s="2">
        <v>1252</v>
      </c>
      <c r="M3014" s="15">
        <f t="shared" si="259"/>
        <v>17215</v>
      </c>
    </row>
    <row r="3015" spans="1:13" x14ac:dyDescent="0.3">
      <c r="A3015" s="10">
        <v>46113</v>
      </c>
      <c r="B3015" s="9" t="s">
        <v>14</v>
      </c>
      <c r="C3015" t="s">
        <v>29</v>
      </c>
      <c r="D3015" s="9">
        <v>19562</v>
      </c>
      <c r="E3015" s="5" t="s">
        <v>431</v>
      </c>
      <c r="F3015" t="s">
        <v>31</v>
      </c>
      <c r="G3015">
        <v>1893</v>
      </c>
      <c r="H3015">
        <v>871</v>
      </c>
      <c r="I3015" s="8">
        <f t="shared" si="258"/>
        <v>0.46011621764395139</v>
      </c>
      <c r="J3015" s="17">
        <v>0.7</v>
      </c>
      <c r="K3015" s="12">
        <v>13.75</v>
      </c>
      <c r="L3015" s="2">
        <v>1022</v>
      </c>
      <c r="M3015" s="15">
        <f t="shared" si="259"/>
        <v>14052.5</v>
      </c>
    </row>
    <row r="3016" spans="1:13" x14ac:dyDescent="0.3">
      <c r="A3016" s="10">
        <v>46113</v>
      </c>
      <c r="B3016" s="9" t="s">
        <v>14</v>
      </c>
      <c r="C3016" t="s">
        <v>29</v>
      </c>
      <c r="D3016" s="9">
        <v>19748</v>
      </c>
      <c r="E3016" s="5" t="s">
        <v>432</v>
      </c>
      <c r="F3016" t="s">
        <v>32</v>
      </c>
      <c r="G3016">
        <v>2087</v>
      </c>
      <c r="H3016">
        <v>888</v>
      </c>
      <c r="I3016" s="8">
        <f t="shared" si="258"/>
        <v>0.42549113560134166</v>
      </c>
      <c r="J3016" s="17">
        <v>0.7</v>
      </c>
      <c r="K3016" s="12">
        <v>13.75</v>
      </c>
      <c r="L3016" s="2">
        <v>1199</v>
      </c>
      <c r="M3016" s="15">
        <f t="shared" si="259"/>
        <v>16486.25</v>
      </c>
    </row>
    <row r="3017" spans="1:13" x14ac:dyDescent="0.3">
      <c r="A3017" s="10">
        <v>46113</v>
      </c>
      <c r="B3017" s="9" t="s">
        <v>14</v>
      </c>
      <c r="C3017" t="s">
        <v>29</v>
      </c>
      <c r="D3017" s="9">
        <v>19561</v>
      </c>
      <c r="E3017" s="5" t="s">
        <v>433</v>
      </c>
      <c r="F3017" t="s">
        <v>33</v>
      </c>
      <c r="G3017">
        <v>1480</v>
      </c>
      <c r="H3017">
        <v>641</v>
      </c>
      <c r="I3017" s="8">
        <f t="shared" si="258"/>
        <v>0.43310810810810813</v>
      </c>
      <c r="J3017" s="17">
        <v>0.7</v>
      </c>
      <c r="K3017" s="12">
        <v>13.75</v>
      </c>
      <c r="L3017" s="2">
        <v>839</v>
      </c>
      <c r="M3017" s="15">
        <f t="shared" si="259"/>
        <v>11536.25</v>
      </c>
    </row>
    <row r="3018" spans="1:13" x14ac:dyDescent="0.3">
      <c r="A3018" s="10">
        <v>46113</v>
      </c>
      <c r="B3018" s="9" t="s">
        <v>14</v>
      </c>
      <c r="C3018" t="s">
        <v>29</v>
      </c>
      <c r="D3018" s="9">
        <v>19560</v>
      </c>
      <c r="E3018" s="5" t="s">
        <v>435</v>
      </c>
      <c r="F3018" t="s">
        <v>34</v>
      </c>
      <c r="G3018">
        <v>3895</v>
      </c>
      <c r="H3018">
        <v>1667</v>
      </c>
      <c r="I3018" s="8">
        <f t="shared" si="258"/>
        <v>0.42798459563543007</v>
      </c>
      <c r="J3018" s="17">
        <v>0.7</v>
      </c>
      <c r="K3018" s="12">
        <v>13.75</v>
      </c>
      <c r="L3018" s="2">
        <v>2228</v>
      </c>
      <c r="M3018" s="15">
        <f t="shared" si="259"/>
        <v>30635</v>
      </c>
    </row>
    <row r="3019" spans="1:13" x14ac:dyDescent="0.3">
      <c r="A3019" s="10">
        <v>46113</v>
      </c>
      <c r="B3019" s="9" t="s">
        <v>15</v>
      </c>
      <c r="C3019" t="s">
        <v>358</v>
      </c>
      <c r="D3019" s="9">
        <v>19508</v>
      </c>
      <c r="E3019" s="5" t="s">
        <v>444</v>
      </c>
      <c r="F3019" t="s">
        <v>212</v>
      </c>
      <c r="G3019">
        <v>2939</v>
      </c>
      <c r="H3019">
        <v>1358</v>
      </c>
      <c r="I3019" s="8">
        <f t="shared" si="258"/>
        <v>0.46206192582511058</v>
      </c>
      <c r="J3019" s="17">
        <v>0.7</v>
      </c>
      <c r="K3019" s="12">
        <v>13.75</v>
      </c>
      <c r="L3019" s="2">
        <v>1581</v>
      </c>
      <c r="M3019" s="15">
        <f t="shared" si="259"/>
        <v>21738.75</v>
      </c>
    </row>
    <row r="3020" spans="1:13" x14ac:dyDescent="0.3">
      <c r="A3020" s="10">
        <v>46113</v>
      </c>
      <c r="B3020" s="9" t="s">
        <v>15</v>
      </c>
      <c r="C3020" t="s">
        <v>358</v>
      </c>
      <c r="D3020" s="9">
        <v>19894</v>
      </c>
      <c r="E3020" s="5" t="s">
        <v>446</v>
      </c>
      <c r="F3020" t="s">
        <v>213</v>
      </c>
      <c r="G3020">
        <v>2324</v>
      </c>
      <c r="H3020">
        <v>845</v>
      </c>
      <c r="I3020" s="8">
        <f t="shared" si="258"/>
        <v>0.3635972461273666</v>
      </c>
      <c r="J3020" s="17">
        <v>0.7</v>
      </c>
      <c r="K3020" s="12">
        <v>13.75</v>
      </c>
      <c r="L3020" s="2">
        <v>1479</v>
      </c>
      <c r="M3020" s="15">
        <f t="shared" si="259"/>
        <v>20336.25</v>
      </c>
    </row>
    <row r="3021" spans="1:13" x14ac:dyDescent="0.3">
      <c r="A3021" s="10">
        <v>46113</v>
      </c>
      <c r="B3021" s="9" t="s">
        <v>15</v>
      </c>
      <c r="C3021" t="s">
        <v>358</v>
      </c>
      <c r="D3021" s="9">
        <v>19526</v>
      </c>
      <c r="E3021" s="5" t="s">
        <v>447</v>
      </c>
      <c r="F3021" t="s">
        <v>214</v>
      </c>
      <c r="G3021">
        <v>1627</v>
      </c>
      <c r="H3021">
        <v>589</v>
      </c>
      <c r="I3021" s="8">
        <f t="shared" si="258"/>
        <v>0.36201598033189919</v>
      </c>
      <c r="J3021" s="17">
        <v>0.7</v>
      </c>
      <c r="K3021" s="12">
        <v>13.75</v>
      </c>
      <c r="L3021" s="2">
        <v>1038</v>
      </c>
      <c r="M3021" s="15">
        <f t="shared" si="259"/>
        <v>14272.5</v>
      </c>
    </row>
    <row r="3022" spans="1:13" x14ac:dyDescent="0.3">
      <c r="A3022" s="10">
        <v>46113</v>
      </c>
      <c r="B3022" s="9" t="s">
        <v>15</v>
      </c>
      <c r="C3022" t="s">
        <v>358</v>
      </c>
      <c r="D3022" s="9">
        <v>19509</v>
      </c>
      <c r="E3022" s="5" t="s">
        <v>448</v>
      </c>
      <c r="F3022" t="s">
        <v>215</v>
      </c>
      <c r="G3022">
        <v>2343</v>
      </c>
      <c r="H3022">
        <v>875</v>
      </c>
      <c r="I3022" s="8">
        <f t="shared" si="258"/>
        <v>0.37345283824157066</v>
      </c>
      <c r="J3022" s="17">
        <v>0.7</v>
      </c>
      <c r="K3022" s="12">
        <v>13.75</v>
      </c>
      <c r="L3022" s="2">
        <v>1468</v>
      </c>
      <c r="M3022" s="15">
        <f t="shared" si="259"/>
        <v>20185</v>
      </c>
    </row>
    <row r="3023" spans="1:13" x14ac:dyDescent="0.3">
      <c r="A3023" s="10">
        <v>46113</v>
      </c>
      <c r="B3023" s="9" t="s">
        <v>15</v>
      </c>
      <c r="C3023" t="s">
        <v>358</v>
      </c>
      <c r="D3023" s="9">
        <v>19635</v>
      </c>
      <c r="E3023" s="5" t="s">
        <v>452</v>
      </c>
      <c r="F3023" t="s">
        <v>216</v>
      </c>
      <c r="G3023">
        <v>1829</v>
      </c>
      <c r="H3023">
        <v>890</v>
      </c>
      <c r="I3023" s="8">
        <f t="shared" si="258"/>
        <v>0.48660470202296335</v>
      </c>
      <c r="J3023" s="17">
        <v>0.7</v>
      </c>
      <c r="K3023" s="12">
        <v>13.75</v>
      </c>
      <c r="L3023" s="2">
        <v>939</v>
      </c>
      <c r="M3023" s="15">
        <f t="shared" si="259"/>
        <v>12911.25</v>
      </c>
    </row>
    <row r="3024" spans="1:13" x14ac:dyDescent="0.3">
      <c r="A3024" s="10">
        <v>46113</v>
      </c>
      <c r="B3024" s="9" t="s">
        <v>15</v>
      </c>
      <c r="C3024" t="s">
        <v>358</v>
      </c>
      <c r="D3024" s="9">
        <v>19665</v>
      </c>
      <c r="E3024" s="5" t="s">
        <v>453</v>
      </c>
      <c r="F3024" t="s">
        <v>217</v>
      </c>
      <c r="G3024">
        <v>1802</v>
      </c>
      <c r="H3024">
        <v>725</v>
      </c>
      <c r="I3024" s="8">
        <f t="shared" si="258"/>
        <v>0.40233074361820198</v>
      </c>
      <c r="J3024" s="17">
        <v>0.7</v>
      </c>
      <c r="K3024" s="12">
        <v>13.75</v>
      </c>
      <c r="L3024" s="2">
        <v>1077</v>
      </c>
      <c r="M3024" s="15">
        <f t="shared" si="259"/>
        <v>14808.75</v>
      </c>
    </row>
    <row r="3025" spans="1:13" x14ac:dyDescent="0.3">
      <c r="A3025" s="10">
        <v>46113</v>
      </c>
      <c r="B3025" s="9" t="s">
        <v>15</v>
      </c>
      <c r="C3025" t="s">
        <v>358</v>
      </c>
      <c r="D3025" s="9">
        <v>19504</v>
      </c>
      <c r="E3025" s="5" t="s">
        <v>454</v>
      </c>
      <c r="F3025" t="s">
        <v>218</v>
      </c>
      <c r="G3025">
        <v>2631</v>
      </c>
      <c r="H3025">
        <v>1078</v>
      </c>
      <c r="I3025" s="8">
        <f t="shared" si="258"/>
        <v>0.40973014063093882</v>
      </c>
      <c r="J3025" s="17">
        <v>0.7</v>
      </c>
      <c r="K3025" s="12">
        <v>13.75</v>
      </c>
      <c r="L3025" s="2">
        <v>1553</v>
      </c>
      <c r="M3025" s="15">
        <f t="shared" si="259"/>
        <v>21353.75</v>
      </c>
    </row>
    <row r="3026" spans="1:13" x14ac:dyDescent="0.3">
      <c r="A3026" s="10">
        <v>46113</v>
      </c>
      <c r="B3026" s="9" t="s">
        <v>15</v>
      </c>
      <c r="C3026" t="s">
        <v>358</v>
      </c>
      <c r="D3026" s="9">
        <v>19511</v>
      </c>
      <c r="E3026" s="5" t="s">
        <v>455</v>
      </c>
      <c r="F3026" t="s">
        <v>219</v>
      </c>
      <c r="G3026">
        <v>2536</v>
      </c>
      <c r="H3026">
        <v>990</v>
      </c>
      <c r="I3026" s="8">
        <f t="shared" si="258"/>
        <v>0.39037854889589907</v>
      </c>
      <c r="J3026" s="17">
        <v>0.7</v>
      </c>
      <c r="K3026" s="12">
        <v>13.75</v>
      </c>
      <c r="L3026" s="2">
        <v>1546</v>
      </c>
      <c r="M3026" s="15">
        <f t="shared" si="259"/>
        <v>21257.5</v>
      </c>
    </row>
    <row r="3027" spans="1:13" x14ac:dyDescent="0.3">
      <c r="A3027" s="10">
        <v>46113</v>
      </c>
      <c r="B3027" s="9" t="s">
        <v>15</v>
      </c>
      <c r="C3027" t="s">
        <v>358</v>
      </c>
      <c r="D3027" s="9">
        <v>19506</v>
      </c>
      <c r="E3027" s="5" t="s">
        <v>457</v>
      </c>
      <c r="F3027" t="s">
        <v>220</v>
      </c>
      <c r="G3027">
        <v>2666</v>
      </c>
      <c r="H3027">
        <v>948</v>
      </c>
      <c r="I3027" s="8">
        <f t="shared" si="258"/>
        <v>0.35558889722430609</v>
      </c>
      <c r="J3027" s="17">
        <v>0.7</v>
      </c>
      <c r="K3027" s="12">
        <v>13.75</v>
      </c>
      <c r="L3027" s="2">
        <v>1718</v>
      </c>
      <c r="M3027" s="15">
        <f t="shared" si="259"/>
        <v>23622.5</v>
      </c>
    </row>
    <row r="3028" spans="1:13" x14ac:dyDescent="0.3">
      <c r="A3028" s="10">
        <v>46113</v>
      </c>
      <c r="B3028" s="9" t="s">
        <v>7</v>
      </c>
      <c r="C3028" t="s">
        <v>8</v>
      </c>
      <c r="D3028" s="9">
        <v>19700</v>
      </c>
      <c r="E3028" s="5" t="s">
        <v>458</v>
      </c>
      <c r="F3028" t="s">
        <v>9</v>
      </c>
      <c r="G3028">
        <v>1746</v>
      </c>
      <c r="H3028">
        <v>616</v>
      </c>
      <c r="I3028" s="8">
        <f t="shared" si="258"/>
        <v>0.35280641466208479</v>
      </c>
      <c r="J3028" s="17">
        <v>0.7</v>
      </c>
      <c r="K3028" s="12">
        <v>13.75</v>
      </c>
      <c r="L3028" s="2">
        <v>1130</v>
      </c>
      <c r="M3028" s="15">
        <f t="shared" si="259"/>
        <v>15537.5</v>
      </c>
    </row>
    <row r="3029" spans="1:13" x14ac:dyDescent="0.3">
      <c r="A3029" s="10">
        <v>46113</v>
      </c>
      <c r="B3029" s="9" t="s">
        <v>46</v>
      </c>
      <c r="C3029" t="s">
        <v>47</v>
      </c>
      <c r="D3029" s="9">
        <v>19722</v>
      </c>
      <c r="E3029" s="5" t="s">
        <v>460</v>
      </c>
      <c r="F3029" t="s">
        <v>52</v>
      </c>
      <c r="G3029">
        <v>1288</v>
      </c>
      <c r="H3029">
        <v>431</v>
      </c>
      <c r="I3029" s="8">
        <f t="shared" si="258"/>
        <v>0.33462732919254656</v>
      </c>
      <c r="J3029" s="17">
        <v>0.7</v>
      </c>
      <c r="K3029" s="12">
        <v>13.75</v>
      </c>
      <c r="L3029" s="2">
        <v>857</v>
      </c>
      <c r="M3029" s="15">
        <f t="shared" si="259"/>
        <v>11783.75</v>
      </c>
    </row>
    <row r="3030" spans="1:13" x14ac:dyDescent="0.3">
      <c r="A3030" s="10">
        <v>46113</v>
      </c>
      <c r="B3030" s="9" t="s">
        <v>3</v>
      </c>
      <c r="C3030" t="s">
        <v>248</v>
      </c>
      <c r="D3030" s="9">
        <v>19716</v>
      </c>
      <c r="E3030" s="5" t="s">
        <v>461</v>
      </c>
      <c r="F3030" t="s">
        <v>262</v>
      </c>
      <c r="G3030">
        <v>1503</v>
      </c>
      <c r="H3030">
        <v>691</v>
      </c>
      <c r="I3030" s="8">
        <f t="shared" si="258"/>
        <v>0.45974717232202261</v>
      </c>
      <c r="J3030" s="17">
        <v>0.7</v>
      </c>
      <c r="K3030" s="12">
        <v>13.75</v>
      </c>
      <c r="L3030" s="2">
        <v>812</v>
      </c>
      <c r="M3030" s="15">
        <f t="shared" si="259"/>
        <v>11165</v>
      </c>
    </row>
    <row r="3031" spans="1:13" x14ac:dyDescent="0.3">
      <c r="A3031" s="10">
        <v>46113</v>
      </c>
      <c r="B3031" s="9" t="s">
        <v>3</v>
      </c>
      <c r="C3031" t="s">
        <v>17</v>
      </c>
      <c r="D3031" s="9">
        <v>19715</v>
      </c>
      <c r="E3031" s="5" t="s">
        <v>462</v>
      </c>
      <c r="F3031" t="s">
        <v>18</v>
      </c>
      <c r="G3031">
        <v>1722</v>
      </c>
      <c r="H3031">
        <v>1001</v>
      </c>
      <c r="I3031" s="8">
        <f t="shared" si="258"/>
        <v>0.58130081300813008</v>
      </c>
      <c r="J3031" s="17">
        <v>0.7</v>
      </c>
      <c r="K3031" s="12">
        <v>13.75</v>
      </c>
      <c r="L3031" s="2">
        <v>721</v>
      </c>
      <c r="M3031" s="15">
        <f t="shared" si="259"/>
        <v>9913.75</v>
      </c>
    </row>
    <row r="3032" spans="1:13" x14ac:dyDescent="0.3">
      <c r="A3032" s="10">
        <v>46113</v>
      </c>
      <c r="B3032" s="9" t="s">
        <v>21</v>
      </c>
      <c r="C3032" t="s">
        <v>368</v>
      </c>
      <c r="D3032" s="9">
        <v>19736</v>
      </c>
      <c r="E3032" s="5" t="s">
        <v>464</v>
      </c>
      <c r="F3032" t="s">
        <v>295</v>
      </c>
      <c r="G3032">
        <v>3453</v>
      </c>
      <c r="H3032">
        <v>1387</v>
      </c>
      <c r="I3032" s="8">
        <f t="shared" si="258"/>
        <v>0.40167969881262672</v>
      </c>
      <c r="J3032" s="17">
        <v>0.7</v>
      </c>
      <c r="K3032" s="12">
        <v>13.75</v>
      </c>
      <c r="L3032" s="2">
        <v>2066</v>
      </c>
      <c r="M3032" s="15">
        <f t="shared" si="259"/>
        <v>28407.5</v>
      </c>
    </row>
    <row r="3033" spans="1:13" x14ac:dyDescent="0.3">
      <c r="A3033" s="10">
        <v>46113</v>
      </c>
      <c r="B3033" s="9" t="s">
        <v>21</v>
      </c>
      <c r="C3033" t="s">
        <v>228</v>
      </c>
      <c r="D3033" s="9">
        <v>19740</v>
      </c>
      <c r="E3033" s="5" t="s">
        <v>465</v>
      </c>
      <c r="F3033" t="s">
        <v>229</v>
      </c>
      <c r="G3033">
        <v>2426</v>
      </c>
      <c r="H3033">
        <v>835</v>
      </c>
      <c r="I3033" s="8">
        <f t="shared" si="258"/>
        <v>0.34418796372629845</v>
      </c>
      <c r="J3033" s="17">
        <v>0.7</v>
      </c>
      <c r="K3033" s="12">
        <v>13.75</v>
      </c>
      <c r="L3033" s="2">
        <v>1591</v>
      </c>
      <c r="M3033" s="15">
        <f t="shared" si="259"/>
        <v>21876.25</v>
      </c>
    </row>
    <row r="3034" spans="1:13" x14ac:dyDescent="0.3">
      <c r="A3034" s="10">
        <v>46113</v>
      </c>
      <c r="B3034" s="9" t="s">
        <v>21</v>
      </c>
      <c r="C3034" t="s">
        <v>352</v>
      </c>
      <c r="D3034" s="9">
        <v>19738</v>
      </c>
      <c r="E3034" s="5" t="s">
        <v>466</v>
      </c>
      <c r="F3034" t="s">
        <v>118</v>
      </c>
      <c r="G3034">
        <v>4055</v>
      </c>
      <c r="H3034">
        <v>2104</v>
      </c>
      <c r="I3034" s="8">
        <f t="shared" si="258"/>
        <v>0.51886559802712695</v>
      </c>
      <c r="J3034" s="17">
        <v>0.7</v>
      </c>
      <c r="K3034" s="12">
        <v>13.75</v>
      </c>
      <c r="L3034" s="2">
        <v>1951</v>
      </c>
      <c r="M3034" s="15">
        <f t="shared" si="259"/>
        <v>26826.25</v>
      </c>
    </row>
    <row r="3035" spans="1:13" x14ac:dyDescent="0.3">
      <c r="A3035" s="10">
        <v>46113</v>
      </c>
      <c r="B3035" s="9" t="s">
        <v>129</v>
      </c>
      <c r="C3035" t="s">
        <v>130</v>
      </c>
      <c r="D3035" s="9">
        <v>19742</v>
      </c>
      <c r="E3035" s="5" t="s">
        <v>467</v>
      </c>
      <c r="F3035" t="s">
        <v>131</v>
      </c>
      <c r="G3035">
        <v>1353</v>
      </c>
      <c r="H3035">
        <v>613</v>
      </c>
      <c r="I3035" s="8">
        <f t="shared" si="258"/>
        <v>0.45306725794530672</v>
      </c>
      <c r="J3035" s="17">
        <v>0.7</v>
      </c>
      <c r="K3035" s="12">
        <v>13.75</v>
      </c>
      <c r="L3035" s="2">
        <v>740</v>
      </c>
      <c r="M3035" s="15">
        <f t="shared" si="259"/>
        <v>10175</v>
      </c>
    </row>
    <row r="3036" spans="1:13" x14ac:dyDescent="0.3">
      <c r="A3036" s="10">
        <v>46113</v>
      </c>
      <c r="B3036" s="9" t="s">
        <v>129</v>
      </c>
      <c r="C3036" t="s">
        <v>130</v>
      </c>
      <c r="D3036" s="9">
        <v>19785</v>
      </c>
      <c r="E3036" s="5" t="s">
        <v>468</v>
      </c>
      <c r="F3036" t="s">
        <v>132</v>
      </c>
      <c r="G3036">
        <v>1556</v>
      </c>
      <c r="H3036">
        <v>760</v>
      </c>
      <c r="I3036" s="8">
        <f t="shared" si="258"/>
        <v>0.4884318766066838</v>
      </c>
      <c r="J3036" s="17">
        <v>0.7</v>
      </c>
      <c r="K3036" s="12">
        <v>13.75</v>
      </c>
      <c r="L3036" s="2">
        <v>796</v>
      </c>
      <c r="M3036" s="15">
        <f t="shared" si="259"/>
        <v>10945</v>
      </c>
    </row>
    <row r="3037" spans="1:13" x14ac:dyDescent="0.3">
      <c r="A3037" s="10">
        <v>46113</v>
      </c>
      <c r="B3037" s="9" t="s">
        <v>129</v>
      </c>
      <c r="C3037" t="s">
        <v>130</v>
      </c>
      <c r="D3037" s="9">
        <v>19843</v>
      </c>
      <c r="E3037" s="5" t="s">
        <v>469</v>
      </c>
      <c r="F3037" t="s">
        <v>133</v>
      </c>
      <c r="G3037">
        <v>1215</v>
      </c>
      <c r="H3037">
        <v>545</v>
      </c>
      <c r="I3037" s="8">
        <f t="shared" si="258"/>
        <v>0.44855967078189302</v>
      </c>
      <c r="J3037" s="17">
        <v>0.7</v>
      </c>
      <c r="K3037" s="12">
        <v>13.75</v>
      </c>
      <c r="L3037" s="2">
        <v>670</v>
      </c>
      <c r="M3037" s="15">
        <f t="shared" si="259"/>
        <v>9212.5</v>
      </c>
    </row>
    <row r="3038" spans="1:13" x14ac:dyDescent="0.3">
      <c r="A3038" s="10">
        <v>46113</v>
      </c>
      <c r="B3038" s="9" t="s">
        <v>129</v>
      </c>
      <c r="C3038" t="s">
        <v>130</v>
      </c>
      <c r="D3038" s="9">
        <v>19879</v>
      </c>
      <c r="E3038" s="5" t="s">
        <v>470</v>
      </c>
      <c r="F3038" t="s">
        <v>134</v>
      </c>
      <c r="G3038">
        <v>1312</v>
      </c>
      <c r="H3038">
        <v>702</v>
      </c>
      <c r="I3038" s="8">
        <f t="shared" si="258"/>
        <v>0.53506097560975607</v>
      </c>
      <c r="J3038" s="17">
        <v>0.7</v>
      </c>
      <c r="K3038" s="12">
        <v>13.75</v>
      </c>
      <c r="L3038" s="2">
        <v>610</v>
      </c>
      <c r="M3038" s="15">
        <f t="shared" si="259"/>
        <v>8387.5</v>
      </c>
    </row>
    <row r="3039" spans="1:13" x14ac:dyDescent="0.3">
      <c r="A3039" s="10">
        <v>46113</v>
      </c>
      <c r="B3039" s="9" t="s">
        <v>89</v>
      </c>
      <c r="C3039" t="s">
        <v>346</v>
      </c>
      <c r="D3039" s="9">
        <v>19735</v>
      </c>
      <c r="E3039" s="5" t="s">
        <v>471</v>
      </c>
      <c r="F3039" t="s">
        <v>90</v>
      </c>
      <c r="G3039">
        <v>511</v>
      </c>
      <c r="H3039">
        <v>222</v>
      </c>
      <c r="I3039" s="8">
        <f t="shared" si="258"/>
        <v>0.43444227005870839</v>
      </c>
      <c r="J3039" s="17">
        <v>0.7</v>
      </c>
      <c r="K3039" s="12">
        <v>13.75</v>
      </c>
      <c r="L3039" s="2">
        <v>289</v>
      </c>
      <c r="M3039" s="15">
        <f t="shared" si="259"/>
        <v>3973.75</v>
      </c>
    </row>
    <row r="3040" spans="1:13" x14ac:dyDescent="0.3">
      <c r="A3040" s="10">
        <v>46113</v>
      </c>
      <c r="B3040" s="9" t="s">
        <v>89</v>
      </c>
      <c r="C3040" t="s">
        <v>346</v>
      </c>
      <c r="D3040" s="9">
        <v>19607</v>
      </c>
      <c r="E3040" s="5" t="s">
        <v>472</v>
      </c>
      <c r="F3040" t="s">
        <v>91</v>
      </c>
      <c r="G3040">
        <v>1783</v>
      </c>
      <c r="H3040">
        <v>678</v>
      </c>
      <c r="I3040" s="8">
        <f t="shared" si="258"/>
        <v>0.38025799214806505</v>
      </c>
      <c r="J3040" s="17">
        <v>0.7</v>
      </c>
      <c r="K3040" s="12">
        <v>13.75</v>
      </c>
      <c r="L3040" s="2">
        <v>1105</v>
      </c>
      <c r="M3040" s="15">
        <f t="shared" si="259"/>
        <v>15193.75</v>
      </c>
    </row>
    <row r="3041" spans="1:13" x14ac:dyDescent="0.3">
      <c r="A3041" s="10">
        <v>46113</v>
      </c>
      <c r="B3041" s="9" t="s">
        <v>89</v>
      </c>
      <c r="C3041" t="s">
        <v>346</v>
      </c>
      <c r="D3041" s="9">
        <v>19642</v>
      </c>
      <c r="E3041" s="5" t="s">
        <v>473</v>
      </c>
      <c r="F3041" t="s">
        <v>92</v>
      </c>
      <c r="G3041">
        <v>1606</v>
      </c>
      <c r="H3041">
        <v>694</v>
      </c>
      <c r="I3041" s="8">
        <f t="shared" si="258"/>
        <v>0.43212951432129515</v>
      </c>
      <c r="J3041" s="17">
        <v>0.7</v>
      </c>
      <c r="K3041" s="12">
        <v>13.75</v>
      </c>
      <c r="L3041" s="2">
        <v>912</v>
      </c>
      <c r="M3041" s="15">
        <f t="shared" si="259"/>
        <v>12540</v>
      </c>
    </row>
    <row r="3042" spans="1:13" x14ac:dyDescent="0.3">
      <c r="A3042" s="10">
        <v>46113</v>
      </c>
      <c r="B3042" s="9" t="s">
        <v>89</v>
      </c>
      <c r="C3042" t="s">
        <v>346</v>
      </c>
      <c r="D3042" s="9">
        <v>19725</v>
      </c>
      <c r="E3042" s="5" t="s">
        <v>474</v>
      </c>
      <c r="F3042" t="s">
        <v>93</v>
      </c>
      <c r="G3042">
        <v>1433</v>
      </c>
      <c r="H3042">
        <v>634</v>
      </c>
      <c r="I3042" s="8">
        <f t="shared" si="258"/>
        <v>0.4424284717376134</v>
      </c>
      <c r="J3042" s="17">
        <v>0.7</v>
      </c>
      <c r="K3042" s="12">
        <v>13.75</v>
      </c>
      <c r="L3042" s="2">
        <v>799</v>
      </c>
      <c r="M3042" s="15">
        <f t="shared" si="259"/>
        <v>10986.25</v>
      </c>
    </row>
    <row r="3043" spans="1:13" x14ac:dyDescent="0.3">
      <c r="A3043" s="10">
        <v>46113</v>
      </c>
      <c r="B3043" s="9" t="s">
        <v>89</v>
      </c>
      <c r="C3043" t="s">
        <v>346</v>
      </c>
      <c r="D3043" s="9">
        <v>19902</v>
      </c>
      <c r="E3043" s="5" t="s">
        <v>475</v>
      </c>
      <c r="F3043" t="s">
        <v>94</v>
      </c>
      <c r="G3043">
        <v>2021</v>
      </c>
      <c r="H3043">
        <v>960</v>
      </c>
      <c r="I3043" s="8">
        <f t="shared" si="258"/>
        <v>0.47501237011380504</v>
      </c>
      <c r="J3043" s="17">
        <v>0.7</v>
      </c>
      <c r="K3043" s="12">
        <v>13.75</v>
      </c>
      <c r="L3043" s="2">
        <v>1061</v>
      </c>
      <c r="M3043" s="15">
        <f t="shared" si="259"/>
        <v>14588.75</v>
      </c>
    </row>
    <row r="3044" spans="1:13" x14ac:dyDescent="0.3">
      <c r="A3044" s="10">
        <v>46113</v>
      </c>
      <c r="B3044" s="9" t="s">
        <v>89</v>
      </c>
      <c r="C3044" t="s">
        <v>346</v>
      </c>
      <c r="D3044" s="9">
        <v>19903</v>
      </c>
      <c r="E3044" s="5" t="s">
        <v>476</v>
      </c>
      <c r="F3044" t="s">
        <v>95</v>
      </c>
      <c r="G3044">
        <v>2174</v>
      </c>
      <c r="H3044">
        <v>1301</v>
      </c>
      <c r="I3044" s="8">
        <f t="shared" si="258"/>
        <v>0.59843606255749771</v>
      </c>
      <c r="J3044" s="17">
        <v>0.7</v>
      </c>
      <c r="K3044" s="12">
        <v>13.75</v>
      </c>
      <c r="L3044" s="2">
        <v>873</v>
      </c>
      <c r="M3044" s="15">
        <f t="shared" si="259"/>
        <v>12003.75</v>
      </c>
    </row>
    <row r="3045" spans="1:13" x14ac:dyDescent="0.3">
      <c r="A3045" s="10">
        <v>46113</v>
      </c>
      <c r="B3045" s="9" t="s">
        <v>82</v>
      </c>
      <c r="C3045" t="s">
        <v>135</v>
      </c>
      <c r="D3045" s="9">
        <v>19749</v>
      </c>
      <c r="E3045" s="5" t="s">
        <v>477</v>
      </c>
      <c r="F3045" t="s">
        <v>136</v>
      </c>
      <c r="G3045">
        <v>1430</v>
      </c>
      <c r="H3045">
        <v>559</v>
      </c>
      <c r="I3045" s="8">
        <f t="shared" si="258"/>
        <v>0.39090909090909093</v>
      </c>
      <c r="J3045" s="17">
        <v>0.7</v>
      </c>
      <c r="K3045" s="12">
        <v>13.75</v>
      </c>
      <c r="L3045" s="2">
        <v>871</v>
      </c>
      <c r="M3045" s="15">
        <f t="shared" si="259"/>
        <v>11976.25</v>
      </c>
    </row>
    <row r="3046" spans="1:13" x14ac:dyDescent="0.3">
      <c r="A3046" s="10">
        <v>46113</v>
      </c>
      <c r="B3046" s="9" t="s">
        <v>82</v>
      </c>
      <c r="C3046" t="s">
        <v>83</v>
      </c>
      <c r="D3046" s="9">
        <v>19545</v>
      </c>
      <c r="E3046" s="5" t="s">
        <v>478</v>
      </c>
      <c r="F3046" t="s">
        <v>84</v>
      </c>
      <c r="G3046">
        <v>1980</v>
      </c>
      <c r="H3046">
        <v>687</v>
      </c>
      <c r="I3046" s="8">
        <f t="shared" si="258"/>
        <v>0.34696969696969698</v>
      </c>
      <c r="J3046" s="17">
        <v>0.7</v>
      </c>
      <c r="K3046" s="12">
        <v>13.75</v>
      </c>
      <c r="L3046" s="2">
        <v>1293</v>
      </c>
      <c r="M3046" s="15">
        <f t="shared" si="259"/>
        <v>17778.75</v>
      </c>
    </row>
    <row r="3047" spans="1:13" x14ac:dyDescent="0.3">
      <c r="A3047" s="10">
        <v>46113</v>
      </c>
      <c r="B3047" s="9" t="s">
        <v>82</v>
      </c>
      <c r="C3047" t="s">
        <v>83</v>
      </c>
      <c r="D3047" s="9">
        <v>19546</v>
      </c>
      <c r="E3047" s="5" t="s">
        <v>479</v>
      </c>
      <c r="F3047" t="s">
        <v>85</v>
      </c>
      <c r="G3047">
        <v>1876</v>
      </c>
      <c r="H3047">
        <v>733</v>
      </c>
      <c r="I3047" s="8">
        <f t="shared" si="258"/>
        <v>0.39072494669509594</v>
      </c>
      <c r="J3047" s="17">
        <v>0.7</v>
      </c>
      <c r="K3047" s="12">
        <v>13.75</v>
      </c>
      <c r="L3047" s="2">
        <v>1143</v>
      </c>
      <c r="M3047" s="15">
        <f t="shared" si="259"/>
        <v>15716.25</v>
      </c>
    </row>
    <row r="3048" spans="1:13" x14ac:dyDescent="0.3">
      <c r="A3048" s="10">
        <v>46113</v>
      </c>
      <c r="B3048" s="9" t="s">
        <v>3</v>
      </c>
      <c r="C3048" t="s">
        <v>248</v>
      </c>
      <c r="D3048" s="9">
        <v>19753</v>
      </c>
      <c r="E3048" s="5" t="s">
        <v>483</v>
      </c>
      <c r="F3048" t="s">
        <v>265</v>
      </c>
      <c r="G3048">
        <v>1970</v>
      </c>
      <c r="H3048">
        <v>824</v>
      </c>
      <c r="I3048" s="8">
        <f t="shared" si="258"/>
        <v>0.4182741116751269</v>
      </c>
      <c r="J3048" s="17">
        <v>0.7</v>
      </c>
      <c r="K3048" s="12">
        <v>13.75</v>
      </c>
      <c r="L3048" s="2">
        <v>1146</v>
      </c>
      <c r="M3048" s="15">
        <f t="shared" si="259"/>
        <v>15757.5</v>
      </c>
    </row>
    <row r="3049" spans="1:13" x14ac:dyDescent="0.3">
      <c r="A3049" s="10">
        <v>46113</v>
      </c>
      <c r="B3049" s="9" t="s">
        <v>7</v>
      </c>
      <c r="C3049" t="s">
        <v>99</v>
      </c>
      <c r="D3049" s="9">
        <v>19754</v>
      </c>
      <c r="E3049" s="5" t="s">
        <v>484</v>
      </c>
      <c r="F3049" t="s">
        <v>101</v>
      </c>
      <c r="G3049">
        <v>2735</v>
      </c>
      <c r="H3049">
        <v>1118</v>
      </c>
      <c r="I3049" s="8">
        <f t="shared" si="258"/>
        <v>0.40877513711151736</v>
      </c>
      <c r="J3049" s="17">
        <v>0.7</v>
      </c>
      <c r="K3049" s="12">
        <v>13.75</v>
      </c>
      <c r="L3049" s="2">
        <v>1617</v>
      </c>
      <c r="M3049" s="15">
        <f t="shared" si="259"/>
        <v>22233.75</v>
      </c>
    </row>
    <row r="3050" spans="1:13" x14ac:dyDescent="0.3">
      <c r="A3050" s="10">
        <v>46113</v>
      </c>
      <c r="B3050" s="9" t="s">
        <v>195</v>
      </c>
      <c r="C3050" t="s">
        <v>196</v>
      </c>
      <c r="D3050" s="9">
        <v>19762</v>
      </c>
      <c r="E3050" s="5" t="s">
        <v>486</v>
      </c>
      <c r="F3050" t="s">
        <v>197</v>
      </c>
      <c r="G3050">
        <v>1234</v>
      </c>
      <c r="H3050">
        <v>661</v>
      </c>
      <c r="I3050" s="8">
        <f t="shared" si="258"/>
        <v>0.53565640194489461</v>
      </c>
      <c r="J3050" s="17">
        <v>0.7</v>
      </c>
      <c r="K3050" s="12">
        <v>13.75</v>
      </c>
      <c r="L3050" s="2">
        <v>573</v>
      </c>
      <c r="M3050" s="15">
        <f t="shared" si="259"/>
        <v>7878.75</v>
      </c>
    </row>
    <row r="3051" spans="1:13" x14ac:dyDescent="0.3">
      <c r="A3051" s="10">
        <v>46113</v>
      </c>
      <c r="B3051" s="9" t="s">
        <v>15</v>
      </c>
      <c r="C3051" t="s">
        <v>345</v>
      </c>
      <c r="D3051" s="9">
        <v>19687</v>
      </c>
      <c r="E3051" s="5" t="s">
        <v>488</v>
      </c>
      <c r="F3051" t="s">
        <v>88</v>
      </c>
      <c r="G3051">
        <v>2008</v>
      </c>
      <c r="H3051">
        <v>1522</v>
      </c>
      <c r="I3051" s="8">
        <f t="shared" si="258"/>
        <v>0.75796812749003983</v>
      </c>
      <c r="J3051" s="17">
        <v>0.7</v>
      </c>
      <c r="K3051" s="12">
        <v>13.75</v>
      </c>
      <c r="L3051" s="2">
        <v>486</v>
      </c>
      <c r="M3051" s="15">
        <f t="shared" si="259"/>
        <v>6682.5</v>
      </c>
    </row>
    <row r="3052" spans="1:13" x14ac:dyDescent="0.3">
      <c r="A3052" s="10">
        <v>46113</v>
      </c>
      <c r="B3052" s="9" t="s">
        <v>21</v>
      </c>
      <c r="C3052" t="s">
        <v>181</v>
      </c>
      <c r="D3052" s="9">
        <v>19778</v>
      </c>
      <c r="E3052" s="5" t="s">
        <v>489</v>
      </c>
      <c r="F3052" t="s">
        <v>182</v>
      </c>
      <c r="G3052">
        <v>1077</v>
      </c>
      <c r="H3052">
        <v>680</v>
      </c>
      <c r="I3052" s="8">
        <f t="shared" si="258"/>
        <v>0.63138347260909933</v>
      </c>
      <c r="J3052" s="17">
        <v>0.7</v>
      </c>
      <c r="K3052" s="12">
        <v>13.75</v>
      </c>
      <c r="L3052" s="2">
        <v>397</v>
      </c>
      <c r="M3052" s="15">
        <f t="shared" si="259"/>
        <v>5458.75</v>
      </c>
    </row>
    <row r="3053" spans="1:13" x14ac:dyDescent="0.3">
      <c r="A3053" s="10">
        <v>46113</v>
      </c>
      <c r="B3053" s="9" t="s">
        <v>40</v>
      </c>
      <c r="C3053" t="s">
        <v>41</v>
      </c>
      <c r="D3053" s="9">
        <v>19787</v>
      </c>
      <c r="E3053" s="5" t="s">
        <v>492</v>
      </c>
      <c r="F3053" t="s">
        <v>42</v>
      </c>
      <c r="G3053">
        <v>913</v>
      </c>
      <c r="H3053">
        <v>542</v>
      </c>
      <c r="I3053" s="8">
        <f t="shared" si="258"/>
        <v>0.59364731653888281</v>
      </c>
      <c r="J3053" s="17">
        <v>0.7</v>
      </c>
      <c r="K3053" s="12">
        <v>13.75</v>
      </c>
      <c r="L3053" s="2">
        <v>371</v>
      </c>
      <c r="M3053" s="15">
        <f t="shared" si="259"/>
        <v>5101.25</v>
      </c>
    </row>
    <row r="3054" spans="1:13" x14ac:dyDescent="0.3">
      <c r="A3054" s="10">
        <v>46113</v>
      </c>
      <c r="B3054" s="9" t="s">
        <v>71</v>
      </c>
      <c r="C3054" t="s">
        <v>175</v>
      </c>
      <c r="D3054" s="9">
        <v>19788</v>
      </c>
      <c r="E3054" s="5" t="s">
        <v>495</v>
      </c>
      <c r="F3054" t="s">
        <v>177</v>
      </c>
      <c r="G3054">
        <v>4271</v>
      </c>
      <c r="H3054">
        <v>1446</v>
      </c>
      <c r="I3054" s="8">
        <f t="shared" si="258"/>
        <v>0.33856239756497308</v>
      </c>
      <c r="J3054" s="17">
        <v>0.7</v>
      </c>
      <c r="K3054" s="12">
        <v>13.75</v>
      </c>
      <c r="L3054" s="2">
        <v>2825</v>
      </c>
      <c r="M3054" s="15">
        <f t="shared" si="259"/>
        <v>38843.75</v>
      </c>
    </row>
    <row r="3055" spans="1:13" x14ac:dyDescent="0.3">
      <c r="A3055" s="10">
        <v>46113</v>
      </c>
      <c r="B3055" s="9" t="s">
        <v>21</v>
      </c>
      <c r="C3055" t="s">
        <v>228</v>
      </c>
      <c r="D3055" s="9">
        <v>19790</v>
      </c>
      <c r="E3055" s="5" t="s">
        <v>497</v>
      </c>
      <c r="F3055" t="s">
        <v>232</v>
      </c>
      <c r="G3055">
        <v>3010</v>
      </c>
      <c r="H3055">
        <v>1522</v>
      </c>
      <c r="I3055" s="8">
        <f t="shared" si="258"/>
        <v>0.50564784053156142</v>
      </c>
      <c r="J3055" s="17">
        <v>0.7</v>
      </c>
      <c r="K3055" s="12">
        <v>13.75</v>
      </c>
      <c r="L3055" s="2">
        <v>1488</v>
      </c>
      <c r="M3055" s="15">
        <f t="shared" si="259"/>
        <v>20460</v>
      </c>
    </row>
    <row r="3056" spans="1:13" x14ac:dyDescent="0.3">
      <c r="A3056" s="10">
        <v>46113</v>
      </c>
      <c r="B3056" s="9" t="s">
        <v>71</v>
      </c>
      <c r="C3056" t="s">
        <v>175</v>
      </c>
      <c r="D3056" s="9">
        <v>19842</v>
      </c>
      <c r="E3056" s="5" t="s">
        <v>498</v>
      </c>
      <c r="F3056" t="s">
        <v>178</v>
      </c>
      <c r="G3056">
        <v>3298</v>
      </c>
      <c r="H3056">
        <v>1076</v>
      </c>
      <c r="I3056" s="8">
        <f t="shared" si="258"/>
        <v>0.32625833838690116</v>
      </c>
      <c r="J3056" s="17">
        <v>0.7</v>
      </c>
      <c r="K3056" s="12">
        <v>13.75</v>
      </c>
      <c r="L3056" s="2">
        <v>2222</v>
      </c>
      <c r="M3056" s="15">
        <f t="shared" si="259"/>
        <v>30552.5</v>
      </c>
    </row>
    <row r="3057" spans="1:13" x14ac:dyDescent="0.3">
      <c r="A3057" s="10">
        <v>46113</v>
      </c>
      <c r="B3057" s="9" t="s">
        <v>59</v>
      </c>
      <c r="C3057" t="s">
        <v>289</v>
      </c>
      <c r="D3057" s="9">
        <v>19876</v>
      </c>
      <c r="E3057" s="5" t="s">
        <v>502</v>
      </c>
      <c r="F3057" t="s">
        <v>291</v>
      </c>
      <c r="G3057">
        <v>2385</v>
      </c>
      <c r="H3057">
        <v>872</v>
      </c>
      <c r="I3057" s="8">
        <f t="shared" si="258"/>
        <v>0.36561844863731657</v>
      </c>
      <c r="J3057" s="17">
        <v>0.7</v>
      </c>
      <c r="K3057" s="12">
        <v>13.75</v>
      </c>
      <c r="L3057" s="2">
        <v>1513</v>
      </c>
      <c r="M3057" s="15">
        <f t="shared" si="259"/>
        <v>20803.75</v>
      </c>
    </row>
    <row r="3058" spans="1:13" x14ac:dyDescent="0.3">
      <c r="A3058" s="10">
        <v>46113</v>
      </c>
      <c r="B3058" s="9" t="s">
        <v>71</v>
      </c>
      <c r="C3058" t="s">
        <v>175</v>
      </c>
      <c r="D3058" s="9">
        <v>19874</v>
      </c>
      <c r="E3058" s="5" t="s">
        <v>504</v>
      </c>
      <c r="F3058" t="s">
        <v>179</v>
      </c>
      <c r="G3058">
        <v>3684</v>
      </c>
      <c r="H3058">
        <v>1336</v>
      </c>
      <c r="I3058" s="8">
        <f t="shared" si="258"/>
        <v>0.36264929424538545</v>
      </c>
      <c r="J3058" s="17">
        <v>0.7</v>
      </c>
      <c r="K3058" s="12">
        <v>13.75</v>
      </c>
      <c r="L3058" s="2">
        <v>2348</v>
      </c>
      <c r="M3058" s="15">
        <f t="shared" si="259"/>
        <v>32285</v>
      </c>
    </row>
    <row r="3059" spans="1:13" x14ac:dyDescent="0.3">
      <c r="A3059" s="10">
        <v>46113</v>
      </c>
      <c r="B3059" s="9" t="s">
        <v>3</v>
      </c>
      <c r="C3059" t="s">
        <v>165</v>
      </c>
      <c r="D3059" s="9">
        <v>19761</v>
      </c>
      <c r="E3059" s="5" t="s">
        <v>505</v>
      </c>
      <c r="F3059" t="s">
        <v>166</v>
      </c>
      <c r="G3059">
        <v>1395</v>
      </c>
      <c r="H3059">
        <v>577</v>
      </c>
      <c r="I3059" s="8">
        <f t="shared" si="258"/>
        <v>0.41362007168458781</v>
      </c>
      <c r="J3059" s="17">
        <v>0.7</v>
      </c>
      <c r="K3059" s="12">
        <v>13.75</v>
      </c>
      <c r="L3059" s="2">
        <v>818</v>
      </c>
      <c r="M3059" s="15">
        <f t="shared" si="259"/>
        <v>11247.5</v>
      </c>
    </row>
    <row r="3060" spans="1:13" x14ac:dyDescent="0.3">
      <c r="A3060" s="10">
        <v>46113</v>
      </c>
      <c r="B3060" s="9" t="s">
        <v>46</v>
      </c>
      <c r="C3060" t="s">
        <v>47</v>
      </c>
      <c r="D3060" s="9">
        <v>19881</v>
      </c>
      <c r="E3060" s="5" t="s">
        <v>507</v>
      </c>
      <c r="F3060" t="s">
        <v>54</v>
      </c>
      <c r="G3060">
        <v>2756</v>
      </c>
      <c r="H3060">
        <v>1030</v>
      </c>
      <c r="I3060" s="8">
        <f t="shared" si="258"/>
        <v>0.3737300435413643</v>
      </c>
      <c r="J3060" s="17">
        <v>0.7</v>
      </c>
      <c r="K3060" s="12">
        <v>13.75</v>
      </c>
      <c r="L3060" s="2">
        <v>1726</v>
      </c>
      <c r="M3060" s="15">
        <f t="shared" si="259"/>
        <v>23732.5</v>
      </c>
    </row>
    <row r="3061" spans="1:13" x14ac:dyDescent="0.3">
      <c r="A3061" s="10">
        <v>46113</v>
      </c>
      <c r="B3061" s="9" t="s">
        <v>3</v>
      </c>
      <c r="C3061" t="s">
        <v>64</v>
      </c>
      <c r="D3061" s="9">
        <v>19696</v>
      </c>
      <c r="E3061" s="5" t="s">
        <v>508</v>
      </c>
      <c r="F3061" t="s">
        <v>65</v>
      </c>
      <c r="G3061">
        <v>986</v>
      </c>
      <c r="H3061">
        <v>300</v>
      </c>
      <c r="I3061" s="8">
        <f t="shared" si="258"/>
        <v>0.30425963488843816</v>
      </c>
      <c r="J3061" s="17">
        <v>0.7</v>
      </c>
      <c r="K3061" s="12">
        <v>13.75</v>
      </c>
      <c r="L3061" s="2">
        <v>686</v>
      </c>
      <c r="M3061" s="15">
        <f t="shared" si="259"/>
        <v>9432.5</v>
      </c>
    </row>
    <row r="3062" spans="1:13" x14ac:dyDescent="0.3">
      <c r="A3062" s="10">
        <v>46113</v>
      </c>
      <c r="B3062" s="9" t="s">
        <v>71</v>
      </c>
      <c r="C3062" t="s">
        <v>72</v>
      </c>
      <c r="D3062" s="9">
        <v>19883</v>
      </c>
      <c r="E3062" s="5" t="s">
        <v>509</v>
      </c>
      <c r="F3062" t="s">
        <v>73</v>
      </c>
      <c r="G3062">
        <v>1691</v>
      </c>
      <c r="H3062">
        <v>659</v>
      </c>
      <c r="I3062" s="8">
        <f t="shared" si="258"/>
        <v>0.38971023063276167</v>
      </c>
      <c r="J3062" s="17">
        <v>0.7</v>
      </c>
      <c r="K3062" s="12">
        <v>13.75</v>
      </c>
      <c r="L3062" s="2">
        <v>1032</v>
      </c>
      <c r="M3062" s="15">
        <f t="shared" si="259"/>
        <v>14190</v>
      </c>
    </row>
    <row r="3063" spans="1:13" x14ac:dyDescent="0.3">
      <c r="A3063" s="10">
        <v>46113</v>
      </c>
      <c r="B3063" s="9" t="s">
        <v>15</v>
      </c>
      <c r="C3063" t="s">
        <v>358</v>
      </c>
      <c r="D3063" s="9">
        <v>19514</v>
      </c>
      <c r="E3063" s="5" t="s">
        <v>510</v>
      </c>
      <c r="F3063" t="s">
        <v>221</v>
      </c>
      <c r="G3063">
        <v>3019</v>
      </c>
      <c r="H3063">
        <v>1050</v>
      </c>
      <c r="I3063" s="8">
        <f t="shared" si="258"/>
        <v>0.34779728386883074</v>
      </c>
      <c r="J3063" s="17">
        <v>0.7</v>
      </c>
      <c r="K3063" s="12">
        <v>13.75</v>
      </c>
      <c r="L3063" s="2">
        <v>1969</v>
      </c>
      <c r="M3063" s="15">
        <f t="shared" si="259"/>
        <v>27073.75</v>
      </c>
    </row>
    <row r="3064" spans="1:13" x14ac:dyDescent="0.3">
      <c r="A3064" s="10">
        <v>46113</v>
      </c>
      <c r="B3064" s="9" t="s">
        <v>15</v>
      </c>
      <c r="C3064" t="s">
        <v>358</v>
      </c>
      <c r="D3064" s="9">
        <v>19600</v>
      </c>
      <c r="E3064" s="5" t="s">
        <v>511</v>
      </c>
      <c r="F3064" t="s">
        <v>222</v>
      </c>
      <c r="G3064">
        <v>2427</v>
      </c>
      <c r="H3064">
        <v>1055</v>
      </c>
      <c r="I3064" s="8">
        <f t="shared" si="258"/>
        <v>0.43469303667078696</v>
      </c>
      <c r="J3064" s="17">
        <v>0.7</v>
      </c>
      <c r="K3064" s="12">
        <v>13.75</v>
      </c>
      <c r="L3064" s="2">
        <v>1372</v>
      </c>
      <c r="M3064" s="15">
        <f t="shared" si="259"/>
        <v>18865</v>
      </c>
    </row>
    <row r="3065" spans="1:13" x14ac:dyDescent="0.3">
      <c r="A3065" s="10">
        <v>46113</v>
      </c>
      <c r="B3065" s="9" t="s">
        <v>78</v>
      </c>
      <c r="C3065" t="s">
        <v>277</v>
      </c>
      <c r="D3065" s="9">
        <v>19896</v>
      </c>
      <c r="E3065" s="5" t="s">
        <v>512</v>
      </c>
      <c r="F3065" t="s">
        <v>278</v>
      </c>
      <c r="G3065">
        <v>391</v>
      </c>
      <c r="H3065">
        <v>164</v>
      </c>
      <c r="I3065" s="8">
        <f t="shared" si="258"/>
        <v>0.41943734015345269</v>
      </c>
      <c r="J3065" s="17">
        <v>0.7</v>
      </c>
      <c r="K3065" s="12">
        <v>13.75</v>
      </c>
      <c r="L3065" s="2">
        <v>227</v>
      </c>
      <c r="M3065" s="15">
        <f t="shared" si="259"/>
        <v>3121.25</v>
      </c>
    </row>
    <row r="3066" spans="1:13" x14ac:dyDescent="0.3">
      <c r="A3066" s="10">
        <v>46113</v>
      </c>
      <c r="B3066" s="9" t="s">
        <v>14</v>
      </c>
      <c r="C3066" t="s">
        <v>287</v>
      </c>
      <c r="D3066" s="9">
        <v>19905</v>
      </c>
      <c r="E3066" s="5" t="s">
        <v>513</v>
      </c>
      <c r="F3066" t="s">
        <v>288</v>
      </c>
      <c r="G3066">
        <v>1083</v>
      </c>
      <c r="H3066">
        <v>441</v>
      </c>
      <c r="I3066" s="8">
        <f t="shared" si="258"/>
        <v>0.40720221606648199</v>
      </c>
      <c r="J3066" s="17">
        <v>0.7</v>
      </c>
      <c r="K3066" s="12">
        <v>13.75</v>
      </c>
      <c r="L3066" s="2">
        <v>642</v>
      </c>
      <c r="M3066" s="15">
        <f t="shared" si="259"/>
        <v>8827.5</v>
      </c>
    </row>
    <row r="3067" spans="1:13" x14ac:dyDescent="0.3">
      <c r="A3067" s="10">
        <v>46113</v>
      </c>
      <c r="B3067" s="9" t="s">
        <v>3</v>
      </c>
      <c r="C3067" t="s">
        <v>12</v>
      </c>
      <c r="D3067" s="9">
        <v>19901</v>
      </c>
      <c r="E3067" s="5" t="s">
        <v>514</v>
      </c>
      <c r="F3067" t="s">
        <v>13</v>
      </c>
      <c r="G3067">
        <v>742</v>
      </c>
      <c r="H3067">
        <v>196</v>
      </c>
      <c r="I3067" s="8">
        <f t="shared" si="258"/>
        <v>0.26415094339622641</v>
      </c>
      <c r="J3067" s="17">
        <v>0.7</v>
      </c>
      <c r="K3067" s="12">
        <v>13.75</v>
      </c>
      <c r="L3067" s="2">
        <v>546</v>
      </c>
      <c r="M3067" s="15">
        <f t="shared" si="259"/>
        <v>7507.5</v>
      </c>
    </row>
    <row r="3068" spans="1:13" x14ac:dyDescent="0.3">
      <c r="A3068" s="10">
        <v>46113</v>
      </c>
      <c r="B3068" s="9" t="s">
        <v>14</v>
      </c>
      <c r="C3068" t="s">
        <v>137</v>
      </c>
      <c r="D3068" s="9">
        <v>19899</v>
      </c>
      <c r="E3068" s="5" t="s">
        <v>515</v>
      </c>
      <c r="F3068" t="s">
        <v>138</v>
      </c>
      <c r="G3068">
        <v>1273</v>
      </c>
      <c r="H3068">
        <v>570</v>
      </c>
      <c r="I3068" s="8">
        <f t="shared" si="258"/>
        <v>0.44776119402985076</v>
      </c>
      <c r="J3068" s="17">
        <v>0.7</v>
      </c>
      <c r="K3068" s="12">
        <v>13.75</v>
      </c>
      <c r="L3068" s="2">
        <v>703</v>
      </c>
      <c r="M3068" s="15">
        <f t="shared" si="259"/>
        <v>9666.25</v>
      </c>
    </row>
    <row r="3069" spans="1:13" x14ac:dyDescent="0.3">
      <c r="A3069" s="10">
        <v>46113</v>
      </c>
      <c r="B3069" s="9" t="s">
        <v>14</v>
      </c>
      <c r="C3069" t="s">
        <v>137</v>
      </c>
      <c r="D3069" s="9">
        <v>19796</v>
      </c>
      <c r="E3069" s="5" t="s">
        <v>516</v>
      </c>
      <c r="F3069" t="s">
        <v>139</v>
      </c>
      <c r="G3069">
        <v>2471</v>
      </c>
      <c r="H3069">
        <v>1309</v>
      </c>
      <c r="I3069" s="8">
        <f t="shared" si="258"/>
        <v>0.52974504249291787</v>
      </c>
      <c r="J3069" s="17">
        <v>0.7</v>
      </c>
      <c r="K3069" s="12">
        <v>13.75</v>
      </c>
      <c r="L3069" s="2">
        <v>1162</v>
      </c>
      <c r="M3069" s="15">
        <f t="shared" si="259"/>
        <v>15977.5</v>
      </c>
    </row>
    <row r="3070" spans="1:13" x14ac:dyDescent="0.3">
      <c r="A3070" s="10">
        <v>46113</v>
      </c>
      <c r="B3070" s="9" t="s">
        <v>15</v>
      </c>
      <c r="C3070" t="s">
        <v>358</v>
      </c>
      <c r="D3070" s="9">
        <v>19528</v>
      </c>
      <c r="E3070" s="5" t="s">
        <v>517</v>
      </c>
      <c r="F3070" t="s">
        <v>223</v>
      </c>
      <c r="G3070">
        <v>2534</v>
      </c>
      <c r="H3070">
        <v>869</v>
      </c>
      <c r="I3070" s="8">
        <f t="shared" si="258"/>
        <v>0.34293606945540644</v>
      </c>
      <c r="J3070" s="17">
        <v>0.7</v>
      </c>
      <c r="K3070" s="12">
        <v>13.75</v>
      </c>
      <c r="L3070" s="2">
        <v>1665</v>
      </c>
      <c r="M3070" s="15">
        <f t="shared" si="259"/>
        <v>22893.75</v>
      </c>
    </row>
    <row r="3071" spans="1:13" x14ac:dyDescent="0.3">
      <c r="A3071" s="10">
        <v>46113</v>
      </c>
      <c r="B3071" s="9" t="s">
        <v>6</v>
      </c>
      <c r="C3071" t="s">
        <v>158</v>
      </c>
      <c r="D3071" s="9">
        <v>19914</v>
      </c>
      <c r="E3071" s="5" t="s">
        <v>519</v>
      </c>
      <c r="F3071" t="s">
        <v>159</v>
      </c>
      <c r="G3071">
        <v>2569</v>
      </c>
      <c r="H3071">
        <v>1604</v>
      </c>
      <c r="I3071" s="8">
        <f t="shared" si="258"/>
        <v>0.62436745815492412</v>
      </c>
      <c r="J3071" s="17">
        <v>0.7</v>
      </c>
      <c r="K3071" s="12">
        <v>13.75</v>
      </c>
      <c r="L3071" s="2">
        <v>965</v>
      </c>
      <c r="M3071" s="15">
        <f t="shared" si="259"/>
        <v>13268.75</v>
      </c>
    </row>
    <row r="3072" spans="1:13" x14ac:dyDescent="0.3">
      <c r="A3072" s="10">
        <v>46113</v>
      </c>
      <c r="B3072" s="9" t="s">
        <v>74</v>
      </c>
      <c r="C3072" t="s">
        <v>97</v>
      </c>
      <c r="D3072" s="9">
        <v>19911</v>
      </c>
      <c r="E3072" s="5" t="s">
        <v>522</v>
      </c>
      <c r="F3072" t="s">
        <v>98</v>
      </c>
      <c r="G3072">
        <v>1888</v>
      </c>
      <c r="H3072">
        <v>1045</v>
      </c>
      <c r="I3072" s="8">
        <f t="shared" si="258"/>
        <v>0.5534957627118644</v>
      </c>
      <c r="J3072" s="17">
        <v>0.7</v>
      </c>
      <c r="K3072" s="12">
        <v>13.75</v>
      </c>
      <c r="L3072" s="2">
        <v>843</v>
      </c>
      <c r="M3072" s="15">
        <f t="shared" si="259"/>
        <v>11591.25</v>
      </c>
    </row>
    <row r="3073" spans="1:13" x14ac:dyDescent="0.3">
      <c r="A3073" s="10">
        <v>46113</v>
      </c>
      <c r="B3073" s="9" t="s">
        <v>21</v>
      </c>
      <c r="C3073" t="s">
        <v>121</v>
      </c>
      <c r="D3073" s="9">
        <v>19910</v>
      </c>
      <c r="E3073" s="5" t="s">
        <v>524</v>
      </c>
      <c r="F3073" t="s">
        <v>122</v>
      </c>
      <c r="G3073">
        <v>36</v>
      </c>
      <c r="H3073">
        <v>22</v>
      </c>
      <c r="I3073" s="8">
        <f t="shared" si="258"/>
        <v>0.61111111111111116</v>
      </c>
      <c r="J3073" s="17">
        <v>0.7</v>
      </c>
      <c r="K3073" s="12">
        <v>13.75</v>
      </c>
      <c r="L3073" s="2">
        <v>14</v>
      </c>
      <c r="M3073" s="15">
        <f t="shared" si="259"/>
        <v>192.5</v>
      </c>
    </row>
    <row r="3074" spans="1:13" x14ac:dyDescent="0.3">
      <c r="A3074" s="10">
        <v>46113</v>
      </c>
      <c r="B3074" s="9" t="s">
        <v>82</v>
      </c>
      <c r="C3074" t="s">
        <v>173</v>
      </c>
      <c r="D3074" s="9">
        <v>19926</v>
      </c>
      <c r="E3074" s="5" t="s">
        <v>525</v>
      </c>
      <c r="F3074" t="s">
        <v>174</v>
      </c>
      <c r="G3074">
        <v>1116</v>
      </c>
      <c r="H3074">
        <v>537</v>
      </c>
      <c r="I3074" s="8">
        <f t="shared" si="258"/>
        <v>0.48118279569892475</v>
      </c>
      <c r="J3074" s="17">
        <v>0.7</v>
      </c>
      <c r="K3074" s="12">
        <v>13.75</v>
      </c>
      <c r="L3074" s="2">
        <v>579</v>
      </c>
      <c r="M3074" s="15">
        <f t="shared" si="259"/>
        <v>7961.25</v>
      </c>
    </row>
    <row r="3075" spans="1:13" x14ac:dyDescent="0.3">
      <c r="A3075" s="10">
        <v>46113</v>
      </c>
      <c r="B3075" s="9" t="s">
        <v>15</v>
      </c>
      <c r="C3075" t="s">
        <v>358</v>
      </c>
      <c r="D3075" s="9">
        <v>19523</v>
      </c>
      <c r="E3075" s="5" t="s">
        <v>526</v>
      </c>
      <c r="F3075" t="s">
        <v>224</v>
      </c>
      <c r="G3075">
        <v>2852</v>
      </c>
      <c r="H3075">
        <v>839</v>
      </c>
      <c r="I3075" s="8">
        <f t="shared" ref="I3075:I3138" si="260">H3075/G3075</f>
        <v>0.29417952314165496</v>
      </c>
      <c r="J3075" s="17">
        <v>0.7</v>
      </c>
      <c r="K3075" s="12">
        <v>13.75</v>
      </c>
      <c r="L3075" s="2">
        <v>2013</v>
      </c>
      <c r="M3075" s="15">
        <f t="shared" ref="M3075:M3138" si="261">L3075*K3075</f>
        <v>27678.75</v>
      </c>
    </row>
    <row r="3076" spans="1:13" x14ac:dyDescent="0.3">
      <c r="A3076" s="10">
        <v>46113</v>
      </c>
      <c r="B3076" s="9" t="s">
        <v>15</v>
      </c>
      <c r="C3076" t="s">
        <v>358</v>
      </c>
      <c r="D3076" s="9">
        <v>19652</v>
      </c>
      <c r="E3076" s="5" t="s">
        <v>527</v>
      </c>
      <c r="F3076" t="s">
        <v>225</v>
      </c>
      <c r="G3076">
        <v>4858</v>
      </c>
      <c r="H3076">
        <v>1469</v>
      </c>
      <c r="I3076" s="8">
        <f t="shared" si="260"/>
        <v>0.30238781391519143</v>
      </c>
      <c r="J3076" s="17">
        <v>0.7</v>
      </c>
      <c r="K3076" s="12">
        <v>13.75</v>
      </c>
      <c r="L3076" s="2">
        <v>3389</v>
      </c>
      <c r="M3076" s="15">
        <f t="shared" si="261"/>
        <v>46598.75</v>
      </c>
    </row>
    <row r="3077" spans="1:13" x14ac:dyDescent="0.3">
      <c r="A3077" s="10">
        <v>46113</v>
      </c>
      <c r="B3077" s="9" t="s">
        <v>15</v>
      </c>
      <c r="C3077" t="s">
        <v>358</v>
      </c>
      <c r="D3077" s="9">
        <v>19529</v>
      </c>
      <c r="E3077" s="5" t="s">
        <v>528</v>
      </c>
      <c r="F3077" t="s">
        <v>226</v>
      </c>
      <c r="G3077">
        <v>5347</v>
      </c>
      <c r="H3077">
        <v>1762</v>
      </c>
      <c r="I3077" s="8">
        <f t="shared" si="260"/>
        <v>0.32953057789414625</v>
      </c>
      <c r="J3077" s="17">
        <v>0.7</v>
      </c>
      <c r="K3077" s="12">
        <v>13.75</v>
      </c>
      <c r="L3077" s="2">
        <v>3585</v>
      </c>
      <c r="M3077" s="15">
        <f t="shared" si="261"/>
        <v>49293.75</v>
      </c>
    </row>
    <row r="3078" spans="1:13" x14ac:dyDescent="0.3">
      <c r="A3078" s="10">
        <v>46113</v>
      </c>
      <c r="B3078" s="9" t="s">
        <v>3</v>
      </c>
      <c r="C3078" t="s">
        <v>248</v>
      </c>
      <c r="D3078" s="9">
        <v>19889</v>
      </c>
      <c r="E3078" s="5" t="s">
        <v>529</v>
      </c>
      <c r="F3078" t="s">
        <v>266</v>
      </c>
      <c r="G3078">
        <v>1500</v>
      </c>
      <c r="H3078">
        <v>548</v>
      </c>
      <c r="I3078" s="8">
        <f t="shared" si="260"/>
        <v>0.36533333333333334</v>
      </c>
      <c r="J3078" s="17">
        <v>0.7</v>
      </c>
      <c r="K3078" s="12">
        <v>13.75</v>
      </c>
      <c r="L3078" s="2">
        <v>952</v>
      </c>
      <c r="M3078" s="15">
        <f t="shared" si="261"/>
        <v>13090</v>
      </c>
    </row>
    <row r="3079" spans="1:13" x14ac:dyDescent="0.3">
      <c r="A3079" s="10">
        <v>46113</v>
      </c>
      <c r="B3079" s="9" t="s">
        <v>3</v>
      </c>
      <c r="C3079" t="s">
        <v>248</v>
      </c>
      <c r="D3079" s="9">
        <v>19888</v>
      </c>
      <c r="E3079" s="5" t="s">
        <v>530</v>
      </c>
      <c r="F3079" t="s">
        <v>267</v>
      </c>
      <c r="G3079">
        <v>1219</v>
      </c>
      <c r="H3079">
        <v>332</v>
      </c>
      <c r="I3079" s="8">
        <f t="shared" si="260"/>
        <v>0.2723543888433142</v>
      </c>
      <c r="J3079" s="17">
        <v>0.7</v>
      </c>
      <c r="K3079" s="12">
        <v>13.75</v>
      </c>
      <c r="L3079" s="2">
        <v>887</v>
      </c>
      <c r="M3079" s="15">
        <f t="shared" si="261"/>
        <v>12196.25</v>
      </c>
    </row>
    <row r="3080" spans="1:13" x14ac:dyDescent="0.3">
      <c r="A3080" s="10">
        <v>46113</v>
      </c>
      <c r="B3080" s="9" t="s">
        <v>82</v>
      </c>
      <c r="C3080" t="s">
        <v>106</v>
      </c>
      <c r="D3080" s="9">
        <v>19927</v>
      </c>
      <c r="E3080" s="5" t="s">
        <v>531</v>
      </c>
      <c r="F3080" t="s">
        <v>107</v>
      </c>
      <c r="G3080">
        <v>729</v>
      </c>
      <c r="H3080">
        <v>253</v>
      </c>
      <c r="I3080" s="8">
        <f t="shared" si="260"/>
        <v>0.34705075445816186</v>
      </c>
      <c r="J3080" s="17">
        <v>0.7</v>
      </c>
      <c r="K3080" s="12">
        <v>13.75</v>
      </c>
      <c r="L3080" s="2">
        <v>476</v>
      </c>
      <c r="M3080" s="15">
        <f t="shared" si="261"/>
        <v>6545</v>
      </c>
    </row>
    <row r="3081" spans="1:13" x14ac:dyDescent="0.3">
      <c r="A3081" s="10">
        <v>46113</v>
      </c>
      <c r="B3081" s="9" t="s">
        <v>3</v>
      </c>
      <c r="C3081" t="s">
        <v>44</v>
      </c>
      <c r="D3081" s="9">
        <v>19930</v>
      </c>
      <c r="E3081" s="5" t="s">
        <v>533</v>
      </c>
      <c r="F3081" t="s">
        <v>45</v>
      </c>
      <c r="G3081">
        <v>1914</v>
      </c>
      <c r="H3081">
        <v>877</v>
      </c>
      <c r="I3081" s="8">
        <f t="shared" si="260"/>
        <v>0.45820271682340646</v>
      </c>
      <c r="J3081" s="17">
        <v>0.7</v>
      </c>
      <c r="K3081" s="12">
        <v>13.75</v>
      </c>
      <c r="L3081" s="2">
        <v>1037</v>
      </c>
      <c r="M3081" s="15">
        <f t="shared" si="261"/>
        <v>14258.75</v>
      </c>
    </row>
    <row r="3082" spans="1:13" x14ac:dyDescent="0.3">
      <c r="A3082" s="10">
        <v>46113</v>
      </c>
      <c r="B3082" s="9" t="s">
        <v>15</v>
      </c>
      <c r="C3082" t="s">
        <v>358</v>
      </c>
      <c r="D3082" s="9">
        <v>19609</v>
      </c>
      <c r="E3082" s="5" t="s">
        <v>535</v>
      </c>
      <c r="F3082" t="s">
        <v>227</v>
      </c>
      <c r="G3082">
        <v>1832</v>
      </c>
      <c r="H3082">
        <v>809</v>
      </c>
      <c r="I3082" s="8">
        <f t="shared" si="260"/>
        <v>0.44159388646288211</v>
      </c>
      <c r="J3082" s="17">
        <v>0.7</v>
      </c>
      <c r="K3082" s="12">
        <v>13.75</v>
      </c>
      <c r="L3082" s="2">
        <v>1023</v>
      </c>
      <c r="M3082" s="15">
        <f t="shared" si="261"/>
        <v>14066.25</v>
      </c>
    </row>
    <row r="3083" spans="1:13" x14ac:dyDescent="0.3">
      <c r="A3083" s="10">
        <v>46113</v>
      </c>
      <c r="B3083" s="9" t="s">
        <v>3</v>
      </c>
      <c r="C3083" t="s">
        <v>4</v>
      </c>
      <c r="D3083" s="9">
        <v>19928</v>
      </c>
      <c r="E3083" s="5" t="s">
        <v>536</v>
      </c>
      <c r="F3083" t="s">
        <v>5</v>
      </c>
      <c r="G3083">
        <v>1584</v>
      </c>
      <c r="H3083">
        <v>834</v>
      </c>
      <c r="I3083" s="8">
        <f t="shared" si="260"/>
        <v>0.52651515151515149</v>
      </c>
      <c r="J3083" s="17">
        <v>0.7</v>
      </c>
      <c r="K3083" s="12">
        <v>13.75</v>
      </c>
      <c r="L3083" s="2">
        <v>750</v>
      </c>
      <c r="M3083" s="15">
        <f t="shared" si="261"/>
        <v>10312.5</v>
      </c>
    </row>
    <row r="3084" spans="1:13" x14ac:dyDescent="0.3">
      <c r="A3084" s="10">
        <v>46113</v>
      </c>
      <c r="B3084" s="9" t="s">
        <v>15</v>
      </c>
      <c r="C3084" t="s">
        <v>149</v>
      </c>
      <c r="D3084" s="9">
        <v>19746</v>
      </c>
      <c r="E3084" s="5" t="s">
        <v>537</v>
      </c>
      <c r="F3084" t="s">
        <v>150</v>
      </c>
      <c r="G3084">
        <v>2465</v>
      </c>
      <c r="H3084">
        <v>1608</v>
      </c>
      <c r="I3084" s="8">
        <f t="shared" si="260"/>
        <v>0.65233265720081135</v>
      </c>
      <c r="J3084" s="17">
        <v>0.7</v>
      </c>
      <c r="K3084" s="12">
        <v>13.75</v>
      </c>
      <c r="L3084" s="2">
        <v>857</v>
      </c>
      <c r="M3084" s="15">
        <f t="shared" si="261"/>
        <v>11783.75</v>
      </c>
    </row>
    <row r="3085" spans="1:13" x14ac:dyDescent="0.3">
      <c r="A3085" s="10">
        <v>46113</v>
      </c>
      <c r="B3085" s="9" t="s">
        <v>71</v>
      </c>
      <c r="C3085" t="s">
        <v>163</v>
      </c>
      <c r="D3085" s="9">
        <v>19933</v>
      </c>
      <c r="E3085" s="5" t="s">
        <v>538</v>
      </c>
      <c r="F3085" t="s">
        <v>164</v>
      </c>
      <c r="G3085">
        <v>573</v>
      </c>
      <c r="H3085">
        <v>178</v>
      </c>
      <c r="I3085" s="8">
        <f t="shared" si="260"/>
        <v>0.31064572425828968</v>
      </c>
      <c r="J3085" s="17">
        <v>0.7</v>
      </c>
      <c r="K3085" s="12">
        <v>13.75</v>
      </c>
      <c r="L3085" s="2">
        <v>395</v>
      </c>
      <c r="M3085" s="15">
        <f t="shared" si="261"/>
        <v>5431.25</v>
      </c>
    </row>
    <row r="3086" spans="1:13" x14ac:dyDescent="0.3">
      <c r="A3086" s="10">
        <v>46113</v>
      </c>
      <c r="B3086" s="9" t="s">
        <v>59</v>
      </c>
      <c r="C3086" t="s">
        <v>343</v>
      </c>
      <c r="D3086" s="9">
        <v>19944</v>
      </c>
      <c r="E3086" s="5" t="s">
        <v>539</v>
      </c>
      <c r="F3086" t="s">
        <v>60</v>
      </c>
      <c r="G3086">
        <v>2352</v>
      </c>
      <c r="H3086">
        <v>972</v>
      </c>
      <c r="I3086" s="8">
        <f t="shared" si="260"/>
        <v>0.41326530612244899</v>
      </c>
      <c r="J3086" s="17">
        <v>0.7</v>
      </c>
      <c r="K3086" s="12">
        <v>13.75</v>
      </c>
      <c r="L3086" s="2">
        <v>1380</v>
      </c>
      <c r="M3086" s="15">
        <f t="shared" si="261"/>
        <v>18975</v>
      </c>
    </row>
    <row r="3087" spans="1:13" x14ac:dyDescent="0.3">
      <c r="A3087" s="10">
        <v>46113</v>
      </c>
      <c r="B3087" s="9" t="s">
        <v>21</v>
      </c>
      <c r="C3087" t="s">
        <v>228</v>
      </c>
      <c r="D3087" s="9">
        <v>19931</v>
      </c>
      <c r="E3087" s="5" t="s">
        <v>541</v>
      </c>
      <c r="F3087" t="s">
        <v>233</v>
      </c>
      <c r="G3087">
        <v>1964</v>
      </c>
      <c r="H3087">
        <v>976</v>
      </c>
      <c r="I3087" s="8">
        <f t="shared" si="260"/>
        <v>0.4969450101832994</v>
      </c>
      <c r="J3087" s="17">
        <v>0.7</v>
      </c>
      <c r="K3087" s="12">
        <v>13.75</v>
      </c>
      <c r="L3087" s="2">
        <v>988</v>
      </c>
      <c r="M3087" s="15">
        <f t="shared" si="261"/>
        <v>13585</v>
      </c>
    </row>
    <row r="3088" spans="1:13" x14ac:dyDescent="0.3">
      <c r="A3088" s="10">
        <v>46113</v>
      </c>
      <c r="B3088" s="9" t="s">
        <v>46</v>
      </c>
      <c r="C3088" t="s">
        <v>102</v>
      </c>
      <c r="D3088" s="9">
        <v>19553</v>
      </c>
      <c r="E3088" s="5" t="s">
        <v>543</v>
      </c>
      <c r="F3088" t="s">
        <v>103</v>
      </c>
      <c r="G3088">
        <v>1939</v>
      </c>
      <c r="H3088">
        <v>795</v>
      </c>
      <c r="I3088" s="8">
        <f t="shared" si="260"/>
        <v>0.41000515729757608</v>
      </c>
      <c r="J3088" s="17">
        <v>0.7</v>
      </c>
      <c r="K3088" s="12">
        <v>13.75</v>
      </c>
      <c r="L3088" s="2">
        <v>1144</v>
      </c>
      <c r="M3088" s="15">
        <f t="shared" si="261"/>
        <v>15730</v>
      </c>
    </row>
    <row r="3089" spans="1:13" x14ac:dyDescent="0.3">
      <c r="A3089" s="10">
        <v>46113</v>
      </c>
      <c r="B3089" s="9" t="s">
        <v>140</v>
      </c>
      <c r="C3089" t="s">
        <v>141</v>
      </c>
      <c r="D3089" s="9">
        <v>19940</v>
      </c>
      <c r="E3089" s="5" t="s">
        <v>545</v>
      </c>
      <c r="F3089" t="s">
        <v>142</v>
      </c>
      <c r="G3089">
        <v>2019</v>
      </c>
      <c r="H3089">
        <v>1147</v>
      </c>
      <c r="I3089" s="8">
        <f t="shared" si="260"/>
        <v>0.5681030212976721</v>
      </c>
      <c r="J3089" s="17">
        <v>0.7</v>
      </c>
      <c r="K3089" s="12">
        <v>13.75</v>
      </c>
      <c r="L3089" s="2">
        <v>872</v>
      </c>
      <c r="M3089" s="15">
        <f t="shared" si="261"/>
        <v>11990</v>
      </c>
    </row>
    <row r="3090" spans="1:13" x14ac:dyDescent="0.3">
      <c r="A3090" s="10">
        <v>46113</v>
      </c>
      <c r="B3090" s="9" t="s">
        <v>123</v>
      </c>
      <c r="C3090" t="s">
        <v>124</v>
      </c>
      <c r="D3090" s="9">
        <v>19945</v>
      </c>
      <c r="E3090" s="5" t="s">
        <v>546</v>
      </c>
      <c r="F3090" t="s">
        <v>125</v>
      </c>
      <c r="G3090">
        <v>1298</v>
      </c>
      <c r="H3090">
        <v>841</v>
      </c>
      <c r="I3090" s="8">
        <f t="shared" si="260"/>
        <v>0.6479198767334361</v>
      </c>
      <c r="J3090" s="17">
        <v>0.7</v>
      </c>
      <c r="K3090" s="12">
        <v>13.75</v>
      </c>
      <c r="L3090" s="2">
        <v>457</v>
      </c>
      <c r="M3090" s="15">
        <f t="shared" si="261"/>
        <v>6283.75</v>
      </c>
    </row>
    <row r="3091" spans="1:13" x14ac:dyDescent="0.3">
      <c r="A3091" s="10">
        <v>46113</v>
      </c>
      <c r="B3091" s="9" t="s">
        <v>21</v>
      </c>
      <c r="C3091" t="s">
        <v>228</v>
      </c>
      <c r="D3091" s="9">
        <v>19907</v>
      </c>
      <c r="E3091" s="5" t="s">
        <v>547</v>
      </c>
      <c r="F3091" t="s">
        <v>234</v>
      </c>
      <c r="G3091">
        <v>113</v>
      </c>
      <c r="H3091">
        <v>1</v>
      </c>
      <c r="I3091" s="8">
        <f t="shared" si="260"/>
        <v>8.8495575221238937E-3</v>
      </c>
      <c r="J3091" s="17">
        <v>0.7</v>
      </c>
      <c r="K3091" s="12">
        <v>13.75</v>
      </c>
      <c r="L3091" s="2">
        <v>112</v>
      </c>
      <c r="M3091" s="15">
        <f t="shared" si="261"/>
        <v>1540</v>
      </c>
    </row>
    <row r="3092" spans="1:13" x14ac:dyDescent="0.3">
      <c r="A3092" s="10">
        <v>46113</v>
      </c>
      <c r="B3092" s="9" t="s">
        <v>15</v>
      </c>
      <c r="C3092" t="s">
        <v>145</v>
      </c>
      <c r="D3092" s="9">
        <v>19538</v>
      </c>
      <c r="E3092" s="5" t="s">
        <v>548</v>
      </c>
      <c r="F3092" t="s">
        <v>146</v>
      </c>
      <c r="G3092">
        <v>2960</v>
      </c>
      <c r="H3092">
        <v>1317</v>
      </c>
      <c r="I3092" s="8">
        <f t="shared" si="260"/>
        <v>0.44493243243243241</v>
      </c>
      <c r="J3092" s="17">
        <v>0.7</v>
      </c>
      <c r="K3092" s="12">
        <v>13.75</v>
      </c>
      <c r="L3092" s="2">
        <v>1643</v>
      </c>
      <c r="M3092" s="15">
        <f t="shared" si="261"/>
        <v>22591.25</v>
      </c>
    </row>
    <row r="3093" spans="1:13" x14ac:dyDescent="0.3">
      <c r="A3093" s="10">
        <v>46113</v>
      </c>
      <c r="B3093" s="9" t="s">
        <v>71</v>
      </c>
      <c r="C3093" t="s">
        <v>175</v>
      </c>
      <c r="D3093" s="9">
        <v>19947</v>
      </c>
      <c r="E3093" s="5" t="s">
        <v>550</v>
      </c>
      <c r="F3093" t="s">
        <v>180</v>
      </c>
      <c r="G3093">
        <v>3164</v>
      </c>
      <c r="H3093">
        <v>1002</v>
      </c>
      <c r="I3093" s="8">
        <f t="shared" si="260"/>
        <v>0.31668773704171932</v>
      </c>
      <c r="J3093" s="17">
        <v>0.7</v>
      </c>
      <c r="K3093" s="12">
        <v>13.75</v>
      </c>
      <c r="L3093" s="2">
        <v>2162</v>
      </c>
      <c r="M3093" s="15">
        <f t="shared" si="261"/>
        <v>29727.5</v>
      </c>
    </row>
    <row r="3094" spans="1:13" x14ac:dyDescent="0.3">
      <c r="A3094" s="10">
        <v>46113</v>
      </c>
      <c r="B3094" s="9" t="s">
        <v>14</v>
      </c>
      <c r="C3094" t="s">
        <v>114</v>
      </c>
      <c r="D3094" s="9">
        <v>19943</v>
      </c>
      <c r="E3094" s="5" t="s">
        <v>551</v>
      </c>
      <c r="F3094" t="s">
        <v>115</v>
      </c>
      <c r="G3094">
        <v>1151</v>
      </c>
      <c r="H3094">
        <v>523</v>
      </c>
      <c r="I3094" s="8">
        <f t="shared" si="260"/>
        <v>0.45438748913987836</v>
      </c>
      <c r="J3094" s="17">
        <v>0.7</v>
      </c>
      <c r="K3094" s="12">
        <v>13.75</v>
      </c>
      <c r="L3094" s="2">
        <v>628</v>
      </c>
      <c r="M3094" s="15">
        <f t="shared" si="261"/>
        <v>8635</v>
      </c>
    </row>
    <row r="3095" spans="1:13" x14ac:dyDescent="0.3">
      <c r="A3095" s="10">
        <v>46113</v>
      </c>
      <c r="B3095" s="9" t="s">
        <v>244</v>
      </c>
      <c r="C3095" t="s">
        <v>245</v>
      </c>
      <c r="D3095" s="9">
        <v>19617</v>
      </c>
      <c r="E3095" s="5" t="s">
        <v>552</v>
      </c>
      <c r="F3095" t="s">
        <v>246</v>
      </c>
      <c r="G3095">
        <v>3486</v>
      </c>
      <c r="H3095">
        <v>1625</v>
      </c>
      <c r="I3095" s="8">
        <f t="shared" si="260"/>
        <v>0.46615031554790592</v>
      </c>
      <c r="J3095" s="17">
        <v>0.7</v>
      </c>
      <c r="K3095" s="12">
        <v>13.75</v>
      </c>
      <c r="L3095" s="2">
        <v>1861</v>
      </c>
      <c r="M3095" s="15">
        <f t="shared" si="261"/>
        <v>25588.75</v>
      </c>
    </row>
    <row r="3096" spans="1:13" x14ac:dyDescent="0.3">
      <c r="A3096" s="10">
        <v>46113</v>
      </c>
      <c r="B3096" s="9" t="s">
        <v>244</v>
      </c>
      <c r="C3096" t="s">
        <v>245</v>
      </c>
      <c r="D3096" s="9">
        <v>19595</v>
      </c>
      <c r="E3096" s="5" t="s">
        <v>553</v>
      </c>
      <c r="F3096" t="s">
        <v>247</v>
      </c>
      <c r="G3096">
        <v>3023</v>
      </c>
      <c r="H3096">
        <v>1553</v>
      </c>
      <c r="I3096" s="8">
        <f t="shared" si="260"/>
        <v>0.5137280846840887</v>
      </c>
      <c r="J3096" s="17">
        <v>0.7</v>
      </c>
      <c r="K3096" s="12">
        <v>13.75</v>
      </c>
      <c r="L3096" s="2">
        <v>1470</v>
      </c>
      <c r="M3096" s="15">
        <f t="shared" si="261"/>
        <v>20212.5</v>
      </c>
    </row>
    <row r="3097" spans="1:13" x14ac:dyDescent="0.3">
      <c r="A3097" s="10">
        <v>46113</v>
      </c>
      <c r="B3097" s="9" t="s">
        <v>3</v>
      </c>
      <c r="C3097" t="s">
        <v>10</v>
      </c>
      <c r="D3097" s="9">
        <v>19948</v>
      </c>
      <c r="E3097" s="5" t="s">
        <v>555</v>
      </c>
      <c r="F3097" t="s">
        <v>11</v>
      </c>
      <c r="G3097">
        <v>1046</v>
      </c>
      <c r="H3097">
        <v>417</v>
      </c>
      <c r="I3097" s="8">
        <f t="shared" si="260"/>
        <v>0.39866156787762907</v>
      </c>
      <c r="J3097" s="17">
        <v>0.7</v>
      </c>
      <c r="K3097" s="12">
        <v>13.75</v>
      </c>
      <c r="L3097" s="2">
        <v>629</v>
      </c>
      <c r="M3097" s="15">
        <f t="shared" si="261"/>
        <v>8648.75</v>
      </c>
    </row>
    <row r="3098" spans="1:13" x14ac:dyDescent="0.3">
      <c r="A3098" s="10">
        <v>46113</v>
      </c>
      <c r="B3098" s="9" t="s">
        <v>74</v>
      </c>
      <c r="C3098" t="s">
        <v>75</v>
      </c>
      <c r="D3098" s="9">
        <v>19798</v>
      </c>
      <c r="E3098" s="5" t="s">
        <v>556</v>
      </c>
      <c r="F3098" t="s">
        <v>76</v>
      </c>
      <c r="G3098">
        <v>3498</v>
      </c>
      <c r="H3098">
        <v>1707</v>
      </c>
      <c r="I3098" s="8">
        <f t="shared" si="260"/>
        <v>0.48799313893653518</v>
      </c>
      <c r="J3098" s="17">
        <v>0.7</v>
      </c>
      <c r="K3098" s="12">
        <v>13.75</v>
      </c>
      <c r="L3098" s="2">
        <v>1791</v>
      </c>
      <c r="M3098" s="15">
        <f t="shared" si="261"/>
        <v>24626.25</v>
      </c>
    </row>
    <row r="3099" spans="1:13" x14ac:dyDescent="0.3">
      <c r="A3099" s="10">
        <v>46113</v>
      </c>
      <c r="B3099" s="9" t="s">
        <v>15</v>
      </c>
      <c r="C3099" t="s">
        <v>19</v>
      </c>
      <c r="D3099" s="9">
        <v>19694</v>
      </c>
      <c r="E3099" s="5" t="s">
        <v>557</v>
      </c>
      <c r="F3099" t="s">
        <v>20</v>
      </c>
      <c r="G3099">
        <v>1749</v>
      </c>
      <c r="H3099">
        <v>913</v>
      </c>
      <c r="I3099" s="8">
        <f t="shared" si="260"/>
        <v>0.5220125786163522</v>
      </c>
      <c r="J3099" s="17">
        <v>0.7</v>
      </c>
      <c r="K3099" s="12">
        <v>13.75</v>
      </c>
      <c r="L3099" s="2">
        <v>836</v>
      </c>
      <c r="M3099" s="15">
        <f t="shared" si="261"/>
        <v>11495</v>
      </c>
    </row>
    <row r="3100" spans="1:13" x14ac:dyDescent="0.3">
      <c r="A3100" s="10">
        <v>46113</v>
      </c>
      <c r="B3100" s="9" t="s">
        <v>14</v>
      </c>
      <c r="C3100" t="s">
        <v>112</v>
      </c>
      <c r="D3100" s="9">
        <v>19951</v>
      </c>
      <c r="E3100" s="5" t="s">
        <v>558</v>
      </c>
      <c r="F3100" t="s">
        <v>113</v>
      </c>
      <c r="G3100">
        <v>1893</v>
      </c>
      <c r="H3100">
        <v>828</v>
      </c>
      <c r="I3100" s="8">
        <f t="shared" si="260"/>
        <v>0.43740095087163233</v>
      </c>
      <c r="J3100" s="17">
        <v>0.7</v>
      </c>
      <c r="K3100" s="12">
        <v>13.75</v>
      </c>
      <c r="L3100" s="2">
        <v>1065</v>
      </c>
      <c r="M3100" s="15">
        <f t="shared" si="261"/>
        <v>14643.75</v>
      </c>
    </row>
    <row r="3101" spans="1:13" x14ac:dyDescent="0.3">
      <c r="A3101" s="10">
        <v>46113</v>
      </c>
      <c r="B3101" s="9" t="s">
        <v>160</v>
      </c>
      <c r="C3101" t="s">
        <v>161</v>
      </c>
      <c r="D3101" s="9">
        <v>19954</v>
      </c>
      <c r="E3101" s="5" t="s">
        <v>559</v>
      </c>
      <c r="F3101" t="s">
        <v>162</v>
      </c>
      <c r="G3101">
        <v>936</v>
      </c>
      <c r="H3101">
        <v>564</v>
      </c>
      <c r="I3101" s="8">
        <f t="shared" si="260"/>
        <v>0.60256410256410253</v>
      </c>
      <c r="J3101" s="17">
        <v>0.7</v>
      </c>
      <c r="K3101" s="12">
        <v>13.75</v>
      </c>
      <c r="L3101" s="2">
        <v>372</v>
      </c>
      <c r="M3101" s="15">
        <f t="shared" si="261"/>
        <v>5115</v>
      </c>
    </row>
    <row r="3102" spans="1:13" x14ac:dyDescent="0.3">
      <c r="A3102" s="10">
        <v>46113</v>
      </c>
      <c r="B3102" s="9" t="s">
        <v>14</v>
      </c>
      <c r="C3102" t="s">
        <v>351</v>
      </c>
      <c r="D3102" s="9">
        <v>19615</v>
      </c>
      <c r="E3102" s="5" t="s">
        <v>560</v>
      </c>
      <c r="F3102" t="s">
        <v>117</v>
      </c>
      <c r="G3102">
        <v>2702</v>
      </c>
      <c r="H3102">
        <v>1021</v>
      </c>
      <c r="I3102" s="8">
        <f t="shared" si="260"/>
        <v>0.37786824574389344</v>
      </c>
      <c r="J3102" s="17">
        <v>0.7</v>
      </c>
      <c r="K3102" s="12">
        <v>13.75</v>
      </c>
      <c r="L3102" s="2">
        <v>1681</v>
      </c>
      <c r="M3102" s="15">
        <f t="shared" si="261"/>
        <v>23113.75</v>
      </c>
    </row>
    <row r="3103" spans="1:13" x14ac:dyDescent="0.3">
      <c r="A3103" s="10">
        <v>46113</v>
      </c>
      <c r="B3103" s="9" t="s">
        <v>46</v>
      </c>
      <c r="C3103" t="s">
        <v>47</v>
      </c>
      <c r="D3103" s="9">
        <v>19647</v>
      </c>
      <c r="E3103" s="5" t="s">
        <v>561</v>
      </c>
      <c r="F3103" t="s">
        <v>55</v>
      </c>
      <c r="G3103">
        <v>377</v>
      </c>
      <c r="H3103">
        <v>114</v>
      </c>
      <c r="I3103" s="8">
        <f t="shared" si="260"/>
        <v>0.30238726790450926</v>
      </c>
      <c r="J3103" s="17">
        <v>0.7</v>
      </c>
      <c r="K3103" s="12">
        <v>13.75</v>
      </c>
      <c r="L3103" s="2">
        <v>263</v>
      </c>
      <c r="M3103" s="15">
        <f t="shared" si="261"/>
        <v>3616.25</v>
      </c>
    </row>
    <row r="3104" spans="1:13" x14ac:dyDescent="0.3">
      <c r="A3104" s="10">
        <v>46113</v>
      </c>
      <c r="B3104" s="9" t="s">
        <v>46</v>
      </c>
      <c r="C3104" t="s">
        <v>47</v>
      </c>
      <c r="D3104" s="9">
        <v>19898</v>
      </c>
      <c r="E3104" s="5" t="s">
        <v>562</v>
      </c>
      <c r="F3104" t="s">
        <v>56</v>
      </c>
      <c r="G3104">
        <v>1042</v>
      </c>
      <c r="H3104">
        <v>372</v>
      </c>
      <c r="I3104" s="8">
        <f t="shared" si="260"/>
        <v>0.35700575815738961</v>
      </c>
      <c r="J3104" s="17">
        <v>0.7</v>
      </c>
      <c r="K3104" s="12">
        <v>13.75</v>
      </c>
      <c r="L3104" s="2">
        <v>670</v>
      </c>
      <c r="M3104" s="15">
        <f t="shared" si="261"/>
        <v>9212.5</v>
      </c>
    </row>
    <row r="3105" spans="1:13" x14ac:dyDescent="0.3">
      <c r="A3105" s="10">
        <v>46113</v>
      </c>
      <c r="B3105" s="9" t="s">
        <v>3</v>
      </c>
      <c r="C3105" t="s">
        <v>64</v>
      </c>
      <c r="D3105" s="9">
        <v>19616</v>
      </c>
      <c r="E3105" s="5" t="s">
        <v>563</v>
      </c>
      <c r="F3105" t="s">
        <v>66</v>
      </c>
      <c r="G3105">
        <v>3293</v>
      </c>
      <c r="H3105">
        <v>1322</v>
      </c>
      <c r="I3105" s="8">
        <f t="shared" si="260"/>
        <v>0.40145763741269358</v>
      </c>
      <c r="J3105" s="17">
        <v>0.7</v>
      </c>
      <c r="K3105" s="12">
        <v>13.75</v>
      </c>
      <c r="L3105" s="2">
        <v>1971</v>
      </c>
      <c r="M3105" s="15">
        <f t="shared" si="261"/>
        <v>27101.25</v>
      </c>
    </row>
    <row r="3106" spans="1:13" x14ac:dyDescent="0.3">
      <c r="A3106" s="10">
        <v>46113</v>
      </c>
      <c r="B3106" s="9" t="s">
        <v>3</v>
      </c>
      <c r="C3106" t="s">
        <v>64</v>
      </c>
      <c r="D3106" s="9">
        <v>19688</v>
      </c>
      <c r="E3106" s="5" t="s">
        <v>564</v>
      </c>
      <c r="F3106" t="s">
        <v>67</v>
      </c>
      <c r="G3106">
        <v>1863</v>
      </c>
      <c r="H3106">
        <v>622</v>
      </c>
      <c r="I3106" s="8">
        <f t="shared" si="260"/>
        <v>0.333870101986044</v>
      </c>
      <c r="J3106" s="17">
        <v>0.7</v>
      </c>
      <c r="K3106" s="12">
        <v>13.75</v>
      </c>
      <c r="L3106" s="2">
        <v>1241</v>
      </c>
      <c r="M3106" s="15">
        <f t="shared" si="261"/>
        <v>17063.75</v>
      </c>
    </row>
    <row r="3107" spans="1:13" x14ac:dyDescent="0.3">
      <c r="A3107" s="10">
        <v>46113</v>
      </c>
      <c r="B3107" s="9" t="s">
        <v>3</v>
      </c>
      <c r="C3107" t="s">
        <v>275</v>
      </c>
      <c r="D3107" s="9">
        <v>19721</v>
      </c>
      <c r="E3107" s="5" t="s">
        <v>565</v>
      </c>
      <c r="F3107" t="s">
        <v>276</v>
      </c>
      <c r="G3107">
        <v>1978</v>
      </c>
      <c r="H3107">
        <v>797</v>
      </c>
      <c r="I3107" s="8">
        <f t="shared" si="260"/>
        <v>0.40293225480283112</v>
      </c>
      <c r="J3107" s="17">
        <v>0.7</v>
      </c>
      <c r="K3107" s="12">
        <v>13.75</v>
      </c>
      <c r="L3107" s="2">
        <v>1181</v>
      </c>
      <c r="M3107" s="15">
        <f t="shared" si="261"/>
        <v>16238.75</v>
      </c>
    </row>
    <row r="3108" spans="1:13" x14ac:dyDescent="0.3">
      <c r="A3108" s="10">
        <v>46113</v>
      </c>
      <c r="B3108" s="9" t="s">
        <v>3</v>
      </c>
      <c r="C3108" t="s">
        <v>248</v>
      </c>
      <c r="D3108" s="9">
        <v>19863</v>
      </c>
      <c r="E3108" s="5" t="s">
        <v>566</v>
      </c>
      <c r="F3108" t="s">
        <v>268</v>
      </c>
      <c r="G3108">
        <v>2403</v>
      </c>
      <c r="H3108">
        <v>795</v>
      </c>
      <c r="I3108" s="8">
        <f t="shared" si="260"/>
        <v>0.33083645443196003</v>
      </c>
      <c r="J3108" s="17">
        <v>0.7</v>
      </c>
      <c r="K3108" s="12">
        <v>13.75</v>
      </c>
      <c r="L3108" s="2">
        <v>1608</v>
      </c>
      <c r="M3108" s="15">
        <f t="shared" si="261"/>
        <v>22110</v>
      </c>
    </row>
    <row r="3109" spans="1:13" x14ac:dyDescent="0.3">
      <c r="A3109" s="10">
        <v>46113</v>
      </c>
      <c r="B3109" s="9" t="s">
        <v>3</v>
      </c>
      <c r="C3109" t="s">
        <v>248</v>
      </c>
      <c r="D3109" s="9">
        <v>19817</v>
      </c>
      <c r="E3109" s="5" t="s">
        <v>567</v>
      </c>
      <c r="F3109" t="s">
        <v>269</v>
      </c>
      <c r="G3109">
        <v>1136</v>
      </c>
      <c r="H3109">
        <v>423</v>
      </c>
      <c r="I3109" s="8">
        <f t="shared" si="260"/>
        <v>0.37235915492957744</v>
      </c>
      <c r="J3109" s="17">
        <v>0.7</v>
      </c>
      <c r="K3109" s="12">
        <v>13.75</v>
      </c>
      <c r="L3109" s="2">
        <v>713</v>
      </c>
      <c r="M3109" s="15">
        <f t="shared" si="261"/>
        <v>9803.75</v>
      </c>
    </row>
    <row r="3110" spans="1:13" x14ac:dyDescent="0.3">
      <c r="A3110" s="10">
        <v>46113</v>
      </c>
      <c r="B3110" s="9" t="s">
        <v>3</v>
      </c>
      <c r="C3110" t="s">
        <v>248</v>
      </c>
      <c r="D3110" s="9">
        <v>19866</v>
      </c>
      <c r="E3110" s="5" t="s">
        <v>568</v>
      </c>
      <c r="F3110" t="s">
        <v>270</v>
      </c>
      <c r="G3110">
        <v>1441</v>
      </c>
      <c r="H3110">
        <v>565</v>
      </c>
      <c r="I3110" s="8">
        <f t="shared" si="260"/>
        <v>0.39208882720333105</v>
      </c>
      <c r="J3110" s="17">
        <v>0.7</v>
      </c>
      <c r="K3110" s="12">
        <v>13.75</v>
      </c>
      <c r="L3110" s="2">
        <v>876</v>
      </c>
      <c r="M3110" s="15">
        <f t="shared" si="261"/>
        <v>12045</v>
      </c>
    </row>
    <row r="3111" spans="1:13" x14ac:dyDescent="0.3">
      <c r="A3111" s="10">
        <v>46113</v>
      </c>
      <c r="B3111" s="9" t="s">
        <v>3</v>
      </c>
      <c r="C3111" t="s">
        <v>110</v>
      </c>
      <c r="D3111" s="9">
        <v>19884</v>
      </c>
      <c r="E3111" s="5" t="s">
        <v>577</v>
      </c>
      <c r="F3111" t="s">
        <v>111</v>
      </c>
      <c r="G3111">
        <v>1540</v>
      </c>
      <c r="H3111">
        <v>526</v>
      </c>
      <c r="I3111" s="8">
        <f t="shared" si="260"/>
        <v>0.34155844155844156</v>
      </c>
      <c r="J3111" s="17">
        <v>0.7</v>
      </c>
      <c r="K3111" s="12">
        <v>13.75</v>
      </c>
      <c r="L3111" s="2">
        <v>1014</v>
      </c>
      <c r="M3111" s="15">
        <f t="shared" si="261"/>
        <v>13942.5</v>
      </c>
    </row>
    <row r="3112" spans="1:13" x14ac:dyDescent="0.3">
      <c r="A3112" s="10">
        <v>46113</v>
      </c>
      <c r="B3112" s="9" t="s">
        <v>3</v>
      </c>
      <c r="C3112" t="s">
        <v>248</v>
      </c>
      <c r="D3112" s="9">
        <v>19859</v>
      </c>
      <c r="E3112" s="5" t="s">
        <v>578</v>
      </c>
      <c r="F3112" t="s">
        <v>258</v>
      </c>
      <c r="G3112">
        <v>1544</v>
      </c>
      <c r="H3112">
        <v>486</v>
      </c>
      <c r="I3112" s="8">
        <f t="shared" si="260"/>
        <v>0.31476683937823835</v>
      </c>
      <c r="J3112" s="17">
        <v>0.7</v>
      </c>
      <c r="K3112" s="12">
        <v>13.75</v>
      </c>
      <c r="L3112" s="2">
        <v>1058</v>
      </c>
      <c r="M3112" s="15">
        <f t="shared" si="261"/>
        <v>14547.5</v>
      </c>
    </row>
    <row r="3113" spans="1:13" x14ac:dyDescent="0.3">
      <c r="A3113" s="10">
        <v>46113</v>
      </c>
      <c r="B3113" s="9" t="s">
        <v>3</v>
      </c>
      <c r="C3113" t="s">
        <v>248</v>
      </c>
      <c r="D3113" s="9">
        <v>19711</v>
      </c>
      <c r="E3113" s="5" t="s">
        <v>579</v>
      </c>
      <c r="F3113" t="s">
        <v>264</v>
      </c>
      <c r="G3113">
        <v>1268</v>
      </c>
      <c r="H3113">
        <v>515</v>
      </c>
      <c r="I3113" s="8">
        <f t="shared" si="260"/>
        <v>0.40615141955835959</v>
      </c>
      <c r="J3113" s="17">
        <v>0.7</v>
      </c>
      <c r="K3113" s="12">
        <v>13.75</v>
      </c>
      <c r="L3113" s="2">
        <v>753</v>
      </c>
      <c r="M3113" s="15">
        <f t="shared" si="261"/>
        <v>10353.75</v>
      </c>
    </row>
    <row r="3114" spans="1:13" x14ac:dyDescent="0.3">
      <c r="A3114" s="10">
        <v>46113</v>
      </c>
      <c r="B3114" s="9" t="s">
        <v>3</v>
      </c>
      <c r="C3114" t="s">
        <v>248</v>
      </c>
      <c r="D3114" s="9">
        <v>19763</v>
      </c>
      <c r="E3114" s="5" t="s">
        <v>580</v>
      </c>
      <c r="F3114" t="s">
        <v>263</v>
      </c>
      <c r="G3114">
        <v>1201</v>
      </c>
      <c r="H3114">
        <v>433</v>
      </c>
      <c r="I3114" s="8">
        <f t="shared" si="260"/>
        <v>0.36053288925895088</v>
      </c>
      <c r="J3114" s="17">
        <v>0.7</v>
      </c>
      <c r="K3114" s="12">
        <v>13.75</v>
      </c>
      <c r="L3114" s="2">
        <v>768</v>
      </c>
      <c r="M3114" s="15">
        <f t="shared" si="261"/>
        <v>10560</v>
      </c>
    </row>
    <row r="3115" spans="1:13" x14ac:dyDescent="0.3">
      <c r="A3115" s="10">
        <v>46113</v>
      </c>
      <c r="B3115" s="9" t="s">
        <v>68</v>
      </c>
      <c r="C3115" t="s">
        <v>69</v>
      </c>
      <c r="D3115" s="9">
        <v>19602</v>
      </c>
      <c r="E3115" s="5" t="s">
        <v>570</v>
      </c>
      <c r="F3115" t="s">
        <v>70</v>
      </c>
      <c r="G3115">
        <v>310</v>
      </c>
      <c r="H3115">
        <v>54</v>
      </c>
      <c r="I3115" s="8">
        <f t="shared" si="260"/>
        <v>0.17419354838709677</v>
      </c>
      <c r="J3115" s="17">
        <v>0.7</v>
      </c>
      <c r="K3115" s="12">
        <v>13.75</v>
      </c>
      <c r="L3115" s="2">
        <v>256</v>
      </c>
      <c r="M3115" s="15">
        <f t="shared" si="261"/>
        <v>3520</v>
      </c>
    </row>
    <row r="3116" spans="1:13" x14ac:dyDescent="0.3">
      <c r="A3116" s="10">
        <v>46113</v>
      </c>
      <c r="B3116" s="9" t="s">
        <v>46</v>
      </c>
      <c r="C3116" t="s">
        <v>47</v>
      </c>
      <c r="D3116" s="9">
        <v>19755</v>
      </c>
      <c r="E3116" s="5" t="s">
        <v>581</v>
      </c>
      <c r="F3116" t="s">
        <v>53</v>
      </c>
      <c r="G3116">
        <v>721</v>
      </c>
      <c r="H3116">
        <v>280</v>
      </c>
      <c r="I3116" s="8">
        <f t="shared" si="260"/>
        <v>0.38834951456310679</v>
      </c>
      <c r="J3116" s="17">
        <v>0.7</v>
      </c>
      <c r="K3116" s="12">
        <v>13.75</v>
      </c>
      <c r="L3116" s="2">
        <v>441</v>
      </c>
      <c r="M3116" s="15">
        <f t="shared" si="261"/>
        <v>6063.75</v>
      </c>
    </row>
    <row r="3117" spans="1:13" x14ac:dyDescent="0.3">
      <c r="A3117" s="10">
        <v>46113</v>
      </c>
      <c r="B3117" s="9" t="s">
        <v>14</v>
      </c>
      <c r="C3117" t="s">
        <v>29</v>
      </c>
      <c r="D3117" s="9">
        <v>19780</v>
      </c>
      <c r="E3117" s="5" t="s">
        <v>582</v>
      </c>
      <c r="F3117" t="s">
        <v>35</v>
      </c>
      <c r="G3117">
        <v>1550</v>
      </c>
      <c r="H3117">
        <v>961</v>
      </c>
      <c r="I3117" s="8">
        <f t="shared" si="260"/>
        <v>0.62</v>
      </c>
      <c r="J3117" s="17">
        <v>0.7</v>
      </c>
      <c r="K3117" s="12">
        <v>13.75</v>
      </c>
      <c r="L3117" s="2">
        <v>589</v>
      </c>
      <c r="M3117" s="15">
        <f t="shared" si="261"/>
        <v>8098.75</v>
      </c>
    </row>
    <row r="3118" spans="1:13" x14ac:dyDescent="0.3">
      <c r="A3118" s="10">
        <v>46113</v>
      </c>
      <c r="B3118" s="9" t="s">
        <v>3</v>
      </c>
      <c r="C3118" t="s">
        <v>362</v>
      </c>
      <c r="D3118" s="9">
        <v>19825</v>
      </c>
      <c r="E3118" s="5" t="s">
        <v>583</v>
      </c>
      <c r="F3118" t="s">
        <v>241</v>
      </c>
      <c r="G3118">
        <v>1234</v>
      </c>
      <c r="H3118">
        <v>460</v>
      </c>
      <c r="I3118" s="8">
        <f t="shared" si="260"/>
        <v>0.37277147487844409</v>
      </c>
      <c r="J3118" s="17">
        <v>0.7</v>
      </c>
      <c r="K3118" s="12">
        <v>13.75</v>
      </c>
      <c r="L3118" s="2">
        <v>774</v>
      </c>
      <c r="M3118" s="15">
        <f t="shared" si="261"/>
        <v>10642.5</v>
      </c>
    </row>
    <row r="3119" spans="1:13" x14ac:dyDescent="0.3">
      <c r="A3119" s="10">
        <v>46113</v>
      </c>
      <c r="B3119" s="9" t="s">
        <v>3</v>
      </c>
      <c r="C3119" t="s">
        <v>361</v>
      </c>
      <c r="D3119" s="9">
        <v>19847</v>
      </c>
      <c r="E3119" s="5" t="s">
        <v>584</v>
      </c>
      <c r="F3119" t="s">
        <v>238</v>
      </c>
      <c r="G3119">
        <v>1273</v>
      </c>
      <c r="H3119">
        <v>439</v>
      </c>
      <c r="I3119" s="8">
        <f t="shared" si="260"/>
        <v>0.3448546739984289</v>
      </c>
      <c r="J3119" s="17">
        <v>0.7</v>
      </c>
      <c r="K3119" s="12">
        <v>13.75</v>
      </c>
      <c r="L3119" s="2">
        <v>834</v>
      </c>
      <c r="M3119" s="15">
        <f t="shared" si="261"/>
        <v>11467.5</v>
      </c>
    </row>
    <row r="3120" spans="1:13" x14ac:dyDescent="0.3">
      <c r="A3120" s="10">
        <v>46113</v>
      </c>
      <c r="B3120" s="9" t="s">
        <v>3</v>
      </c>
      <c r="C3120" t="s">
        <v>248</v>
      </c>
      <c r="D3120" s="9">
        <v>19890</v>
      </c>
      <c r="E3120" s="5" t="s">
        <v>585</v>
      </c>
      <c r="F3120" t="s">
        <v>259</v>
      </c>
      <c r="G3120">
        <v>946</v>
      </c>
      <c r="H3120">
        <v>363</v>
      </c>
      <c r="I3120" s="8">
        <f t="shared" si="260"/>
        <v>0.38372093023255816</v>
      </c>
      <c r="J3120" s="17">
        <v>0.7</v>
      </c>
      <c r="K3120" s="12">
        <v>13.75</v>
      </c>
      <c r="L3120" s="2">
        <v>583</v>
      </c>
      <c r="M3120" s="15">
        <f t="shared" si="261"/>
        <v>8016.25</v>
      </c>
    </row>
    <row r="3121" spans="1:13" x14ac:dyDescent="0.3">
      <c r="A3121" s="10">
        <v>46113</v>
      </c>
      <c r="B3121" s="9" t="s">
        <v>3</v>
      </c>
      <c r="C3121" t="s">
        <v>239</v>
      </c>
      <c r="D3121" s="9">
        <v>19708</v>
      </c>
      <c r="E3121" s="5" t="s">
        <v>586</v>
      </c>
      <c r="F3121" t="s">
        <v>240</v>
      </c>
      <c r="G3121">
        <v>2280</v>
      </c>
      <c r="H3121">
        <v>945</v>
      </c>
      <c r="I3121" s="8">
        <f t="shared" si="260"/>
        <v>0.41447368421052633</v>
      </c>
      <c r="J3121" s="17">
        <v>0.7</v>
      </c>
      <c r="K3121" s="12">
        <v>13.75</v>
      </c>
      <c r="L3121" s="2">
        <v>1335</v>
      </c>
      <c r="M3121" s="15">
        <f t="shared" si="261"/>
        <v>18356.25</v>
      </c>
    </row>
    <row r="3122" spans="1:13" x14ac:dyDescent="0.3">
      <c r="A3122" s="10">
        <v>46113</v>
      </c>
      <c r="B3122" s="9" t="s">
        <v>3</v>
      </c>
      <c r="C3122" t="s">
        <v>356</v>
      </c>
      <c r="D3122" s="9">
        <v>19745</v>
      </c>
      <c r="E3122" s="5" t="s">
        <v>587</v>
      </c>
      <c r="F3122" t="s">
        <v>154</v>
      </c>
      <c r="G3122">
        <v>1645</v>
      </c>
      <c r="H3122">
        <v>718</v>
      </c>
      <c r="I3122" s="8">
        <f t="shared" si="260"/>
        <v>0.43647416413373863</v>
      </c>
      <c r="J3122" s="17">
        <v>0.7</v>
      </c>
      <c r="K3122" s="12">
        <v>13.75</v>
      </c>
      <c r="L3122" s="2">
        <v>927</v>
      </c>
      <c r="M3122" s="15">
        <f t="shared" si="261"/>
        <v>12746.25</v>
      </c>
    </row>
    <row r="3123" spans="1:13" x14ac:dyDescent="0.3">
      <c r="A3123" s="10">
        <v>46113</v>
      </c>
      <c r="B3123" s="9" t="s">
        <v>3</v>
      </c>
      <c r="C3123" t="s">
        <v>248</v>
      </c>
      <c r="D3123" s="9">
        <v>19710</v>
      </c>
      <c r="E3123" s="5" t="s">
        <v>588</v>
      </c>
      <c r="F3123" t="s">
        <v>261</v>
      </c>
      <c r="G3123">
        <v>1426</v>
      </c>
      <c r="H3123">
        <v>712</v>
      </c>
      <c r="I3123" s="8">
        <f t="shared" si="260"/>
        <v>0.49929873772791022</v>
      </c>
      <c r="J3123" s="17">
        <v>0.7</v>
      </c>
      <c r="K3123" s="12">
        <v>13.75</v>
      </c>
      <c r="L3123" s="2">
        <v>714</v>
      </c>
      <c r="M3123" s="15">
        <f t="shared" si="261"/>
        <v>9817.5</v>
      </c>
    </row>
    <row r="3124" spans="1:13" x14ac:dyDescent="0.3">
      <c r="A3124" s="10">
        <v>46113</v>
      </c>
      <c r="B3124" s="9" t="s">
        <v>3</v>
      </c>
      <c r="C3124" t="s">
        <v>248</v>
      </c>
      <c r="D3124" s="9">
        <v>19891</v>
      </c>
      <c r="E3124" s="5" t="s">
        <v>612</v>
      </c>
      <c r="F3124" t="s">
        <v>260</v>
      </c>
      <c r="G3124">
        <v>1349</v>
      </c>
      <c r="H3124">
        <v>689</v>
      </c>
      <c r="I3124" s="8">
        <f t="shared" si="260"/>
        <v>0.5107487027427724</v>
      </c>
      <c r="J3124" s="17">
        <v>0.7</v>
      </c>
      <c r="K3124" s="12">
        <v>13.75</v>
      </c>
      <c r="L3124" s="2">
        <v>660</v>
      </c>
      <c r="M3124" s="15">
        <f t="shared" si="261"/>
        <v>9075</v>
      </c>
    </row>
    <row r="3125" spans="1:13" x14ac:dyDescent="0.3">
      <c r="A3125" s="10">
        <v>46113</v>
      </c>
      <c r="B3125" s="9" t="s">
        <v>3</v>
      </c>
      <c r="C3125" t="s">
        <v>363</v>
      </c>
      <c r="D3125" s="9">
        <v>19808</v>
      </c>
      <c r="E3125" s="5" t="s">
        <v>589</v>
      </c>
      <c r="F3125" t="s">
        <v>243</v>
      </c>
      <c r="G3125">
        <v>1093</v>
      </c>
      <c r="H3125">
        <v>314</v>
      </c>
      <c r="I3125" s="8">
        <f t="shared" si="260"/>
        <v>0.28728270814272644</v>
      </c>
      <c r="J3125" s="17">
        <v>0.7</v>
      </c>
      <c r="K3125" s="12">
        <v>13.75</v>
      </c>
      <c r="L3125" s="2">
        <v>779</v>
      </c>
      <c r="M3125" s="15">
        <f t="shared" si="261"/>
        <v>10711.25</v>
      </c>
    </row>
    <row r="3126" spans="1:13" x14ac:dyDescent="0.3">
      <c r="A3126" s="10">
        <v>46113</v>
      </c>
      <c r="B3126" s="9" t="s">
        <v>3</v>
      </c>
      <c r="C3126" t="s">
        <v>248</v>
      </c>
      <c r="D3126" s="9">
        <v>19804</v>
      </c>
      <c r="E3126" s="5" t="s">
        <v>590</v>
      </c>
      <c r="F3126" t="s">
        <v>255</v>
      </c>
      <c r="G3126">
        <v>1206</v>
      </c>
      <c r="H3126">
        <v>422</v>
      </c>
      <c r="I3126" s="8">
        <f t="shared" si="260"/>
        <v>0.34991708126036486</v>
      </c>
      <c r="J3126" s="17">
        <v>0.7</v>
      </c>
      <c r="K3126" s="12">
        <v>13.75</v>
      </c>
      <c r="L3126" s="2">
        <v>784</v>
      </c>
      <c r="M3126" s="15">
        <f t="shared" si="261"/>
        <v>10780</v>
      </c>
    </row>
    <row r="3127" spans="1:13" x14ac:dyDescent="0.3">
      <c r="A3127" s="10">
        <v>46113</v>
      </c>
      <c r="B3127" s="9" t="s">
        <v>3</v>
      </c>
      <c r="C3127" t="s">
        <v>362</v>
      </c>
      <c r="D3127" s="9">
        <v>19820</v>
      </c>
      <c r="E3127" s="5" t="s">
        <v>591</v>
      </c>
      <c r="F3127" t="s">
        <v>242</v>
      </c>
      <c r="G3127">
        <v>913</v>
      </c>
      <c r="H3127">
        <v>317</v>
      </c>
      <c r="I3127" s="8">
        <f t="shared" si="260"/>
        <v>0.34720700985761227</v>
      </c>
      <c r="J3127" s="17">
        <v>0.7</v>
      </c>
      <c r="K3127" s="12">
        <v>13.75</v>
      </c>
      <c r="L3127" s="2">
        <v>596</v>
      </c>
      <c r="M3127" s="15">
        <f t="shared" si="261"/>
        <v>8195</v>
      </c>
    </row>
    <row r="3128" spans="1:13" x14ac:dyDescent="0.3">
      <c r="A3128" s="10">
        <v>46113</v>
      </c>
      <c r="B3128" s="9" t="s">
        <v>3</v>
      </c>
      <c r="C3128" t="s">
        <v>24</v>
      </c>
      <c r="D3128" s="9">
        <v>19805</v>
      </c>
      <c r="E3128" s="5" t="s">
        <v>592</v>
      </c>
      <c r="F3128" t="s">
        <v>25</v>
      </c>
      <c r="G3128">
        <v>1409</v>
      </c>
      <c r="H3128">
        <v>665</v>
      </c>
      <c r="I3128" s="8">
        <f t="shared" si="260"/>
        <v>0.47196593328601844</v>
      </c>
      <c r="J3128" s="17">
        <v>0.7</v>
      </c>
      <c r="K3128" s="12">
        <v>13.75</v>
      </c>
      <c r="L3128" s="2">
        <v>744</v>
      </c>
      <c r="M3128" s="15">
        <f t="shared" si="261"/>
        <v>10230</v>
      </c>
    </row>
    <row r="3129" spans="1:13" x14ac:dyDescent="0.3">
      <c r="A3129" s="10">
        <v>46113</v>
      </c>
      <c r="B3129" s="9" t="s">
        <v>14</v>
      </c>
      <c r="C3129" t="s">
        <v>29</v>
      </c>
      <c r="D3129" s="9">
        <v>19720</v>
      </c>
      <c r="E3129" s="5" t="s">
        <v>593</v>
      </c>
      <c r="F3129" t="s">
        <v>36</v>
      </c>
      <c r="G3129">
        <v>1382</v>
      </c>
      <c r="H3129">
        <v>560</v>
      </c>
      <c r="I3129" s="8">
        <f t="shared" si="260"/>
        <v>0.40520984081041966</v>
      </c>
      <c r="J3129" s="17">
        <v>0.7</v>
      </c>
      <c r="K3129" s="12">
        <v>13.75</v>
      </c>
      <c r="L3129" s="2">
        <v>822</v>
      </c>
      <c r="M3129" s="15">
        <f t="shared" si="261"/>
        <v>11302.5</v>
      </c>
    </row>
    <row r="3130" spans="1:13" x14ac:dyDescent="0.3">
      <c r="A3130" s="10">
        <v>46113</v>
      </c>
      <c r="B3130" s="9" t="s">
        <v>3</v>
      </c>
      <c r="C3130" t="s">
        <v>108</v>
      </c>
      <c r="D3130" s="9">
        <v>19877</v>
      </c>
      <c r="E3130" s="5" t="s">
        <v>594</v>
      </c>
      <c r="F3130" t="s">
        <v>109</v>
      </c>
      <c r="G3130">
        <v>1983</v>
      </c>
      <c r="H3130">
        <v>888</v>
      </c>
      <c r="I3130" s="8">
        <f t="shared" si="260"/>
        <v>0.44780635400907715</v>
      </c>
      <c r="J3130" s="17">
        <v>0.7</v>
      </c>
      <c r="K3130" s="12">
        <v>13.75</v>
      </c>
      <c r="L3130" s="2">
        <v>1095</v>
      </c>
      <c r="M3130" s="15">
        <f t="shared" si="261"/>
        <v>15056.25</v>
      </c>
    </row>
    <row r="3131" spans="1:13" x14ac:dyDescent="0.3">
      <c r="A3131" s="10">
        <v>46113</v>
      </c>
      <c r="B3131" s="9" t="s">
        <v>15</v>
      </c>
      <c r="C3131" t="s">
        <v>332</v>
      </c>
      <c r="D3131" s="9">
        <v>19679</v>
      </c>
      <c r="E3131" s="5" t="s">
        <v>571</v>
      </c>
      <c r="F3131" t="s">
        <v>333</v>
      </c>
      <c r="G3131">
        <v>454</v>
      </c>
      <c r="H3131">
        <v>239</v>
      </c>
      <c r="I3131" s="8">
        <f t="shared" si="260"/>
        <v>0.52643171806167399</v>
      </c>
      <c r="J3131" s="17">
        <v>0.7</v>
      </c>
      <c r="K3131" s="12">
        <v>13.75</v>
      </c>
      <c r="L3131" s="2">
        <v>215</v>
      </c>
      <c r="M3131" s="15">
        <f t="shared" si="261"/>
        <v>2956.25</v>
      </c>
    </row>
    <row r="3132" spans="1:13" x14ac:dyDescent="0.3">
      <c r="A3132" s="10">
        <v>46113</v>
      </c>
      <c r="B3132" s="9" t="s">
        <v>59</v>
      </c>
      <c r="C3132" t="s">
        <v>104</v>
      </c>
      <c r="D3132" s="9">
        <v>19872</v>
      </c>
      <c r="E3132" s="5" t="s">
        <v>572</v>
      </c>
      <c r="F3132" t="s">
        <v>105</v>
      </c>
      <c r="G3132">
        <v>2520</v>
      </c>
      <c r="H3132">
        <v>1176</v>
      </c>
      <c r="I3132" s="8">
        <f t="shared" si="260"/>
        <v>0.46666666666666667</v>
      </c>
      <c r="J3132" s="17">
        <v>0.7</v>
      </c>
      <c r="K3132" s="12">
        <v>13.75</v>
      </c>
      <c r="L3132" s="2">
        <v>1344</v>
      </c>
      <c r="M3132" s="15">
        <f t="shared" si="261"/>
        <v>18480</v>
      </c>
    </row>
    <row r="3133" spans="1:13" x14ac:dyDescent="0.3">
      <c r="A3133" s="10">
        <v>46113</v>
      </c>
      <c r="B3133" s="9" t="s">
        <v>15</v>
      </c>
      <c r="C3133" t="s">
        <v>145</v>
      </c>
      <c r="D3133" s="9">
        <v>19513</v>
      </c>
      <c r="E3133" s="5" t="s">
        <v>574</v>
      </c>
      <c r="F3133" t="s">
        <v>147</v>
      </c>
      <c r="G3133">
        <v>3069</v>
      </c>
      <c r="H3133">
        <v>1113</v>
      </c>
      <c r="I3133" s="8">
        <f t="shared" si="260"/>
        <v>0.36265884652981428</v>
      </c>
      <c r="J3133" s="17">
        <v>0.7</v>
      </c>
      <c r="K3133" s="12">
        <v>13.75</v>
      </c>
      <c r="L3133" s="2">
        <v>1956</v>
      </c>
      <c r="M3133" s="15">
        <f t="shared" si="261"/>
        <v>26895</v>
      </c>
    </row>
    <row r="3134" spans="1:13" x14ac:dyDescent="0.3">
      <c r="A3134" s="10">
        <v>46113</v>
      </c>
      <c r="B3134" s="9" t="s">
        <v>15</v>
      </c>
      <c r="C3134" t="s">
        <v>145</v>
      </c>
      <c r="D3134" s="9">
        <v>19525</v>
      </c>
      <c r="E3134" s="5" t="s">
        <v>575</v>
      </c>
      <c r="F3134" t="s">
        <v>148</v>
      </c>
      <c r="G3134">
        <v>2985</v>
      </c>
      <c r="H3134">
        <v>1130</v>
      </c>
      <c r="I3134" s="8">
        <f t="shared" si="260"/>
        <v>0.37855946398659968</v>
      </c>
      <c r="J3134" s="17">
        <v>0.7</v>
      </c>
      <c r="K3134" s="12">
        <v>13.75</v>
      </c>
      <c r="L3134" s="2">
        <v>1855</v>
      </c>
      <c r="M3134" s="15">
        <f t="shared" si="261"/>
        <v>25506.25</v>
      </c>
    </row>
    <row r="3135" spans="1:13" x14ac:dyDescent="0.3">
      <c r="A3135" s="10">
        <v>46113</v>
      </c>
      <c r="B3135" s="9" t="s">
        <v>71</v>
      </c>
      <c r="C3135" t="s">
        <v>308</v>
      </c>
      <c r="D3135" s="9">
        <v>19956</v>
      </c>
      <c r="E3135" s="5" t="s">
        <v>614</v>
      </c>
      <c r="F3135" t="s">
        <v>309</v>
      </c>
      <c r="G3135">
        <v>909</v>
      </c>
      <c r="H3135">
        <v>377</v>
      </c>
      <c r="I3135" s="8">
        <f t="shared" si="260"/>
        <v>0.41474147414741475</v>
      </c>
      <c r="J3135" s="17">
        <v>0.7</v>
      </c>
      <c r="K3135" s="12">
        <v>13.75</v>
      </c>
      <c r="L3135" s="2">
        <v>532</v>
      </c>
      <c r="M3135" s="15">
        <f t="shared" si="261"/>
        <v>7315</v>
      </c>
    </row>
    <row r="3136" spans="1:13" x14ac:dyDescent="0.3">
      <c r="A3136" s="10">
        <v>46113</v>
      </c>
      <c r="B3136" s="9" t="s">
        <v>15</v>
      </c>
      <c r="C3136" t="s">
        <v>341</v>
      </c>
      <c r="D3136" s="9">
        <v>19908</v>
      </c>
      <c r="E3136" s="5" t="s">
        <v>595</v>
      </c>
      <c r="F3136" t="s">
        <v>16</v>
      </c>
      <c r="G3136">
        <v>1526</v>
      </c>
      <c r="H3136">
        <v>859</v>
      </c>
      <c r="I3136" s="8">
        <f t="shared" si="260"/>
        <v>0.5629095674967235</v>
      </c>
      <c r="J3136" s="17">
        <v>0.7</v>
      </c>
      <c r="K3136" s="12">
        <v>13.75</v>
      </c>
      <c r="L3136" s="2">
        <v>667</v>
      </c>
      <c r="M3136" s="15">
        <f t="shared" si="261"/>
        <v>9171.25</v>
      </c>
    </row>
    <row r="3137" spans="1:13" x14ac:dyDescent="0.3">
      <c r="A3137" s="10">
        <v>46113</v>
      </c>
      <c r="B3137" s="9" t="s">
        <v>21</v>
      </c>
      <c r="C3137" t="s">
        <v>228</v>
      </c>
      <c r="D3137" s="9">
        <v>19625</v>
      </c>
      <c r="E3137" s="5" t="s">
        <v>596</v>
      </c>
      <c r="F3137" t="s">
        <v>231</v>
      </c>
      <c r="G3137">
        <v>2635</v>
      </c>
      <c r="H3137">
        <v>1253</v>
      </c>
      <c r="I3137" s="8">
        <f t="shared" si="260"/>
        <v>0.47552182163187856</v>
      </c>
      <c r="J3137" s="17">
        <v>0.7</v>
      </c>
      <c r="K3137" s="12">
        <v>13.75</v>
      </c>
      <c r="L3137" s="2">
        <v>1382</v>
      </c>
      <c r="M3137" s="15">
        <f t="shared" si="261"/>
        <v>19002.5</v>
      </c>
    </row>
    <row r="3138" spans="1:13" x14ac:dyDescent="0.3">
      <c r="A3138" s="10">
        <v>46113</v>
      </c>
      <c r="B3138" s="9" t="s">
        <v>21</v>
      </c>
      <c r="C3138" t="s">
        <v>228</v>
      </c>
      <c r="D3138" s="9">
        <v>19771</v>
      </c>
      <c r="E3138" s="5" t="s">
        <v>576</v>
      </c>
      <c r="F3138" t="s">
        <v>235</v>
      </c>
      <c r="G3138">
        <v>1635</v>
      </c>
      <c r="H3138">
        <v>715</v>
      </c>
      <c r="I3138" s="8">
        <f t="shared" si="260"/>
        <v>0.43730886850152906</v>
      </c>
      <c r="J3138" s="17">
        <v>0.7</v>
      </c>
      <c r="K3138" s="12">
        <v>13.75</v>
      </c>
      <c r="L3138" s="2">
        <v>920</v>
      </c>
      <c r="M3138" s="15">
        <f t="shared" si="261"/>
        <v>12650</v>
      </c>
    </row>
    <row r="3139" spans="1:13" x14ac:dyDescent="0.3">
      <c r="A3139" s="10">
        <v>46113</v>
      </c>
      <c r="B3139" s="9" t="s">
        <v>21</v>
      </c>
      <c r="C3139" t="s">
        <v>228</v>
      </c>
      <c r="D3139" s="9">
        <v>19689</v>
      </c>
      <c r="E3139" s="5" t="s">
        <v>597</v>
      </c>
      <c r="F3139" t="s">
        <v>230</v>
      </c>
      <c r="G3139">
        <v>929</v>
      </c>
      <c r="H3139">
        <v>486</v>
      </c>
      <c r="I3139" s="8">
        <f t="shared" ref="I3139:I3161" si="262">H3139/G3139</f>
        <v>0.52314316469321853</v>
      </c>
      <c r="J3139" s="17">
        <v>0.7</v>
      </c>
      <c r="K3139" s="12">
        <v>13.75</v>
      </c>
      <c r="L3139" s="2">
        <v>443</v>
      </c>
      <c r="M3139" s="15">
        <f t="shared" ref="M3139:M3161" si="263">L3139*K3139</f>
        <v>6091.25</v>
      </c>
    </row>
    <row r="3140" spans="1:13" x14ac:dyDescent="0.3">
      <c r="A3140" s="10">
        <v>46113</v>
      </c>
      <c r="B3140" s="9" t="s">
        <v>59</v>
      </c>
      <c r="C3140" t="s">
        <v>271</v>
      </c>
      <c r="D3140" s="9">
        <v>19775</v>
      </c>
      <c r="E3140" s="5" t="s">
        <v>598</v>
      </c>
      <c r="F3140" t="s">
        <v>272</v>
      </c>
      <c r="G3140">
        <v>1640</v>
      </c>
      <c r="H3140">
        <v>697</v>
      </c>
      <c r="I3140" s="8">
        <f t="shared" si="262"/>
        <v>0.42499999999999999</v>
      </c>
      <c r="J3140" s="17">
        <v>0.7</v>
      </c>
      <c r="K3140" s="12">
        <v>13.75</v>
      </c>
      <c r="L3140" s="2">
        <v>943</v>
      </c>
      <c r="M3140" s="15">
        <f t="shared" si="263"/>
        <v>12966.25</v>
      </c>
    </row>
    <row r="3141" spans="1:13" x14ac:dyDescent="0.3">
      <c r="A3141" s="10">
        <v>46113</v>
      </c>
      <c r="B3141" s="9" t="s">
        <v>59</v>
      </c>
      <c r="C3141" t="s">
        <v>292</v>
      </c>
      <c r="D3141" s="9">
        <v>19580</v>
      </c>
      <c r="E3141" s="5" t="s">
        <v>599</v>
      </c>
      <c r="F3141" t="s">
        <v>293</v>
      </c>
      <c r="G3141">
        <v>2059</v>
      </c>
      <c r="H3141">
        <v>669</v>
      </c>
      <c r="I3141" s="8">
        <f t="shared" si="262"/>
        <v>0.32491500728508987</v>
      </c>
      <c r="J3141" s="17">
        <v>0.7</v>
      </c>
      <c r="K3141" s="12">
        <v>13.75</v>
      </c>
      <c r="L3141" s="2">
        <v>1390</v>
      </c>
      <c r="M3141" s="15">
        <f t="shared" si="263"/>
        <v>19112.5</v>
      </c>
    </row>
    <row r="3142" spans="1:13" x14ac:dyDescent="0.3">
      <c r="A3142" s="10">
        <v>46113</v>
      </c>
      <c r="B3142" s="9" t="s">
        <v>59</v>
      </c>
      <c r="C3142" t="s">
        <v>292</v>
      </c>
      <c r="D3142" s="9">
        <v>19719</v>
      </c>
      <c r="E3142" s="5" t="s">
        <v>600</v>
      </c>
      <c r="F3142" t="s">
        <v>294</v>
      </c>
      <c r="G3142">
        <v>1497</v>
      </c>
      <c r="H3142">
        <v>571</v>
      </c>
      <c r="I3142" s="8">
        <f t="shared" si="262"/>
        <v>0.38142952571810285</v>
      </c>
      <c r="J3142" s="17">
        <v>0.7</v>
      </c>
      <c r="K3142" s="12">
        <v>13.75</v>
      </c>
      <c r="L3142" s="2">
        <v>926</v>
      </c>
      <c r="M3142" s="15">
        <f t="shared" si="263"/>
        <v>12732.5</v>
      </c>
    </row>
    <row r="3143" spans="1:13" x14ac:dyDescent="0.3">
      <c r="A3143" s="10">
        <v>46113</v>
      </c>
      <c r="B3143" s="9" t="s">
        <v>3</v>
      </c>
      <c r="C3143" t="s">
        <v>193</v>
      </c>
      <c r="D3143" s="9">
        <v>19832</v>
      </c>
      <c r="E3143" s="5" t="s">
        <v>601</v>
      </c>
      <c r="F3143" t="s">
        <v>194</v>
      </c>
      <c r="G3143">
        <v>1049</v>
      </c>
      <c r="H3143">
        <v>380</v>
      </c>
      <c r="I3143" s="8">
        <f t="shared" si="262"/>
        <v>0.36224976167778838</v>
      </c>
      <c r="J3143" s="17">
        <v>0.7</v>
      </c>
      <c r="K3143" s="12">
        <v>13.75</v>
      </c>
      <c r="L3143" s="2">
        <v>669</v>
      </c>
      <c r="M3143" s="15">
        <f t="shared" si="263"/>
        <v>9198.75</v>
      </c>
    </row>
    <row r="3144" spans="1:13" x14ac:dyDescent="0.3">
      <c r="A3144" s="10">
        <v>46113</v>
      </c>
      <c r="B3144" s="9" t="s">
        <v>6</v>
      </c>
      <c r="C3144" t="s">
        <v>236</v>
      </c>
      <c r="D3144" s="9">
        <v>19606</v>
      </c>
      <c r="E3144" s="5" t="s">
        <v>602</v>
      </c>
      <c r="F3144" t="s">
        <v>237</v>
      </c>
      <c r="G3144">
        <v>1675</v>
      </c>
      <c r="H3144">
        <v>940</v>
      </c>
      <c r="I3144" s="8">
        <f t="shared" si="262"/>
        <v>0.56119402985074629</v>
      </c>
      <c r="J3144" s="17">
        <v>0.7</v>
      </c>
      <c r="K3144" s="12">
        <v>13.75</v>
      </c>
      <c r="L3144" s="2">
        <v>735</v>
      </c>
      <c r="M3144" s="15">
        <f t="shared" si="263"/>
        <v>10106.25</v>
      </c>
    </row>
    <row r="3145" spans="1:13" x14ac:dyDescent="0.3">
      <c r="A3145" s="10">
        <v>46113</v>
      </c>
      <c r="B3145" s="9" t="s">
        <v>14</v>
      </c>
      <c r="C3145" t="s">
        <v>29</v>
      </c>
      <c r="D3145" s="9">
        <v>19759</v>
      </c>
      <c r="E3145" s="5" t="s">
        <v>603</v>
      </c>
      <c r="F3145" t="s">
        <v>38</v>
      </c>
      <c r="G3145">
        <v>1242</v>
      </c>
      <c r="H3145">
        <v>553</v>
      </c>
      <c r="I3145" s="8">
        <f t="shared" si="262"/>
        <v>0.44524959742351045</v>
      </c>
      <c r="J3145" s="17">
        <v>0.7</v>
      </c>
      <c r="K3145" s="12">
        <v>13.75</v>
      </c>
      <c r="L3145" s="2">
        <v>689</v>
      </c>
      <c r="M3145" s="15">
        <f t="shared" si="263"/>
        <v>9473.75</v>
      </c>
    </row>
    <row r="3146" spans="1:13" x14ac:dyDescent="0.3">
      <c r="A3146" s="10">
        <v>46113</v>
      </c>
      <c r="B3146" s="9" t="s">
        <v>61</v>
      </c>
      <c r="C3146" t="s">
        <v>328</v>
      </c>
      <c r="D3146" s="9">
        <v>19706</v>
      </c>
      <c r="E3146" s="5" t="s">
        <v>604</v>
      </c>
      <c r="F3146" t="s">
        <v>77</v>
      </c>
      <c r="G3146">
        <v>2377</v>
      </c>
      <c r="H3146">
        <v>1081</v>
      </c>
      <c r="I3146" s="8">
        <f t="shared" si="262"/>
        <v>0.4547749263777871</v>
      </c>
      <c r="J3146" s="17">
        <v>0.7</v>
      </c>
      <c r="K3146" s="12">
        <v>13.75</v>
      </c>
      <c r="L3146" s="2">
        <v>1296</v>
      </c>
      <c r="M3146" s="15">
        <f t="shared" si="263"/>
        <v>17820</v>
      </c>
    </row>
    <row r="3147" spans="1:13" x14ac:dyDescent="0.3">
      <c r="A3147" s="10">
        <v>46113</v>
      </c>
      <c r="B3147" s="9" t="s">
        <v>59</v>
      </c>
      <c r="C3147" t="s">
        <v>289</v>
      </c>
      <c r="D3147" s="9">
        <v>19581</v>
      </c>
      <c r="E3147" s="5" t="s">
        <v>616</v>
      </c>
      <c r="F3147" t="s">
        <v>290</v>
      </c>
      <c r="G3147">
        <v>2130</v>
      </c>
      <c r="H3147">
        <v>754</v>
      </c>
      <c r="I3147" s="8">
        <f t="shared" si="262"/>
        <v>0.35399061032863849</v>
      </c>
      <c r="J3147" s="17">
        <v>0.7</v>
      </c>
      <c r="K3147" s="12">
        <v>13.75</v>
      </c>
      <c r="L3147" s="2">
        <v>1376</v>
      </c>
      <c r="M3147" s="15">
        <f t="shared" si="263"/>
        <v>18920</v>
      </c>
    </row>
    <row r="3148" spans="1:13" x14ac:dyDescent="0.3">
      <c r="A3148" s="10">
        <v>46113</v>
      </c>
      <c r="B3148" s="9" t="s">
        <v>15</v>
      </c>
      <c r="C3148" t="s">
        <v>171</v>
      </c>
      <c r="D3148" s="9">
        <v>19520</v>
      </c>
      <c r="E3148" s="5" t="s">
        <v>605</v>
      </c>
      <c r="F3148" t="s">
        <v>172</v>
      </c>
      <c r="G3148">
        <v>1233</v>
      </c>
      <c r="H3148">
        <v>565</v>
      </c>
      <c r="I3148" s="8">
        <f t="shared" si="262"/>
        <v>0.45823195458231952</v>
      </c>
      <c r="J3148" s="17">
        <v>0.7</v>
      </c>
      <c r="K3148" s="12">
        <v>13.75</v>
      </c>
      <c r="L3148" s="2">
        <v>668</v>
      </c>
      <c r="M3148" s="15">
        <f t="shared" si="263"/>
        <v>9185</v>
      </c>
    </row>
    <row r="3149" spans="1:13" x14ac:dyDescent="0.3">
      <c r="A3149" s="10">
        <v>46113</v>
      </c>
      <c r="B3149" s="9" t="s">
        <v>40</v>
      </c>
      <c r="C3149" t="s">
        <v>41</v>
      </c>
      <c r="D3149" s="9">
        <v>19868</v>
      </c>
      <c r="E3149" s="5" t="s">
        <v>606</v>
      </c>
      <c r="F3149" t="s">
        <v>43</v>
      </c>
      <c r="G3149">
        <v>1657</v>
      </c>
      <c r="H3149">
        <v>1118</v>
      </c>
      <c r="I3149" s="8">
        <f t="shared" si="262"/>
        <v>0.67471333735666872</v>
      </c>
      <c r="J3149" s="17">
        <v>0.7</v>
      </c>
      <c r="K3149" s="12">
        <v>13.75</v>
      </c>
      <c r="L3149" s="2">
        <v>539</v>
      </c>
      <c r="M3149" s="15">
        <f t="shared" si="263"/>
        <v>7411.25</v>
      </c>
    </row>
    <row r="3150" spans="1:13" x14ac:dyDescent="0.3">
      <c r="A3150" s="10">
        <v>46113</v>
      </c>
      <c r="B3150" s="9" t="s">
        <v>78</v>
      </c>
      <c r="C3150" t="s">
        <v>369</v>
      </c>
      <c r="D3150" s="9">
        <v>19958</v>
      </c>
      <c r="E3150" s="5" t="s">
        <v>615</v>
      </c>
      <c r="F3150" t="s">
        <v>627</v>
      </c>
      <c r="G3150">
        <v>1505</v>
      </c>
      <c r="H3150">
        <v>819</v>
      </c>
      <c r="I3150" s="8">
        <f t="shared" si="262"/>
        <v>0.54418604651162794</v>
      </c>
      <c r="J3150" s="17">
        <v>0.7</v>
      </c>
      <c r="K3150" s="12">
        <v>13.75</v>
      </c>
      <c r="L3150" s="2">
        <v>686</v>
      </c>
      <c r="M3150" s="15">
        <f t="shared" si="263"/>
        <v>9432.5</v>
      </c>
    </row>
    <row r="3151" spans="1:13" x14ac:dyDescent="0.3">
      <c r="A3151" s="10">
        <v>46113</v>
      </c>
      <c r="B3151" s="9" t="s">
        <v>15</v>
      </c>
      <c r="C3151" t="s">
        <v>151</v>
      </c>
      <c r="D3151" s="9">
        <v>19599</v>
      </c>
      <c r="E3151" s="5" t="s">
        <v>607</v>
      </c>
      <c r="F3151" t="s">
        <v>152</v>
      </c>
      <c r="G3151">
        <v>2622</v>
      </c>
      <c r="H3151">
        <v>1346</v>
      </c>
      <c r="I3151" s="8">
        <f t="shared" si="262"/>
        <v>0.51334858886346302</v>
      </c>
      <c r="J3151" s="17">
        <v>0.7</v>
      </c>
      <c r="K3151" s="12">
        <v>13.75</v>
      </c>
      <c r="L3151" s="2">
        <v>1276</v>
      </c>
      <c r="M3151" s="15">
        <f t="shared" si="263"/>
        <v>17545</v>
      </c>
    </row>
    <row r="3152" spans="1:13" x14ac:dyDescent="0.3">
      <c r="A3152" s="10">
        <v>46113</v>
      </c>
      <c r="B3152" s="9" t="s">
        <v>3</v>
      </c>
      <c r="C3152" t="s">
        <v>248</v>
      </c>
      <c r="D3152" s="9">
        <v>19855</v>
      </c>
      <c r="E3152" s="5" t="s">
        <v>608</v>
      </c>
      <c r="F3152" t="s">
        <v>257</v>
      </c>
      <c r="G3152">
        <v>1180</v>
      </c>
      <c r="H3152">
        <v>429</v>
      </c>
      <c r="I3152" s="8">
        <f t="shared" si="262"/>
        <v>0.36355932203389829</v>
      </c>
      <c r="J3152" s="17">
        <v>0.7</v>
      </c>
      <c r="K3152" s="12">
        <v>13.75</v>
      </c>
      <c r="L3152" s="2">
        <v>751</v>
      </c>
      <c r="M3152" s="15">
        <f t="shared" si="263"/>
        <v>10326.25</v>
      </c>
    </row>
    <row r="3153" spans="1:13" x14ac:dyDescent="0.3">
      <c r="A3153" s="10">
        <v>46113</v>
      </c>
      <c r="B3153" s="9" t="s">
        <v>3</v>
      </c>
      <c r="C3153" t="s">
        <v>248</v>
      </c>
      <c r="D3153" s="9">
        <v>19821</v>
      </c>
      <c r="E3153" s="5" t="s">
        <v>609</v>
      </c>
      <c r="F3153" t="s">
        <v>256</v>
      </c>
      <c r="G3153">
        <v>1399</v>
      </c>
      <c r="H3153">
        <v>556</v>
      </c>
      <c r="I3153" s="8">
        <f t="shared" si="262"/>
        <v>0.39742673338098644</v>
      </c>
      <c r="J3153" s="17">
        <v>0.7</v>
      </c>
      <c r="K3153" s="12">
        <v>13.75</v>
      </c>
      <c r="L3153" s="2">
        <v>843</v>
      </c>
      <c r="M3153" s="15">
        <f t="shared" si="263"/>
        <v>11591.25</v>
      </c>
    </row>
    <row r="3154" spans="1:13" x14ac:dyDescent="0.3">
      <c r="A3154" s="10">
        <v>46113</v>
      </c>
      <c r="B3154" s="9" t="s">
        <v>14</v>
      </c>
      <c r="C3154" t="s">
        <v>283</v>
      </c>
      <c r="D3154" s="9">
        <v>19912</v>
      </c>
      <c r="E3154" s="5" t="s">
        <v>610</v>
      </c>
      <c r="F3154" t="s">
        <v>284</v>
      </c>
      <c r="G3154">
        <v>1800</v>
      </c>
      <c r="H3154">
        <v>926</v>
      </c>
      <c r="I3154" s="8">
        <f t="shared" si="262"/>
        <v>0.51444444444444448</v>
      </c>
      <c r="J3154" s="17">
        <v>0.7</v>
      </c>
      <c r="K3154" s="12">
        <v>13.75</v>
      </c>
      <c r="L3154" s="2">
        <v>874</v>
      </c>
      <c r="M3154" s="15">
        <f t="shared" si="263"/>
        <v>12017.5</v>
      </c>
    </row>
    <row r="3155" spans="1:13" x14ac:dyDescent="0.3">
      <c r="A3155" s="10">
        <v>46113</v>
      </c>
      <c r="B3155" s="9" t="s">
        <v>82</v>
      </c>
      <c r="C3155" t="s">
        <v>349</v>
      </c>
      <c r="D3155" s="9">
        <v>19772</v>
      </c>
      <c r="E3155" s="5" t="s">
        <v>613</v>
      </c>
      <c r="F3155" t="s">
        <v>96</v>
      </c>
      <c r="G3155">
        <v>992</v>
      </c>
      <c r="H3155">
        <v>594</v>
      </c>
      <c r="I3155" s="8">
        <f t="shared" si="262"/>
        <v>0.59879032258064513</v>
      </c>
      <c r="J3155" s="17">
        <v>0.7</v>
      </c>
      <c r="K3155" s="12">
        <v>13.75</v>
      </c>
      <c r="L3155" s="2">
        <v>398</v>
      </c>
      <c r="M3155" s="15">
        <f t="shared" si="263"/>
        <v>5472.5</v>
      </c>
    </row>
    <row r="3156" spans="1:13" x14ac:dyDescent="0.3">
      <c r="A3156" s="10">
        <v>46113</v>
      </c>
      <c r="B3156" s="9" t="s">
        <v>46</v>
      </c>
      <c r="C3156" t="s">
        <v>47</v>
      </c>
      <c r="D3156" s="9">
        <v>19666</v>
      </c>
      <c r="E3156" s="5" t="s">
        <v>617</v>
      </c>
      <c r="F3156" t="s">
        <v>49</v>
      </c>
      <c r="G3156">
        <v>2676</v>
      </c>
      <c r="H3156">
        <v>1095</v>
      </c>
      <c r="I3156" s="8">
        <f t="shared" si="262"/>
        <v>0.40919282511210764</v>
      </c>
      <c r="J3156" s="17">
        <v>0.7</v>
      </c>
      <c r="K3156" s="12">
        <v>13.75</v>
      </c>
      <c r="L3156" s="2">
        <v>1581</v>
      </c>
      <c r="M3156" s="15">
        <f t="shared" si="263"/>
        <v>21738.75</v>
      </c>
    </row>
    <row r="3157" spans="1:13" x14ac:dyDescent="0.3">
      <c r="A3157" s="10">
        <v>46113</v>
      </c>
      <c r="B3157" s="9" t="s">
        <v>14</v>
      </c>
      <c r="C3157" t="s">
        <v>325</v>
      </c>
      <c r="D3157" s="9">
        <v>19961</v>
      </c>
      <c r="E3157" s="5" t="s">
        <v>622</v>
      </c>
      <c r="F3157" t="s">
        <v>326</v>
      </c>
      <c r="G3157">
        <v>1271</v>
      </c>
      <c r="H3157">
        <v>646</v>
      </c>
      <c r="I3157" s="8">
        <f t="shared" si="262"/>
        <v>0.50826121164437454</v>
      </c>
      <c r="J3157" s="17">
        <v>0.7</v>
      </c>
      <c r="K3157" s="12">
        <v>13.75</v>
      </c>
      <c r="L3157" s="2">
        <v>625</v>
      </c>
      <c r="M3157" s="15">
        <f t="shared" si="263"/>
        <v>8593.75</v>
      </c>
    </row>
    <row r="3158" spans="1:13" x14ac:dyDescent="0.3">
      <c r="A3158" s="10">
        <v>46113</v>
      </c>
      <c r="B3158" s="9" t="s">
        <v>14</v>
      </c>
      <c r="C3158" t="s">
        <v>334</v>
      </c>
      <c r="D3158" s="9">
        <v>19963</v>
      </c>
      <c r="E3158" s="5" t="s">
        <v>623</v>
      </c>
      <c r="F3158" t="s">
        <v>335</v>
      </c>
      <c r="G3158">
        <v>1973</v>
      </c>
      <c r="H3158">
        <v>789</v>
      </c>
      <c r="I3158" s="8">
        <f t="shared" si="262"/>
        <v>0.39989863152559552</v>
      </c>
      <c r="J3158" s="17">
        <v>0.7</v>
      </c>
      <c r="K3158" s="12">
        <v>13.75</v>
      </c>
      <c r="L3158" s="2">
        <v>1184</v>
      </c>
      <c r="M3158" s="15">
        <f t="shared" si="263"/>
        <v>16280</v>
      </c>
    </row>
    <row r="3159" spans="1:13" x14ac:dyDescent="0.3">
      <c r="A3159" s="10">
        <v>46113</v>
      </c>
      <c r="B3159" s="9" t="s">
        <v>82</v>
      </c>
      <c r="C3159" t="s">
        <v>83</v>
      </c>
      <c r="D3159" s="9">
        <v>19547</v>
      </c>
      <c r="E3159" s="5" t="s">
        <v>618</v>
      </c>
      <c r="F3159" t="s">
        <v>87</v>
      </c>
      <c r="G3159">
        <v>1830</v>
      </c>
      <c r="H3159">
        <v>515</v>
      </c>
      <c r="I3159" s="8">
        <f t="shared" si="262"/>
        <v>0.28142076502732238</v>
      </c>
      <c r="J3159" s="17">
        <v>0.7</v>
      </c>
      <c r="K3159" s="12">
        <v>13.75</v>
      </c>
      <c r="L3159" s="2">
        <v>1315</v>
      </c>
      <c r="M3159" s="15">
        <f t="shared" si="263"/>
        <v>18081.25</v>
      </c>
    </row>
    <row r="3160" spans="1:13" x14ac:dyDescent="0.3">
      <c r="A3160" s="10">
        <v>46113</v>
      </c>
      <c r="B3160" s="9" t="s">
        <v>82</v>
      </c>
      <c r="C3160" t="s">
        <v>83</v>
      </c>
      <c r="D3160" s="9">
        <v>19936</v>
      </c>
      <c r="E3160" s="5" t="s">
        <v>619</v>
      </c>
      <c r="F3160" t="s">
        <v>86</v>
      </c>
      <c r="G3160">
        <v>1087</v>
      </c>
      <c r="H3160">
        <v>284</v>
      </c>
      <c r="I3160" s="8">
        <f t="shared" si="262"/>
        <v>0.26126954921803131</v>
      </c>
      <c r="J3160" s="17">
        <v>0.7</v>
      </c>
      <c r="K3160" s="12">
        <v>13.75</v>
      </c>
      <c r="L3160" s="2">
        <v>803</v>
      </c>
      <c r="M3160" s="15">
        <f t="shared" si="263"/>
        <v>11041.25</v>
      </c>
    </row>
    <row r="3161" spans="1:13" x14ac:dyDescent="0.3">
      <c r="A3161" s="10">
        <v>46113</v>
      </c>
      <c r="B3161" s="9" t="s">
        <v>61</v>
      </c>
      <c r="C3161" t="s">
        <v>62</v>
      </c>
      <c r="D3161" s="9">
        <v>19633</v>
      </c>
      <c r="E3161" s="5" t="s">
        <v>389</v>
      </c>
      <c r="F3161" t="s">
        <v>63</v>
      </c>
      <c r="G3161">
        <v>1143</v>
      </c>
      <c r="H3161">
        <v>733</v>
      </c>
      <c r="I3161" s="8">
        <f t="shared" si="262"/>
        <v>0.6412948381452318</v>
      </c>
      <c r="J3161" s="17">
        <v>0.7</v>
      </c>
      <c r="K3161" s="12">
        <v>13.75</v>
      </c>
      <c r="L3161" s="2">
        <v>410</v>
      </c>
      <c r="M3161" s="15">
        <f t="shared" si="263"/>
        <v>5637.5</v>
      </c>
    </row>
    <row r="3162" spans="1:13" x14ac:dyDescent="0.3">
      <c r="A3162" s="10">
        <v>46143</v>
      </c>
      <c r="B3162" s="9" t="s">
        <v>15</v>
      </c>
      <c r="C3162" t="s">
        <v>296</v>
      </c>
      <c r="D3162" s="9">
        <v>19524</v>
      </c>
      <c r="E3162" s="5" t="s">
        <v>376</v>
      </c>
      <c r="F3162" t="s">
        <v>297</v>
      </c>
      <c r="G3162">
        <v>2103</v>
      </c>
      <c r="H3162">
        <v>867</v>
      </c>
      <c r="I3162" s="8">
        <v>0.41226818830242512</v>
      </c>
      <c r="J3162" s="17">
        <v>0.7</v>
      </c>
      <c r="K3162" s="12">
        <v>13.75</v>
      </c>
      <c r="L3162" s="2">
        <v>146</v>
      </c>
      <c r="M3162" s="15">
        <v>2007.5</v>
      </c>
    </row>
    <row r="3163" spans="1:13" x14ac:dyDescent="0.3">
      <c r="A3163" s="10">
        <v>46143</v>
      </c>
      <c r="B3163" s="9" t="s">
        <v>46</v>
      </c>
      <c r="C3163" t="s">
        <v>47</v>
      </c>
      <c r="D3163" s="9">
        <v>19550</v>
      </c>
      <c r="E3163" s="5" t="s">
        <v>391</v>
      </c>
      <c r="F3163" t="s">
        <v>624</v>
      </c>
      <c r="G3163">
        <v>1193</v>
      </c>
      <c r="H3163">
        <v>418</v>
      </c>
      <c r="I3163" s="8">
        <v>0.35037720033528919</v>
      </c>
      <c r="J3163" s="17">
        <v>0.7</v>
      </c>
      <c r="K3163" s="12">
        <v>13.75</v>
      </c>
      <c r="L3163" s="2">
        <v>775</v>
      </c>
      <c r="M3163" s="15">
        <v>10656.25</v>
      </c>
    </row>
    <row r="3164" spans="1:13" x14ac:dyDescent="0.3">
      <c r="A3164" s="10">
        <v>46143</v>
      </c>
      <c r="B3164" s="9" t="s">
        <v>3</v>
      </c>
      <c r="C3164" t="s">
        <v>4</v>
      </c>
      <c r="D3164" s="9">
        <v>19928</v>
      </c>
      <c r="E3164" s="5" t="s">
        <v>536</v>
      </c>
      <c r="F3164" t="s">
        <v>5</v>
      </c>
      <c r="G3164">
        <v>1501</v>
      </c>
      <c r="H3164">
        <v>764</v>
      </c>
      <c r="I3164" s="8">
        <v>0.50899400399733508</v>
      </c>
      <c r="J3164" s="17">
        <v>0.7</v>
      </c>
      <c r="K3164" s="12">
        <v>13.75</v>
      </c>
      <c r="L3164" s="2">
        <v>73</v>
      </c>
      <c r="M3164" s="15">
        <v>1003.75</v>
      </c>
    </row>
    <row r="3165" spans="1:13" x14ac:dyDescent="0.3">
      <c r="A3165" s="10">
        <v>46143</v>
      </c>
      <c r="B3165" s="9" t="s">
        <v>7</v>
      </c>
      <c r="C3165" t="s">
        <v>8</v>
      </c>
      <c r="D3165" s="9">
        <v>19700</v>
      </c>
      <c r="E3165" s="5" t="s">
        <v>458</v>
      </c>
      <c r="F3165" t="s">
        <v>9</v>
      </c>
      <c r="G3165">
        <v>1862</v>
      </c>
      <c r="H3165">
        <v>660</v>
      </c>
      <c r="I3165" s="8">
        <v>0.35445757250268528</v>
      </c>
      <c r="J3165" s="17">
        <v>0.7</v>
      </c>
      <c r="K3165" s="12">
        <v>13.75</v>
      </c>
      <c r="L3165" s="2">
        <v>85</v>
      </c>
      <c r="M3165" s="15">
        <v>1168.75</v>
      </c>
    </row>
    <row r="3166" spans="1:13" x14ac:dyDescent="0.3">
      <c r="A3166" s="10">
        <v>46143</v>
      </c>
      <c r="B3166" s="9" t="s">
        <v>3</v>
      </c>
      <c r="C3166" t="s">
        <v>10</v>
      </c>
      <c r="D3166" s="9">
        <v>19948</v>
      </c>
      <c r="E3166" s="5" t="s">
        <v>555</v>
      </c>
      <c r="F3166" t="s">
        <v>11</v>
      </c>
      <c r="G3166">
        <v>1151</v>
      </c>
      <c r="H3166">
        <v>464</v>
      </c>
      <c r="I3166" s="8">
        <v>0.40312771503040834</v>
      </c>
      <c r="J3166" s="17">
        <v>0.7</v>
      </c>
      <c r="K3166" s="12">
        <v>13.75</v>
      </c>
      <c r="L3166" s="2">
        <v>67</v>
      </c>
      <c r="M3166" s="15">
        <v>921.25</v>
      </c>
    </row>
    <row r="3167" spans="1:13" x14ac:dyDescent="0.3">
      <c r="A3167" s="10">
        <v>46143</v>
      </c>
      <c r="B3167" s="9" t="s">
        <v>3</v>
      </c>
      <c r="C3167" t="s">
        <v>12</v>
      </c>
      <c r="D3167" s="9">
        <v>19901</v>
      </c>
      <c r="E3167" s="5" t="s">
        <v>514</v>
      </c>
      <c r="F3167" t="s">
        <v>13</v>
      </c>
      <c r="G3167">
        <v>774</v>
      </c>
      <c r="H3167">
        <v>203</v>
      </c>
      <c r="I3167" s="8">
        <v>0.26227390180878551</v>
      </c>
      <c r="J3167" s="17">
        <v>0.7</v>
      </c>
      <c r="K3167" s="12">
        <v>13.75</v>
      </c>
      <c r="L3167" s="2">
        <v>61</v>
      </c>
      <c r="M3167" s="15">
        <v>838.75</v>
      </c>
    </row>
    <row r="3168" spans="1:13" x14ac:dyDescent="0.3">
      <c r="A3168" s="10">
        <v>46143</v>
      </c>
      <c r="B3168" s="9" t="s">
        <v>15</v>
      </c>
      <c r="C3168" t="s">
        <v>310</v>
      </c>
      <c r="D3168" s="9">
        <v>19908</v>
      </c>
      <c r="E3168" s="5" t="s">
        <v>595</v>
      </c>
      <c r="F3168" t="s">
        <v>16</v>
      </c>
      <c r="G3168">
        <v>1326</v>
      </c>
      <c r="H3168">
        <v>698</v>
      </c>
      <c r="I3168" s="8">
        <v>0.526395173453997</v>
      </c>
      <c r="J3168" s="17">
        <v>0.7</v>
      </c>
      <c r="K3168" s="12">
        <v>13.75</v>
      </c>
      <c r="L3168" s="2">
        <v>85</v>
      </c>
      <c r="M3168" s="15">
        <v>1168.75</v>
      </c>
    </row>
    <row r="3169" spans="1:13" x14ac:dyDescent="0.3">
      <c r="A3169" s="10">
        <v>46143</v>
      </c>
      <c r="B3169" s="9" t="s">
        <v>15</v>
      </c>
      <c r="C3169" t="s">
        <v>19</v>
      </c>
      <c r="D3169" s="9">
        <v>19694</v>
      </c>
      <c r="E3169" s="5" t="s">
        <v>557</v>
      </c>
      <c r="F3169" t="s">
        <v>20</v>
      </c>
      <c r="G3169">
        <v>1800</v>
      </c>
      <c r="H3169">
        <v>963</v>
      </c>
      <c r="I3169" s="8">
        <v>0.53500000000000003</v>
      </c>
      <c r="J3169" s="17">
        <v>0.7</v>
      </c>
      <c r="K3169" s="12">
        <v>13.75</v>
      </c>
      <c r="L3169" s="2">
        <v>39</v>
      </c>
      <c r="M3169" s="15">
        <v>536.25</v>
      </c>
    </row>
    <row r="3170" spans="1:13" x14ac:dyDescent="0.3">
      <c r="A3170" s="10">
        <v>46143</v>
      </c>
      <c r="B3170" s="9" t="s">
        <v>21</v>
      </c>
      <c r="C3170" t="s">
        <v>22</v>
      </c>
      <c r="D3170" s="9">
        <v>19741</v>
      </c>
      <c r="E3170" s="5" t="s">
        <v>387</v>
      </c>
      <c r="F3170" t="s">
        <v>23</v>
      </c>
      <c r="G3170">
        <v>1678</v>
      </c>
      <c r="H3170">
        <v>847</v>
      </c>
      <c r="I3170" s="8">
        <v>0.50476758045292014</v>
      </c>
      <c r="J3170" s="17">
        <v>0.7</v>
      </c>
      <c r="K3170" s="12">
        <v>13.75</v>
      </c>
      <c r="L3170" s="2">
        <v>58</v>
      </c>
      <c r="M3170" s="15">
        <v>797.5</v>
      </c>
    </row>
    <row r="3171" spans="1:13" x14ac:dyDescent="0.3">
      <c r="A3171" s="10">
        <v>46143</v>
      </c>
      <c r="B3171" s="9" t="s">
        <v>3</v>
      </c>
      <c r="C3171" t="s">
        <v>24</v>
      </c>
      <c r="D3171" s="9">
        <v>19805</v>
      </c>
      <c r="E3171" s="5" t="s">
        <v>592</v>
      </c>
      <c r="F3171" t="s">
        <v>25</v>
      </c>
      <c r="G3171">
        <v>1529</v>
      </c>
      <c r="H3171">
        <v>701</v>
      </c>
      <c r="I3171" s="8">
        <v>0.45846958796599085</v>
      </c>
      <c r="J3171" s="17">
        <v>0.7</v>
      </c>
      <c r="K3171" s="12">
        <v>13.75</v>
      </c>
      <c r="L3171" s="2">
        <v>93</v>
      </c>
      <c r="M3171" s="15">
        <v>1278.75</v>
      </c>
    </row>
    <row r="3172" spans="1:13" x14ac:dyDescent="0.3">
      <c r="A3172" s="10">
        <v>46143</v>
      </c>
      <c r="B3172" s="9" t="s">
        <v>6</v>
      </c>
      <c r="C3172" t="s">
        <v>26</v>
      </c>
      <c r="D3172" s="9">
        <v>19597</v>
      </c>
      <c r="E3172" s="5" t="s">
        <v>375</v>
      </c>
      <c r="F3172" t="s">
        <v>27</v>
      </c>
      <c r="G3172">
        <v>3477</v>
      </c>
      <c r="H3172">
        <v>1904</v>
      </c>
      <c r="I3172" s="8">
        <v>0.54759850445786595</v>
      </c>
      <c r="J3172" s="17">
        <v>0.7</v>
      </c>
      <c r="K3172" s="12">
        <v>13.75</v>
      </c>
      <c r="L3172" s="2">
        <v>142</v>
      </c>
      <c r="M3172" s="15">
        <v>1952.5</v>
      </c>
    </row>
    <row r="3173" spans="1:13" x14ac:dyDescent="0.3">
      <c r="A3173" s="10">
        <v>46143</v>
      </c>
      <c r="B3173" s="9" t="s">
        <v>6</v>
      </c>
      <c r="C3173" t="s">
        <v>26</v>
      </c>
      <c r="D3173" s="9">
        <v>19622</v>
      </c>
      <c r="E3173" s="5" t="s">
        <v>390</v>
      </c>
      <c r="F3173" t="s">
        <v>28</v>
      </c>
      <c r="G3173">
        <v>2255</v>
      </c>
      <c r="H3173">
        <v>1207</v>
      </c>
      <c r="I3173" s="8">
        <v>0.53525498891352552</v>
      </c>
      <c r="J3173" s="17">
        <v>0.7</v>
      </c>
      <c r="K3173" s="12">
        <v>13.75</v>
      </c>
      <c r="L3173" s="2">
        <v>100</v>
      </c>
      <c r="M3173" s="15">
        <v>1375</v>
      </c>
    </row>
    <row r="3174" spans="1:13" x14ac:dyDescent="0.3">
      <c r="A3174" s="10">
        <v>46143</v>
      </c>
      <c r="B3174" s="9" t="s">
        <v>14</v>
      </c>
      <c r="C3174" t="s">
        <v>29</v>
      </c>
      <c r="D3174" s="9">
        <v>19793</v>
      </c>
      <c r="E3174" s="5" t="s">
        <v>611</v>
      </c>
      <c r="F3174" t="s">
        <v>39</v>
      </c>
      <c r="G3174">
        <v>1374</v>
      </c>
      <c r="H3174">
        <v>537</v>
      </c>
      <c r="I3174" s="8">
        <v>0.39082969432314413</v>
      </c>
      <c r="J3174" s="17">
        <v>0.7</v>
      </c>
      <c r="K3174" s="12">
        <v>13.75</v>
      </c>
      <c r="L3174" s="2">
        <v>149</v>
      </c>
      <c r="M3174" s="15">
        <v>2048.75</v>
      </c>
    </row>
    <row r="3175" spans="1:13" x14ac:dyDescent="0.3">
      <c r="A3175" s="10">
        <v>46143</v>
      </c>
      <c r="B3175" s="9" t="s">
        <v>14</v>
      </c>
      <c r="C3175" t="s">
        <v>29</v>
      </c>
      <c r="D3175" s="9">
        <v>19704</v>
      </c>
      <c r="E3175" s="5" t="s">
        <v>429</v>
      </c>
      <c r="F3175" t="s">
        <v>30</v>
      </c>
      <c r="G3175">
        <v>3347</v>
      </c>
      <c r="H3175">
        <v>1629</v>
      </c>
      <c r="I3175" s="8">
        <v>0.48670451150283839</v>
      </c>
      <c r="J3175" s="17">
        <v>0.7</v>
      </c>
      <c r="K3175" s="12">
        <v>13.75</v>
      </c>
      <c r="L3175" s="2">
        <v>260</v>
      </c>
      <c r="M3175" s="15">
        <v>3575</v>
      </c>
    </row>
    <row r="3176" spans="1:13" x14ac:dyDescent="0.3">
      <c r="A3176" s="10">
        <v>46143</v>
      </c>
      <c r="B3176" s="9" t="s">
        <v>14</v>
      </c>
      <c r="C3176" t="s">
        <v>29</v>
      </c>
      <c r="D3176" s="9">
        <v>19562</v>
      </c>
      <c r="E3176" s="5" t="s">
        <v>431</v>
      </c>
      <c r="F3176" t="s">
        <v>31</v>
      </c>
      <c r="G3176">
        <v>1801</v>
      </c>
      <c r="H3176">
        <v>870</v>
      </c>
      <c r="I3176" s="8">
        <v>0.48306496390893949</v>
      </c>
      <c r="J3176" s="17">
        <v>0.7</v>
      </c>
      <c r="K3176" s="12">
        <v>13.75</v>
      </c>
      <c r="L3176" s="2">
        <v>44</v>
      </c>
      <c r="M3176" s="15">
        <v>605</v>
      </c>
    </row>
    <row r="3177" spans="1:13" x14ac:dyDescent="0.3">
      <c r="A3177" s="10">
        <v>46143</v>
      </c>
      <c r="B3177" s="9" t="s">
        <v>14</v>
      </c>
      <c r="C3177" t="s">
        <v>29</v>
      </c>
      <c r="D3177" s="9">
        <v>19748</v>
      </c>
      <c r="E3177" s="5" t="s">
        <v>432</v>
      </c>
      <c r="F3177" t="s">
        <v>32</v>
      </c>
      <c r="G3177">
        <v>2291</v>
      </c>
      <c r="H3177">
        <v>1075</v>
      </c>
      <c r="I3177" s="8">
        <v>0.46922741161065035</v>
      </c>
      <c r="J3177" s="17">
        <v>0.7</v>
      </c>
      <c r="K3177" s="12">
        <v>13.75</v>
      </c>
      <c r="L3177" s="2">
        <v>37</v>
      </c>
      <c r="M3177" s="15">
        <v>508.75</v>
      </c>
    </row>
    <row r="3178" spans="1:13" x14ac:dyDescent="0.3">
      <c r="A3178" s="10">
        <v>46143</v>
      </c>
      <c r="B3178" s="9" t="s">
        <v>14</v>
      </c>
      <c r="C3178" t="s">
        <v>29</v>
      </c>
      <c r="D3178" s="9">
        <v>19561</v>
      </c>
      <c r="E3178" s="5" t="s">
        <v>433</v>
      </c>
      <c r="F3178" t="s">
        <v>33</v>
      </c>
      <c r="G3178">
        <v>1630</v>
      </c>
      <c r="H3178">
        <v>732</v>
      </c>
      <c r="I3178" s="8">
        <v>0.44907975460122701</v>
      </c>
      <c r="J3178" s="17">
        <v>0.7</v>
      </c>
      <c r="K3178" s="12">
        <v>13.75</v>
      </c>
      <c r="L3178" s="2">
        <v>25</v>
      </c>
      <c r="M3178" s="15">
        <v>343.75</v>
      </c>
    </row>
    <row r="3179" spans="1:13" x14ac:dyDescent="0.3">
      <c r="A3179" s="10">
        <v>46143</v>
      </c>
      <c r="B3179" s="9" t="s">
        <v>14</v>
      </c>
      <c r="C3179" t="s">
        <v>29</v>
      </c>
      <c r="D3179" s="9">
        <v>19560</v>
      </c>
      <c r="E3179" s="5" t="s">
        <v>435</v>
      </c>
      <c r="F3179" t="s">
        <v>34</v>
      </c>
      <c r="G3179">
        <v>4402</v>
      </c>
      <c r="H3179">
        <v>1947</v>
      </c>
      <c r="I3179" s="8">
        <v>0.44229895502044525</v>
      </c>
      <c r="J3179" s="17">
        <v>0.7</v>
      </c>
      <c r="K3179" s="12">
        <v>13.75</v>
      </c>
      <c r="L3179" s="2">
        <v>92</v>
      </c>
      <c r="M3179" s="15">
        <v>1265</v>
      </c>
    </row>
    <row r="3180" spans="1:13" x14ac:dyDescent="0.3">
      <c r="A3180" s="10">
        <v>46143</v>
      </c>
      <c r="B3180" s="9" t="s">
        <v>14</v>
      </c>
      <c r="C3180" t="s">
        <v>29</v>
      </c>
      <c r="D3180" s="9">
        <v>19780</v>
      </c>
      <c r="E3180" s="5" t="s">
        <v>582</v>
      </c>
      <c r="F3180" t="s">
        <v>35</v>
      </c>
      <c r="G3180">
        <v>1427</v>
      </c>
      <c r="H3180">
        <v>895</v>
      </c>
      <c r="I3180" s="8">
        <v>0.62718990889978976</v>
      </c>
      <c r="J3180" s="17">
        <v>0.7</v>
      </c>
      <c r="K3180" s="12">
        <v>13.75</v>
      </c>
      <c r="L3180" s="2">
        <v>56</v>
      </c>
      <c r="M3180" s="15">
        <v>770</v>
      </c>
    </row>
    <row r="3181" spans="1:13" x14ac:dyDescent="0.3">
      <c r="A3181" s="10">
        <v>46143</v>
      </c>
      <c r="B3181" s="9" t="s">
        <v>14</v>
      </c>
      <c r="C3181" t="s">
        <v>29</v>
      </c>
      <c r="D3181" s="9">
        <v>19720</v>
      </c>
      <c r="E3181" s="5" t="s">
        <v>593</v>
      </c>
      <c r="F3181" t="s">
        <v>36</v>
      </c>
      <c r="G3181">
        <v>1465</v>
      </c>
      <c r="H3181">
        <v>611</v>
      </c>
      <c r="I3181" s="8">
        <v>0.41706484641638225</v>
      </c>
      <c r="J3181" s="17">
        <v>0.7</v>
      </c>
      <c r="K3181" s="12">
        <v>13.75</v>
      </c>
      <c r="L3181" s="2">
        <v>11</v>
      </c>
      <c r="M3181" s="15">
        <v>151.25</v>
      </c>
    </row>
    <row r="3182" spans="1:13" x14ac:dyDescent="0.3">
      <c r="A3182" s="10">
        <v>46143</v>
      </c>
      <c r="B3182" s="9" t="s">
        <v>14</v>
      </c>
      <c r="C3182" t="s">
        <v>29</v>
      </c>
      <c r="D3182" s="9">
        <v>19759</v>
      </c>
      <c r="E3182" s="5" t="s">
        <v>603</v>
      </c>
      <c r="F3182" t="s">
        <v>38</v>
      </c>
      <c r="G3182">
        <v>1372</v>
      </c>
      <c r="H3182">
        <v>539</v>
      </c>
      <c r="I3182" s="8">
        <v>0.39285714285714285</v>
      </c>
      <c r="J3182" s="17">
        <v>0.7</v>
      </c>
      <c r="K3182" s="12">
        <v>13.75</v>
      </c>
      <c r="L3182" s="2">
        <v>152</v>
      </c>
      <c r="M3182" s="15">
        <v>2090</v>
      </c>
    </row>
    <row r="3183" spans="1:13" x14ac:dyDescent="0.3">
      <c r="A3183" s="10">
        <v>46143</v>
      </c>
      <c r="B3183" s="9" t="s">
        <v>40</v>
      </c>
      <c r="C3183" t="s">
        <v>41</v>
      </c>
      <c r="D3183" s="9">
        <v>19787</v>
      </c>
      <c r="E3183" s="5" t="s">
        <v>492</v>
      </c>
      <c r="F3183" t="s">
        <v>42</v>
      </c>
      <c r="G3183">
        <v>1007</v>
      </c>
      <c r="H3183">
        <v>591</v>
      </c>
      <c r="I3183" s="8">
        <v>0.58689175769612711</v>
      </c>
      <c r="J3183" s="17">
        <v>0.7</v>
      </c>
      <c r="K3183" s="12">
        <v>13.75</v>
      </c>
      <c r="L3183" s="2">
        <v>60</v>
      </c>
      <c r="M3183" s="15">
        <v>825</v>
      </c>
    </row>
    <row r="3184" spans="1:13" x14ac:dyDescent="0.3">
      <c r="A3184" s="10">
        <v>46143</v>
      </c>
      <c r="B3184" s="9" t="s">
        <v>40</v>
      </c>
      <c r="C3184" t="s">
        <v>41</v>
      </c>
      <c r="D3184" s="9">
        <v>19868</v>
      </c>
      <c r="E3184" s="5" t="s">
        <v>606</v>
      </c>
      <c r="F3184" t="s">
        <v>43</v>
      </c>
      <c r="G3184">
        <v>1773</v>
      </c>
      <c r="H3184">
        <v>1358</v>
      </c>
      <c r="I3184" s="8">
        <v>0.76593344613649184</v>
      </c>
      <c r="J3184" s="17">
        <v>0.7</v>
      </c>
      <c r="K3184" s="12">
        <v>13.75</v>
      </c>
      <c r="L3184" s="2">
        <v>415</v>
      </c>
      <c r="M3184" s="15">
        <v>5706.25</v>
      </c>
    </row>
    <row r="3185" spans="1:13" x14ac:dyDescent="0.3">
      <c r="A3185" s="10">
        <v>46143</v>
      </c>
      <c r="B3185" s="9" t="s">
        <v>3</v>
      </c>
      <c r="C3185" t="s">
        <v>44</v>
      </c>
      <c r="D3185" s="9">
        <v>19930</v>
      </c>
      <c r="E3185" s="5" t="s">
        <v>533</v>
      </c>
      <c r="F3185" t="s">
        <v>45</v>
      </c>
      <c r="G3185">
        <v>2198</v>
      </c>
      <c r="H3185">
        <v>950</v>
      </c>
      <c r="I3185" s="8">
        <v>0.43221110100090993</v>
      </c>
      <c r="J3185" s="17">
        <v>0.7</v>
      </c>
      <c r="K3185" s="12">
        <v>13.75</v>
      </c>
      <c r="L3185" s="2">
        <v>203</v>
      </c>
      <c r="M3185" s="15">
        <v>2791.25</v>
      </c>
    </row>
    <row r="3186" spans="1:13" x14ac:dyDescent="0.3">
      <c r="A3186" s="10">
        <v>46143</v>
      </c>
      <c r="B3186" s="9" t="s">
        <v>46</v>
      </c>
      <c r="C3186" t="s">
        <v>47</v>
      </c>
      <c r="D3186" s="9">
        <v>19551</v>
      </c>
      <c r="E3186" s="5" t="s">
        <v>384</v>
      </c>
      <c r="F3186" t="s">
        <v>48</v>
      </c>
      <c r="G3186">
        <v>2711</v>
      </c>
      <c r="H3186">
        <v>1083</v>
      </c>
      <c r="I3186" s="8">
        <v>0.39948358539284395</v>
      </c>
      <c r="J3186" s="17">
        <v>0.7</v>
      </c>
      <c r="K3186" s="12">
        <v>13.75</v>
      </c>
      <c r="L3186" s="2">
        <v>71</v>
      </c>
      <c r="M3186" s="15">
        <v>976.25</v>
      </c>
    </row>
    <row r="3187" spans="1:13" x14ac:dyDescent="0.3">
      <c r="A3187" s="10">
        <v>46143</v>
      </c>
      <c r="B3187" s="9" t="s">
        <v>46</v>
      </c>
      <c r="C3187" t="s">
        <v>47</v>
      </c>
      <c r="D3187" s="9">
        <v>19552</v>
      </c>
      <c r="E3187" s="5" t="s">
        <v>393</v>
      </c>
      <c r="F3187" t="s">
        <v>50</v>
      </c>
      <c r="G3187">
        <v>4168</v>
      </c>
      <c r="H3187">
        <v>1729</v>
      </c>
      <c r="I3187" s="8">
        <v>0.41482725527831094</v>
      </c>
      <c r="J3187" s="17">
        <v>0.7</v>
      </c>
      <c r="K3187" s="12">
        <v>13.75</v>
      </c>
      <c r="L3187" s="2">
        <v>268</v>
      </c>
      <c r="M3187" s="15">
        <v>3685</v>
      </c>
    </row>
    <row r="3188" spans="1:13" x14ac:dyDescent="0.3">
      <c r="A3188" s="10">
        <v>46143</v>
      </c>
      <c r="B3188" s="9" t="s">
        <v>46</v>
      </c>
      <c r="C3188" t="s">
        <v>47</v>
      </c>
      <c r="D3188" s="9">
        <v>19693</v>
      </c>
      <c r="E3188" s="5" t="s">
        <v>411</v>
      </c>
      <c r="F3188" t="s">
        <v>51</v>
      </c>
      <c r="G3188">
        <v>2079</v>
      </c>
      <c r="H3188">
        <v>681</v>
      </c>
      <c r="I3188" s="8">
        <v>0.32756132756132755</v>
      </c>
      <c r="J3188" s="17">
        <v>0.7</v>
      </c>
      <c r="K3188" s="12">
        <v>13.75</v>
      </c>
      <c r="L3188" s="2">
        <v>131</v>
      </c>
      <c r="M3188" s="15">
        <v>1801.25</v>
      </c>
    </row>
    <row r="3189" spans="1:13" x14ac:dyDescent="0.3">
      <c r="A3189" s="10">
        <v>46143</v>
      </c>
      <c r="B3189" s="9" t="s">
        <v>46</v>
      </c>
      <c r="C3189" t="s">
        <v>47</v>
      </c>
      <c r="D3189" s="9">
        <v>19722</v>
      </c>
      <c r="E3189" s="5" t="s">
        <v>460</v>
      </c>
      <c r="F3189" t="s">
        <v>52</v>
      </c>
      <c r="G3189">
        <v>1422</v>
      </c>
      <c r="H3189">
        <v>484</v>
      </c>
      <c r="I3189" s="8">
        <v>0.34036568213783402</v>
      </c>
      <c r="J3189" s="17">
        <v>0.7</v>
      </c>
      <c r="K3189" s="12">
        <v>13.75</v>
      </c>
      <c r="L3189" s="2">
        <v>39</v>
      </c>
      <c r="M3189" s="15">
        <v>536.25</v>
      </c>
    </row>
    <row r="3190" spans="1:13" x14ac:dyDescent="0.3">
      <c r="A3190" s="10">
        <v>46143</v>
      </c>
      <c r="B3190" s="9" t="s">
        <v>46</v>
      </c>
      <c r="C3190" t="s">
        <v>47</v>
      </c>
      <c r="D3190" s="9">
        <v>19881</v>
      </c>
      <c r="E3190" s="5" t="s">
        <v>507</v>
      </c>
      <c r="F3190" t="s">
        <v>54</v>
      </c>
      <c r="G3190">
        <v>2740</v>
      </c>
      <c r="H3190">
        <v>1055</v>
      </c>
      <c r="I3190" s="8">
        <v>0.38503649635036497</v>
      </c>
      <c r="J3190" s="17">
        <v>0.7</v>
      </c>
      <c r="K3190" s="12">
        <v>13.75</v>
      </c>
      <c r="L3190" s="2">
        <v>110</v>
      </c>
      <c r="M3190" s="15">
        <v>1512.5</v>
      </c>
    </row>
    <row r="3191" spans="1:13" x14ac:dyDescent="0.3">
      <c r="A3191" s="10">
        <v>46143</v>
      </c>
      <c r="B3191" s="9" t="s">
        <v>46</v>
      </c>
      <c r="C3191" t="s">
        <v>47</v>
      </c>
      <c r="D3191" s="9">
        <v>19898</v>
      </c>
      <c r="E3191" s="5" t="s">
        <v>562</v>
      </c>
      <c r="F3191" t="s">
        <v>56</v>
      </c>
      <c r="G3191">
        <v>1225</v>
      </c>
      <c r="H3191">
        <v>406</v>
      </c>
      <c r="I3191" s="8">
        <v>0.33142857142857141</v>
      </c>
      <c r="J3191" s="17">
        <v>0.7</v>
      </c>
      <c r="K3191" s="12">
        <v>13.75</v>
      </c>
      <c r="L3191" s="2">
        <v>52</v>
      </c>
      <c r="M3191" s="15">
        <v>715</v>
      </c>
    </row>
    <row r="3192" spans="1:13" x14ac:dyDescent="0.3">
      <c r="A3192" s="10">
        <v>46143</v>
      </c>
      <c r="B3192" s="9" t="s">
        <v>46</v>
      </c>
      <c r="C3192" t="s">
        <v>47</v>
      </c>
      <c r="D3192" s="9">
        <v>19755</v>
      </c>
      <c r="E3192" s="5" t="s">
        <v>581</v>
      </c>
      <c r="F3192" t="s">
        <v>53</v>
      </c>
      <c r="G3192">
        <v>478</v>
      </c>
      <c r="H3192">
        <v>186</v>
      </c>
      <c r="I3192" s="8">
        <v>0.38912133891213391</v>
      </c>
      <c r="J3192" s="17">
        <v>0.7</v>
      </c>
      <c r="K3192" s="12">
        <v>13.75</v>
      </c>
      <c r="L3192" s="2">
        <v>28</v>
      </c>
      <c r="M3192" s="15">
        <v>385</v>
      </c>
    </row>
    <row r="3193" spans="1:13" x14ac:dyDescent="0.3">
      <c r="A3193" s="10">
        <v>46143</v>
      </c>
      <c r="B3193" s="9" t="s">
        <v>46</v>
      </c>
      <c r="C3193" t="s">
        <v>47</v>
      </c>
      <c r="D3193" s="9">
        <v>19666</v>
      </c>
      <c r="E3193" s="5" t="s">
        <v>617</v>
      </c>
      <c r="F3193" t="s">
        <v>49</v>
      </c>
      <c r="G3193">
        <v>2375</v>
      </c>
      <c r="H3193">
        <v>931</v>
      </c>
      <c r="I3193" s="8">
        <v>0.39200000000000002</v>
      </c>
      <c r="J3193" s="17">
        <v>0.7</v>
      </c>
      <c r="K3193" s="12">
        <v>13.75</v>
      </c>
      <c r="L3193" s="2">
        <v>116</v>
      </c>
      <c r="M3193" s="15">
        <v>1595</v>
      </c>
    </row>
    <row r="3194" spans="1:13" x14ac:dyDescent="0.3">
      <c r="A3194" s="10">
        <v>46143</v>
      </c>
      <c r="B3194" s="9" t="s">
        <v>15</v>
      </c>
      <c r="C3194" t="s">
        <v>57</v>
      </c>
      <c r="D3194" s="9">
        <v>19657</v>
      </c>
      <c r="E3194" s="5" t="s">
        <v>401</v>
      </c>
      <c r="F3194" t="s">
        <v>58</v>
      </c>
      <c r="G3194">
        <v>1686</v>
      </c>
      <c r="H3194">
        <v>761</v>
      </c>
      <c r="I3194" s="8">
        <v>0.45136417556346381</v>
      </c>
      <c r="J3194" s="17">
        <v>0.7</v>
      </c>
      <c r="K3194" s="12">
        <v>13.75</v>
      </c>
      <c r="L3194" s="2">
        <v>59</v>
      </c>
      <c r="M3194" s="15">
        <v>811.25</v>
      </c>
    </row>
    <row r="3195" spans="1:13" x14ac:dyDescent="0.3">
      <c r="A3195" s="10">
        <v>46143</v>
      </c>
      <c r="B3195" s="9" t="s">
        <v>59</v>
      </c>
      <c r="C3195" t="s">
        <v>311</v>
      </c>
      <c r="D3195" s="9">
        <v>19944</v>
      </c>
      <c r="E3195" s="5" t="s">
        <v>539</v>
      </c>
      <c r="F3195" t="s">
        <v>60</v>
      </c>
      <c r="G3195">
        <v>2504</v>
      </c>
      <c r="H3195">
        <v>1095</v>
      </c>
      <c r="I3195" s="8">
        <v>0.43730031948881787</v>
      </c>
      <c r="J3195" s="17">
        <v>0.7</v>
      </c>
      <c r="K3195" s="12">
        <v>13.75</v>
      </c>
      <c r="L3195" s="2">
        <v>100</v>
      </c>
      <c r="M3195" s="15">
        <v>1375</v>
      </c>
    </row>
    <row r="3196" spans="1:13" x14ac:dyDescent="0.3">
      <c r="A3196" s="10">
        <v>46143</v>
      </c>
      <c r="B3196" s="9" t="s">
        <v>61</v>
      </c>
      <c r="C3196" t="s">
        <v>62</v>
      </c>
      <c r="D3196" s="9">
        <v>19633</v>
      </c>
      <c r="E3196" s="5" t="s">
        <v>625</v>
      </c>
      <c r="F3196" t="s">
        <v>63</v>
      </c>
      <c r="G3196">
        <v>1950</v>
      </c>
      <c r="H3196">
        <v>1222</v>
      </c>
      <c r="I3196" s="8">
        <v>0.62666666666666671</v>
      </c>
      <c r="J3196" s="17">
        <v>0.7</v>
      </c>
      <c r="K3196" s="12">
        <v>13.75</v>
      </c>
      <c r="L3196" s="2">
        <v>127</v>
      </c>
      <c r="M3196" s="15">
        <v>1746.25</v>
      </c>
    </row>
    <row r="3197" spans="1:13" x14ac:dyDescent="0.3">
      <c r="A3197" s="10">
        <v>46143</v>
      </c>
      <c r="B3197" s="9" t="s">
        <v>3</v>
      </c>
      <c r="C3197" t="s">
        <v>64</v>
      </c>
      <c r="D3197" s="9">
        <v>19696</v>
      </c>
      <c r="E3197" s="5" t="s">
        <v>508</v>
      </c>
      <c r="F3197" t="s">
        <v>65</v>
      </c>
      <c r="G3197">
        <v>911</v>
      </c>
      <c r="H3197">
        <v>245</v>
      </c>
      <c r="I3197" s="8">
        <v>0.26893523600439079</v>
      </c>
      <c r="J3197" s="17">
        <v>0.7</v>
      </c>
      <c r="K3197" s="12">
        <v>13.75</v>
      </c>
      <c r="L3197" s="2">
        <v>77</v>
      </c>
      <c r="M3197" s="15">
        <v>1058.75</v>
      </c>
    </row>
    <row r="3198" spans="1:13" x14ac:dyDescent="0.3">
      <c r="A3198" s="10">
        <v>46143</v>
      </c>
      <c r="B3198" s="9" t="s">
        <v>3</v>
      </c>
      <c r="C3198" t="s">
        <v>64</v>
      </c>
      <c r="D3198" s="9">
        <v>19616</v>
      </c>
      <c r="E3198" s="5" t="s">
        <v>563</v>
      </c>
      <c r="F3198" t="s">
        <v>66</v>
      </c>
      <c r="G3198">
        <v>3690</v>
      </c>
      <c r="H3198">
        <v>1326</v>
      </c>
      <c r="I3198" s="8">
        <v>0.35934959349593498</v>
      </c>
      <c r="J3198" s="17">
        <v>0.7</v>
      </c>
      <c r="K3198" s="12">
        <v>13.75</v>
      </c>
      <c r="L3198" s="2">
        <v>320</v>
      </c>
      <c r="M3198" s="15">
        <v>4400</v>
      </c>
    </row>
    <row r="3199" spans="1:13" x14ac:dyDescent="0.3">
      <c r="A3199" s="10">
        <v>46143</v>
      </c>
      <c r="B3199" s="9" t="s">
        <v>3</v>
      </c>
      <c r="C3199" t="s">
        <v>64</v>
      </c>
      <c r="D3199" s="9">
        <v>19688</v>
      </c>
      <c r="E3199" s="5" t="s">
        <v>564</v>
      </c>
      <c r="F3199" t="s">
        <v>67</v>
      </c>
      <c r="G3199">
        <v>2034</v>
      </c>
      <c r="H3199">
        <v>713</v>
      </c>
      <c r="I3199" s="8">
        <v>0.3505408062930187</v>
      </c>
      <c r="J3199" s="17">
        <v>0.7</v>
      </c>
      <c r="K3199" s="12">
        <v>13.75</v>
      </c>
      <c r="L3199" s="2">
        <v>72</v>
      </c>
      <c r="M3199" s="15">
        <v>990</v>
      </c>
    </row>
    <row r="3200" spans="1:13" x14ac:dyDescent="0.3">
      <c r="A3200" s="10">
        <v>46143</v>
      </c>
      <c r="B3200" s="9" t="s">
        <v>68</v>
      </c>
      <c r="C3200" t="s">
        <v>69</v>
      </c>
      <c r="D3200" s="9">
        <v>19602</v>
      </c>
      <c r="E3200" s="5" t="s">
        <v>570</v>
      </c>
      <c r="F3200" t="s">
        <v>70</v>
      </c>
      <c r="G3200">
        <v>313</v>
      </c>
      <c r="H3200">
        <v>67</v>
      </c>
      <c r="I3200" s="8">
        <v>0.21405750798722045</v>
      </c>
      <c r="J3200" s="17">
        <v>0.7</v>
      </c>
      <c r="K3200" s="12">
        <v>13.75</v>
      </c>
      <c r="L3200" s="2">
        <v>5</v>
      </c>
      <c r="M3200" s="15">
        <v>68.75</v>
      </c>
    </row>
    <row r="3201" spans="1:13" x14ac:dyDescent="0.3">
      <c r="A3201" s="10">
        <v>46143</v>
      </c>
      <c r="B3201" s="9" t="s">
        <v>71</v>
      </c>
      <c r="C3201" t="s">
        <v>72</v>
      </c>
      <c r="D3201" s="9">
        <v>19883</v>
      </c>
      <c r="E3201" s="5" t="s">
        <v>509</v>
      </c>
      <c r="F3201" t="s">
        <v>73</v>
      </c>
      <c r="G3201">
        <v>1832</v>
      </c>
      <c r="H3201">
        <v>651</v>
      </c>
      <c r="I3201" s="8">
        <v>0.35534934497816595</v>
      </c>
      <c r="J3201" s="17">
        <v>0.7</v>
      </c>
      <c r="K3201" s="12">
        <v>13.75</v>
      </c>
      <c r="L3201" s="2">
        <v>136</v>
      </c>
      <c r="M3201" s="15">
        <v>1870</v>
      </c>
    </row>
    <row r="3202" spans="1:13" x14ac:dyDescent="0.3">
      <c r="A3202" s="10">
        <v>46143</v>
      </c>
      <c r="B3202" s="9" t="s">
        <v>74</v>
      </c>
      <c r="C3202" t="s">
        <v>75</v>
      </c>
      <c r="D3202" s="9">
        <v>19798</v>
      </c>
      <c r="E3202" s="5" t="s">
        <v>556</v>
      </c>
      <c r="F3202" t="s">
        <v>76</v>
      </c>
      <c r="G3202">
        <v>3761</v>
      </c>
      <c r="H3202">
        <v>1704</v>
      </c>
      <c r="I3202" s="8">
        <v>0.45307099175751131</v>
      </c>
      <c r="J3202" s="17">
        <v>0.7</v>
      </c>
      <c r="K3202" s="12">
        <v>13.75</v>
      </c>
      <c r="L3202" s="2">
        <v>309</v>
      </c>
      <c r="M3202" s="15">
        <v>4248.75</v>
      </c>
    </row>
    <row r="3203" spans="1:13" x14ac:dyDescent="0.3">
      <c r="A3203" s="10">
        <v>46143</v>
      </c>
      <c r="B3203" s="9" t="s">
        <v>14</v>
      </c>
      <c r="C3203" t="s">
        <v>325</v>
      </c>
      <c r="D3203" s="9">
        <v>19961</v>
      </c>
      <c r="E3203" s="5" t="s">
        <v>622</v>
      </c>
      <c r="F3203" t="s">
        <v>326</v>
      </c>
      <c r="G3203">
        <v>1207</v>
      </c>
      <c r="H3203">
        <v>548</v>
      </c>
      <c r="I3203" s="8">
        <v>0.45401822700911348</v>
      </c>
      <c r="J3203" s="17">
        <v>0.7</v>
      </c>
      <c r="K3203" s="12">
        <v>13.75</v>
      </c>
      <c r="L3203" s="2">
        <v>44</v>
      </c>
      <c r="M3203" s="15">
        <v>605</v>
      </c>
    </row>
    <row r="3204" spans="1:13" x14ac:dyDescent="0.3">
      <c r="A3204" s="10">
        <v>46143</v>
      </c>
      <c r="B3204" s="9" t="s">
        <v>78</v>
      </c>
      <c r="C3204" t="s">
        <v>79</v>
      </c>
      <c r="D3204" s="9">
        <v>19730</v>
      </c>
      <c r="E3204" s="5" t="s">
        <v>413</v>
      </c>
      <c r="F3204" t="s">
        <v>80</v>
      </c>
      <c r="G3204">
        <v>3074</v>
      </c>
      <c r="H3204">
        <v>1234</v>
      </c>
      <c r="I3204" s="8">
        <v>0.40143135979180222</v>
      </c>
      <c r="J3204" s="17">
        <v>0.7</v>
      </c>
      <c r="K3204" s="12">
        <v>13.75</v>
      </c>
      <c r="L3204" s="2">
        <v>351</v>
      </c>
      <c r="M3204" s="15">
        <v>4826.25</v>
      </c>
    </row>
    <row r="3205" spans="1:13" x14ac:dyDescent="0.3">
      <c r="A3205" s="10">
        <v>46143</v>
      </c>
      <c r="B3205" s="9" t="s">
        <v>78</v>
      </c>
      <c r="C3205" t="s">
        <v>79</v>
      </c>
      <c r="D3205" s="9">
        <v>19794</v>
      </c>
      <c r="E3205" s="5" t="s">
        <v>414</v>
      </c>
      <c r="F3205" t="s">
        <v>81</v>
      </c>
      <c r="G3205">
        <v>373</v>
      </c>
      <c r="H3205">
        <v>136</v>
      </c>
      <c r="I3205" s="8">
        <v>0.36461126005361932</v>
      </c>
      <c r="J3205" s="17">
        <v>0.7</v>
      </c>
      <c r="K3205" s="12">
        <v>13.75</v>
      </c>
      <c r="L3205" s="2">
        <v>27</v>
      </c>
      <c r="M3205" s="15">
        <v>371.25</v>
      </c>
    </row>
    <row r="3206" spans="1:13" x14ac:dyDescent="0.3">
      <c r="A3206" s="10">
        <v>46143</v>
      </c>
      <c r="B3206" s="9" t="s">
        <v>82</v>
      </c>
      <c r="C3206" t="s">
        <v>83</v>
      </c>
      <c r="D3206" s="9">
        <v>19545</v>
      </c>
      <c r="E3206" s="5" t="s">
        <v>478</v>
      </c>
      <c r="F3206" t="s">
        <v>84</v>
      </c>
      <c r="G3206">
        <v>1885</v>
      </c>
      <c r="H3206">
        <v>608</v>
      </c>
      <c r="I3206" s="8">
        <v>0.32254641909814324</v>
      </c>
      <c r="J3206" s="17">
        <v>0.7</v>
      </c>
      <c r="K3206" s="12">
        <v>13.75</v>
      </c>
      <c r="L3206" s="2">
        <v>164</v>
      </c>
      <c r="M3206" s="15">
        <v>2255</v>
      </c>
    </row>
    <row r="3207" spans="1:13" x14ac:dyDescent="0.3">
      <c r="A3207" s="10">
        <v>46143</v>
      </c>
      <c r="B3207" s="9" t="s">
        <v>82</v>
      </c>
      <c r="C3207" t="s">
        <v>83</v>
      </c>
      <c r="D3207" s="9">
        <v>19546</v>
      </c>
      <c r="E3207" s="5" t="s">
        <v>479</v>
      </c>
      <c r="F3207" t="s">
        <v>85</v>
      </c>
      <c r="G3207">
        <v>1947</v>
      </c>
      <c r="H3207">
        <v>690</v>
      </c>
      <c r="I3207" s="8">
        <v>0.3543913713405239</v>
      </c>
      <c r="J3207" s="17">
        <v>0.7</v>
      </c>
      <c r="K3207" s="12">
        <v>13.75</v>
      </c>
      <c r="L3207" s="2">
        <v>153</v>
      </c>
      <c r="M3207" s="15">
        <v>2103.75</v>
      </c>
    </row>
    <row r="3208" spans="1:13" x14ac:dyDescent="0.3">
      <c r="A3208" s="10">
        <v>46143</v>
      </c>
      <c r="B3208" s="9" t="s">
        <v>82</v>
      </c>
      <c r="C3208" t="s">
        <v>83</v>
      </c>
      <c r="D3208" s="9">
        <v>19547</v>
      </c>
      <c r="E3208" s="5" t="s">
        <v>618</v>
      </c>
      <c r="F3208" t="s">
        <v>87</v>
      </c>
      <c r="G3208">
        <v>1057</v>
      </c>
      <c r="H3208">
        <v>325</v>
      </c>
      <c r="I3208" s="8">
        <v>0.30747398297067169</v>
      </c>
      <c r="J3208" s="17">
        <v>0.7</v>
      </c>
      <c r="K3208" s="12">
        <v>13.75</v>
      </c>
      <c r="L3208" s="2">
        <v>21</v>
      </c>
      <c r="M3208" s="15">
        <v>288.75</v>
      </c>
    </row>
    <row r="3209" spans="1:13" x14ac:dyDescent="0.3">
      <c r="A3209" s="10">
        <v>46143</v>
      </c>
      <c r="B3209" s="9" t="s">
        <v>82</v>
      </c>
      <c r="C3209" t="s">
        <v>83</v>
      </c>
      <c r="D3209" s="9">
        <v>19936</v>
      </c>
      <c r="E3209" s="5" t="s">
        <v>619</v>
      </c>
      <c r="F3209" t="s">
        <v>86</v>
      </c>
      <c r="G3209">
        <v>908</v>
      </c>
      <c r="H3209">
        <v>187</v>
      </c>
      <c r="I3209" s="8">
        <v>0.20594713656387664</v>
      </c>
      <c r="J3209" s="17">
        <v>0.7</v>
      </c>
      <c r="K3209" s="12">
        <v>13.75</v>
      </c>
      <c r="L3209" s="2">
        <v>98</v>
      </c>
      <c r="M3209" s="15">
        <v>1347.5</v>
      </c>
    </row>
    <row r="3210" spans="1:13" x14ac:dyDescent="0.3">
      <c r="A3210" s="10">
        <v>46143</v>
      </c>
      <c r="B3210" s="9" t="s">
        <v>15</v>
      </c>
      <c r="C3210" t="s">
        <v>312</v>
      </c>
      <c r="D3210" s="9">
        <v>19687</v>
      </c>
      <c r="E3210" s="5" t="s">
        <v>488</v>
      </c>
      <c r="F3210" t="s">
        <v>88</v>
      </c>
      <c r="G3210">
        <v>2262</v>
      </c>
      <c r="H3210">
        <v>1663</v>
      </c>
      <c r="I3210" s="8">
        <v>0.73519009725906281</v>
      </c>
      <c r="J3210" s="17">
        <v>0.7</v>
      </c>
      <c r="K3210" s="12">
        <v>13.75</v>
      </c>
      <c r="L3210" s="2">
        <v>220</v>
      </c>
      <c r="M3210" s="15">
        <v>3025</v>
      </c>
    </row>
    <row r="3211" spans="1:13" x14ac:dyDescent="0.3">
      <c r="A3211" s="10">
        <v>46143</v>
      </c>
      <c r="B3211" s="9" t="s">
        <v>89</v>
      </c>
      <c r="C3211" t="s">
        <v>313</v>
      </c>
      <c r="D3211" s="9">
        <v>19735</v>
      </c>
      <c r="E3211" s="5" t="s">
        <v>471</v>
      </c>
      <c r="F3211" t="s">
        <v>90</v>
      </c>
      <c r="G3211">
        <v>470</v>
      </c>
      <c r="H3211">
        <v>171</v>
      </c>
      <c r="I3211" s="8">
        <v>0.36382978723404258</v>
      </c>
      <c r="J3211" s="17">
        <v>0.7</v>
      </c>
      <c r="K3211" s="12">
        <v>13.75</v>
      </c>
      <c r="L3211" s="2">
        <v>37</v>
      </c>
      <c r="M3211" s="15">
        <v>508.75</v>
      </c>
    </row>
    <row r="3212" spans="1:13" x14ac:dyDescent="0.3">
      <c r="A3212" s="10">
        <v>46143</v>
      </c>
      <c r="B3212" s="9" t="s">
        <v>89</v>
      </c>
      <c r="C3212" t="s">
        <v>313</v>
      </c>
      <c r="D3212" s="9">
        <v>19607</v>
      </c>
      <c r="E3212" s="5" t="s">
        <v>472</v>
      </c>
      <c r="F3212" t="s">
        <v>91</v>
      </c>
      <c r="G3212">
        <v>1949</v>
      </c>
      <c r="H3212">
        <v>742</v>
      </c>
      <c r="I3212" s="8">
        <v>0.38070805541303232</v>
      </c>
      <c r="J3212" s="17">
        <v>0.7</v>
      </c>
      <c r="K3212" s="12">
        <v>13.75</v>
      </c>
      <c r="L3212" s="2">
        <v>54</v>
      </c>
      <c r="M3212" s="15">
        <v>742.5</v>
      </c>
    </row>
    <row r="3213" spans="1:13" x14ac:dyDescent="0.3">
      <c r="A3213" s="10">
        <v>46143</v>
      </c>
      <c r="B3213" s="9" t="s">
        <v>89</v>
      </c>
      <c r="C3213" t="s">
        <v>313</v>
      </c>
      <c r="D3213" s="9">
        <v>19642</v>
      </c>
      <c r="E3213" s="5" t="s">
        <v>473</v>
      </c>
      <c r="F3213" t="s">
        <v>92</v>
      </c>
      <c r="G3213">
        <v>1596</v>
      </c>
      <c r="H3213">
        <v>664</v>
      </c>
      <c r="I3213" s="8">
        <v>0.41604010025062654</v>
      </c>
      <c r="J3213" s="17">
        <v>0.7</v>
      </c>
      <c r="K3213" s="12">
        <v>13.75</v>
      </c>
      <c r="L3213" s="2">
        <v>64</v>
      </c>
      <c r="M3213" s="15">
        <v>880</v>
      </c>
    </row>
    <row r="3214" spans="1:13" x14ac:dyDescent="0.3">
      <c r="A3214" s="10">
        <v>46143</v>
      </c>
      <c r="B3214" s="9" t="s">
        <v>89</v>
      </c>
      <c r="C3214" t="s">
        <v>313</v>
      </c>
      <c r="D3214" s="9">
        <v>19725</v>
      </c>
      <c r="E3214" s="5" t="s">
        <v>474</v>
      </c>
      <c r="F3214" t="s">
        <v>93</v>
      </c>
      <c r="G3214">
        <v>1485</v>
      </c>
      <c r="H3214">
        <v>661</v>
      </c>
      <c r="I3214" s="8">
        <v>0.44511784511784513</v>
      </c>
      <c r="J3214" s="17">
        <v>0.7</v>
      </c>
      <c r="K3214" s="12">
        <v>13.75</v>
      </c>
      <c r="L3214" s="2">
        <v>58</v>
      </c>
      <c r="M3214" s="15">
        <v>797.5</v>
      </c>
    </row>
    <row r="3215" spans="1:13" x14ac:dyDescent="0.3">
      <c r="A3215" s="10">
        <v>46143</v>
      </c>
      <c r="B3215" s="9" t="s">
        <v>89</v>
      </c>
      <c r="C3215" t="s">
        <v>313</v>
      </c>
      <c r="D3215" s="9">
        <v>19902</v>
      </c>
      <c r="E3215" s="5" t="s">
        <v>475</v>
      </c>
      <c r="F3215" t="s">
        <v>94</v>
      </c>
      <c r="G3215">
        <v>2032</v>
      </c>
      <c r="H3215">
        <v>965</v>
      </c>
      <c r="I3215" s="8">
        <v>0.4749015748031496</v>
      </c>
      <c r="J3215" s="17">
        <v>0.7</v>
      </c>
      <c r="K3215" s="12">
        <v>13.75</v>
      </c>
      <c r="L3215" s="2">
        <v>92</v>
      </c>
      <c r="M3215" s="15">
        <v>1265</v>
      </c>
    </row>
    <row r="3216" spans="1:13" x14ac:dyDescent="0.3">
      <c r="A3216" s="10">
        <v>46143</v>
      </c>
      <c r="B3216" s="9" t="s">
        <v>89</v>
      </c>
      <c r="C3216" t="s">
        <v>313</v>
      </c>
      <c r="D3216" s="9">
        <v>19903</v>
      </c>
      <c r="E3216" s="5" t="s">
        <v>476</v>
      </c>
      <c r="F3216" t="s">
        <v>95</v>
      </c>
      <c r="G3216">
        <v>2303</v>
      </c>
      <c r="H3216">
        <v>1425</v>
      </c>
      <c r="I3216" s="8">
        <v>0.61875814155449416</v>
      </c>
      <c r="J3216" s="17">
        <v>0.7</v>
      </c>
      <c r="K3216" s="12">
        <v>13.75</v>
      </c>
      <c r="L3216" s="2">
        <v>69</v>
      </c>
      <c r="M3216" s="15">
        <v>948.75</v>
      </c>
    </row>
    <row r="3217" spans="1:13" x14ac:dyDescent="0.3">
      <c r="A3217" s="10">
        <v>46143</v>
      </c>
      <c r="B3217" s="9" t="s">
        <v>82</v>
      </c>
      <c r="C3217" t="s">
        <v>314</v>
      </c>
      <c r="D3217" s="9">
        <v>19772</v>
      </c>
      <c r="E3217" s="5" t="s">
        <v>613</v>
      </c>
      <c r="F3217" t="s">
        <v>96</v>
      </c>
      <c r="G3217">
        <v>1073</v>
      </c>
      <c r="H3217">
        <v>610</v>
      </c>
      <c r="I3217" s="8">
        <v>0.56849953401677544</v>
      </c>
      <c r="J3217" s="17">
        <v>0.7</v>
      </c>
      <c r="K3217" s="12">
        <v>13.75</v>
      </c>
      <c r="L3217" s="2">
        <v>92</v>
      </c>
      <c r="M3217" s="15">
        <v>1265</v>
      </c>
    </row>
    <row r="3218" spans="1:13" x14ac:dyDescent="0.3">
      <c r="A3218" s="10">
        <v>46143</v>
      </c>
      <c r="B3218" s="9" t="s">
        <v>74</v>
      </c>
      <c r="C3218" t="s">
        <v>97</v>
      </c>
      <c r="D3218" s="9">
        <v>19911</v>
      </c>
      <c r="E3218" s="5" t="s">
        <v>522</v>
      </c>
      <c r="F3218" t="s">
        <v>98</v>
      </c>
      <c r="G3218">
        <v>2243</v>
      </c>
      <c r="H3218">
        <v>1140</v>
      </c>
      <c r="I3218" s="8">
        <v>0.50824788230049045</v>
      </c>
      <c r="J3218" s="17">
        <v>0.7</v>
      </c>
      <c r="K3218" s="12">
        <v>13.75</v>
      </c>
      <c r="L3218" s="2">
        <v>279</v>
      </c>
      <c r="M3218" s="15">
        <v>3836.25</v>
      </c>
    </row>
    <row r="3219" spans="1:13" x14ac:dyDescent="0.3">
      <c r="A3219" s="10">
        <v>46143</v>
      </c>
      <c r="B3219" s="9" t="s">
        <v>7</v>
      </c>
      <c r="C3219" t="s">
        <v>99</v>
      </c>
      <c r="D3219" s="9">
        <v>19691</v>
      </c>
      <c r="E3219" s="5" t="s">
        <v>415</v>
      </c>
      <c r="F3219" t="s">
        <v>100</v>
      </c>
      <c r="G3219">
        <v>2175</v>
      </c>
      <c r="H3219">
        <v>1021</v>
      </c>
      <c r="I3219" s="8">
        <v>0.46942528735632183</v>
      </c>
      <c r="J3219" s="17">
        <v>0.7</v>
      </c>
      <c r="K3219" s="12">
        <v>13.75</v>
      </c>
      <c r="L3219" s="2">
        <v>39</v>
      </c>
      <c r="M3219" s="15">
        <v>536.25</v>
      </c>
    </row>
    <row r="3220" spans="1:13" x14ac:dyDescent="0.3">
      <c r="A3220" s="10">
        <v>46143</v>
      </c>
      <c r="B3220" s="9" t="s">
        <v>7</v>
      </c>
      <c r="C3220" t="s">
        <v>99</v>
      </c>
      <c r="D3220" s="9">
        <v>19754</v>
      </c>
      <c r="E3220" s="5" t="s">
        <v>484</v>
      </c>
      <c r="F3220" t="s">
        <v>101</v>
      </c>
      <c r="G3220">
        <v>2879</v>
      </c>
      <c r="H3220">
        <v>1160</v>
      </c>
      <c r="I3220" s="8">
        <v>0.40291767974991316</v>
      </c>
      <c r="J3220" s="17">
        <v>0.7</v>
      </c>
      <c r="K3220" s="12">
        <v>13.75</v>
      </c>
      <c r="L3220" s="2">
        <v>99</v>
      </c>
      <c r="M3220" s="15">
        <v>1361.25</v>
      </c>
    </row>
    <row r="3221" spans="1:13" x14ac:dyDescent="0.3">
      <c r="A3221" s="10">
        <v>46143</v>
      </c>
      <c r="B3221" s="9" t="s">
        <v>46</v>
      </c>
      <c r="C3221" t="s">
        <v>102</v>
      </c>
      <c r="D3221" s="9">
        <v>19553</v>
      </c>
      <c r="E3221" s="5" t="s">
        <v>543</v>
      </c>
      <c r="F3221" t="s">
        <v>103</v>
      </c>
      <c r="G3221">
        <v>2118</v>
      </c>
      <c r="H3221">
        <v>816</v>
      </c>
      <c r="I3221" s="8">
        <v>0.38526912181303113</v>
      </c>
      <c r="J3221" s="17">
        <v>0.7</v>
      </c>
      <c r="K3221" s="12">
        <v>13.75</v>
      </c>
      <c r="L3221" s="2">
        <v>122</v>
      </c>
      <c r="M3221" s="15">
        <v>1677.5</v>
      </c>
    </row>
    <row r="3222" spans="1:13" x14ac:dyDescent="0.3">
      <c r="A3222" s="10">
        <v>46143</v>
      </c>
      <c r="B3222" s="9" t="s">
        <v>59</v>
      </c>
      <c r="C3222" t="s">
        <v>104</v>
      </c>
      <c r="D3222" s="9">
        <v>19872</v>
      </c>
      <c r="E3222" s="5" t="s">
        <v>572</v>
      </c>
      <c r="F3222" t="s">
        <v>105</v>
      </c>
      <c r="G3222">
        <v>2171</v>
      </c>
      <c r="H3222">
        <v>1025</v>
      </c>
      <c r="I3222" s="8">
        <v>0.47213265776140029</v>
      </c>
      <c r="J3222" s="17">
        <v>0.7</v>
      </c>
      <c r="K3222" s="12">
        <v>13.75</v>
      </c>
      <c r="L3222" s="2">
        <v>110</v>
      </c>
      <c r="M3222" s="15">
        <v>1512.5</v>
      </c>
    </row>
    <row r="3223" spans="1:13" x14ac:dyDescent="0.3">
      <c r="A3223" s="10">
        <v>46143</v>
      </c>
      <c r="B3223" s="9" t="s">
        <v>82</v>
      </c>
      <c r="C3223" t="s">
        <v>106</v>
      </c>
      <c r="D3223" s="9">
        <v>19927</v>
      </c>
      <c r="E3223" s="5" t="s">
        <v>531</v>
      </c>
      <c r="F3223" t="s">
        <v>107</v>
      </c>
      <c r="G3223">
        <v>777</v>
      </c>
      <c r="H3223">
        <v>233</v>
      </c>
      <c r="I3223" s="8">
        <v>0.29987129987129985</v>
      </c>
      <c r="J3223" s="17">
        <v>0.7</v>
      </c>
      <c r="K3223" s="12">
        <v>13.75</v>
      </c>
      <c r="L3223" s="2">
        <v>70</v>
      </c>
      <c r="M3223" s="15">
        <v>962.5</v>
      </c>
    </row>
    <row r="3224" spans="1:13" x14ac:dyDescent="0.3">
      <c r="A3224" s="10">
        <v>46143</v>
      </c>
      <c r="B3224" s="9" t="s">
        <v>3</v>
      </c>
      <c r="C3224" t="s">
        <v>108</v>
      </c>
      <c r="D3224" s="9">
        <v>19877</v>
      </c>
      <c r="E3224" s="5" t="s">
        <v>594</v>
      </c>
      <c r="F3224" t="s">
        <v>109</v>
      </c>
      <c r="G3224">
        <v>1663</v>
      </c>
      <c r="H3224">
        <v>681</v>
      </c>
      <c r="I3224" s="8">
        <v>0.40950090198436562</v>
      </c>
      <c r="J3224" s="17">
        <v>0.7</v>
      </c>
      <c r="K3224" s="12">
        <v>13.75</v>
      </c>
      <c r="L3224" s="2">
        <v>90</v>
      </c>
      <c r="M3224" s="15">
        <v>1237.5</v>
      </c>
    </row>
    <row r="3225" spans="1:13" x14ac:dyDescent="0.3">
      <c r="A3225" s="10">
        <v>46143</v>
      </c>
      <c r="B3225" s="9" t="s">
        <v>3</v>
      </c>
      <c r="C3225" t="s">
        <v>110</v>
      </c>
      <c r="D3225" s="9">
        <v>19884</v>
      </c>
      <c r="E3225" s="5" t="s">
        <v>577</v>
      </c>
      <c r="F3225" t="s">
        <v>111</v>
      </c>
      <c r="G3225">
        <v>1558</v>
      </c>
      <c r="H3225">
        <v>504</v>
      </c>
      <c r="I3225" s="8">
        <v>0.32349165596919127</v>
      </c>
      <c r="J3225" s="17">
        <v>0.7</v>
      </c>
      <c r="K3225" s="12">
        <v>13.75</v>
      </c>
      <c r="L3225" s="2">
        <v>100</v>
      </c>
      <c r="M3225" s="15">
        <v>1375</v>
      </c>
    </row>
    <row r="3226" spans="1:13" x14ac:dyDescent="0.3">
      <c r="A3226" s="10">
        <v>46143</v>
      </c>
      <c r="B3226" s="9" t="s">
        <v>14</v>
      </c>
      <c r="C3226" t="s">
        <v>112</v>
      </c>
      <c r="D3226" s="9">
        <v>19951</v>
      </c>
      <c r="E3226" s="5" t="s">
        <v>558</v>
      </c>
      <c r="F3226" t="s">
        <v>113</v>
      </c>
      <c r="G3226">
        <v>1739</v>
      </c>
      <c r="H3226">
        <v>693</v>
      </c>
      <c r="I3226" s="8">
        <v>0.39850488786659</v>
      </c>
      <c r="J3226" s="17">
        <v>0.7</v>
      </c>
      <c r="K3226" s="12">
        <v>13.75</v>
      </c>
      <c r="L3226" s="2">
        <v>54</v>
      </c>
      <c r="M3226" s="15">
        <v>742.5</v>
      </c>
    </row>
    <row r="3227" spans="1:13" x14ac:dyDescent="0.3">
      <c r="A3227" s="10">
        <v>46143</v>
      </c>
      <c r="B3227" s="9" t="s">
        <v>14</v>
      </c>
      <c r="C3227" t="s">
        <v>114</v>
      </c>
      <c r="D3227" s="9">
        <v>19943</v>
      </c>
      <c r="E3227" s="5" t="s">
        <v>551</v>
      </c>
      <c r="F3227" t="s">
        <v>115</v>
      </c>
      <c r="G3227">
        <v>1161</v>
      </c>
      <c r="H3227">
        <v>526</v>
      </c>
      <c r="I3227" s="8">
        <v>0.45305770887166236</v>
      </c>
      <c r="J3227" s="17">
        <v>0.7</v>
      </c>
      <c r="K3227" s="12">
        <v>13.75</v>
      </c>
      <c r="L3227" s="2">
        <v>51</v>
      </c>
      <c r="M3227" s="15">
        <v>701.25</v>
      </c>
    </row>
    <row r="3228" spans="1:13" x14ac:dyDescent="0.3">
      <c r="A3228" s="10">
        <v>46143</v>
      </c>
      <c r="B3228" s="9" t="s">
        <v>74</v>
      </c>
      <c r="C3228" t="s">
        <v>315</v>
      </c>
      <c r="D3228" s="9">
        <v>19624</v>
      </c>
      <c r="E3228" s="5" t="s">
        <v>399</v>
      </c>
      <c r="F3228" t="s">
        <v>116</v>
      </c>
      <c r="G3228">
        <v>1761</v>
      </c>
      <c r="H3228">
        <v>696</v>
      </c>
      <c r="I3228" s="8">
        <v>0.39522998296422485</v>
      </c>
      <c r="J3228" s="17">
        <v>0.7</v>
      </c>
      <c r="K3228" s="12">
        <v>13.75</v>
      </c>
      <c r="L3228" s="2">
        <v>62</v>
      </c>
      <c r="M3228" s="15">
        <v>852.5</v>
      </c>
    </row>
    <row r="3229" spans="1:13" x14ac:dyDescent="0.3">
      <c r="A3229" s="10">
        <v>46143</v>
      </c>
      <c r="B3229" s="9" t="s">
        <v>61</v>
      </c>
      <c r="C3229" t="s">
        <v>328</v>
      </c>
      <c r="D3229" s="9">
        <v>19706</v>
      </c>
      <c r="E3229" s="5" t="s">
        <v>604</v>
      </c>
      <c r="F3229" t="s">
        <v>77</v>
      </c>
      <c r="G3229">
        <v>2372</v>
      </c>
      <c r="H3229">
        <v>1051</v>
      </c>
      <c r="I3229" s="8">
        <v>0.44308600337268128</v>
      </c>
      <c r="J3229" s="17">
        <v>0.7</v>
      </c>
      <c r="K3229" s="12">
        <v>13.75</v>
      </c>
      <c r="L3229" s="2">
        <v>185</v>
      </c>
      <c r="M3229" s="15">
        <v>2543.75</v>
      </c>
    </row>
    <row r="3230" spans="1:13" x14ac:dyDescent="0.3">
      <c r="A3230" s="10">
        <v>46143</v>
      </c>
      <c r="B3230" s="9" t="s">
        <v>14</v>
      </c>
      <c r="C3230" t="s">
        <v>316</v>
      </c>
      <c r="D3230" s="9">
        <v>19615</v>
      </c>
      <c r="E3230" s="5" t="s">
        <v>560</v>
      </c>
      <c r="F3230" t="s">
        <v>117</v>
      </c>
      <c r="G3230">
        <v>2798</v>
      </c>
      <c r="H3230">
        <v>972</v>
      </c>
      <c r="I3230" s="8">
        <v>0.34739099356683345</v>
      </c>
      <c r="J3230" s="17">
        <v>0.7</v>
      </c>
      <c r="K3230" s="12">
        <v>13.75</v>
      </c>
      <c r="L3230" s="2">
        <v>238</v>
      </c>
      <c r="M3230" s="15">
        <v>3272.5</v>
      </c>
    </row>
    <row r="3231" spans="1:13" x14ac:dyDescent="0.3">
      <c r="A3231" s="10">
        <v>46143</v>
      </c>
      <c r="B3231" s="9" t="s">
        <v>71</v>
      </c>
      <c r="C3231" t="s">
        <v>308</v>
      </c>
      <c r="D3231" s="9">
        <v>19956</v>
      </c>
      <c r="E3231" s="5" t="s">
        <v>614</v>
      </c>
      <c r="F3231" t="s">
        <v>309</v>
      </c>
      <c r="G3231">
        <v>853</v>
      </c>
      <c r="H3231">
        <v>331</v>
      </c>
      <c r="I3231" s="8">
        <v>0.38804220398593198</v>
      </c>
      <c r="J3231" s="17">
        <v>0.7</v>
      </c>
      <c r="K3231" s="12">
        <v>13.75</v>
      </c>
      <c r="L3231" s="2">
        <v>87</v>
      </c>
      <c r="M3231" s="15">
        <v>1196.25</v>
      </c>
    </row>
    <row r="3232" spans="1:13" x14ac:dyDescent="0.3">
      <c r="A3232" s="10">
        <v>46143</v>
      </c>
      <c r="B3232" s="9" t="s">
        <v>21</v>
      </c>
      <c r="C3232" t="s">
        <v>317</v>
      </c>
      <c r="D3232" s="9">
        <v>19738</v>
      </c>
      <c r="E3232" s="5" t="s">
        <v>466</v>
      </c>
      <c r="F3232" t="s">
        <v>118</v>
      </c>
      <c r="G3232">
        <v>4117</v>
      </c>
      <c r="H3232">
        <v>2163</v>
      </c>
      <c r="I3232" s="8">
        <v>0.52538256011658979</v>
      </c>
      <c r="J3232" s="17">
        <v>0.7</v>
      </c>
      <c r="K3232" s="12">
        <v>13.75</v>
      </c>
      <c r="L3232" s="2">
        <v>170</v>
      </c>
      <c r="M3232" s="15">
        <v>2337.5</v>
      </c>
    </row>
    <row r="3233" spans="1:13" x14ac:dyDescent="0.3">
      <c r="A3233" s="10">
        <v>46143</v>
      </c>
      <c r="B3233" s="9" t="s">
        <v>82</v>
      </c>
      <c r="C3233" t="s">
        <v>119</v>
      </c>
      <c r="D3233" s="9">
        <v>19661</v>
      </c>
      <c r="E3233" s="5" t="s">
        <v>403</v>
      </c>
      <c r="F3233" t="s">
        <v>120</v>
      </c>
      <c r="G3233">
        <v>2457</v>
      </c>
      <c r="H3233">
        <v>726</v>
      </c>
      <c r="I3233" s="8">
        <v>0.29548229548229549</v>
      </c>
      <c r="J3233" s="17">
        <v>0.7</v>
      </c>
      <c r="K3233" s="12">
        <v>13.75</v>
      </c>
      <c r="L3233" s="2">
        <v>228</v>
      </c>
      <c r="M3233" s="15">
        <v>3135</v>
      </c>
    </row>
    <row r="3234" spans="1:13" x14ac:dyDescent="0.3">
      <c r="A3234" s="10">
        <v>46143</v>
      </c>
      <c r="B3234" s="9" t="s">
        <v>15</v>
      </c>
      <c r="C3234" t="s">
        <v>332</v>
      </c>
      <c r="D3234" s="9">
        <v>19679</v>
      </c>
      <c r="E3234" s="5" t="s">
        <v>571</v>
      </c>
      <c r="F3234" t="s">
        <v>333</v>
      </c>
      <c r="G3234">
        <v>2104</v>
      </c>
      <c r="H3234">
        <v>1000</v>
      </c>
      <c r="I3234" s="8">
        <v>0.47528517110266161</v>
      </c>
      <c r="J3234" s="17">
        <v>0.7</v>
      </c>
      <c r="K3234" s="12">
        <v>13.75</v>
      </c>
      <c r="L3234" s="2">
        <v>121</v>
      </c>
      <c r="M3234" s="15">
        <v>1663.75</v>
      </c>
    </row>
    <row r="3235" spans="1:13" x14ac:dyDescent="0.3">
      <c r="A3235" s="10">
        <v>46143</v>
      </c>
      <c r="B3235" s="9" t="s">
        <v>123</v>
      </c>
      <c r="C3235" t="s">
        <v>124</v>
      </c>
      <c r="D3235" s="9">
        <v>19945</v>
      </c>
      <c r="E3235" s="5" t="s">
        <v>546</v>
      </c>
      <c r="F3235" t="s">
        <v>125</v>
      </c>
      <c r="G3235">
        <v>1394</v>
      </c>
      <c r="H3235">
        <v>940</v>
      </c>
      <c r="I3235" s="8">
        <v>0.67431850789096126</v>
      </c>
      <c r="J3235" s="17">
        <v>0.7</v>
      </c>
      <c r="K3235" s="12">
        <v>13.75</v>
      </c>
      <c r="L3235" s="2">
        <v>454</v>
      </c>
      <c r="M3235" s="15">
        <v>6242.5</v>
      </c>
    </row>
    <row r="3236" spans="1:13" x14ac:dyDescent="0.3">
      <c r="A3236" s="10">
        <v>46143</v>
      </c>
      <c r="B3236" s="9" t="s">
        <v>126</v>
      </c>
      <c r="C3236" t="s">
        <v>127</v>
      </c>
      <c r="D3236" s="9">
        <v>19623</v>
      </c>
      <c r="E3236" s="5" t="s">
        <v>410</v>
      </c>
      <c r="F3236" t="s">
        <v>128</v>
      </c>
      <c r="G3236">
        <v>1714</v>
      </c>
      <c r="H3236">
        <v>829</v>
      </c>
      <c r="I3236" s="8">
        <v>0.48366394399066509</v>
      </c>
      <c r="J3236" s="17">
        <v>0.7</v>
      </c>
      <c r="K3236" s="12">
        <v>13.75</v>
      </c>
      <c r="L3236" s="2">
        <v>68</v>
      </c>
      <c r="M3236" s="15">
        <v>935</v>
      </c>
    </row>
    <row r="3237" spans="1:13" x14ac:dyDescent="0.3">
      <c r="A3237" s="10">
        <v>46143</v>
      </c>
      <c r="B3237" s="9" t="s">
        <v>129</v>
      </c>
      <c r="C3237" t="s">
        <v>130</v>
      </c>
      <c r="D3237" s="9">
        <v>19742</v>
      </c>
      <c r="E3237" s="5" t="s">
        <v>467</v>
      </c>
      <c r="F3237" t="s">
        <v>131</v>
      </c>
      <c r="G3237">
        <v>1163</v>
      </c>
      <c r="H3237">
        <v>520</v>
      </c>
      <c r="I3237" s="8">
        <v>0.44711951848667242</v>
      </c>
      <c r="J3237" s="17">
        <v>0.7</v>
      </c>
      <c r="K3237" s="12">
        <v>13.75</v>
      </c>
      <c r="L3237" s="2">
        <v>54</v>
      </c>
      <c r="M3237" s="15">
        <v>742.5</v>
      </c>
    </row>
    <row r="3238" spans="1:13" x14ac:dyDescent="0.3">
      <c r="A3238" s="10">
        <v>46143</v>
      </c>
      <c r="B3238" s="9" t="s">
        <v>129</v>
      </c>
      <c r="C3238" t="s">
        <v>130</v>
      </c>
      <c r="D3238" s="9">
        <v>19785</v>
      </c>
      <c r="E3238" s="5" t="s">
        <v>468</v>
      </c>
      <c r="F3238" t="s">
        <v>132</v>
      </c>
      <c r="G3238">
        <v>1556</v>
      </c>
      <c r="H3238">
        <v>765</v>
      </c>
      <c r="I3238" s="8">
        <v>0.4916452442159383</v>
      </c>
      <c r="J3238" s="17">
        <v>0.7</v>
      </c>
      <c r="K3238" s="12">
        <v>13.75</v>
      </c>
      <c r="L3238" s="2">
        <v>52</v>
      </c>
      <c r="M3238" s="15">
        <v>715</v>
      </c>
    </row>
    <row r="3239" spans="1:13" x14ac:dyDescent="0.3">
      <c r="A3239" s="10">
        <v>46143</v>
      </c>
      <c r="B3239" s="9" t="s">
        <v>129</v>
      </c>
      <c r="C3239" t="s">
        <v>130</v>
      </c>
      <c r="D3239" s="9">
        <v>19843</v>
      </c>
      <c r="E3239" s="5" t="s">
        <v>469</v>
      </c>
      <c r="F3239" t="s">
        <v>133</v>
      </c>
      <c r="G3239">
        <v>1141</v>
      </c>
      <c r="H3239">
        <v>522</v>
      </c>
      <c r="I3239" s="8">
        <v>0.45749342681858018</v>
      </c>
      <c r="J3239" s="17">
        <v>0.7</v>
      </c>
      <c r="K3239" s="12">
        <v>13.75</v>
      </c>
      <c r="L3239" s="2">
        <v>44</v>
      </c>
      <c r="M3239" s="15">
        <v>605</v>
      </c>
    </row>
    <row r="3240" spans="1:13" x14ac:dyDescent="0.3">
      <c r="A3240" s="10">
        <v>46143</v>
      </c>
      <c r="B3240" s="9" t="s">
        <v>129</v>
      </c>
      <c r="C3240" t="s">
        <v>130</v>
      </c>
      <c r="D3240" s="9">
        <v>19879</v>
      </c>
      <c r="E3240" s="5" t="s">
        <v>470</v>
      </c>
      <c r="F3240" t="s">
        <v>134</v>
      </c>
      <c r="G3240">
        <v>1280</v>
      </c>
      <c r="H3240">
        <v>660</v>
      </c>
      <c r="I3240" s="8">
        <v>0.515625</v>
      </c>
      <c r="J3240" s="17">
        <v>0.7</v>
      </c>
      <c r="K3240" s="12">
        <v>13.75</v>
      </c>
      <c r="L3240" s="2">
        <v>83</v>
      </c>
      <c r="M3240" s="15">
        <v>1141.25</v>
      </c>
    </row>
    <row r="3241" spans="1:13" x14ac:dyDescent="0.3">
      <c r="A3241" s="10">
        <v>46143</v>
      </c>
      <c r="B3241" s="9" t="s">
        <v>82</v>
      </c>
      <c r="C3241" t="s">
        <v>135</v>
      </c>
      <c r="D3241" s="9">
        <v>19749</v>
      </c>
      <c r="E3241" s="5" t="s">
        <v>477</v>
      </c>
      <c r="F3241" t="s">
        <v>136</v>
      </c>
      <c r="G3241">
        <v>1439</v>
      </c>
      <c r="H3241">
        <v>525</v>
      </c>
      <c r="I3241" s="8">
        <v>0.3648366921473245</v>
      </c>
      <c r="J3241" s="17">
        <v>0.7</v>
      </c>
      <c r="K3241" s="12">
        <v>13.75</v>
      </c>
      <c r="L3241" s="2">
        <v>82</v>
      </c>
      <c r="M3241" s="15">
        <v>1127.5</v>
      </c>
    </row>
    <row r="3242" spans="1:13" x14ac:dyDescent="0.3">
      <c r="A3242" s="10">
        <v>46143</v>
      </c>
      <c r="B3242" s="9" t="s">
        <v>14</v>
      </c>
      <c r="C3242" t="s">
        <v>137</v>
      </c>
      <c r="D3242" s="9">
        <v>19899</v>
      </c>
      <c r="E3242" s="5" t="s">
        <v>515</v>
      </c>
      <c r="F3242" t="s">
        <v>138</v>
      </c>
      <c r="G3242">
        <v>1382</v>
      </c>
      <c r="H3242">
        <v>619</v>
      </c>
      <c r="I3242" s="8">
        <v>0.4479015918958032</v>
      </c>
      <c r="J3242" s="17">
        <v>0.7</v>
      </c>
      <c r="K3242" s="12">
        <v>13.75</v>
      </c>
      <c r="L3242" s="2">
        <v>72</v>
      </c>
      <c r="M3242" s="15">
        <v>990</v>
      </c>
    </row>
    <row r="3243" spans="1:13" x14ac:dyDescent="0.3">
      <c r="A3243" s="10">
        <v>46143</v>
      </c>
      <c r="B3243" s="9" t="s">
        <v>14</v>
      </c>
      <c r="C3243" t="s">
        <v>137</v>
      </c>
      <c r="D3243" s="9">
        <v>19796</v>
      </c>
      <c r="E3243" s="5" t="s">
        <v>516</v>
      </c>
      <c r="F3243" t="s">
        <v>139</v>
      </c>
      <c r="G3243">
        <v>2623</v>
      </c>
      <c r="H3243">
        <v>1298</v>
      </c>
      <c r="I3243" s="8">
        <v>0.49485322150209682</v>
      </c>
      <c r="J3243" s="17">
        <v>0.7</v>
      </c>
      <c r="K3243" s="12">
        <v>13.75</v>
      </c>
      <c r="L3243" s="2">
        <v>192</v>
      </c>
      <c r="M3243" s="15">
        <v>2640</v>
      </c>
    </row>
    <row r="3244" spans="1:13" x14ac:dyDescent="0.3">
      <c r="A3244" s="10">
        <v>46143</v>
      </c>
      <c r="B3244" s="9" t="s">
        <v>140</v>
      </c>
      <c r="C3244" t="s">
        <v>141</v>
      </c>
      <c r="D3244" s="9">
        <v>19940</v>
      </c>
      <c r="E3244" s="5" t="s">
        <v>545</v>
      </c>
      <c r="F3244" t="s">
        <v>142</v>
      </c>
      <c r="G3244">
        <v>2341</v>
      </c>
      <c r="H3244">
        <v>1287</v>
      </c>
      <c r="I3244" s="8">
        <v>0.54976505766766337</v>
      </c>
      <c r="J3244" s="17">
        <v>0.7</v>
      </c>
      <c r="K3244" s="12">
        <v>13.75</v>
      </c>
      <c r="L3244" s="2">
        <v>180</v>
      </c>
      <c r="M3244" s="15">
        <v>2475</v>
      </c>
    </row>
    <row r="3245" spans="1:13" x14ac:dyDescent="0.3">
      <c r="A3245" s="10">
        <v>46143</v>
      </c>
      <c r="B3245" s="9" t="s">
        <v>15</v>
      </c>
      <c r="C3245" t="s">
        <v>143</v>
      </c>
      <c r="D3245" s="9">
        <v>19648</v>
      </c>
      <c r="E3245" s="5" t="s">
        <v>400</v>
      </c>
      <c r="F3245" t="s">
        <v>144</v>
      </c>
      <c r="G3245">
        <v>1936</v>
      </c>
      <c r="H3245">
        <v>536</v>
      </c>
      <c r="I3245" s="8">
        <v>0.27685950413223143</v>
      </c>
      <c r="J3245" s="17">
        <v>0.7</v>
      </c>
      <c r="K3245" s="12">
        <v>13.75</v>
      </c>
      <c r="L3245" s="2">
        <v>141</v>
      </c>
      <c r="M3245" s="15">
        <v>1938.75</v>
      </c>
    </row>
    <row r="3246" spans="1:13" x14ac:dyDescent="0.3">
      <c r="A3246" s="10">
        <v>46143</v>
      </c>
      <c r="B3246" s="9" t="s">
        <v>15</v>
      </c>
      <c r="C3246" t="s">
        <v>145</v>
      </c>
      <c r="D3246" s="9">
        <v>19538</v>
      </c>
      <c r="E3246" s="5" t="s">
        <v>548</v>
      </c>
      <c r="F3246" t="s">
        <v>146</v>
      </c>
      <c r="G3246">
        <v>3106</v>
      </c>
      <c r="H3246">
        <v>1306</v>
      </c>
      <c r="I3246" s="8">
        <v>0.4204764971023825</v>
      </c>
      <c r="J3246" s="17">
        <v>0.7</v>
      </c>
      <c r="K3246" s="12">
        <v>13.75</v>
      </c>
      <c r="L3246" s="2">
        <v>211</v>
      </c>
      <c r="M3246" s="15">
        <v>2901.25</v>
      </c>
    </row>
    <row r="3247" spans="1:13" x14ac:dyDescent="0.3">
      <c r="A3247" s="10">
        <v>46143</v>
      </c>
      <c r="B3247" s="9" t="s">
        <v>15</v>
      </c>
      <c r="C3247" t="s">
        <v>145</v>
      </c>
      <c r="D3247" s="9">
        <v>19513</v>
      </c>
      <c r="E3247" s="5" t="s">
        <v>574</v>
      </c>
      <c r="F3247" t="s">
        <v>147</v>
      </c>
      <c r="G3247">
        <v>3059</v>
      </c>
      <c r="H3247">
        <v>1040</v>
      </c>
      <c r="I3247" s="8">
        <v>0.33998038574697614</v>
      </c>
      <c r="J3247" s="17">
        <v>0.7</v>
      </c>
      <c r="K3247" s="12">
        <v>13.75</v>
      </c>
      <c r="L3247" s="2">
        <v>182</v>
      </c>
      <c r="M3247" s="15">
        <v>2502.5</v>
      </c>
    </row>
    <row r="3248" spans="1:13" x14ac:dyDescent="0.3">
      <c r="A3248" s="10">
        <v>46143</v>
      </c>
      <c r="B3248" s="9" t="s">
        <v>15</v>
      </c>
      <c r="C3248" t="s">
        <v>145</v>
      </c>
      <c r="D3248" s="9">
        <v>19525</v>
      </c>
      <c r="E3248" s="5" t="s">
        <v>575</v>
      </c>
      <c r="F3248" t="s">
        <v>148</v>
      </c>
      <c r="G3248">
        <v>3747</v>
      </c>
      <c r="H3248">
        <v>1418</v>
      </c>
      <c r="I3248" s="8">
        <v>0.37843608219909258</v>
      </c>
      <c r="J3248" s="17">
        <v>0.7</v>
      </c>
      <c r="K3248" s="12">
        <v>13.75</v>
      </c>
      <c r="L3248" s="2">
        <v>124</v>
      </c>
      <c r="M3248" s="15">
        <v>1705</v>
      </c>
    </row>
    <row r="3249" spans="1:13" x14ac:dyDescent="0.3">
      <c r="A3249" s="10">
        <v>46143</v>
      </c>
      <c r="B3249" s="9" t="s">
        <v>15</v>
      </c>
      <c r="C3249" t="s">
        <v>149</v>
      </c>
      <c r="D3249" s="9">
        <v>19746</v>
      </c>
      <c r="E3249" s="5" t="s">
        <v>537</v>
      </c>
      <c r="F3249" t="s">
        <v>150</v>
      </c>
      <c r="G3249">
        <v>2646</v>
      </c>
      <c r="H3249">
        <v>1616</v>
      </c>
      <c r="I3249" s="8">
        <v>0.61073318216175354</v>
      </c>
      <c r="J3249" s="17">
        <v>0.7</v>
      </c>
      <c r="K3249" s="12">
        <v>13.75</v>
      </c>
      <c r="L3249" s="2">
        <v>150</v>
      </c>
      <c r="M3249" s="15">
        <v>2062.5</v>
      </c>
    </row>
    <row r="3250" spans="1:13" x14ac:dyDescent="0.3">
      <c r="A3250" s="10">
        <v>46143</v>
      </c>
      <c r="B3250" s="9" t="s">
        <v>15</v>
      </c>
      <c r="C3250" t="s">
        <v>151</v>
      </c>
      <c r="D3250" s="9">
        <v>19596</v>
      </c>
      <c r="E3250" s="5" t="s">
        <v>385</v>
      </c>
      <c r="F3250" t="s">
        <v>153</v>
      </c>
      <c r="G3250">
        <v>2471</v>
      </c>
      <c r="H3250">
        <v>907</v>
      </c>
      <c r="I3250" s="8">
        <v>0.36705787130716311</v>
      </c>
      <c r="J3250" s="17">
        <v>0.7</v>
      </c>
      <c r="K3250" s="12">
        <v>13.75</v>
      </c>
      <c r="L3250" s="2">
        <v>189</v>
      </c>
      <c r="M3250" s="15">
        <v>2598.75</v>
      </c>
    </row>
    <row r="3251" spans="1:13" x14ac:dyDescent="0.3">
      <c r="A3251" s="10">
        <v>46143</v>
      </c>
      <c r="B3251" s="9" t="s">
        <v>15</v>
      </c>
      <c r="C3251" t="s">
        <v>151</v>
      </c>
      <c r="D3251" s="9">
        <v>19599</v>
      </c>
      <c r="E3251" s="5" t="s">
        <v>607</v>
      </c>
      <c r="F3251" t="s">
        <v>152</v>
      </c>
      <c r="G3251">
        <v>2787</v>
      </c>
      <c r="H3251">
        <v>1307</v>
      </c>
      <c r="I3251" s="8">
        <v>0.46896304269824185</v>
      </c>
      <c r="J3251" s="17">
        <v>0.7</v>
      </c>
      <c r="K3251" s="12">
        <v>13.75</v>
      </c>
      <c r="L3251" s="2">
        <v>207</v>
      </c>
      <c r="M3251" s="15">
        <v>2846.25</v>
      </c>
    </row>
    <row r="3252" spans="1:13" x14ac:dyDescent="0.3">
      <c r="A3252" s="10">
        <v>46143</v>
      </c>
      <c r="B3252" s="9" t="s">
        <v>3</v>
      </c>
      <c r="C3252" t="s">
        <v>318</v>
      </c>
      <c r="D3252" s="9">
        <v>19745</v>
      </c>
      <c r="E3252" s="5" t="s">
        <v>587</v>
      </c>
      <c r="F3252" t="s">
        <v>154</v>
      </c>
      <c r="G3252">
        <v>1574</v>
      </c>
      <c r="H3252">
        <v>662</v>
      </c>
      <c r="I3252" s="8">
        <v>0.42058449809402798</v>
      </c>
      <c r="J3252" s="17">
        <v>0.7</v>
      </c>
      <c r="K3252" s="12">
        <v>13.75</v>
      </c>
      <c r="L3252" s="2">
        <v>115</v>
      </c>
      <c r="M3252" s="15">
        <v>1581.25</v>
      </c>
    </row>
    <row r="3253" spans="1:13" x14ac:dyDescent="0.3">
      <c r="A3253" s="10">
        <v>46143</v>
      </c>
      <c r="B3253" s="9" t="s">
        <v>6</v>
      </c>
      <c r="C3253" t="s">
        <v>158</v>
      </c>
      <c r="D3253" s="9">
        <v>19914</v>
      </c>
      <c r="E3253" s="5" t="s">
        <v>519</v>
      </c>
      <c r="F3253" t="s">
        <v>159</v>
      </c>
      <c r="G3253">
        <v>2546</v>
      </c>
      <c r="H3253">
        <v>1444</v>
      </c>
      <c r="I3253" s="8">
        <v>0.56716417910447758</v>
      </c>
      <c r="J3253" s="17">
        <v>0.7</v>
      </c>
      <c r="K3253" s="12">
        <v>13.75</v>
      </c>
      <c r="L3253" s="2">
        <v>207</v>
      </c>
      <c r="M3253" s="15">
        <v>2846.25</v>
      </c>
    </row>
    <row r="3254" spans="1:13" x14ac:dyDescent="0.3">
      <c r="A3254" s="10">
        <v>46143</v>
      </c>
      <c r="B3254" s="9" t="s">
        <v>160</v>
      </c>
      <c r="C3254" t="s">
        <v>161</v>
      </c>
      <c r="D3254" s="9">
        <v>19954</v>
      </c>
      <c r="E3254" s="5" t="s">
        <v>559</v>
      </c>
      <c r="F3254" t="s">
        <v>162</v>
      </c>
      <c r="G3254">
        <v>863</v>
      </c>
      <c r="H3254">
        <v>577</v>
      </c>
      <c r="I3254" s="8">
        <v>0.66859791425260717</v>
      </c>
      <c r="J3254" s="17">
        <v>0.7</v>
      </c>
      <c r="K3254" s="12">
        <v>13.75</v>
      </c>
      <c r="L3254" s="2">
        <v>286</v>
      </c>
      <c r="M3254" s="15">
        <v>3932.5</v>
      </c>
    </row>
    <row r="3255" spans="1:13" x14ac:dyDescent="0.3">
      <c r="A3255" s="10">
        <v>46143</v>
      </c>
      <c r="B3255" s="9" t="s">
        <v>71</v>
      </c>
      <c r="C3255" t="s">
        <v>163</v>
      </c>
      <c r="D3255" s="9">
        <v>19933</v>
      </c>
      <c r="E3255" s="5" t="s">
        <v>538</v>
      </c>
      <c r="F3255" t="s">
        <v>164</v>
      </c>
      <c r="G3255">
        <v>688</v>
      </c>
      <c r="H3255">
        <v>184</v>
      </c>
      <c r="I3255" s="8">
        <v>0.26744186046511625</v>
      </c>
      <c r="J3255" s="17">
        <v>0.7</v>
      </c>
      <c r="K3255" s="12">
        <v>13.75</v>
      </c>
      <c r="L3255" s="2">
        <v>55</v>
      </c>
      <c r="M3255" s="15">
        <v>756.25</v>
      </c>
    </row>
    <row r="3256" spans="1:13" x14ac:dyDescent="0.3">
      <c r="A3256" s="10">
        <v>46143</v>
      </c>
      <c r="B3256" s="9" t="s">
        <v>3</v>
      </c>
      <c r="C3256" t="s">
        <v>165</v>
      </c>
      <c r="D3256" s="9">
        <v>19761</v>
      </c>
      <c r="E3256" s="5" t="s">
        <v>505</v>
      </c>
      <c r="F3256" t="s">
        <v>166</v>
      </c>
      <c r="G3256">
        <v>1432</v>
      </c>
      <c r="H3256">
        <v>551</v>
      </c>
      <c r="I3256" s="8">
        <v>0.38477653631284914</v>
      </c>
      <c r="J3256" s="17">
        <v>0.7</v>
      </c>
      <c r="K3256" s="12">
        <v>13.75</v>
      </c>
      <c r="L3256" s="2">
        <v>89</v>
      </c>
      <c r="M3256" s="15">
        <v>1223.75</v>
      </c>
    </row>
    <row r="3257" spans="1:13" x14ac:dyDescent="0.3">
      <c r="A3257" s="10">
        <v>46143</v>
      </c>
      <c r="B3257" s="9" t="s">
        <v>3</v>
      </c>
      <c r="C3257" t="s">
        <v>167</v>
      </c>
      <c r="D3257" s="9">
        <v>19578</v>
      </c>
      <c r="E3257" s="5" t="s">
        <v>382</v>
      </c>
      <c r="F3257" t="s">
        <v>168</v>
      </c>
      <c r="G3257">
        <v>2111</v>
      </c>
      <c r="H3257">
        <v>723</v>
      </c>
      <c r="I3257" s="8">
        <v>0.34249171009000473</v>
      </c>
      <c r="J3257" s="17">
        <v>0.7</v>
      </c>
      <c r="K3257" s="12">
        <v>13.75</v>
      </c>
      <c r="L3257" s="2">
        <v>134</v>
      </c>
      <c r="M3257" s="15">
        <v>1842.5</v>
      </c>
    </row>
    <row r="3258" spans="1:13" x14ac:dyDescent="0.3">
      <c r="A3258" s="10">
        <v>46143</v>
      </c>
      <c r="B3258" s="9" t="s">
        <v>74</v>
      </c>
      <c r="C3258" t="s">
        <v>169</v>
      </c>
      <c r="D3258" s="9">
        <v>19897</v>
      </c>
      <c r="E3258" s="5" t="s">
        <v>388</v>
      </c>
      <c r="F3258" t="s">
        <v>170</v>
      </c>
      <c r="G3258">
        <v>1848</v>
      </c>
      <c r="H3258">
        <v>846</v>
      </c>
      <c r="I3258" s="8">
        <v>0.45779220779220781</v>
      </c>
      <c r="J3258" s="17">
        <v>0.7</v>
      </c>
      <c r="K3258" s="12">
        <v>13.75</v>
      </c>
      <c r="L3258" s="2">
        <v>89</v>
      </c>
      <c r="M3258" s="15">
        <v>1223.75</v>
      </c>
    </row>
    <row r="3259" spans="1:13" x14ac:dyDescent="0.3">
      <c r="A3259" s="10">
        <v>46143</v>
      </c>
      <c r="B3259" s="9" t="s">
        <v>15</v>
      </c>
      <c r="C3259" t="s">
        <v>171</v>
      </c>
      <c r="D3259" s="9">
        <v>19520</v>
      </c>
      <c r="E3259" s="5" t="s">
        <v>605</v>
      </c>
      <c r="F3259" t="s">
        <v>172</v>
      </c>
      <c r="G3259">
        <v>726</v>
      </c>
      <c r="H3259">
        <v>319</v>
      </c>
      <c r="I3259" s="8">
        <v>0.43939393939393939</v>
      </c>
      <c r="J3259" s="17">
        <v>0.7</v>
      </c>
      <c r="K3259" s="12">
        <v>13.75</v>
      </c>
      <c r="L3259" s="2">
        <v>66</v>
      </c>
      <c r="M3259" s="15">
        <v>907.5</v>
      </c>
    </row>
    <row r="3260" spans="1:13" x14ac:dyDescent="0.3">
      <c r="A3260" s="10">
        <v>46143</v>
      </c>
      <c r="B3260" s="9" t="s">
        <v>82</v>
      </c>
      <c r="C3260" t="s">
        <v>173</v>
      </c>
      <c r="D3260" s="9">
        <v>19926</v>
      </c>
      <c r="E3260" s="5" t="s">
        <v>525</v>
      </c>
      <c r="F3260" t="s">
        <v>174</v>
      </c>
      <c r="G3260">
        <v>1093</v>
      </c>
      <c r="H3260">
        <v>457</v>
      </c>
      <c r="I3260" s="8">
        <v>0.41811527904849038</v>
      </c>
      <c r="J3260" s="17">
        <v>0.7</v>
      </c>
      <c r="K3260" s="12">
        <v>13.75</v>
      </c>
      <c r="L3260" s="2">
        <v>113</v>
      </c>
      <c r="M3260" s="15">
        <v>1553.75</v>
      </c>
    </row>
    <row r="3261" spans="1:13" x14ac:dyDescent="0.3">
      <c r="A3261" s="10">
        <v>46143</v>
      </c>
      <c r="B3261" s="9" t="s">
        <v>71</v>
      </c>
      <c r="C3261" t="s">
        <v>175</v>
      </c>
      <c r="D3261" s="9">
        <v>19540</v>
      </c>
      <c r="E3261" s="5" t="s">
        <v>370</v>
      </c>
      <c r="F3261" t="s">
        <v>176</v>
      </c>
      <c r="G3261">
        <v>4631</v>
      </c>
      <c r="H3261">
        <v>1827</v>
      </c>
      <c r="I3261" s="8">
        <v>0.39451522349384582</v>
      </c>
      <c r="J3261" s="17">
        <v>0.7</v>
      </c>
      <c r="K3261" s="12">
        <v>13.75</v>
      </c>
      <c r="L3261" s="2">
        <v>281</v>
      </c>
      <c r="M3261" s="15">
        <v>3863.75</v>
      </c>
    </row>
    <row r="3262" spans="1:13" x14ac:dyDescent="0.3">
      <c r="A3262" s="10">
        <v>46143</v>
      </c>
      <c r="B3262" s="9" t="s">
        <v>71</v>
      </c>
      <c r="C3262" t="s">
        <v>175</v>
      </c>
      <c r="D3262" s="9">
        <v>19788</v>
      </c>
      <c r="E3262" s="5" t="s">
        <v>495</v>
      </c>
      <c r="F3262" t="s">
        <v>177</v>
      </c>
      <c r="G3262">
        <v>4624</v>
      </c>
      <c r="H3262">
        <v>1476</v>
      </c>
      <c r="I3262" s="8">
        <v>0.31920415224913495</v>
      </c>
      <c r="J3262" s="17">
        <v>0.7</v>
      </c>
      <c r="K3262" s="12">
        <v>13.75</v>
      </c>
      <c r="L3262" s="2">
        <v>313</v>
      </c>
      <c r="M3262" s="15">
        <v>4303.75</v>
      </c>
    </row>
    <row r="3263" spans="1:13" x14ac:dyDescent="0.3">
      <c r="A3263" s="10">
        <v>46143</v>
      </c>
      <c r="B3263" s="9" t="s">
        <v>71</v>
      </c>
      <c r="C3263" t="s">
        <v>175</v>
      </c>
      <c r="D3263" s="9">
        <v>19842</v>
      </c>
      <c r="E3263" s="5" t="s">
        <v>498</v>
      </c>
      <c r="F3263" t="s">
        <v>178</v>
      </c>
      <c r="G3263">
        <v>3532</v>
      </c>
      <c r="H3263">
        <v>1072</v>
      </c>
      <c r="I3263" s="8">
        <v>0.30351075877689693</v>
      </c>
      <c r="J3263" s="17">
        <v>0.7</v>
      </c>
      <c r="K3263" s="12">
        <v>13.75</v>
      </c>
      <c r="L3263" s="2">
        <v>262</v>
      </c>
      <c r="M3263" s="15">
        <v>3602.5</v>
      </c>
    </row>
    <row r="3264" spans="1:13" x14ac:dyDescent="0.3">
      <c r="A3264" s="10">
        <v>46143</v>
      </c>
      <c r="B3264" s="9" t="s">
        <v>71</v>
      </c>
      <c r="C3264" t="s">
        <v>175</v>
      </c>
      <c r="D3264" s="9">
        <v>19874</v>
      </c>
      <c r="E3264" s="5" t="s">
        <v>504</v>
      </c>
      <c r="F3264" t="s">
        <v>179</v>
      </c>
      <c r="G3264">
        <v>3892</v>
      </c>
      <c r="H3264">
        <v>1305</v>
      </c>
      <c r="I3264" s="8">
        <v>0.3353031860226105</v>
      </c>
      <c r="J3264" s="17">
        <v>0.7</v>
      </c>
      <c r="K3264" s="12">
        <v>13.75</v>
      </c>
      <c r="L3264" s="2">
        <v>306</v>
      </c>
      <c r="M3264" s="15">
        <v>4207.5</v>
      </c>
    </row>
    <row r="3265" spans="1:13" x14ac:dyDescent="0.3">
      <c r="A3265" s="10">
        <v>46143</v>
      </c>
      <c r="B3265" s="9" t="s">
        <v>71</v>
      </c>
      <c r="C3265" t="s">
        <v>175</v>
      </c>
      <c r="D3265" s="9">
        <v>19947</v>
      </c>
      <c r="E3265" s="5" t="s">
        <v>550</v>
      </c>
      <c r="F3265" t="s">
        <v>180</v>
      </c>
      <c r="G3265">
        <v>3205</v>
      </c>
      <c r="H3265">
        <v>1001</v>
      </c>
      <c r="I3265" s="8">
        <v>0.3123244929797192</v>
      </c>
      <c r="J3265" s="17">
        <v>0.7</v>
      </c>
      <c r="K3265" s="12">
        <v>13.75</v>
      </c>
      <c r="L3265" s="2">
        <v>197</v>
      </c>
      <c r="M3265" s="15">
        <v>2708.75</v>
      </c>
    </row>
    <row r="3266" spans="1:13" x14ac:dyDescent="0.3">
      <c r="A3266" s="10">
        <v>46143</v>
      </c>
      <c r="B3266" s="9" t="s">
        <v>21</v>
      </c>
      <c r="C3266" t="s">
        <v>181</v>
      </c>
      <c r="D3266" s="9">
        <v>19778</v>
      </c>
      <c r="E3266" s="5" t="s">
        <v>489</v>
      </c>
      <c r="F3266" t="s">
        <v>182</v>
      </c>
      <c r="G3266">
        <v>747</v>
      </c>
      <c r="H3266">
        <v>393</v>
      </c>
      <c r="I3266" s="8">
        <v>0.52610441767068272</v>
      </c>
      <c r="J3266" s="17">
        <v>0.7</v>
      </c>
      <c r="K3266" s="12">
        <v>13.75</v>
      </c>
      <c r="L3266" s="2">
        <v>116</v>
      </c>
      <c r="M3266" s="15">
        <v>1595</v>
      </c>
    </row>
    <row r="3267" spans="1:13" x14ac:dyDescent="0.3">
      <c r="A3267" s="10">
        <v>46143</v>
      </c>
      <c r="B3267" s="9" t="s">
        <v>183</v>
      </c>
      <c r="C3267" t="s">
        <v>184</v>
      </c>
      <c r="D3267" s="9">
        <v>19752</v>
      </c>
      <c r="E3267" s="5" t="s">
        <v>404</v>
      </c>
      <c r="F3267" t="s">
        <v>185</v>
      </c>
      <c r="G3267">
        <v>1103</v>
      </c>
      <c r="H3267">
        <v>588</v>
      </c>
      <c r="I3267" s="8">
        <v>0.53309156844968264</v>
      </c>
      <c r="J3267" s="17">
        <v>0.7</v>
      </c>
      <c r="K3267" s="12">
        <v>13.75</v>
      </c>
      <c r="L3267" s="2">
        <v>81</v>
      </c>
      <c r="M3267" s="15">
        <v>1113.75</v>
      </c>
    </row>
    <row r="3268" spans="1:13" x14ac:dyDescent="0.3">
      <c r="A3268" s="10">
        <v>46143</v>
      </c>
      <c r="B3268" s="9" t="s">
        <v>14</v>
      </c>
      <c r="C3268" t="s">
        <v>334</v>
      </c>
      <c r="D3268" s="9">
        <v>19963</v>
      </c>
      <c r="E3268" s="5" t="s">
        <v>623</v>
      </c>
      <c r="F3268" t="s">
        <v>335</v>
      </c>
      <c r="G3268">
        <v>1431</v>
      </c>
      <c r="H3268">
        <v>542</v>
      </c>
      <c r="I3268" s="8">
        <v>0.37875611460517122</v>
      </c>
      <c r="J3268" s="17">
        <v>0.7</v>
      </c>
      <c r="K3268" s="12">
        <v>13.75</v>
      </c>
      <c r="L3268" s="2">
        <v>115</v>
      </c>
      <c r="M3268" s="15">
        <v>1581.25</v>
      </c>
    </row>
    <row r="3269" spans="1:13" x14ac:dyDescent="0.3">
      <c r="A3269" s="10">
        <v>46143</v>
      </c>
      <c r="B3269" s="9" t="s">
        <v>74</v>
      </c>
      <c r="C3269" t="s">
        <v>186</v>
      </c>
      <c r="D3269" s="9">
        <v>19649</v>
      </c>
      <c r="E3269" s="5" t="s">
        <v>395</v>
      </c>
      <c r="F3269" t="s">
        <v>187</v>
      </c>
      <c r="G3269">
        <v>3091</v>
      </c>
      <c r="H3269">
        <v>1391</v>
      </c>
      <c r="I3269" s="8">
        <v>0.45001617599482369</v>
      </c>
      <c r="J3269" s="17">
        <v>0.7</v>
      </c>
      <c r="K3269" s="12">
        <v>13.75</v>
      </c>
      <c r="L3269" s="2">
        <v>97</v>
      </c>
      <c r="M3269" s="15">
        <v>1333.75</v>
      </c>
    </row>
    <row r="3270" spans="1:13" x14ac:dyDescent="0.3">
      <c r="A3270" s="10">
        <v>46143</v>
      </c>
      <c r="B3270" s="9" t="s">
        <v>74</v>
      </c>
      <c r="C3270" t="s">
        <v>186</v>
      </c>
      <c r="D3270" s="9">
        <v>19601</v>
      </c>
      <c r="E3270" s="5" t="s">
        <v>396</v>
      </c>
      <c r="F3270" t="s">
        <v>188</v>
      </c>
      <c r="G3270">
        <v>2556</v>
      </c>
      <c r="H3270">
        <v>1127</v>
      </c>
      <c r="I3270" s="8">
        <v>0.44092331768388104</v>
      </c>
      <c r="J3270" s="17">
        <v>0.7</v>
      </c>
      <c r="K3270" s="12">
        <v>13.75</v>
      </c>
      <c r="L3270" s="2">
        <v>78</v>
      </c>
      <c r="M3270" s="15">
        <v>1072.5</v>
      </c>
    </row>
    <row r="3271" spans="1:13" x14ac:dyDescent="0.3">
      <c r="A3271" s="10">
        <v>46143</v>
      </c>
      <c r="B3271" s="9" t="s">
        <v>74</v>
      </c>
      <c r="C3271" t="s">
        <v>186</v>
      </c>
      <c r="D3271" s="9">
        <v>19565</v>
      </c>
      <c r="E3271" s="5" t="s">
        <v>397</v>
      </c>
      <c r="F3271" t="s">
        <v>189</v>
      </c>
      <c r="G3271">
        <v>2774</v>
      </c>
      <c r="H3271">
        <v>1003</v>
      </c>
      <c r="I3271" s="8">
        <v>0.3615717375630858</v>
      </c>
      <c r="J3271" s="17">
        <v>0.7</v>
      </c>
      <c r="K3271" s="12">
        <v>13.75</v>
      </c>
      <c r="L3271" s="2">
        <v>161</v>
      </c>
      <c r="M3271" s="15">
        <v>2213.75</v>
      </c>
    </row>
    <row r="3272" spans="1:13" x14ac:dyDescent="0.3">
      <c r="A3272" s="10">
        <v>46143</v>
      </c>
      <c r="B3272" s="9" t="s">
        <v>74</v>
      </c>
      <c r="C3272" t="s">
        <v>186</v>
      </c>
      <c r="D3272" s="9">
        <v>19654</v>
      </c>
      <c r="E3272" s="5" t="s">
        <v>398</v>
      </c>
      <c r="F3272" t="s">
        <v>190</v>
      </c>
      <c r="G3272">
        <v>2195</v>
      </c>
      <c r="H3272">
        <v>778</v>
      </c>
      <c r="I3272" s="8">
        <v>0.35444191343963555</v>
      </c>
      <c r="J3272" s="17">
        <v>0.7</v>
      </c>
      <c r="K3272" s="12">
        <v>13.75</v>
      </c>
      <c r="L3272" s="2">
        <v>102</v>
      </c>
      <c r="M3272" s="15">
        <v>1402.5</v>
      </c>
    </row>
    <row r="3273" spans="1:13" x14ac:dyDescent="0.3">
      <c r="A3273" s="10">
        <v>46143</v>
      </c>
      <c r="B3273" s="9" t="s">
        <v>15</v>
      </c>
      <c r="C3273" t="s">
        <v>191</v>
      </c>
      <c r="D3273" s="9">
        <v>19636</v>
      </c>
      <c r="E3273" s="5" t="s">
        <v>394</v>
      </c>
      <c r="F3273" t="s">
        <v>192</v>
      </c>
      <c r="G3273">
        <v>2419</v>
      </c>
      <c r="H3273">
        <v>948</v>
      </c>
      <c r="I3273" s="8">
        <v>0.39189747829681687</v>
      </c>
      <c r="J3273" s="17">
        <v>0.7</v>
      </c>
      <c r="K3273" s="12">
        <v>13.75</v>
      </c>
      <c r="L3273" s="2">
        <v>168</v>
      </c>
      <c r="M3273" s="15">
        <v>2310</v>
      </c>
    </row>
    <row r="3274" spans="1:13" x14ac:dyDescent="0.3">
      <c r="A3274" s="10">
        <v>46143</v>
      </c>
      <c r="B3274" s="9" t="s">
        <v>3</v>
      </c>
      <c r="C3274" t="s">
        <v>193</v>
      </c>
      <c r="D3274" s="9">
        <v>19832</v>
      </c>
      <c r="E3274" s="5" t="s">
        <v>601</v>
      </c>
      <c r="F3274" t="s">
        <v>194</v>
      </c>
      <c r="G3274">
        <v>1048</v>
      </c>
      <c r="H3274">
        <v>334</v>
      </c>
      <c r="I3274" s="8">
        <v>0.31870229007633588</v>
      </c>
      <c r="J3274" s="17">
        <v>0.7</v>
      </c>
      <c r="K3274" s="12">
        <v>13.75</v>
      </c>
      <c r="L3274" s="2">
        <v>92</v>
      </c>
      <c r="M3274" s="15">
        <v>1265</v>
      </c>
    </row>
    <row r="3275" spans="1:13" x14ac:dyDescent="0.3">
      <c r="A3275" s="10">
        <v>46143</v>
      </c>
      <c r="B3275" s="9" t="s">
        <v>195</v>
      </c>
      <c r="C3275" t="s">
        <v>196</v>
      </c>
      <c r="D3275" s="9">
        <v>19762</v>
      </c>
      <c r="E3275" s="5" t="s">
        <v>486</v>
      </c>
      <c r="F3275" t="s">
        <v>197</v>
      </c>
      <c r="G3275">
        <v>1254</v>
      </c>
      <c r="H3275">
        <v>689</v>
      </c>
      <c r="I3275" s="8">
        <v>0.54944178628389151</v>
      </c>
      <c r="J3275" s="17">
        <v>0.7</v>
      </c>
      <c r="K3275" s="12">
        <v>13.75</v>
      </c>
      <c r="L3275" s="2">
        <v>6</v>
      </c>
      <c r="M3275" s="15">
        <v>82.5</v>
      </c>
    </row>
    <row r="3276" spans="1:13" x14ac:dyDescent="0.3">
      <c r="A3276" s="10">
        <v>46143</v>
      </c>
      <c r="B3276" s="9" t="s">
        <v>15</v>
      </c>
      <c r="C3276" t="s">
        <v>319</v>
      </c>
      <c r="D3276" s="9">
        <v>19685</v>
      </c>
      <c r="E3276" s="5" t="s">
        <v>359</v>
      </c>
      <c r="F3276" t="s">
        <v>198</v>
      </c>
      <c r="G3276">
        <v>1334</v>
      </c>
      <c r="H3276">
        <v>512</v>
      </c>
      <c r="I3276" s="8">
        <v>0.38380809595202398</v>
      </c>
      <c r="J3276" s="17">
        <v>0.7</v>
      </c>
      <c r="K3276" s="12">
        <v>13.75</v>
      </c>
      <c r="L3276" s="2">
        <v>75</v>
      </c>
      <c r="M3276" s="15">
        <v>1031.25</v>
      </c>
    </row>
    <row r="3277" spans="1:13" x14ac:dyDescent="0.3">
      <c r="A3277" s="10">
        <v>46143</v>
      </c>
      <c r="B3277" s="9" t="s">
        <v>15</v>
      </c>
      <c r="C3277" t="s">
        <v>319</v>
      </c>
      <c r="D3277" s="9">
        <v>19521</v>
      </c>
      <c r="E3277" s="5" t="s">
        <v>371</v>
      </c>
      <c r="F3277" t="s">
        <v>199</v>
      </c>
      <c r="G3277">
        <v>3173</v>
      </c>
      <c r="H3277">
        <v>1658</v>
      </c>
      <c r="I3277" s="8">
        <v>0.52253387960920261</v>
      </c>
      <c r="J3277" s="17">
        <v>0.7</v>
      </c>
      <c r="K3277" s="12">
        <v>13.75</v>
      </c>
      <c r="L3277" s="2">
        <v>91</v>
      </c>
      <c r="M3277" s="15">
        <v>1251.25</v>
      </c>
    </row>
    <row r="3278" spans="1:13" x14ac:dyDescent="0.3">
      <c r="A3278" s="10">
        <v>46143</v>
      </c>
      <c r="B3278" s="9" t="s">
        <v>15</v>
      </c>
      <c r="C3278" t="s">
        <v>319</v>
      </c>
      <c r="D3278" s="9">
        <v>19536</v>
      </c>
      <c r="E3278" s="5" t="s">
        <v>379</v>
      </c>
      <c r="F3278" t="s">
        <v>200</v>
      </c>
      <c r="G3278">
        <v>2747</v>
      </c>
      <c r="H3278">
        <v>1020</v>
      </c>
      <c r="I3278" s="8">
        <v>0.37131416090280306</v>
      </c>
      <c r="J3278" s="17">
        <v>0.7</v>
      </c>
      <c r="K3278" s="12">
        <v>13.75</v>
      </c>
      <c r="L3278" s="2">
        <v>117</v>
      </c>
      <c r="M3278" s="15">
        <v>1608.75</v>
      </c>
    </row>
    <row r="3279" spans="1:13" x14ac:dyDescent="0.3">
      <c r="A3279" s="10">
        <v>46143</v>
      </c>
      <c r="B3279" s="9" t="s">
        <v>15</v>
      </c>
      <c r="C3279" t="s">
        <v>319</v>
      </c>
      <c r="D3279" s="9">
        <v>19727</v>
      </c>
      <c r="E3279" s="5" t="s">
        <v>380</v>
      </c>
      <c r="F3279" t="s">
        <v>201</v>
      </c>
      <c r="G3279">
        <v>1545</v>
      </c>
      <c r="H3279">
        <v>695</v>
      </c>
      <c r="I3279" s="8">
        <v>0.44983818770226536</v>
      </c>
      <c r="J3279" s="17">
        <v>0.7</v>
      </c>
      <c r="K3279" s="12">
        <v>13.75</v>
      </c>
      <c r="L3279" s="2">
        <v>81</v>
      </c>
      <c r="M3279" s="15">
        <v>1113.75</v>
      </c>
    </row>
    <row r="3280" spans="1:13" x14ac:dyDescent="0.3">
      <c r="A3280" s="10">
        <v>46143</v>
      </c>
      <c r="B3280" s="9" t="s">
        <v>15</v>
      </c>
      <c r="C3280" t="s">
        <v>319</v>
      </c>
      <c r="D3280" s="9">
        <v>19618</v>
      </c>
      <c r="E3280" s="5" t="s">
        <v>386</v>
      </c>
      <c r="F3280" t="s">
        <v>202</v>
      </c>
      <c r="G3280">
        <v>2492</v>
      </c>
      <c r="H3280">
        <v>998</v>
      </c>
      <c r="I3280" s="8">
        <v>0.40048154093097915</v>
      </c>
      <c r="J3280" s="17">
        <v>0.7</v>
      </c>
      <c r="K3280" s="12">
        <v>13.75</v>
      </c>
      <c r="L3280" s="2">
        <v>156</v>
      </c>
      <c r="M3280" s="15">
        <v>2145</v>
      </c>
    </row>
    <row r="3281" spans="1:13" x14ac:dyDescent="0.3">
      <c r="A3281" s="10">
        <v>46143</v>
      </c>
      <c r="B3281" s="9" t="s">
        <v>15</v>
      </c>
      <c r="C3281" t="s">
        <v>319</v>
      </c>
      <c r="D3281" s="9">
        <v>19505</v>
      </c>
      <c r="E3281" s="5" t="s">
        <v>416</v>
      </c>
      <c r="F3281" t="s">
        <v>204</v>
      </c>
      <c r="G3281">
        <v>2393</v>
      </c>
      <c r="H3281">
        <v>902</v>
      </c>
      <c r="I3281" s="8">
        <v>0.37693272043460091</v>
      </c>
      <c r="J3281" s="17">
        <v>0.7</v>
      </c>
      <c r="K3281" s="12">
        <v>13.75</v>
      </c>
      <c r="L3281" s="2">
        <v>174</v>
      </c>
      <c r="M3281" s="15">
        <v>2392.5</v>
      </c>
    </row>
    <row r="3282" spans="1:13" x14ac:dyDescent="0.3">
      <c r="A3282" s="10">
        <v>46143</v>
      </c>
      <c r="B3282" s="9" t="s">
        <v>15</v>
      </c>
      <c r="C3282" t="s">
        <v>319</v>
      </c>
      <c r="D3282" s="9">
        <v>19515</v>
      </c>
      <c r="E3282" s="5" t="s">
        <v>417</v>
      </c>
      <c r="F3282" t="s">
        <v>205</v>
      </c>
      <c r="G3282">
        <v>2944</v>
      </c>
      <c r="H3282">
        <v>1071</v>
      </c>
      <c r="I3282" s="8">
        <v>0.36379076086956524</v>
      </c>
      <c r="J3282" s="17">
        <v>0.7</v>
      </c>
      <c r="K3282" s="12">
        <v>13.75</v>
      </c>
      <c r="L3282" s="2">
        <v>183</v>
      </c>
      <c r="M3282" s="15">
        <v>2516.25</v>
      </c>
    </row>
    <row r="3283" spans="1:13" x14ac:dyDescent="0.3">
      <c r="A3283" s="10">
        <v>46143</v>
      </c>
      <c r="B3283" s="9" t="s">
        <v>15</v>
      </c>
      <c r="C3283" t="s">
        <v>319</v>
      </c>
      <c r="D3283" s="9">
        <v>19519</v>
      </c>
      <c r="E3283" s="5" t="s">
        <v>418</v>
      </c>
      <c r="F3283" t="s">
        <v>206</v>
      </c>
      <c r="G3283">
        <v>5585</v>
      </c>
      <c r="H3283">
        <v>2271</v>
      </c>
      <c r="I3283" s="8">
        <v>0.40662488809310654</v>
      </c>
      <c r="J3283" s="17">
        <v>0.7</v>
      </c>
      <c r="K3283" s="12">
        <v>13.75</v>
      </c>
      <c r="L3283" s="2">
        <v>316</v>
      </c>
      <c r="M3283" s="15">
        <v>4345</v>
      </c>
    </row>
    <row r="3284" spans="1:13" x14ac:dyDescent="0.3">
      <c r="A3284" s="10">
        <v>46143</v>
      </c>
      <c r="B3284" s="9" t="s">
        <v>15</v>
      </c>
      <c r="C3284" t="s">
        <v>319</v>
      </c>
      <c r="D3284" s="9">
        <v>19518</v>
      </c>
      <c r="E3284" s="5" t="s">
        <v>419</v>
      </c>
      <c r="F3284" t="s">
        <v>207</v>
      </c>
      <c r="G3284">
        <v>4222</v>
      </c>
      <c r="H3284">
        <v>1748</v>
      </c>
      <c r="I3284" s="8">
        <v>0.41402179062055899</v>
      </c>
      <c r="J3284" s="17">
        <v>0.7</v>
      </c>
      <c r="K3284" s="12">
        <v>13.75</v>
      </c>
      <c r="L3284" s="2">
        <v>292</v>
      </c>
      <c r="M3284" s="15">
        <v>4015</v>
      </c>
    </row>
    <row r="3285" spans="1:13" x14ac:dyDescent="0.3">
      <c r="A3285" s="10">
        <v>46143</v>
      </c>
      <c r="B3285" s="9" t="s">
        <v>15</v>
      </c>
      <c r="C3285" t="s">
        <v>319</v>
      </c>
      <c r="D3285" s="9">
        <v>19507</v>
      </c>
      <c r="E3285" s="5" t="s">
        <v>420</v>
      </c>
      <c r="F3285" t="s">
        <v>208</v>
      </c>
      <c r="G3285">
        <v>3241</v>
      </c>
      <c r="H3285">
        <v>1118</v>
      </c>
      <c r="I3285" s="8">
        <v>0.34495526072199939</v>
      </c>
      <c r="J3285" s="17">
        <v>0.7</v>
      </c>
      <c r="K3285" s="12">
        <v>13.75</v>
      </c>
      <c r="L3285" s="2">
        <v>236</v>
      </c>
      <c r="M3285" s="15">
        <v>3245</v>
      </c>
    </row>
    <row r="3286" spans="1:13" x14ac:dyDescent="0.3">
      <c r="A3286" s="10">
        <v>46143</v>
      </c>
      <c r="B3286" s="9" t="s">
        <v>15</v>
      </c>
      <c r="C3286" t="s">
        <v>319</v>
      </c>
      <c r="D3286" s="9">
        <v>19714</v>
      </c>
      <c r="E3286" s="5" t="s">
        <v>421</v>
      </c>
      <c r="F3286" t="s">
        <v>209</v>
      </c>
      <c r="G3286">
        <v>2700</v>
      </c>
      <c r="H3286">
        <v>910</v>
      </c>
      <c r="I3286" s="8">
        <v>0.33703703703703702</v>
      </c>
      <c r="J3286" s="17">
        <v>0.7</v>
      </c>
      <c r="K3286" s="12">
        <v>13.75</v>
      </c>
      <c r="L3286" s="2">
        <v>205</v>
      </c>
      <c r="M3286" s="15">
        <v>2818.75</v>
      </c>
    </row>
    <row r="3287" spans="1:13" x14ac:dyDescent="0.3">
      <c r="A3287" s="10">
        <v>46143</v>
      </c>
      <c r="B3287" s="9" t="s">
        <v>15</v>
      </c>
      <c r="C3287" t="s">
        <v>319</v>
      </c>
      <c r="D3287" s="9">
        <v>19844</v>
      </c>
      <c r="E3287" s="5" t="s">
        <v>428</v>
      </c>
      <c r="F3287" t="s">
        <v>210</v>
      </c>
      <c r="G3287">
        <v>2316</v>
      </c>
      <c r="H3287">
        <v>843</v>
      </c>
      <c r="I3287" s="8">
        <v>0.3639896373056995</v>
      </c>
      <c r="J3287" s="17">
        <v>0.7</v>
      </c>
      <c r="K3287" s="12">
        <v>13.75</v>
      </c>
      <c r="L3287" s="2">
        <v>166</v>
      </c>
      <c r="M3287" s="15">
        <v>2282.5</v>
      </c>
    </row>
    <row r="3288" spans="1:13" x14ac:dyDescent="0.3">
      <c r="A3288" s="10">
        <v>46143</v>
      </c>
      <c r="B3288" s="9" t="s">
        <v>15</v>
      </c>
      <c r="C3288" t="s">
        <v>319</v>
      </c>
      <c r="D3288" s="9">
        <v>19512</v>
      </c>
      <c r="E3288" s="5" t="s">
        <v>430</v>
      </c>
      <c r="F3288" t="s">
        <v>211</v>
      </c>
      <c r="G3288">
        <v>2089</v>
      </c>
      <c r="H3288">
        <v>809</v>
      </c>
      <c r="I3288" s="8">
        <v>0.38726663475347056</v>
      </c>
      <c r="J3288" s="17">
        <v>0.7</v>
      </c>
      <c r="K3288" s="12">
        <v>13.75</v>
      </c>
      <c r="L3288" s="2">
        <v>119</v>
      </c>
      <c r="M3288" s="15">
        <v>1636.25</v>
      </c>
    </row>
    <row r="3289" spans="1:13" x14ac:dyDescent="0.3">
      <c r="A3289" s="10">
        <v>46143</v>
      </c>
      <c r="B3289" s="9" t="s">
        <v>15</v>
      </c>
      <c r="C3289" t="s">
        <v>319</v>
      </c>
      <c r="D3289" s="9">
        <v>19508</v>
      </c>
      <c r="E3289" s="5" t="s">
        <v>444</v>
      </c>
      <c r="F3289" t="s">
        <v>212</v>
      </c>
      <c r="G3289">
        <v>3136</v>
      </c>
      <c r="H3289">
        <v>1377</v>
      </c>
      <c r="I3289" s="8">
        <v>0.43909438775510207</v>
      </c>
      <c r="J3289" s="17">
        <v>0.7</v>
      </c>
      <c r="K3289" s="12">
        <v>13.75</v>
      </c>
      <c r="L3289" s="2">
        <v>123</v>
      </c>
      <c r="M3289" s="15">
        <v>1691.25</v>
      </c>
    </row>
    <row r="3290" spans="1:13" x14ac:dyDescent="0.3">
      <c r="A3290" s="10">
        <v>46143</v>
      </c>
      <c r="B3290" s="9" t="s">
        <v>15</v>
      </c>
      <c r="C3290" t="s">
        <v>319</v>
      </c>
      <c r="D3290" s="9">
        <v>19894</v>
      </c>
      <c r="E3290" s="5" t="s">
        <v>446</v>
      </c>
      <c r="F3290" t="s">
        <v>213</v>
      </c>
      <c r="G3290">
        <v>2316</v>
      </c>
      <c r="H3290">
        <v>825</v>
      </c>
      <c r="I3290" s="8">
        <v>0.35621761658031087</v>
      </c>
      <c r="J3290" s="17">
        <v>0.7</v>
      </c>
      <c r="K3290" s="12">
        <v>13.75</v>
      </c>
      <c r="L3290" s="2">
        <v>128</v>
      </c>
      <c r="M3290" s="15">
        <v>1760</v>
      </c>
    </row>
    <row r="3291" spans="1:13" x14ac:dyDescent="0.3">
      <c r="A3291" s="10">
        <v>46143</v>
      </c>
      <c r="B3291" s="9" t="s">
        <v>15</v>
      </c>
      <c r="C3291" t="s">
        <v>319</v>
      </c>
      <c r="D3291" s="9">
        <v>19526</v>
      </c>
      <c r="E3291" s="5" t="s">
        <v>447</v>
      </c>
      <c r="F3291" t="s">
        <v>214</v>
      </c>
      <c r="G3291">
        <v>1892</v>
      </c>
      <c r="H3291">
        <v>695</v>
      </c>
      <c r="I3291" s="8">
        <v>0.36733615221987315</v>
      </c>
      <c r="J3291" s="17">
        <v>0.7</v>
      </c>
      <c r="K3291" s="12">
        <v>13.75</v>
      </c>
      <c r="L3291" s="2">
        <v>64</v>
      </c>
      <c r="M3291" s="15">
        <v>880</v>
      </c>
    </row>
    <row r="3292" spans="1:13" x14ac:dyDescent="0.3">
      <c r="A3292" s="10">
        <v>46143</v>
      </c>
      <c r="B3292" s="9" t="s">
        <v>15</v>
      </c>
      <c r="C3292" t="s">
        <v>319</v>
      </c>
      <c r="D3292" s="9">
        <v>19509</v>
      </c>
      <c r="E3292" s="5" t="s">
        <v>448</v>
      </c>
      <c r="F3292" t="s">
        <v>215</v>
      </c>
      <c r="G3292">
        <v>2608</v>
      </c>
      <c r="H3292">
        <v>980</v>
      </c>
      <c r="I3292" s="8">
        <v>0.37576687116564417</v>
      </c>
      <c r="J3292" s="17">
        <v>0.7</v>
      </c>
      <c r="K3292" s="12">
        <v>13.75</v>
      </c>
      <c r="L3292" s="2">
        <v>134</v>
      </c>
      <c r="M3292" s="15">
        <v>1842.5</v>
      </c>
    </row>
    <row r="3293" spans="1:13" x14ac:dyDescent="0.3">
      <c r="A3293" s="10">
        <v>46143</v>
      </c>
      <c r="B3293" s="9" t="s">
        <v>15</v>
      </c>
      <c r="C3293" t="s">
        <v>319</v>
      </c>
      <c r="D3293" s="9">
        <v>19635</v>
      </c>
      <c r="E3293" s="5" t="s">
        <v>452</v>
      </c>
      <c r="F3293" t="s">
        <v>216</v>
      </c>
      <c r="G3293">
        <v>1983</v>
      </c>
      <c r="H3293">
        <v>942</v>
      </c>
      <c r="I3293" s="8">
        <v>0.4750378214826021</v>
      </c>
      <c r="J3293" s="17">
        <v>0.7</v>
      </c>
      <c r="K3293" s="12">
        <v>13.75</v>
      </c>
      <c r="L3293" s="2">
        <v>85</v>
      </c>
      <c r="M3293" s="15">
        <v>1168.75</v>
      </c>
    </row>
    <row r="3294" spans="1:13" x14ac:dyDescent="0.3">
      <c r="A3294" s="10">
        <v>46143</v>
      </c>
      <c r="B3294" s="9" t="s">
        <v>15</v>
      </c>
      <c r="C3294" t="s">
        <v>319</v>
      </c>
      <c r="D3294" s="9">
        <v>19665</v>
      </c>
      <c r="E3294" s="5" t="s">
        <v>453</v>
      </c>
      <c r="F3294" t="s">
        <v>217</v>
      </c>
      <c r="G3294">
        <v>1923</v>
      </c>
      <c r="H3294">
        <v>793</v>
      </c>
      <c r="I3294" s="8">
        <v>0.41237649505980239</v>
      </c>
      <c r="J3294" s="17">
        <v>0.7</v>
      </c>
      <c r="K3294" s="12">
        <v>13.75</v>
      </c>
      <c r="L3294" s="2">
        <v>41</v>
      </c>
      <c r="M3294" s="15">
        <v>563.75</v>
      </c>
    </row>
    <row r="3295" spans="1:13" x14ac:dyDescent="0.3">
      <c r="A3295" s="10">
        <v>46143</v>
      </c>
      <c r="B3295" s="9" t="s">
        <v>15</v>
      </c>
      <c r="C3295" t="s">
        <v>319</v>
      </c>
      <c r="D3295" s="9">
        <v>19504</v>
      </c>
      <c r="E3295" s="5" t="s">
        <v>454</v>
      </c>
      <c r="F3295" t="s">
        <v>218</v>
      </c>
      <c r="G3295">
        <v>2898</v>
      </c>
      <c r="H3295">
        <v>1199</v>
      </c>
      <c r="I3295" s="8">
        <v>0.4137336093857833</v>
      </c>
      <c r="J3295" s="17">
        <v>0.7</v>
      </c>
      <c r="K3295" s="12">
        <v>13.75</v>
      </c>
      <c r="L3295" s="2">
        <v>104</v>
      </c>
      <c r="M3295" s="15">
        <v>1430</v>
      </c>
    </row>
    <row r="3296" spans="1:13" x14ac:dyDescent="0.3">
      <c r="A3296" s="10">
        <v>46143</v>
      </c>
      <c r="B3296" s="9" t="s">
        <v>15</v>
      </c>
      <c r="C3296" t="s">
        <v>319</v>
      </c>
      <c r="D3296" s="9">
        <v>19511</v>
      </c>
      <c r="E3296" s="5" t="s">
        <v>455</v>
      </c>
      <c r="F3296" t="s">
        <v>219</v>
      </c>
      <c r="G3296">
        <v>2848</v>
      </c>
      <c r="H3296">
        <v>1158</v>
      </c>
      <c r="I3296" s="8">
        <v>0.4066011235955056</v>
      </c>
      <c r="J3296" s="17">
        <v>0.7</v>
      </c>
      <c r="K3296" s="12">
        <v>13.75</v>
      </c>
      <c r="L3296" s="2">
        <v>122</v>
      </c>
      <c r="M3296" s="15">
        <v>1677.5</v>
      </c>
    </row>
    <row r="3297" spans="1:13" x14ac:dyDescent="0.3">
      <c r="A3297" s="10">
        <v>46143</v>
      </c>
      <c r="B3297" s="9" t="s">
        <v>15</v>
      </c>
      <c r="C3297" t="s">
        <v>319</v>
      </c>
      <c r="D3297" s="9">
        <v>19506</v>
      </c>
      <c r="E3297" s="5" t="s">
        <v>457</v>
      </c>
      <c r="F3297" t="s">
        <v>220</v>
      </c>
      <c r="G3297">
        <v>2644</v>
      </c>
      <c r="H3297">
        <v>954</v>
      </c>
      <c r="I3297" s="8">
        <v>0.36081694402420572</v>
      </c>
      <c r="J3297" s="17">
        <v>0.7</v>
      </c>
      <c r="K3297" s="12">
        <v>13.75</v>
      </c>
      <c r="L3297" s="2">
        <v>138</v>
      </c>
      <c r="M3297" s="15">
        <v>1897.5</v>
      </c>
    </row>
    <row r="3298" spans="1:13" x14ac:dyDescent="0.3">
      <c r="A3298" s="10">
        <v>46143</v>
      </c>
      <c r="B3298" s="9" t="s">
        <v>15</v>
      </c>
      <c r="C3298" t="s">
        <v>319</v>
      </c>
      <c r="D3298" s="9">
        <v>19514</v>
      </c>
      <c r="E3298" s="5" t="s">
        <v>510</v>
      </c>
      <c r="F3298" t="s">
        <v>221</v>
      </c>
      <c r="G3298">
        <v>3152</v>
      </c>
      <c r="H3298">
        <v>1024</v>
      </c>
      <c r="I3298" s="8">
        <v>0.32487309644670048</v>
      </c>
      <c r="J3298" s="17">
        <v>0.7</v>
      </c>
      <c r="K3298" s="12">
        <v>13.75</v>
      </c>
      <c r="L3298" s="2">
        <v>198</v>
      </c>
      <c r="M3298" s="15">
        <v>2722.5</v>
      </c>
    </row>
    <row r="3299" spans="1:13" x14ac:dyDescent="0.3">
      <c r="A3299" s="10">
        <v>46143</v>
      </c>
      <c r="B3299" s="9" t="s">
        <v>15</v>
      </c>
      <c r="C3299" t="s">
        <v>319</v>
      </c>
      <c r="D3299" s="9">
        <v>19600</v>
      </c>
      <c r="E3299" s="5" t="s">
        <v>511</v>
      </c>
      <c r="F3299" t="s">
        <v>222</v>
      </c>
      <c r="G3299">
        <v>2425</v>
      </c>
      <c r="H3299">
        <v>924</v>
      </c>
      <c r="I3299" s="8">
        <v>0.38103092783505155</v>
      </c>
      <c r="J3299" s="17">
        <v>0.7</v>
      </c>
      <c r="K3299" s="12">
        <v>13.75</v>
      </c>
      <c r="L3299" s="2">
        <v>177</v>
      </c>
      <c r="M3299" s="15">
        <v>2433.75</v>
      </c>
    </row>
    <row r="3300" spans="1:13" x14ac:dyDescent="0.3">
      <c r="A3300" s="10">
        <v>46143</v>
      </c>
      <c r="B3300" s="9" t="s">
        <v>15</v>
      </c>
      <c r="C3300" t="s">
        <v>319</v>
      </c>
      <c r="D3300" s="9">
        <v>19528</v>
      </c>
      <c r="E3300" s="5" t="s">
        <v>517</v>
      </c>
      <c r="F3300" t="s">
        <v>223</v>
      </c>
      <c r="G3300">
        <v>2685</v>
      </c>
      <c r="H3300">
        <v>895</v>
      </c>
      <c r="I3300" s="8">
        <v>0.33333333333333331</v>
      </c>
      <c r="J3300" s="17">
        <v>0.7</v>
      </c>
      <c r="K3300" s="12">
        <v>13.75</v>
      </c>
      <c r="L3300" s="2">
        <v>137</v>
      </c>
      <c r="M3300" s="15">
        <v>1883.75</v>
      </c>
    </row>
    <row r="3301" spans="1:13" x14ac:dyDescent="0.3">
      <c r="A3301" s="10">
        <v>46143</v>
      </c>
      <c r="B3301" s="9" t="s">
        <v>15</v>
      </c>
      <c r="C3301" t="s">
        <v>319</v>
      </c>
      <c r="D3301" s="9">
        <v>19523</v>
      </c>
      <c r="E3301" s="5" t="s">
        <v>526</v>
      </c>
      <c r="F3301" t="s">
        <v>224</v>
      </c>
      <c r="G3301">
        <v>394</v>
      </c>
      <c r="H3301">
        <v>116</v>
      </c>
      <c r="I3301" s="8">
        <v>0.29441624365482233</v>
      </c>
      <c r="J3301" s="17">
        <v>0.7</v>
      </c>
      <c r="K3301" s="12">
        <v>13.75</v>
      </c>
      <c r="L3301" s="2">
        <v>23</v>
      </c>
      <c r="M3301" s="15">
        <v>316.25</v>
      </c>
    </row>
    <row r="3302" spans="1:13" x14ac:dyDescent="0.3">
      <c r="A3302" s="10">
        <v>46143</v>
      </c>
      <c r="B3302" s="9" t="s">
        <v>15</v>
      </c>
      <c r="C3302" t="s">
        <v>319</v>
      </c>
      <c r="D3302" s="9">
        <v>19652</v>
      </c>
      <c r="E3302" s="5" t="s">
        <v>527</v>
      </c>
      <c r="F3302" t="s">
        <v>225</v>
      </c>
      <c r="G3302">
        <v>4817</v>
      </c>
      <c r="H3302">
        <v>1495</v>
      </c>
      <c r="I3302" s="8">
        <v>0.31035914469586878</v>
      </c>
      <c r="J3302" s="17">
        <v>0.7</v>
      </c>
      <c r="K3302" s="12">
        <v>13.75</v>
      </c>
      <c r="L3302" s="2">
        <v>178</v>
      </c>
      <c r="M3302" s="15">
        <v>2447.5</v>
      </c>
    </row>
    <row r="3303" spans="1:13" x14ac:dyDescent="0.3">
      <c r="A3303" s="10">
        <v>46143</v>
      </c>
      <c r="B3303" s="9" t="s">
        <v>15</v>
      </c>
      <c r="C3303" t="s">
        <v>319</v>
      </c>
      <c r="D3303" s="9">
        <v>19529</v>
      </c>
      <c r="E3303" s="5" t="s">
        <v>528</v>
      </c>
      <c r="F3303" t="s">
        <v>226</v>
      </c>
      <c r="G3303">
        <v>5472</v>
      </c>
      <c r="H3303">
        <v>1773</v>
      </c>
      <c r="I3303" s="8">
        <v>0.32401315789473684</v>
      </c>
      <c r="J3303" s="17">
        <v>0.7</v>
      </c>
      <c r="K3303" s="12">
        <v>13.75</v>
      </c>
      <c r="L3303" s="2">
        <v>306</v>
      </c>
      <c r="M3303" s="15">
        <v>4207.5</v>
      </c>
    </row>
    <row r="3304" spans="1:13" x14ac:dyDescent="0.3">
      <c r="A3304" s="10">
        <v>46143</v>
      </c>
      <c r="B3304" s="9" t="s">
        <v>15</v>
      </c>
      <c r="C3304" t="s">
        <v>319</v>
      </c>
      <c r="D3304" s="9">
        <v>19609</v>
      </c>
      <c r="E3304" s="5" t="s">
        <v>535</v>
      </c>
      <c r="F3304" t="s">
        <v>227</v>
      </c>
      <c r="G3304">
        <v>1809</v>
      </c>
      <c r="H3304">
        <v>833</v>
      </c>
      <c r="I3304" s="8">
        <v>0.46047540077390825</v>
      </c>
      <c r="J3304" s="17">
        <v>0.7</v>
      </c>
      <c r="K3304" s="12">
        <v>13.75</v>
      </c>
      <c r="L3304" s="2">
        <v>76</v>
      </c>
      <c r="M3304" s="15">
        <v>1045</v>
      </c>
    </row>
    <row r="3305" spans="1:13" x14ac:dyDescent="0.3">
      <c r="A3305" s="10">
        <v>46143</v>
      </c>
      <c r="B3305" s="9" t="s">
        <v>21</v>
      </c>
      <c r="C3305" t="s">
        <v>228</v>
      </c>
      <c r="D3305" s="9">
        <v>19740</v>
      </c>
      <c r="E3305" s="5" t="s">
        <v>465</v>
      </c>
      <c r="F3305" t="s">
        <v>229</v>
      </c>
      <c r="G3305">
        <v>2704</v>
      </c>
      <c r="H3305">
        <v>929</v>
      </c>
      <c r="I3305" s="8">
        <v>0.34356508875739644</v>
      </c>
      <c r="J3305" s="17">
        <v>0.7</v>
      </c>
      <c r="K3305" s="12">
        <v>13.75</v>
      </c>
      <c r="L3305" s="2">
        <v>159</v>
      </c>
      <c r="M3305" s="15">
        <v>2186.25</v>
      </c>
    </row>
    <row r="3306" spans="1:13" x14ac:dyDescent="0.3">
      <c r="A3306" s="10">
        <v>46143</v>
      </c>
      <c r="B3306" s="9" t="s">
        <v>21</v>
      </c>
      <c r="C3306" t="s">
        <v>228</v>
      </c>
      <c r="D3306" s="9">
        <v>19790</v>
      </c>
      <c r="E3306" s="5" t="s">
        <v>497</v>
      </c>
      <c r="F3306" t="s">
        <v>232</v>
      </c>
      <c r="G3306">
        <v>2960</v>
      </c>
      <c r="H3306">
        <v>1461</v>
      </c>
      <c r="I3306" s="8">
        <v>0.49358108108108106</v>
      </c>
      <c r="J3306" s="17">
        <v>0.7</v>
      </c>
      <c r="K3306" s="12">
        <v>13.75</v>
      </c>
      <c r="L3306" s="2">
        <v>165</v>
      </c>
      <c r="M3306" s="15">
        <v>2268.75</v>
      </c>
    </row>
    <row r="3307" spans="1:13" x14ac:dyDescent="0.3">
      <c r="A3307" s="10">
        <v>46143</v>
      </c>
      <c r="B3307" s="9" t="s">
        <v>21</v>
      </c>
      <c r="C3307" t="s">
        <v>228</v>
      </c>
      <c r="D3307" s="9">
        <v>19931</v>
      </c>
      <c r="E3307" s="5" t="s">
        <v>541</v>
      </c>
      <c r="F3307" t="s">
        <v>233</v>
      </c>
      <c r="G3307">
        <v>1849</v>
      </c>
      <c r="H3307">
        <v>891</v>
      </c>
      <c r="I3307" s="8">
        <v>0.48188209843158464</v>
      </c>
      <c r="J3307" s="17">
        <v>0.7</v>
      </c>
      <c r="K3307" s="12">
        <v>13.75</v>
      </c>
      <c r="L3307" s="2">
        <v>117</v>
      </c>
      <c r="M3307" s="15">
        <v>1608.75</v>
      </c>
    </row>
    <row r="3308" spans="1:13" x14ac:dyDescent="0.3">
      <c r="A3308" s="10">
        <v>46143</v>
      </c>
      <c r="B3308" s="9" t="s">
        <v>21</v>
      </c>
      <c r="C3308" t="s">
        <v>228</v>
      </c>
      <c r="D3308" s="9">
        <v>19625</v>
      </c>
      <c r="E3308" s="5" t="s">
        <v>596</v>
      </c>
      <c r="F3308" t="s">
        <v>231</v>
      </c>
      <c r="G3308">
        <v>2728</v>
      </c>
      <c r="H3308">
        <v>1296</v>
      </c>
      <c r="I3308" s="8">
        <v>0.47507331378299122</v>
      </c>
      <c r="J3308" s="17">
        <v>0.7</v>
      </c>
      <c r="K3308" s="12">
        <v>13.75</v>
      </c>
      <c r="L3308" s="2">
        <v>124</v>
      </c>
      <c r="M3308" s="15">
        <v>1705</v>
      </c>
    </row>
    <row r="3309" spans="1:13" x14ac:dyDescent="0.3">
      <c r="A3309" s="10">
        <v>46143</v>
      </c>
      <c r="B3309" s="9" t="s">
        <v>21</v>
      </c>
      <c r="C3309" t="s">
        <v>228</v>
      </c>
      <c r="D3309" s="9">
        <v>19771</v>
      </c>
      <c r="E3309" s="5" t="s">
        <v>576</v>
      </c>
      <c r="F3309" t="s">
        <v>235</v>
      </c>
      <c r="G3309">
        <v>1666</v>
      </c>
      <c r="H3309">
        <v>689</v>
      </c>
      <c r="I3309" s="8">
        <v>0.41356542617046821</v>
      </c>
      <c r="J3309" s="17">
        <v>0.7</v>
      </c>
      <c r="K3309" s="12">
        <v>13.75</v>
      </c>
      <c r="L3309" s="2">
        <v>66</v>
      </c>
      <c r="M3309" s="15">
        <v>907.5</v>
      </c>
    </row>
    <row r="3310" spans="1:13" x14ac:dyDescent="0.3">
      <c r="A3310" s="10">
        <v>46143</v>
      </c>
      <c r="B3310" s="9" t="s">
        <v>6</v>
      </c>
      <c r="C3310" t="s">
        <v>236</v>
      </c>
      <c r="D3310" s="9">
        <v>19606</v>
      </c>
      <c r="E3310" s="5" t="s">
        <v>602</v>
      </c>
      <c r="F3310" t="s">
        <v>237</v>
      </c>
      <c r="G3310">
        <v>1350</v>
      </c>
      <c r="H3310">
        <v>789</v>
      </c>
      <c r="I3310" s="8">
        <v>0.58444444444444443</v>
      </c>
      <c r="J3310" s="17">
        <v>0.7</v>
      </c>
      <c r="K3310" s="12">
        <v>13.75</v>
      </c>
      <c r="L3310" s="2">
        <v>561</v>
      </c>
      <c r="M3310" s="15">
        <v>7713.75</v>
      </c>
    </row>
    <row r="3311" spans="1:13" x14ac:dyDescent="0.3">
      <c r="A3311" s="10">
        <v>46143</v>
      </c>
      <c r="B3311" s="9" t="s">
        <v>3</v>
      </c>
      <c r="C3311" t="s">
        <v>239</v>
      </c>
      <c r="D3311" s="9">
        <v>19708</v>
      </c>
      <c r="E3311" s="5" t="s">
        <v>586</v>
      </c>
      <c r="F3311" t="s">
        <v>240</v>
      </c>
      <c r="G3311">
        <v>2247</v>
      </c>
      <c r="H3311">
        <v>848</v>
      </c>
      <c r="I3311" s="8">
        <v>0.37739207832665778</v>
      </c>
      <c r="J3311" s="17">
        <v>0.7</v>
      </c>
      <c r="K3311" s="12">
        <v>13.75</v>
      </c>
      <c r="L3311" s="2">
        <v>175</v>
      </c>
      <c r="M3311" s="15">
        <v>2406.25</v>
      </c>
    </row>
    <row r="3312" spans="1:13" x14ac:dyDescent="0.3">
      <c r="A3312" s="10">
        <v>46143</v>
      </c>
      <c r="B3312" s="9" t="s">
        <v>3</v>
      </c>
      <c r="C3312" t="s">
        <v>321</v>
      </c>
      <c r="D3312" s="9">
        <v>19825</v>
      </c>
      <c r="E3312" s="5" t="s">
        <v>583</v>
      </c>
      <c r="F3312" t="s">
        <v>241</v>
      </c>
      <c r="G3312">
        <v>1416</v>
      </c>
      <c r="H3312">
        <v>507</v>
      </c>
      <c r="I3312" s="8">
        <v>0.35805084745762711</v>
      </c>
      <c r="J3312" s="17">
        <v>0.7</v>
      </c>
      <c r="K3312" s="12">
        <v>13.75</v>
      </c>
      <c r="L3312" s="2">
        <v>84</v>
      </c>
      <c r="M3312" s="15">
        <v>1155</v>
      </c>
    </row>
    <row r="3313" spans="1:13" x14ac:dyDescent="0.3">
      <c r="A3313" s="10">
        <v>46143</v>
      </c>
      <c r="B3313" s="9" t="s">
        <v>3</v>
      </c>
      <c r="C3313" t="s">
        <v>321</v>
      </c>
      <c r="D3313" s="9">
        <v>19820</v>
      </c>
      <c r="E3313" s="5" t="s">
        <v>591</v>
      </c>
      <c r="F3313" t="s">
        <v>242</v>
      </c>
      <c r="G3313">
        <v>1339</v>
      </c>
      <c r="H3313">
        <v>421</v>
      </c>
      <c r="I3313" s="8">
        <v>0.31441374159820762</v>
      </c>
      <c r="J3313" s="17">
        <v>0.7</v>
      </c>
      <c r="K3313" s="12">
        <v>13.75</v>
      </c>
      <c r="L3313" s="2">
        <v>79</v>
      </c>
      <c r="M3313" s="15">
        <v>1086.25</v>
      </c>
    </row>
    <row r="3314" spans="1:13" x14ac:dyDescent="0.3">
      <c r="A3314" s="10">
        <v>46143</v>
      </c>
      <c r="B3314" s="9" t="s">
        <v>3</v>
      </c>
      <c r="C3314" t="s">
        <v>322</v>
      </c>
      <c r="D3314" s="9">
        <v>19808</v>
      </c>
      <c r="E3314" s="5" t="s">
        <v>589</v>
      </c>
      <c r="F3314" t="s">
        <v>243</v>
      </c>
      <c r="G3314">
        <v>1389</v>
      </c>
      <c r="H3314">
        <v>389</v>
      </c>
      <c r="I3314" s="8">
        <v>0.28005759539236863</v>
      </c>
      <c r="J3314" s="17">
        <v>0.7</v>
      </c>
      <c r="K3314" s="12">
        <v>13.75</v>
      </c>
      <c r="L3314" s="2">
        <v>88</v>
      </c>
      <c r="M3314" s="15">
        <v>1210</v>
      </c>
    </row>
    <row r="3315" spans="1:13" x14ac:dyDescent="0.3">
      <c r="A3315" s="10">
        <v>46143</v>
      </c>
      <c r="B3315" s="9" t="s">
        <v>244</v>
      </c>
      <c r="C3315" t="s">
        <v>245</v>
      </c>
      <c r="D3315" s="9">
        <v>19617</v>
      </c>
      <c r="E3315" s="5" t="s">
        <v>552</v>
      </c>
      <c r="F3315" t="s">
        <v>246</v>
      </c>
      <c r="G3315">
        <v>3474</v>
      </c>
      <c r="H3315">
        <v>1593</v>
      </c>
      <c r="I3315" s="8">
        <v>0.45854922279792748</v>
      </c>
      <c r="J3315" s="17">
        <v>0.7</v>
      </c>
      <c r="K3315" s="12">
        <v>13.75</v>
      </c>
      <c r="L3315" s="2">
        <v>92</v>
      </c>
      <c r="M3315" s="15">
        <v>1265</v>
      </c>
    </row>
    <row r="3316" spans="1:13" x14ac:dyDescent="0.3">
      <c r="A3316" s="10">
        <v>46143</v>
      </c>
      <c r="B3316" s="9" t="s">
        <v>244</v>
      </c>
      <c r="C3316" t="s">
        <v>245</v>
      </c>
      <c r="D3316" s="9">
        <v>19595</v>
      </c>
      <c r="E3316" s="5" t="s">
        <v>553</v>
      </c>
      <c r="F3316" t="s">
        <v>247</v>
      </c>
      <c r="G3316">
        <v>3078</v>
      </c>
      <c r="H3316">
        <v>1530</v>
      </c>
      <c r="I3316" s="8">
        <v>0.49707602339181284</v>
      </c>
      <c r="J3316" s="17">
        <v>0.7</v>
      </c>
      <c r="K3316" s="12">
        <v>13.75</v>
      </c>
      <c r="L3316" s="2">
        <v>105</v>
      </c>
      <c r="M3316" s="15">
        <v>1443.75</v>
      </c>
    </row>
    <row r="3317" spans="1:13" x14ac:dyDescent="0.3">
      <c r="A3317" s="10">
        <v>46143</v>
      </c>
      <c r="B3317" s="9" t="s">
        <v>3</v>
      </c>
      <c r="C3317" t="s">
        <v>248</v>
      </c>
      <c r="D3317" s="9">
        <v>19572</v>
      </c>
      <c r="E3317" s="5" t="s">
        <v>381</v>
      </c>
      <c r="F3317" t="s">
        <v>249</v>
      </c>
      <c r="G3317">
        <v>3747</v>
      </c>
      <c r="H3317">
        <v>1366</v>
      </c>
      <c r="I3317" s="8">
        <v>0.36455831331732053</v>
      </c>
      <c r="J3317" s="17">
        <v>0.7</v>
      </c>
      <c r="K3317" s="12">
        <v>13.75</v>
      </c>
      <c r="L3317" s="2">
        <v>510</v>
      </c>
      <c r="M3317" s="15">
        <v>7012.5</v>
      </c>
    </row>
    <row r="3318" spans="1:13" x14ac:dyDescent="0.3">
      <c r="A3318" s="10">
        <v>46143</v>
      </c>
      <c r="B3318" s="9" t="s">
        <v>3</v>
      </c>
      <c r="C3318" t="s">
        <v>248</v>
      </c>
      <c r="D3318" s="9">
        <v>19774</v>
      </c>
      <c r="E3318" s="5" t="s">
        <v>383</v>
      </c>
      <c r="F3318" t="s">
        <v>250</v>
      </c>
      <c r="G3318">
        <v>3134</v>
      </c>
      <c r="H3318">
        <v>993</v>
      </c>
      <c r="I3318" s="8">
        <v>0.31684747925973195</v>
      </c>
      <c r="J3318" s="17">
        <v>0.7</v>
      </c>
      <c r="K3318" s="12">
        <v>13.75</v>
      </c>
      <c r="L3318" s="2">
        <v>439</v>
      </c>
      <c r="M3318" s="15">
        <v>6036.25</v>
      </c>
    </row>
    <row r="3319" spans="1:13" x14ac:dyDescent="0.3">
      <c r="A3319" s="10">
        <v>46143</v>
      </c>
      <c r="B3319" s="9" t="s">
        <v>3</v>
      </c>
      <c r="C3319" t="s">
        <v>248</v>
      </c>
      <c r="D3319" s="9">
        <v>19674</v>
      </c>
      <c r="E3319" s="5" t="s">
        <v>406</v>
      </c>
      <c r="F3319" t="s">
        <v>251</v>
      </c>
      <c r="G3319">
        <v>2264</v>
      </c>
      <c r="H3319">
        <v>864</v>
      </c>
      <c r="I3319" s="8">
        <v>0.38162544169611307</v>
      </c>
      <c r="J3319" s="17">
        <v>0.7</v>
      </c>
      <c r="K3319" s="12">
        <v>13.75</v>
      </c>
      <c r="L3319" s="2">
        <v>126</v>
      </c>
      <c r="M3319" s="15">
        <v>1732.5</v>
      </c>
    </row>
    <row r="3320" spans="1:13" x14ac:dyDescent="0.3">
      <c r="A3320" s="10">
        <v>46143</v>
      </c>
      <c r="B3320" s="9" t="s">
        <v>3</v>
      </c>
      <c r="C3320" t="s">
        <v>248</v>
      </c>
      <c r="D3320" s="9">
        <v>19809</v>
      </c>
      <c r="E3320" s="5" t="s">
        <v>408</v>
      </c>
      <c r="F3320" t="s">
        <v>253</v>
      </c>
      <c r="G3320">
        <v>2346</v>
      </c>
      <c r="H3320">
        <v>877</v>
      </c>
      <c r="I3320" s="8">
        <v>0.37382779198635974</v>
      </c>
      <c r="J3320" s="17">
        <v>0.7</v>
      </c>
      <c r="K3320" s="12">
        <v>13.75</v>
      </c>
      <c r="L3320" s="2">
        <v>148</v>
      </c>
      <c r="M3320" s="15">
        <v>2035</v>
      </c>
    </row>
    <row r="3321" spans="1:13" x14ac:dyDescent="0.3">
      <c r="A3321" s="10">
        <v>46143</v>
      </c>
      <c r="B3321" s="9" t="s">
        <v>3</v>
      </c>
      <c r="C3321" t="s">
        <v>248</v>
      </c>
      <c r="D3321" s="9">
        <v>19579</v>
      </c>
      <c r="E3321" s="5" t="s">
        <v>409</v>
      </c>
      <c r="F3321" t="s">
        <v>254</v>
      </c>
      <c r="G3321">
        <v>1636</v>
      </c>
      <c r="H3321">
        <v>502</v>
      </c>
      <c r="I3321" s="8">
        <v>0.30684596577017115</v>
      </c>
      <c r="J3321" s="17">
        <v>0.7</v>
      </c>
      <c r="K3321" s="12">
        <v>13.75</v>
      </c>
      <c r="L3321" s="2">
        <v>169</v>
      </c>
      <c r="M3321" s="15">
        <v>2323.75</v>
      </c>
    </row>
    <row r="3322" spans="1:13" x14ac:dyDescent="0.3">
      <c r="A3322" s="10">
        <v>46143</v>
      </c>
      <c r="B3322" s="9" t="s">
        <v>3</v>
      </c>
      <c r="C3322" t="s">
        <v>248</v>
      </c>
      <c r="D3322" s="9">
        <v>19716</v>
      </c>
      <c r="E3322" s="5" t="s">
        <v>461</v>
      </c>
      <c r="F3322" t="s">
        <v>262</v>
      </c>
      <c r="G3322">
        <v>1647</v>
      </c>
      <c r="H3322">
        <v>715</v>
      </c>
      <c r="I3322" s="8">
        <v>0.43412264723740135</v>
      </c>
      <c r="J3322" s="17">
        <v>0.7</v>
      </c>
      <c r="K3322" s="12">
        <v>13.75</v>
      </c>
      <c r="L3322" s="2">
        <v>105</v>
      </c>
      <c r="M3322" s="15">
        <v>1443.75</v>
      </c>
    </row>
    <row r="3323" spans="1:13" x14ac:dyDescent="0.3">
      <c r="A3323" s="10">
        <v>46143</v>
      </c>
      <c r="B3323" s="9" t="s">
        <v>3</v>
      </c>
      <c r="C3323" t="s">
        <v>248</v>
      </c>
      <c r="D3323" s="9">
        <v>19889</v>
      </c>
      <c r="E3323" s="5" t="s">
        <v>529</v>
      </c>
      <c r="F3323" t="s">
        <v>266</v>
      </c>
      <c r="G3323">
        <v>1463</v>
      </c>
      <c r="H3323">
        <v>528</v>
      </c>
      <c r="I3323" s="8">
        <v>0.36090225563909772</v>
      </c>
      <c r="J3323" s="17">
        <v>0.7</v>
      </c>
      <c r="K3323" s="12">
        <v>13.75</v>
      </c>
      <c r="L3323" s="2">
        <v>59</v>
      </c>
      <c r="M3323" s="15">
        <v>811.25</v>
      </c>
    </row>
    <row r="3324" spans="1:13" x14ac:dyDescent="0.3">
      <c r="A3324" s="10">
        <v>46143</v>
      </c>
      <c r="B3324" s="9" t="s">
        <v>3</v>
      </c>
      <c r="C3324" t="s">
        <v>248</v>
      </c>
      <c r="D3324" s="9">
        <v>19888</v>
      </c>
      <c r="E3324" s="5" t="s">
        <v>530</v>
      </c>
      <c r="F3324" t="s">
        <v>267</v>
      </c>
      <c r="G3324">
        <v>1264</v>
      </c>
      <c r="H3324">
        <v>395</v>
      </c>
      <c r="I3324" s="8">
        <v>0.3125</v>
      </c>
      <c r="J3324" s="17">
        <v>0.7</v>
      </c>
      <c r="K3324" s="12">
        <v>13.75</v>
      </c>
      <c r="L3324" s="2">
        <v>78</v>
      </c>
      <c r="M3324" s="15">
        <v>1072.5</v>
      </c>
    </row>
    <row r="3325" spans="1:13" x14ac:dyDescent="0.3">
      <c r="A3325" s="10">
        <v>46143</v>
      </c>
      <c r="B3325" s="9" t="s">
        <v>3</v>
      </c>
      <c r="C3325" t="s">
        <v>248</v>
      </c>
      <c r="D3325" s="9">
        <v>19863</v>
      </c>
      <c r="E3325" s="5" t="s">
        <v>566</v>
      </c>
      <c r="F3325" t="s">
        <v>268</v>
      </c>
      <c r="G3325">
        <v>2670</v>
      </c>
      <c r="H3325">
        <v>869</v>
      </c>
      <c r="I3325" s="8">
        <v>0.32546816479400748</v>
      </c>
      <c r="J3325" s="17">
        <v>0.7</v>
      </c>
      <c r="K3325" s="12">
        <v>13.75</v>
      </c>
      <c r="L3325" s="2">
        <v>142</v>
      </c>
      <c r="M3325" s="15">
        <v>1952.5</v>
      </c>
    </row>
    <row r="3326" spans="1:13" x14ac:dyDescent="0.3">
      <c r="A3326" s="10">
        <v>46143</v>
      </c>
      <c r="B3326" s="9" t="s">
        <v>3</v>
      </c>
      <c r="C3326" t="s">
        <v>248</v>
      </c>
      <c r="D3326" s="9">
        <v>19817</v>
      </c>
      <c r="E3326" s="5" t="s">
        <v>567</v>
      </c>
      <c r="F3326" t="s">
        <v>269</v>
      </c>
      <c r="G3326">
        <v>1521</v>
      </c>
      <c r="H3326">
        <v>544</v>
      </c>
      <c r="I3326" s="8">
        <v>0.35765943458251148</v>
      </c>
      <c r="J3326" s="17">
        <v>0.7</v>
      </c>
      <c r="K3326" s="12">
        <v>13.75</v>
      </c>
      <c r="L3326" s="2">
        <v>89</v>
      </c>
      <c r="M3326" s="15">
        <v>1223.75</v>
      </c>
    </row>
    <row r="3327" spans="1:13" x14ac:dyDescent="0.3">
      <c r="A3327" s="10">
        <v>46143</v>
      </c>
      <c r="B3327" s="9" t="s">
        <v>3</v>
      </c>
      <c r="C3327" t="s">
        <v>248</v>
      </c>
      <c r="D3327" s="9">
        <v>19866</v>
      </c>
      <c r="E3327" s="5" t="s">
        <v>568</v>
      </c>
      <c r="F3327" t="s">
        <v>270</v>
      </c>
      <c r="G3327">
        <v>1596</v>
      </c>
      <c r="H3327">
        <v>586</v>
      </c>
      <c r="I3327" s="8">
        <v>0.36716791979949875</v>
      </c>
      <c r="J3327" s="17">
        <v>0.7</v>
      </c>
      <c r="K3327" s="12">
        <v>13.75</v>
      </c>
      <c r="L3327" s="2">
        <v>92</v>
      </c>
      <c r="M3327" s="15">
        <v>1265</v>
      </c>
    </row>
    <row r="3328" spans="1:13" x14ac:dyDescent="0.3">
      <c r="A3328" s="10">
        <v>46143</v>
      </c>
      <c r="B3328" s="9" t="s">
        <v>3</v>
      </c>
      <c r="C3328" t="s">
        <v>248</v>
      </c>
      <c r="D3328" s="9">
        <v>19859</v>
      </c>
      <c r="E3328" s="5" t="s">
        <v>578</v>
      </c>
      <c r="F3328" t="s">
        <v>258</v>
      </c>
      <c r="G3328">
        <v>1554</v>
      </c>
      <c r="H3328">
        <v>452</v>
      </c>
      <c r="I3328" s="8">
        <v>0.29086229086229087</v>
      </c>
      <c r="J3328" s="17">
        <v>0.7</v>
      </c>
      <c r="K3328" s="12">
        <v>13.75</v>
      </c>
      <c r="L3328" s="2">
        <v>128</v>
      </c>
      <c r="M3328" s="15">
        <v>1760</v>
      </c>
    </row>
    <row r="3329" spans="1:13" x14ac:dyDescent="0.3">
      <c r="A3329" s="10">
        <v>46143</v>
      </c>
      <c r="B3329" s="9" t="s">
        <v>3</v>
      </c>
      <c r="C3329" t="s">
        <v>248</v>
      </c>
      <c r="D3329" s="9">
        <v>19711</v>
      </c>
      <c r="E3329" s="5" t="s">
        <v>579</v>
      </c>
      <c r="F3329" t="s">
        <v>264</v>
      </c>
      <c r="G3329">
        <v>1514</v>
      </c>
      <c r="H3329">
        <v>615</v>
      </c>
      <c r="I3329" s="8">
        <v>0.40620871862615587</v>
      </c>
      <c r="J3329" s="17">
        <v>0.7</v>
      </c>
      <c r="K3329" s="12">
        <v>13.75</v>
      </c>
      <c r="L3329" s="2">
        <v>60</v>
      </c>
      <c r="M3329" s="15">
        <v>825</v>
      </c>
    </row>
    <row r="3330" spans="1:13" x14ac:dyDescent="0.3">
      <c r="A3330" s="10">
        <v>46143</v>
      </c>
      <c r="B3330" s="9" t="s">
        <v>3</v>
      </c>
      <c r="C3330" t="s">
        <v>248</v>
      </c>
      <c r="D3330" s="9">
        <v>19763</v>
      </c>
      <c r="E3330" s="5" t="s">
        <v>580</v>
      </c>
      <c r="F3330" t="s">
        <v>263</v>
      </c>
      <c r="G3330">
        <v>1188</v>
      </c>
      <c r="H3330">
        <v>426</v>
      </c>
      <c r="I3330" s="8">
        <v>0.35858585858585856</v>
      </c>
      <c r="J3330" s="17">
        <v>0.7</v>
      </c>
      <c r="K3330" s="12">
        <v>13.75</v>
      </c>
      <c r="L3330" s="2">
        <v>79</v>
      </c>
      <c r="M3330" s="15">
        <v>1086.25</v>
      </c>
    </row>
    <row r="3331" spans="1:13" x14ac:dyDescent="0.3">
      <c r="A3331" s="10">
        <v>46143</v>
      </c>
      <c r="B3331" s="9" t="s">
        <v>3</v>
      </c>
      <c r="C3331" t="s">
        <v>248</v>
      </c>
      <c r="D3331" s="9">
        <v>19890</v>
      </c>
      <c r="E3331" s="5" t="s">
        <v>585</v>
      </c>
      <c r="F3331" t="s">
        <v>259</v>
      </c>
      <c r="G3331">
        <v>1170</v>
      </c>
      <c r="H3331">
        <v>392</v>
      </c>
      <c r="I3331" s="8">
        <v>0.33504273504273502</v>
      </c>
      <c r="J3331" s="17">
        <v>0.7</v>
      </c>
      <c r="K3331" s="12">
        <v>13.75</v>
      </c>
      <c r="L3331" s="2">
        <v>92</v>
      </c>
      <c r="M3331" s="15">
        <v>1265</v>
      </c>
    </row>
    <row r="3332" spans="1:13" x14ac:dyDescent="0.3">
      <c r="A3332" s="10">
        <v>46143</v>
      </c>
      <c r="B3332" s="9" t="s">
        <v>3</v>
      </c>
      <c r="C3332" t="s">
        <v>248</v>
      </c>
      <c r="D3332" s="9">
        <v>19710</v>
      </c>
      <c r="E3332" s="5" t="s">
        <v>588</v>
      </c>
      <c r="F3332" t="s">
        <v>261</v>
      </c>
      <c r="G3332">
        <v>1373</v>
      </c>
      <c r="H3332">
        <v>641</v>
      </c>
      <c r="I3332" s="8">
        <v>0.46686088856518571</v>
      </c>
      <c r="J3332" s="17">
        <v>0.7</v>
      </c>
      <c r="K3332" s="12">
        <v>13.75</v>
      </c>
      <c r="L3332" s="2">
        <v>72</v>
      </c>
      <c r="M3332" s="15">
        <v>990</v>
      </c>
    </row>
    <row r="3333" spans="1:13" x14ac:dyDescent="0.3">
      <c r="A3333" s="10">
        <v>46143</v>
      </c>
      <c r="B3333" s="9" t="s">
        <v>3</v>
      </c>
      <c r="C3333" t="s">
        <v>248</v>
      </c>
      <c r="D3333" s="9">
        <v>19891</v>
      </c>
      <c r="E3333" s="5" t="s">
        <v>612</v>
      </c>
      <c r="F3333" t="s">
        <v>260</v>
      </c>
      <c r="G3333">
        <v>1321</v>
      </c>
      <c r="H3333">
        <v>682</v>
      </c>
      <c r="I3333" s="8">
        <v>0.5162755488266465</v>
      </c>
      <c r="J3333" s="17">
        <v>0.7</v>
      </c>
      <c r="K3333" s="12">
        <v>13.75</v>
      </c>
      <c r="L3333" s="2">
        <v>53</v>
      </c>
      <c r="M3333" s="15">
        <v>728.75</v>
      </c>
    </row>
    <row r="3334" spans="1:13" x14ac:dyDescent="0.3">
      <c r="A3334" s="10">
        <v>46143</v>
      </c>
      <c r="B3334" s="9" t="s">
        <v>3</v>
      </c>
      <c r="C3334" t="s">
        <v>248</v>
      </c>
      <c r="D3334" s="9">
        <v>19804</v>
      </c>
      <c r="E3334" s="5" t="s">
        <v>590</v>
      </c>
      <c r="F3334" t="s">
        <v>255</v>
      </c>
      <c r="G3334">
        <v>1138</v>
      </c>
      <c r="H3334">
        <v>384</v>
      </c>
      <c r="I3334" s="8">
        <v>0.3374340949033392</v>
      </c>
      <c r="J3334" s="17">
        <v>0.7</v>
      </c>
      <c r="K3334" s="12">
        <v>13.75</v>
      </c>
      <c r="L3334" s="2">
        <v>79</v>
      </c>
      <c r="M3334" s="15">
        <v>1086.25</v>
      </c>
    </row>
    <row r="3335" spans="1:13" x14ac:dyDescent="0.3">
      <c r="A3335" s="10">
        <v>46143</v>
      </c>
      <c r="B3335" s="9" t="s">
        <v>3</v>
      </c>
      <c r="C3335" t="s">
        <v>248</v>
      </c>
      <c r="D3335" s="9">
        <v>19855</v>
      </c>
      <c r="E3335" s="5" t="s">
        <v>608</v>
      </c>
      <c r="F3335" t="s">
        <v>257</v>
      </c>
      <c r="G3335">
        <v>1119</v>
      </c>
      <c r="H3335">
        <v>430</v>
      </c>
      <c r="I3335" s="8">
        <v>0.38427167113494193</v>
      </c>
      <c r="J3335" s="17">
        <v>0.7</v>
      </c>
      <c r="K3335" s="12">
        <v>13.75</v>
      </c>
      <c r="L3335" s="2">
        <v>689</v>
      </c>
      <c r="M3335" s="15">
        <v>9473.75</v>
      </c>
    </row>
    <row r="3336" spans="1:13" x14ac:dyDescent="0.3">
      <c r="A3336" s="10">
        <v>46143</v>
      </c>
      <c r="B3336" s="9" t="s">
        <v>3</v>
      </c>
      <c r="C3336" t="s">
        <v>248</v>
      </c>
      <c r="D3336" s="9">
        <v>19821</v>
      </c>
      <c r="E3336" s="5" t="s">
        <v>609</v>
      </c>
      <c r="F3336" t="s">
        <v>256</v>
      </c>
      <c r="G3336">
        <v>1516</v>
      </c>
      <c r="H3336">
        <v>605</v>
      </c>
      <c r="I3336" s="8">
        <v>0.39907651715039577</v>
      </c>
      <c r="J3336" s="17">
        <v>0.7</v>
      </c>
      <c r="K3336" s="12">
        <v>13.75</v>
      </c>
      <c r="L3336" s="2">
        <v>60</v>
      </c>
      <c r="M3336" s="15">
        <v>825</v>
      </c>
    </row>
    <row r="3337" spans="1:13" x14ac:dyDescent="0.3">
      <c r="A3337" s="10">
        <v>46143</v>
      </c>
      <c r="B3337" s="9" t="s">
        <v>59</v>
      </c>
      <c r="C3337" t="s">
        <v>271</v>
      </c>
      <c r="D3337" s="9">
        <v>19775</v>
      </c>
      <c r="E3337" s="5" t="s">
        <v>598</v>
      </c>
      <c r="F3337" t="s">
        <v>272</v>
      </c>
      <c r="G3337">
        <v>1597</v>
      </c>
      <c r="H3337">
        <v>628</v>
      </c>
      <c r="I3337" s="8">
        <v>0.39323731997495304</v>
      </c>
      <c r="J3337" s="17">
        <v>0.7</v>
      </c>
      <c r="K3337" s="12">
        <v>13.75</v>
      </c>
      <c r="L3337" s="2">
        <v>91</v>
      </c>
      <c r="M3337" s="15">
        <v>1251.25</v>
      </c>
    </row>
    <row r="3338" spans="1:13" x14ac:dyDescent="0.3">
      <c r="A3338" s="10">
        <v>46143</v>
      </c>
      <c r="B3338" s="9" t="s">
        <v>78</v>
      </c>
      <c r="C3338" t="s">
        <v>323</v>
      </c>
      <c r="D3338" s="9">
        <v>19958</v>
      </c>
      <c r="E3338" s="5" t="s">
        <v>615</v>
      </c>
      <c r="F3338" t="s">
        <v>627</v>
      </c>
      <c r="G3338">
        <v>1464</v>
      </c>
      <c r="H3338">
        <v>722</v>
      </c>
      <c r="I3338" s="8">
        <v>0.49316939890710382</v>
      </c>
      <c r="J3338" s="17">
        <v>0.7</v>
      </c>
      <c r="K3338" s="12">
        <v>13.75</v>
      </c>
      <c r="L3338" s="2">
        <v>136</v>
      </c>
      <c r="M3338" s="15">
        <v>1870</v>
      </c>
    </row>
    <row r="3339" spans="1:13" x14ac:dyDescent="0.3">
      <c r="A3339" s="10">
        <v>46143</v>
      </c>
      <c r="B3339" s="9" t="s">
        <v>160</v>
      </c>
      <c r="C3339" t="s">
        <v>279</v>
      </c>
      <c r="D3339" s="9">
        <v>19564</v>
      </c>
      <c r="E3339" s="5" t="s">
        <v>378</v>
      </c>
      <c r="F3339" t="s">
        <v>280</v>
      </c>
      <c r="G3339">
        <v>1689</v>
      </c>
      <c r="H3339">
        <v>825</v>
      </c>
      <c r="I3339" s="8">
        <v>0.48845470692717585</v>
      </c>
      <c r="J3339" s="17">
        <v>0.7</v>
      </c>
      <c r="K3339" s="12">
        <v>13.75</v>
      </c>
      <c r="L3339" s="2">
        <v>60</v>
      </c>
      <c r="M3339" s="15">
        <v>825</v>
      </c>
    </row>
    <row r="3340" spans="1:13" x14ac:dyDescent="0.3">
      <c r="A3340" s="10">
        <v>46143</v>
      </c>
      <c r="B3340" s="9" t="s">
        <v>15</v>
      </c>
      <c r="C3340" t="s">
        <v>281</v>
      </c>
      <c r="D3340" s="9">
        <v>19671</v>
      </c>
      <c r="E3340" s="5" t="s">
        <v>405</v>
      </c>
      <c r="F3340" t="s">
        <v>282</v>
      </c>
      <c r="G3340">
        <v>2600</v>
      </c>
      <c r="H3340">
        <v>1058</v>
      </c>
      <c r="I3340" s="8">
        <v>0.40692307692307694</v>
      </c>
      <c r="J3340" s="17">
        <v>0.7</v>
      </c>
      <c r="K3340" s="12">
        <v>13.75</v>
      </c>
      <c r="L3340" s="2">
        <v>117</v>
      </c>
      <c r="M3340" s="15">
        <v>1608.75</v>
      </c>
    </row>
    <row r="3341" spans="1:13" x14ac:dyDescent="0.3">
      <c r="A3341" s="10">
        <v>46143</v>
      </c>
      <c r="B3341" s="9" t="s">
        <v>14</v>
      </c>
      <c r="C3341" t="s">
        <v>283</v>
      </c>
      <c r="D3341" s="9">
        <v>19912</v>
      </c>
      <c r="E3341" s="5" t="s">
        <v>610</v>
      </c>
      <c r="F3341" t="s">
        <v>284</v>
      </c>
      <c r="G3341">
        <v>1911</v>
      </c>
      <c r="H3341">
        <v>917</v>
      </c>
      <c r="I3341" s="8">
        <v>0.47985347985347987</v>
      </c>
      <c r="J3341" s="17">
        <v>0.7</v>
      </c>
      <c r="K3341" s="12">
        <v>13.75</v>
      </c>
      <c r="L3341" s="2">
        <v>131</v>
      </c>
      <c r="M3341" s="15">
        <v>1801.25</v>
      </c>
    </row>
    <row r="3342" spans="1:13" x14ac:dyDescent="0.3">
      <c r="A3342" s="10">
        <v>46143</v>
      </c>
      <c r="B3342" s="9" t="s">
        <v>14</v>
      </c>
      <c r="C3342" t="s">
        <v>285</v>
      </c>
      <c r="D3342" s="9">
        <v>19563</v>
      </c>
      <c r="E3342" s="5" t="s">
        <v>374</v>
      </c>
      <c r="F3342" t="s">
        <v>286</v>
      </c>
      <c r="G3342">
        <v>2915</v>
      </c>
      <c r="H3342">
        <v>977</v>
      </c>
      <c r="I3342" s="8">
        <v>0.33516295025728987</v>
      </c>
      <c r="J3342" s="17">
        <v>0.7</v>
      </c>
      <c r="K3342" s="12">
        <v>13.75</v>
      </c>
      <c r="L3342" s="2">
        <v>140</v>
      </c>
      <c r="M3342" s="15">
        <v>1925</v>
      </c>
    </row>
    <row r="3343" spans="1:13" x14ac:dyDescent="0.3">
      <c r="A3343" s="10">
        <v>46143</v>
      </c>
      <c r="B3343" s="9" t="s">
        <v>14</v>
      </c>
      <c r="C3343" t="s">
        <v>285</v>
      </c>
      <c r="D3343" s="9">
        <v>19698</v>
      </c>
      <c r="E3343" s="5" t="s">
        <v>456</v>
      </c>
      <c r="F3343" t="s">
        <v>331</v>
      </c>
      <c r="G3343">
        <v>2051</v>
      </c>
      <c r="H3343">
        <v>757</v>
      </c>
      <c r="I3343" s="8">
        <v>0.36908824963432474</v>
      </c>
      <c r="J3343" s="17">
        <v>0.7</v>
      </c>
      <c r="K3343" s="12">
        <v>13.75</v>
      </c>
      <c r="L3343" s="2">
        <v>93</v>
      </c>
      <c r="M3343" s="15">
        <v>1278.75</v>
      </c>
    </row>
    <row r="3344" spans="1:13" x14ac:dyDescent="0.3">
      <c r="A3344" s="10">
        <v>46143</v>
      </c>
      <c r="B3344" s="9" t="s">
        <v>14</v>
      </c>
      <c r="C3344" t="s">
        <v>287</v>
      </c>
      <c r="D3344" s="9">
        <v>19905</v>
      </c>
      <c r="E3344" s="5" t="s">
        <v>513</v>
      </c>
      <c r="F3344" t="s">
        <v>288</v>
      </c>
      <c r="G3344">
        <v>1017</v>
      </c>
      <c r="H3344">
        <v>348</v>
      </c>
      <c r="I3344" s="8">
        <v>0.34218289085545722</v>
      </c>
      <c r="J3344" s="17">
        <v>0.7</v>
      </c>
      <c r="K3344" s="12">
        <v>13.75</v>
      </c>
      <c r="L3344" s="2">
        <v>151</v>
      </c>
      <c r="M3344" s="15">
        <v>2076.25</v>
      </c>
    </row>
    <row r="3345" spans="1:13" x14ac:dyDescent="0.3">
      <c r="A3345" s="10">
        <v>46143</v>
      </c>
      <c r="B3345" s="9" t="s">
        <v>59</v>
      </c>
      <c r="C3345" t="s">
        <v>289</v>
      </c>
      <c r="D3345" s="9">
        <v>19876</v>
      </c>
      <c r="E3345" s="5" t="s">
        <v>502</v>
      </c>
      <c r="F3345" t="s">
        <v>291</v>
      </c>
      <c r="G3345">
        <v>2435</v>
      </c>
      <c r="H3345">
        <v>858</v>
      </c>
      <c r="I3345" s="8">
        <v>0.35236139630390145</v>
      </c>
      <c r="J3345" s="17">
        <v>0.7</v>
      </c>
      <c r="K3345" s="12">
        <v>13.75</v>
      </c>
      <c r="L3345" s="2">
        <v>83</v>
      </c>
      <c r="M3345" s="15">
        <v>1141.25</v>
      </c>
    </row>
    <row r="3346" spans="1:13" x14ac:dyDescent="0.3">
      <c r="A3346" s="10">
        <v>46143</v>
      </c>
      <c r="B3346" s="9" t="s">
        <v>59</v>
      </c>
      <c r="C3346" t="s">
        <v>289</v>
      </c>
      <c r="D3346" s="9">
        <v>19581</v>
      </c>
      <c r="E3346" s="5" t="s">
        <v>616</v>
      </c>
      <c r="F3346" t="s">
        <v>290</v>
      </c>
      <c r="G3346">
        <v>2370</v>
      </c>
      <c r="H3346">
        <v>878</v>
      </c>
      <c r="I3346" s="8">
        <v>0.37046413502109704</v>
      </c>
      <c r="J3346" s="17">
        <v>0.7</v>
      </c>
      <c r="K3346" s="12">
        <v>13.75</v>
      </c>
      <c r="L3346" s="2">
        <v>13</v>
      </c>
      <c r="M3346" s="15">
        <v>178.75</v>
      </c>
    </row>
    <row r="3347" spans="1:13" x14ac:dyDescent="0.3">
      <c r="A3347" s="10">
        <v>46143</v>
      </c>
      <c r="B3347" s="9" t="s">
        <v>59</v>
      </c>
      <c r="C3347" t="s">
        <v>292</v>
      </c>
      <c r="D3347" s="9">
        <v>19580</v>
      </c>
      <c r="E3347" s="5" t="s">
        <v>599</v>
      </c>
      <c r="F3347" t="s">
        <v>293</v>
      </c>
      <c r="G3347">
        <v>2262</v>
      </c>
      <c r="H3347">
        <v>754</v>
      </c>
      <c r="I3347" s="8">
        <v>0.33333333333333331</v>
      </c>
      <c r="J3347" s="17">
        <v>0.7</v>
      </c>
      <c r="K3347" s="12">
        <v>13.75</v>
      </c>
      <c r="L3347" s="2">
        <v>37</v>
      </c>
      <c r="M3347" s="15">
        <v>508.75</v>
      </c>
    </row>
    <row r="3348" spans="1:13" x14ac:dyDescent="0.3">
      <c r="A3348" s="10">
        <v>46143</v>
      </c>
      <c r="B3348" s="9" t="s">
        <v>59</v>
      </c>
      <c r="C3348" t="s">
        <v>292</v>
      </c>
      <c r="D3348" s="9">
        <v>19719</v>
      </c>
      <c r="E3348" s="5" t="s">
        <v>600</v>
      </c>
      <c r="F3348" t="s">
        <v>294</v>
      </c>
      <c r="G3348">
        <v>1502</v>
      </c>
      <c r="H3348">
        <v>559</v>
      </c>
      <c r="I3348" s="8">
        <v>0.37217043941411454</v>
      </c>
      <c r="J3348" s="17">
        <v>0.7</v>
      </c>
      <c r="K3348" s="12">
        <v>13.75</v>
      </c>
      <c r="L3348" s="2">
        <v>63</v>
      </c>
      <c r="M3348" s="15">
        <v>866.25</v>
      </c>
    </row>
    <row r="3349" spans="1:13" x14ac:dyDescent="0.3">
      <c r="A3349" s="10">
        <v>46143</v>
      </c>
      <c r="B3349" s="9" t="s">
        <v>21</v>
      </c>
      <c r="C3349" t="s">
        <v>324</v>
      </c>
      <c r="D3349" s="9">
        <v>19736</v>
      </c>
      <c r="E3349" s="5" t="s">
        <v>464</v>
      </c>
      <c r="F3349" t="s">
        <v>295</v>
      </c>
      <c r="G3349">
        <v>3331</v>
      </c>
      <c r="H3349">
        <v>1362</v>
      </c>
      <c r="I3349" s="8">
        <v>0.40888622035424799</v>
      </c>
      <c r="J3349" s="17">
        <v>0.7</v>
      </c>
      <c r="K3349" s="12">
        <v>13.75</v>
      </c>
      <c r="L3349" s="2">
        <v>99</v>
      </c>
      <c r="M3349" s="15">
        <v>1361.25</v>
      </c>
    </row>
    <row r="3350" spans="1:13" x14ac:dyDescent="0.3">
      <c r="A3350" s="10">
        <v>46143</v>
      </c>
      <c r="B3350" s="9" t="s">
        <v>15</v>
      </c>
      <c r="C3350" t="s">
        <v>296</v>
      </c>
      <c r="D3350" s="9">
        <v>19524</v>
      </c>
      <c r="E3350" s="5" t="s">
        <v>376</v>
      </c>
      <c r="F3350" t="s">
        <v>297</v>
      </c>
      <c r="G3350">
        <v>2242</v>
      </c>
      <c r="H3350">
        <v>992</v>
      </c>
      <c r="I3350" s="8">
        <v>0.44246208742194471</v>
      </c>
      <c r="J3350" s="17">
        <v>0.7</v>
      </c>
      <c r="K3350" s="12">
        <v>13.75</v>
      </c>
      <c r="L3350" s="2">
        <v>71</v>
      </c>
      <c r="M3350" s="15">
        <v>976.25</v>
      </c>
    </row>
    <row r="3351" spans="1:13" x14ac:dyDescent="0.3">
      <c r="A3351" s="10">
        <v>46174</v>
      </c>
      <c r="B3351" s="9" t="s">
        <v>3</v>
      </c>
      <c r="C3351" t="s">
        <v>4</v>
      </c>
      <c r="D3351" s="9">
        <v>0</v>
      </c>
      <c r="E3351" s="5" t="s">
        <v>536</v>
      </c>
      <c r="F3351" t="s">
        <v>5</v>
      </c>
      <c r="G3351">
        <v>1385</v>
      </c>
      <c r="H3351">
        <v>684</v>
      </c>
      <c r="I3351" s="8">
        <v>0.49386281588447656</v>
      </c>
      <c r="J3351" s="17">
        <v>0.7</v>
      </c>
      <c r="K3351" s="12">
        <v>13.539097744360927</v>
      </c>
      <c r="L3351" s="2">
        <v>701</v>
      </c>
      <c r="M3351" s="15">
        <v>9490.9075187970102</v>
      </c>
    </row>
    <row r="3352" spans="1:13" x14ac:dyDescent="0.3">
      <c r="A3352" s="10">
        <v>46174</v>
      </c>
      <c r="B3352" s="9" t="s">
        <v>7</v>
      </c>
      <c r="C3352" t="s">
        <v>8</v>
      </c>
      <c r="D3352" s="9">
        <v>0</v>
      </c>
      <c r="E3352" s="5" t="s">
        <v>458</v>
      </c>
      <c r="F3352" t="s">
        <v>9</v>
      </c>
      <c r="G3352">
        <v>1732</v>
      </c>
      <c r="H3352">
        <v>572</v>
      </c>
      <c r="I3352" s="8">
        <v>0.33025404157043881</v>
      </c>
      <c r="J3352" s="17">
        <v>0.7</v>
      </c>
      <c r="K3352" s="12">
        <v>14.250711297071179</v>
      </c>
      <c r="L3352" s="2">
        <v>1160</v>
      </c>
      <c r="M3352" s="15">
        <v>16530.825104602569</v>
      </c>
    </row>
    <row r="3353" spans="1:13" x14ac:dyDescent="0.3">
      <c r="A3353" s="10">
        <v>46174</v>
      </c>
      <c r="B3353" s="9" t="s">
        <v>3</v>
      </c>
      <c r="C3353" t="s">
        <v>10</v>
      </c>
      <c r="D3353" s="9">
        <v>0</v>
      </c>
      <c r="E3353" s="5" t="s">
        <v>555</v>
      </c>
      <c r="F3353" t="s">
        <v>11</v>
      </c>
      <c r="G3353">
        <v>966</v>
      </c>
      <c r="H3353">
        <v>394</v>
      </c>
      <c r="I3353" s="8">
        <v>0.40786749482401657</v>
      </c>
      <c r="J3353" s="17">
        <v>0.7</v>
      </c>
      <c r="K3353" s="12">
        <v>13.209411764705889</v>
      </c>
      <c r="L3353" s="2">
        <v>572</v>
      </c>
      <c r="M3353" s="15">
        <v>7555.7835294117685</v>
      </c>
    </row>
    <row r="3354" spans="1:13" x14ac:dyDescent="0.3">
      <c r="A3354" s="10">
        <v>46174</v>
      </c>
      <c r="B3354" s="9" t="s">
        <v>3</v>
      </c>
      <c r="C3354" t="s">
        <v>12</v>
      </c>
      <c r="D3354" s="9">
        <v>0</v>
      </c>
      <c r="E3354" s="5" t="s">
        <v>514</v>
      </c>
      <c r="F3354" t="s">
        <v>13</v>
      </c>
      <c r="G3354">
        <v>695</v>
      </c>
      <c r="H3354">
        <v>165</v>
      </c>
      <c r="I3354" s="8">
        <v>0.23741007194244604</v>
      </c>
      <c r="J3354" s="17">
        <v>0.7</v>
      </c>
      <c r="K3354" s="12">
        <v>13.802197802197794</v>
      </c>
      <c r="L3354" s="2">
        <v>530</v>
      </c>
      <c r="M3354" s="15">
        <v>7315.1648351648309</v>
      </c>
    </row>
    <row r="3355" spans="1:13" x14ac:dyDescent="0.3">
      <c r="A3355" s="10">
        <v>46174</v>
      </c>
      <c r="B3355" s="9" t="s">
        <v>15</v>
      </c>
      <c r="C3355" t="s">
        <v>310</v>
      </c>
      <c r="D3355" s="9">
        <v>0</v>
      </c>
      <c r="E3355" s="5" t="s">
        <v>595</v>
      </c>
      <c r="F3355" t="s">
        <v>16</v>
      </c>
      <c r="G3355">
        <v>923</v>
      </c>
      <c r="H3355">
        <v>447</v>
      </c>
      <c r="I3355" s="8">
        <v>0.48429035752979416</v>
      </c>
      <c r="J3355" s="17">
        <v>0.7</v>
      </c>
      <c r="K3355" s="12">
        <v>13.941224489795962</v>
      </c>
      <c r="L3355" s="2">
        <v>476</v>
      </c>
      <c r="M3355" s="15">
        <v>6636.0228571428779</v>
      </c>
    </row>
    <row r="3356" spans="1:13" x14ac:dyDescent="0.3">
      <c r="A3356" s="10">
        <v>46174</v>
      </c>
      <c r="B3356" s="9" t="s">
        <v>15</v>
      </c>
      <c r="C3356" t="s">
        <v>19</v>
      </c>
      <c r="D3356" s="9">
        <v>0</v>
      </c>
      <c r="E3356" s="5" t="s">
        <v>557</v>
      </c>
      <c r="F3356" t="s">
        <v>20</v>
      </c>
      <c r="G3356">
        <v>1732</v>
      </c>
      <c r="H3356">
        <v>911</v>
      </c>
      <c r="I3356" s="8">
        <v>0.52598152424942268</v>
      </c>
      <c r="J3356" s="17">
        <v>0.7</v>
      </c>
      <c r="K3356" s="12">
        <v>14.418965517241439</v>
      </c>
      <c r="L3356" s="2">
        <v>821</v>
      </c>
      <c r="M3356" s="15">
        <v>11837.970689655222</v>
      </c>
    </row>
    <row r="3357" spans="1:13" x14ac:dyDescent="0.3">
      <c r="A3357" s="10">
        <v>46174</v>
      </c>
      <c r="B3357" s="9" t="s">
        <v>21</v>
      </c>
      <c r="C3357" t="s">
        <v>22</v>
      </c>
      <c r="D3357" s="9">
        <v>0</v>
      </c>
      <c r="E3357" s="5" t="s">
        <v>387</v>
      </c>
      <c r="F3357" t="s">
        <v>23</v>
      </c>
      <c r="G3357">
        <v>1505</v>
      </c>
      <c r="H3357">
        <v>764</v>
      </c>
      <c r="I3357" s="8">
        <v>0.50764119601328905</v>
      </c>
      <c r="J3357" s="17">
        <v>0.7</v>
      </c>
      <c r="K3357" s="12">
        <v>14.500119047619089</v>
      </c>
      <c r="L3357" s="2">
        <v>741</v>
      </c>
      <c r="M3357" s="15">
        <v>10744.588214285744</v>
      </c>
    </row>
    <row r="3358" spans="1:13" x14ac:dyDescent="0.3">
      <c r="A3358" s="10">
        <v>46174</v>
      </c>
      <c r="B3358" s="9" t="s">
        <v>3</v>
      </c>
      <c r="C3358" t="s">
        <v>24</v>
      </c>
      <c r="D3358" s="9">
        <v>0</v>
      </c>
      <c r="E3358" s="5" t="s">
        <v>592</v>
      </c>
      <c r="F3358" t="s">
        <v>25</v>
      </c>
      <c r="G3358">
        <v>1446</v>
      </c>
      <c r="H3358">
        <v>617</v>
      </c>
      <c r="I3358" s="8">
        <v>0.42669432918395572</v>
      </c>
      <c r="J3358" s="17">
        <v>0.7</v>
      </c>
      <c r="K3358" s="12">
        <v>15.692312500000037</v>
      </c>
      <c r="L3358" s="2">
        <v>829</v>
      </c>
      <c r="M3358" s="15">
        <v>13008.92706250003</v>
      </c>
    </row>
    <row r="3359" spans="1:13" x14ac:dyDescent="0.3">
      <c r="A3359" s="10">
        <v>46174</v>
      </c>
      <c r="B3359" s="9" t="s">
        <v>6</v>
      </c>
      <c r="C3359" t="s">
        <v>26</v>
      </c>
      <c r="D3359" s="9">
        <v>0</v>
      </c>
      <c r="E3359" s="5" t="s">
        <v>375</v>
      </c>
      <c r="F3359" t="s">
        <v>27</v>
      </c>
      <c r="G3359">
        <v>3617</v>
      </c>
      <c r="H3359">
        <v>1940</v>
      </c>
      <c r="I3359" s="8">
        <v>0.53635609621233071</v>
      </c>
      <c r="J3359" s="17">
        <v>0.7</v>
      </c>
      <c r="K3359" s="12">
        <v>15.103679389312955</v>
      </c>
      <c r="L3359" s="2">
        <v>1677</v>
      </c>
      <c r="M3359" s="15">
        <v>25328.870335877826</v>
      </c>
    </row>
    <row r="3360" spans="1:13" x14ac:dyDescent="0.3">
      <c r="A3360" s="10">
        <v>46174</v>
      </c>
      <c r="B3360" s="9" t="s">
        <v>6</v>
      </c>
      <c r="C3360" t="s">
        <v>26</v>
      </c>
      <c r="D3360" s="9">
        <v>0</v>
      </c>
      <c r="E3360" s="5" t="s">
        <v>390</v>
      </c>
      <c r="F3360" t="s">
        <v>28</v>
      </c>
      <c r="G3360">
        <v>2102</v>
      </c>
      <c r="H3360">
        <v>1103</v>
      </c>
      <c r="I3360" s="8">
        <v>0.52473834443387246</v>
      </c>
      <c r="J3360" s="17">
        <v>0.7</v>
      </c>
      <c r="K3360" s="12">
        <v>14.238124999999986</v>
      </c>
      <c r="L3360" s="2">
        <v>999</v>
      </c>
      <c r="M3360" s="15">
        <v>14223.886874999986</v>
      </c>
    </row>
    <row r="3361" spans="1:13" x14ac:dyDescent="0.3">
      <c r="A3361" s="10">
        <v>46174</v>
      </c>
      <c r="B3361" s="9" t="s">
        <v>14</v>
      </c>
      <c r="C3361" t="s">
        <v>29</v>
      </c>
      <c r="D3361" s="9">
        <v>0</v>
      </c>
      <c r="E3361" s="5" t="s">
        <v>435</v>
      </c>
      <c r="F3361" t="s">
        <v>34</v>
      </c>
      <c r="G3361">
        <v>4745</v>
      </c>
      <c r="H3361">
        <v>1851</v>
      </c>
      <c r="I3361" s="8">
        <v>0.39009483667017913</v>
      </c>
      <c r="J3361" s="17">
        <v>0.7</v>
      </c>
      <c r="K3361" s="12">
        <v>15.480486026731334</v>
      </c>
      <c r="L3361" s="2">
        <v>2894</v>
      </c>
      <c r="M3361" s="15">
        <v>44800.526561360479</v>
      </c>
    </row>
    <row r="3362" spans="1:13" x14ac:dyDescent="0.3">
      <c r="A3362" s="10">
        <v>46174</v>
      </c>
      <c r="B3362" s="9" t="s">
        <v>14</v>
      </c>
      <c r="C3362" t="s">
        <v>29</v>
      </c>
      <c r="D3362" s="9">
        <v>0</v>
      </c>
      <c r="E3362" s="5" t="s">
        <v>433</v>
      </c>
      <c r="F3362" t="s">
        <v>33</v>
      </c>
      <c r="G3362">
        <v>1564</v>
      </c>
      <c r="H3362">
        <v>609</v>
      </c>
      <c r="I3362" s="8">
        <v>0.38938618925831203</v>
      </c>
      <c r="J3362" s="17">
        <v>0.7</v>
      </c>
      <c r="K3362" s="12">
        <v>14.931828908554573</v>
      </c>
      <c r="L3362" s="2">
        <v>955</v>
      </c>
      <c r="M3362" s="15">
        <v>14259.896607669618</v>
      </c>
    </row>
    <row r="3363" spans="1:13" x14ac:dyDescent="0.3">
      <c r="A3363" s="10">
        <v>46174</v>
      </c>
      <c r="B3363" s="9" t="s">
        <v>14</v>
      </c>
      <c r="C3363" t="s">
        <v>29</v>
      </c>
      <c r="D3363" s="9">
        <v>0</v>
      </c>
      <c r="E3363" s="5" t="s">
        <v>431</v>
      </c>
      <c r="F3363" t="s">
        <v>31</v>
      </c>
      <c r="G3363">
        <v>1771</v>
      </c>
      <c r="H3363">
        <v>840</v>
      </c>
      <c r="I3363" s="8">
        <v>0.4743083003952569</v>
      </c>
      <c r="J3363" s="17">
        <v>0.7</v>
      </c>
      <c r="K3363" s="12">
        <v>14.711143695014687</v>
      </c>
      <c r="L3363" s="2">
        <v>931</v>
      </c>
      <c r="M3363" s="15">
        <v>13696.074780058674</v>
      </c>
    </row>
    <row r="3364" spans="1:13" x14ac:dyDescent="0.3">
      <c r="A3364" s="10">
        <v>46174</v>
      </c>
      <c r="B3364" s="9" t="s">
        <v>14</v>
      </c>
      <c r="C3364" t="s">
        <v>29</v>
      </c>
      <c r="D3364" s="9">
        <v>0</v>
      </c>
      <c r="E3364" s="5" t="s">
        <v>429</v>
      </c>
      <c r="F3364" t="s">
        <v>30</v>
      </c>
      <c r="G3364">
        <v>1877</v>
      </c>
      <c r="H3364">
        <v>897</v>
      </c>
      <c r="I3364" s="8">
        <v>0.47789025039957378</v>
      </c>
      <c r="J3364" s="17">
        <v>0.7</v>
      </c>
      <c r="K3364" s="12">
        <v>15.138095238095282</v>
      </c>
      <c r="L3364" s="2">
        <v>980</v>
      </c>
      <c r="M3364" s="15">
        <v>14835.333333333376</v>
      </c>
    </row>
    <row r="3365" spans="1:13" x14ac:dyDescent="0.3">
      <c r="A3365" s="10">
        <v>46174</v>
      </c>
      <c r="B3365" s="9" t="s">
        <v>14</v>
      </c>
      <c r="C3365" t="s">
        <v>29</v>
      </c>
      <c r="D3365" s="9">
        <v>0</v>
      </c>
      <c r="E3365" s="5" t="s">
        <v>593</v>
      </c>
      <c r="F3365" t="s">
        <v>36</v>
      </c>
      <c r="G3365">
        <v>1424</v>
      </c>
      <c r="H3365">
        <v>546</v>
      </c>
      <c r="I3365" s="8">
        <v>0.38342696629213485</v>
      </c>
      <c r="J3365" s="17">
        <v>0.7</v>
      </c>
      <c r="K3365" s="12">
        <v>15.432377049180369</v>
      </c>
      <c r="L3365" s="2">
        <v>878</v>
      </c>
      <c r="M3365" s="15">
        <v>13549.627049180364</v>
      </c>
    </row>
    <row r="3366" spans="1:13" x14ac:dyDescent="0.3">
      <c r="A3366" s="10">
        <v>46174</v>
      </c>
      <c r="B3366" s="9" t="s">
        <v>14</v>
      </c>
      <c r="C3366" t="s">
        <v>29</v>
      </c>
      <c r="D3366" s="9">
        <v>0</v>
      </c>
      <c r="E3366" s="5" t="s">
        <v>432</v>
      </c>
      <c r="F3366" t="s">
        <v>32</v>
      </c>
      <c r="G3366">
        <v>2250</v>
      </c>
      <c r="H3366">
        <v>1021</v>
      </c>
      <c r="I3366" s="8">
        <v>0.45377777777777778</v>
      </c>
      <c r="J3366" s="17">
        <v>0.7</v>
      </c>
      <c r="K3366" s="12">
        <v>14.51513715710723</v>
      </c>
      <c r="L3366" s="2">
        <v>1229</v>
      </c>
      <c r="M3366" s="15">
        <v>17839.103566084785</v>
      </c>
    </row>
    <row r="3367" spans="1:13" x14ac:dyDescent="0.3">
      <c r="A3367" s="10">
        <v>46174</v>
      </c>
      <c r="B3367" s="9" t="s">
        <v>14</v>
      </c>
      <c r="C3367" t="s">
        <v>29</v>
      </c>
      <c r="D3367" s="9">
        <v>0</v>
      </c>
      <c r="E3367" s="5" t="s">
        <v>603</v>
      </c>
      <c r="F3367" t="s">
        <v>38</v>
      </c>
      <c r="G3367">
        <v>1347</v>
      </c>
      <c r="H3367">
        <v>519</v>
      </c>
      <c r="I3367" s="8">
        <v>0.38530066815144765</v>
      </c>
      <c r="J3367" s="17">
        <v>0.7</v>
      </c>
      <c r="K3367" s="12">
        <v>14.315730337078648</v>
      </c>
      <c r="L3367" s="2">
        <v>828</v>
      </c>
      <c r="M3367" s="15">
        <v>11853.42471910112</v>
      </c>
    </row>
    <row r="3368" spans="1:13" x14ac:dyDescent="0.3">
      <c r="A3368" s="10">
        <v>46174</v>
      </c>
      <c r="B3368" s="9" t="s">
        <v>14</v>
      </c>
      <c r="C3368" t="s">
        <v>29</v>
      </c>
      <c r="D3368" s="9">
        <v>0</v>
      </c>
      <c r="E3368" s="5" t="s">
        <v>582</v>
      </c>
      <c r="F3368" t="s">
        <v>35</v>
      </c>
      <c r="G3368">
        <v>1442</v>
      </c>
      <c r="H3368">
        <v>853</v>
      </c>
      <c r="I3368" s="8">
        <v>0.59153952843273228</v>
      </c>
      <c r="J3368" s="17">
        <v>0.7</v>
      </c>
      <c r="K3368" s="12">
        <v>13.462543640897763</v>
      </c>
      <c r="L3368" s="2">
        <v>589</v>
      </c>
      <c r="M3368" s="15">
        <v>7929.4382044887825</v>
      </c>
    </row>
    <row r="3369" spans="1:13" x14ac:dyDescent="0.3">
      <c r="A3369" s="10">
        <v>46174</v>
      </c>
      <c r="B3369" s="9" t="s">
        <v>14</v>
      </c>
      <c r="C3369" t="s">
        <v>29</v>
      </c>
      <c r="D3369" s="9">
        <v>0</v>
      </c>
      <c r="E3369" s="5" t="s">
        <v>611</v>
      </c>
      <c r="F3369" t="s">
        <v>39</v>
      </c>
      <c r="G3369">
        <v>1308</v>
      </c>
      <c r="H3369">
        <v>527</v>
      </c>
      <c r="I3369" s="8">
        <v>0.4029051987767584</v>
      </c>
      <c r="J3369" s="17">
        <v>0.7</v>
      </c>
      <c r="K3369" s="12">
        <v>14.576575875486425</v>
      </c>
      <c r="L3369" s="2">
        <v>781</v>
      </c>
      <c r="M3369" s="15">
        <v>11384.305758754897</v>
      </c>
    </row>
    <row r="3370" spans="1:13" x14ac:dyDescent="0.3">
      <c r="A3370" s="10">
        <v>46174</v>
      </c>
      <c r="B3370" s="9" t="s">
        <v>40</v>
      </c>
      <c r="C3370" t="s">
        <v>41</v>
      </c>
      <c r="D3370" s="9">
        <v>0</v>
      </c>
      <c r="E3370" s="5" t="s">
        <v>492</v>
      </c>
      <c r="F3370" t="s">
        <v>42</v>
      </c>
      <c r="G3370">
        <v>992</v>
      </c>
      <c r="H3370">
        <v>561</v>
      </c>
      <c r="I3370" s="8">
        <v>0.56552419354838712</v>
      </c>
      <c r="J3370" s="17">
        <v>0.7</v>
      </c>
      <c r="K3370" s="12">
        <v>14.193925233644915</v>
      </c>
      <c r="L3370" s="2">
        <v>431</v>
      </c>
      <c r="M3370" s="15">
        <v>6117.5817757009581</v>
      </c>
    </row>
    <row r="3371" spans="1:13" x14ac:dyDescent="0.3">
      <c r="A3371" s="10">
        <v>46174</v>
      </c>
      <c r="B3371" s="9" t="s">
        <v>40</v>
      </c>
      <c r="C3371" t="s">
        <v>41</v>
      </c>
      <c r="D3371" s="9">
        <v>0</v>
      </c>
      <c r="E3371" s="5" t="s">
        <v>606</v>
      </c>
      <c r="F3371" t="s">
        <v>43</v>
      </c>
      <c r="G3371">
        <v>1819</v>
      </c>
      <c r="H3371">
        <v>1493</v>
      </c>
      <c r="I3371" s="8">
        <v>0.82078064870808132</v>
      </c>
      <c r="J3371" s="17">
        <v>0.7</v>
      </c>
      <c r="K3371" s="12">
        <v>13.575723472668752</v>
      </c>
      <c r="L3371" s="2">
        <v>326</v>
      </c>
      <c r="M3371" s="15">
        <v>4425.6858520900132</v>
      </c>
    </row>
    <row r="3372" spans="1:13" x14ac:dyDescent="0.3">
      <c r="A3372" s="10">
        <v>46174</v>
      </c>
      <c r="B3372" s="9" t="s">
        <v>3</v>
      </c>
      <c r="C3372" t="s">
        <v>44</v>
      </c>
      <c r="D3372" s="9">
        <v>0</v>
      </c>
      <c r="E3372" s="5" t="s">
        <v>533</v>
      </c>
      <c r="F3372" t="s">
        <v>45</v>
      </c>
      <c r="G3372">
        <v>2119</v>
      </c>
      <c r="H3372">
        <v>967</v>
      </c>
      <c r="I3372" s="8">
        <v>0.45634733364794716</v>
      </c>
      <c r="J3372" s="17">
        <v>0.7</v>
      </c>
      <c r="K3372" s="12">
        <v>13.340283400809763</v>
      </c>
      <c r="L3372" s="2">
        <v>1152</v>
      </c>
      <c r="M3372" s="15">
        <v>15368.006477732848</v>
      </c>
    </row>
    <row r="3373" spans="1:13" x14ac:dyDescent="0.3">
      <c r="A3373" s="10">
        <v>46174</v>
      </c>
      <c r="B3373" s="9" t="s">
        <v>46</v>
      </c>
      <c r="C3373" t="s">
        <v>47</v>
      </c>
      <c r="D3373" s="9">
        <v>0</v>
      </c>
      <c r="E3373" s="5" t="s">
        <v>391</v>
      </c>
      <c r="F3373" t="s">
        <v>624</v>
      </c>
      <c r="G3373">
        <v>1049</v>
      </c>
      <c r="H3373">
        <v>368</v>
      </c>
      <c r="I3373" s="8">
        <v>0.3508102955195424</v>
      </c>
      <c r="J3373" s="17">
        <v>0.7</v>
      </c>
      <c r="K3373" s="12">
        <v>15.35992366412219</v>
      </c>
      <c r="L3373" s="2">
        <v>681</v>
      </c>
      <c r="M3373" s="15">
        <v>10460.108015267211</v>
      </c>
    </row>
    <row r="3374" spans="1:13" x14ac:dyDescent="0.3">
      <c r="A3374" s="10">
        <v>46174</v>
      </c>
      <c r="B3374" s="9" t="s">
        <v>46</v>
      </c>
      <c r="C3374" t="s">
        <v>47</v>
      </c>
      <c r="D3374" s="9">
        <v>0</v>
      </c>
      <c r="E3374" s="5" t="s">
        <v>384</v>
      </c>
      <c r="F3374" t="s">
        <v>48</v>
      </c>
      <c r="G3374">
        <v>2478</v>
      </c>
      <c r="H3374">
        <v>960</v>
      </c>
      <c r="I3374" s="8">
        <v>0.38740920096852299</v>
      </c>
      <c r="J3374" s="17">
        <v>0.7</v>
      </c>
      <c r="K3374" s="12">
        <v>16.020116731517405</v>
      </c>
      <c r="L3374" s="2">
        <v>1518</v>
      </c>
      <c r="M3374" s="15">
        <v>24318.53719844342</v>
      </c>
    </row>
    <row r="3375" spans="1:13" x14ac:dyDescent="0.3">
      <c r="A3375" s="10">
        <v>46174</v>
      </c>
      <c r="B3375" s="9" t="s">
        <v>46</v>
      </c>
      <c r="C3375" t="s">
        <v>47</v>
      </c>
      <c r="D3375" s="9">
        <v>0</v>
      </c>
      <c r="E3375" s="5" t="s">
        <v>393</v>
      </c>
      <c r="F3375" t="s">
        <v>50</v>
      </c>
      <c r="G3375">
        <v>4096</v>
      </c>
      <c r="H3375">
        <v>1652</v>
      </c>
      <c r="I3375" s="8">
        <v>0.4033203125</v>
      </c>
      <c r="J3375" s="17">
        <v>0.7</v>
      </c>
      <c r="K3375" s="12">
        <v>14.840401146131597</v>
      </c>
      <c r="L3375" s="2">
        <v>2444</v>
      </c>
      <c r="M3375" s="15">
        <v>36269.940401145621</v>
      </c>
    </row>
    <row r="3376" spans="1:13" x14ac:dyDescent="0.3">
      <c r="A3376" s="10">
        <v>46174</v>
      </c>
      <c r="B3376" s="9" t="s">
        <v>46</v>
      </c>
      <c r="C3376" t="s">
        <v>47</v>
      </c>
      <c r="D3376" s="9">
        <v>0</v>
      </c>
      <c r="E3376" s="5" t="s">
        <v>617</v>
      </c>
      <c r="F3376" t="s">
        <v>49</v>
      </c>
      <c r="G3376">
        <v>2422</v>
      </c>
      <c r="H3376">
        <v>910</v>
      </c>
      <c r="I3376" s="8">
        <v>0.37572254335260113</v>
      </c>
      <c r="J3376" s="17">
        <v>0.7</v>
      </c>
      <c r="K3376" s="12">
        <v>16.252153110047772</v>
      </c>
      <c r="L3376" s="2">
        <v>1512</v>
      </c>
      <c r="M3376" s="15">
        <v>24573.255502392232</v>
      </c>
    </row>
    <row r="3377" spans="1:13" x14ac:dyDescent="0.3">
      <c r="A3377" s="10">
        <v>46174</v>
      </c>
      <c r="B3377" s="9" t="s">
        <v>46</v>
      </c>
      <c r="C3377" t="s">
        <v>47</v>
      </c>
      <c r="D3377" s="9">
        <v>0</v>
      </c>
      <c r="E3377" s="5" t="s">
        <v>411</v>
      </c>
      <c r="F3377" t="s">
        <v>51</v>
      </c>
      <c r="G3377">
        <v>1413</v>
      </c>
      <c r="H3377">
        <v>427</v>
      </c>
      <c r="I3377" s="8">
        <v>0.30219391365888182</v>
      </c>
      <c r="J3377" s="17">
        <v>0.7</v>
      </c>
      <c r="K3377" s="12">
        <v>15.773096446700553</v>
      </c>
      <c r="L3377" s="2">
        <v>986</v>
      </c>
      <c r="M3377" s="15">
        <v>15552.273096446745</v>
      </c>
    </row>
    <row r="3378" spans="1:13" x14ac:dyDescent="0.3">
      <c r="A3378" s="10">
        <v>46174</v>
      </c>
      <c r="B3378" s="9" t="s">
        <v>46</v>
      </c>
      <c r="C3378" t="s">
        <v>47</v>
      </c>
      <c r="D3378" s="9">
        <v>0</v>
      </c>
      <c r="E3378" s="5" t="s">
        <v>460</v>
      </c>
      <c r="F3378" t="s">
        <v>52</v>
      </c>
      <c r="G3378">
        <v>1474</v>
      </c>
      <c r="H3378">
        <v>480</v>
      </c>
      <c r="I3378" s="8">
        <v>0.32564450474898238</v>
      </c>
      <c r="J3378" s="17">
        <v>0.7</v>
      </c>
      <c r="K3378" s="12">
        <v>15.624109589041126</v>
      </c>
      <c r="L3378" s="2">
        <v>994</v>
      </c>
      <c r="M3378" s="15">
        <v>15530.36493150688</v>
      </c>
    </row>
    <row r="3379" spans="1:13" x14ac:dyDescent="0.3">
      <c r="A3379" s="10">
        <v>46174</v>
      </c>
      <c r="B3379" s="9" t="s">
        <v>46</v>
      </c>
      <c r="C3379" t="s">
        <v>47</v>
      </c>
      <c r="D3379" s="9">
        <v>0</v>
      </c>
      <c r="E3379" s="5" t="s">
        <v>581</v>
      </c>
      <c r="F3379" t="s">
        <v>53</v>
      </c>
      <c r="G3379">
        <v>230</v>
      </c>
      <c r="H3379">
        <v>60</v>
      </c>
      <c r="I3379" s="8">
        <v>0.2608695652173913</v>
      </c>
      <c r="J3379" s="17">
        <v>0.7</v>
      </c>
      <c r="K3379" s="12">
        <v>15.682352941176472</v>
      </c>
      <c r="L3379" s="2">
        <v>170</v>
      </c>
      <c r="M3379" s="15">
        <v>2666</v>
      </c>
    </row>
    <row r="3380" spans="1:13" x14ac:dyDescent="0.3">
      <c r="A3380" s="10">
        <v>46174</v>
      </c>
      <c r="B3380" s="9" t="s">
        <v>46</v>
      </c>
      <c r="C3380" t="s">
        <v>47</v>
      </c>
      <c r="D3380" s="9">
        <v>0</v>
      </c>
      <c r="E3380" s="5" t="s">
        <v>507</v>
      </c>
      <c r="F3380" t="s">
        <v>54</v>
      </c>
      <c r="G3380">
        <v>1843</v>
      </c>
      <c r="H3380">
        <v>662</v>
      </c>
      <c r="I3380" s="8">
        <v>0.35919696147585456</v>
      </c>
      <c r="J3380" s="17">
        <v>0.7</v>
      </c>
      <c r="K3380" s="12">
        <v>14.702234726688019</v>
      </c>
      <c r="L3380" s="2">
        <v>1181</v>
      </c>
      <c r="M3380" s="15">
        <v>17363.339212218551</v>
      </c>
    </row>
    <row r="3381" spans="1:13" x14ac:dyDescent="0.3">
      <c r="A3381" s="10">
        <v>46174</v>
      </c>
      <c r="B3381" s="9" t="s">
        <v>46</v>
      </c>
      <c r="C3381" t="s">
        <v>47</v>
      </c>
      <c r="D3381" s="9">
        <v>0</v>
      </c>
      <c r="E3381" s="5" t="s">
        <v>562</v>
      </c>
      <c r="F3381" t="s">
        <v>56</v>
      </c>
      <c r="G3381">
        <v>1067</v>
      </c>
      <c r="H3381">
        <v>338</v>
      </c>
      <c r="I3381" s="8">
        <v>0.316776007497657</v>
      </c>
      <c r="J3381" s="17">
        <v>0.7</v>
      </c>
      <c r="K3381" s="12">
        <v>16.099999999999991</v>
      </c>
      <c r="L3381" s="2">
        <v>729</v>
      </c>
      <c r="M3381" s="15">
        <v>11736.899999999992</v>
      </c>
    </row>
    <row r="3382" spans="1:13" x14ac:dyDescent="0.3">
      <c r="A3382" s="10">
        <v>46174</v>
      </c>
      <c r="B3382" s="9" t="s">
        <v>15</v>
      </c>
      <c r="C3382" t="s">
        <v>57</v>
      </c>
      <c r="D3382" s="9">
        <v>0</v>
      </c>
      <c r="E3382" s="5" t="s">
        <v>401</v>
      </c>
      <c r="F3382" t="s">
        <v>58</v>
      </c>
      <c r="G3382">
        <v>1547</v>
      </c>
      <c r="H3382">
        <v>673</v>
      </c>
      <c r="I3382" s="8">
        <v>0.43503555268261151</v>
      </c>
      <c r="J3382" s="17">
        <v>0.7</v>
      </c>
      <c r="K3382" s="12">
        <v>14.72993421052635</v>
      </c>
      <c r="L3382" s="2">
        <v>874</v>
      </c>
      <c r="M3382" s="15">
        <v>12873.962500000031</v>
      </c>
    </row>
    <row r="3383" spans="1:13" x14ac:dyDescent="0.3">
      <c r="A3383" s="10">
        <v>46174</v>
      </c>
      <c r="B3383" s="9" t="s">
        <v>59</v>
      </c>
      <c r="C3383" t="s">
        <v>311</v>
      </c>
      <c r="D3383" s="9">
        <v>0</v>
      </c>
      <c r="E3383" s="5" t="s">
        <v>539</v>
      </c>
      <c r="F3383" t="s">
        <v>60</v>
      </c>
      <c r="G3383">
        <v>2277</v>
      </c>
      <c r="H3383">
        <v>972</v>
      </c>
      <c r="I3383" s="8">
        <v>0.4268774703557312</v>
      </c>
      <c r="J3383" s="17">
        <v>0.7</v>
      </c>
      <c r="K3383" s="12">
        <v>14.936259842519682</v>
      </c>
      <c r="L3383" s="2">
        <v>1305</v>
      </c>
      <c r="M3383" s="15">
        <v>19491.819094488186</v>
      </c>
    </row>
    <row r="3384" spans="1:13" x14ac:dyDescent="0.3">
      <c r="A3384" s="10">
        <v>46174</v>
      </c>
      <c r="B3384" s="9" t="s">
        <v>61</v>
      </c>
      <c r="C3384" t="s">
        <v>62</v>
      </c>
      <c r="D3384" s="9">
        <v>0</v>
      </c>
      <c r="E3384" s="5" t="s">
        <v>625</v>
      </c>
      <c r="F3384" t="s">
        <v>63</v>
      </c>
      <c r="G3384">
        <v>1988</v>
      </c>
      <c r="H3384">
        <v>1160</v>
      </c>
      <c r="I3384" s="8">
        <v>0.58350100603621735</v>
      </c>
      <c r="J3384" s="17">
        <v>0.7</v>
      </c>
      <c r="K3384" s="12">
        <v>13.626637744034658</v>
      </c>
      <c r="L3384" s="2">
        <v>828</v>
      </c>
      <c r="M3384" s="15">
        <v>11282.856052060697</v>
      </c>
    </row>
    <row r="3385" spans="1:13" x14ac:dyDescent="0.3">
      <c r="A3385" s="10">
        <v>46174</v>
      </c>
      <c r="B3385" s="9" t="s">
        <v>3</v>
      </c>
      <c r="C3385" t="s">
        <v>64</v>
      </c>
      <c r="D3385" s="9">
        <v>0</v>
      </c>
      <c r="E3385" s="5" t="s">
        <v>563</v>
      </c>
      <c r="F3385" t="s">
        <v>66</v>
      </c>
      <c r="G3385">
        <v>3414</v>
      </c>
      <c r="H3385">
        <v>1215</v>
      </c>
      <c r="I3385" s="8">
        <v>0.35588752196836554</v>
      </c>
      <c r="J3385" s="17">
        <v>0.7</v>
      </c>
      <c r="K3385" s="12">
        <v>15.677186147186074</v>
      </c>
      <c r="L3385" s="2">
        <v>2199</v>
      </c>
      <c r="M3385" s="15">
        <v>34474.132337662173</v>
      </c>
    </row>
    <row r="3386" spans="1:13" x14ac:dyDescent="0.3">
      <c r="A3386" s="10">
        <v>46174</v>
      </c>
      <c r="B3386" s="9" t="s">
        <v>3</v>
      </c>
      <c r="C3386" t="s">
        <v>64</v>
      </c>
      <c r="D3386" s="9">
        <v>0</v>
      </c>
      <c r="E3386" s="5" t="s">
        <v>564</v>
      </c>
      <c r="F3386" t="s">
        <v>67</v>
      </c>
      <c r="G3386">
        <v>1898</v>
      </c>
      <c r="H3386">
        <v>612</v>
      </c>
      <c r="I3386" s="8">
        <v>0.32244467860906217</v>
      </c>
      <c r="J3386" s="17">
        <v>0.7</v>
      </c>
      <c r="K3386" s="12">
        <v>14.904311377245545</v>
      </c>
      <c r="L3386" s="2">
        <v>1286</v>
      </c>
      <c r="M3386" s="15">
        <v>19166.94443113777</v>
      </c>
    </row>
    <row r="3387" spans="1:13" x14ac:dyDescent="0.3">
      <c r="A3387" s="10">
        <v>46174</v>
      </c>
      <c r="B3387" s="9" t="s">
        <v>3</v>
      </c>
      <c r="C3387" t="s">
        <v>64</v>
      </c>
      <c r="D3387" s="9">
        <v>0</v>
      </c>
      <c r="E3387" s="5" t="s">
        <v>508</v>
      </c>
      <c r="F3387" t="s">
        <v>65</v>
      </c>
      <c r="G3387">
        <v>490</v>
      </c>
      <c r="H3387">
        <v>150</v>
      </c>
      <c r="I3387" s="8">
        <v>0.30612244897959184</v>
      </c>
      <c r="J3387" s="17">
        <v>0.7</v>
      </c>
      <c r="K3387" s="12">
        <v>13.275000000000022</v>
      </c>
      <c r="L3387" s="2">
        <v>340</v>
      </c>
      <c r="M3387" s="15">
        <v>4513.5000000000073</v>
      </c>
    </row>
    <row r="3388" spans="1:13" x14ac:dyDescent="0.3">
      <c r="A3388" s="10">
        <v>46174</v>
      </c>
      <c r="B3388" s="9" t="s">
        <v>68</v>
      </c>
      <c r="C3388" t="s">
        <v>69</v>
      </c>
      <c r="D3388" s="9">
        <v>0</v>
      </c>
      <c r="E3388" s="5" t="s">
        <v>570</v>
      </c>
      <c r="F3388" t="s">
        <v>70</v>
      </c>
      <c r="G3388">
        <v>230</v>
      </c>
      <c r="H3388">
        <v>55</v>
      </c>
      <c r="I3388" s="8">
        <v>0.2391304347826087</v>
      </c>
      <c r="J3388" s="17">
        <v>0.7</v>
      </c>
      <c r="K3388" s="12">
        <v>17.3</v>
      </c>
      <c r="L3388" s="2">
        <v>175</v>
      </c>
      <c r="M3388" s="15">
        <v>3027.5</v>
      </c>
    </row>
    <row r="3389" spans="1:13" x14ac:dyDescent="0.3">
      <c r="A3389" s="10">
        <v>46174</v>
      </c>
      <c r="B3389" s="9" t="s">
        <v>71</v>
      </c>
      <c r="C3389" t="s">
        <v>72</v>
      </c>
      <c r="D3389" s="9">
        <v>0</v>
      </c>
      <c r="E3389" s="5" t="s">
        <v>509</v>
      </c>
      <c r="F3389" t="s">
        <v>73</v>
      </c>
      <c r="G3389">
        <v>1676</v>
      </c>
      <c r="H3389">
        <v>554</v>
      </c>
      <c r="I3389" s="8">
        <v>0.33054892601431979</v>
      </c>
      <c r="J3389" s="17">
        <v>0.7</v>
      </c>
      <c r="K3389" s="12">
        <v>15.161626794258398</v>
      </c>
      <c r="L3389" s="2">
        <v>1122</v>
      </c>
      <c r="M3389" s="15">
        <v>17011.345263157924</v>
      </c>
    </row>
    <row r="3390" spans="1:13" x14ac:dyDescent="0.3">
      <c r="A3390" s="10">
        <v>46174</v>
      </c>
      <c r="B3390" s="9" t="s">
        <v>74</v>
      </c>
      <c r="C3390" t="s">
        <v>75</v>
      </c>
      <c r="D3390" s="9">
        <v>0</v>
      </c>
      <c r="E3390" s="5" t="s">
        <v>556</v>
      </c>
      <c r="F3390" t="s">
        <v>76</v>
      </c>
      <c r="G3390">
        <v>3458</v>
      </c>
      <c r="H3390">
        <v>1513</v>
      </c>
      <c r="I3390" s="8">
        <v>0.43753614806246383</v>
      </c>
      <c r="J3390" s="17">
        <v>0.7</v>
      </c>
      <c r="K3390" s="12">
        <v>15.033137614678781</v>
      </c>
      <c r="L3390" s="2">
        <v>1945</v>
      </c>
      <c r="M3390" s="15">
        <v>29239.452660550229</v>
      </c>
    </row>
    <row r="3391" spans="1:13" x14ac:dyDescent="0.3">
      <c r="A3391" s="10">
        <v>46174</v>
      </c>
      <c r="B3391" s="9" t="s">
        <v>14</v>
      </c>
      <c r="C3391" t="s">
        <v>325</v>
      </c>
      <c r="D3391" s="9">
        <v>0</v>
      </c>
      <c r="E3391" s="5" t="s">
        <v>622</v>
      </c>
      <c r="F3391" t="s">
        <v>326</v>
      </c>
      <c r="G3391">
        <v>1093</v>
      </c>
      <c r="H3391">
        <v>448</v>
      </c>
      <c r="I3391" s="8">
        <v>0.40988106129917656</v>
      </c>
      <c r="J3391" s="17">
        <v>0.7</v>
      </c>
      <c r="K3391" s="12">
        <v>14.86989361702131</v>
      </c>
      <c r="L3391" s="2">
        <v>645</v>
      </c>
      <c r="M3391" s="15">
        <v>9591.0813829787458</v>
      </c>
    </row>
    <row r="3392" spans="1:13" x14ac:dyDescent="0.3">
      <c r="A3392" s="10">
        <v>46174</v>
      </c>
      <c r="B3392" s="9" t="s">
        <v>78</v>
      </c>
      <c r="C3392" t="s">
        <v>79</v>
      </c>
      <c r="D3392" s="9">
        <v>0</v>
      </c>
      <c r="E3392" s="5" t="s">
        <v>413</v>
      </c>
      <c r="F3392" t="s">
        <v>80</v>
      </c>
      <c r="G3392">
        <v>2780</v>
      </c>
      <c r="H3392">
        <v>1088</v>
      </c>
      <c r="I3392" s="8">
        <v>0.39136690647482014</v>
      </c>
      <c r="J3392" s="17">
        <v>0.7</v>
      </c>
      <c r="K3392" s="12">
        <v>15.412254901960804</v>
      </c>
      <c r="L3392" s="2">
        <v>1692</v>
      </c>
      <c r="M3392" s="15">
        <v>26077.535294117679</v>
      </c>
    </row>
    <row r="3393" spans="1:13" x14ac:dyDescent="0.3">
      <c r="A3393" s="10">
        <v>46174</v>
      </c>
      <c r="B3393" s="9" t="s">
        <v>82</v>
      </c>
      <c r="C3393" t="s">
        <v>83</v>
      </c>
      <c r="D3393" s="9">
        <v>0</v>
      </c>
      <c r="E3393" s="5" t="s">
        <v>641</v>
      </c>
      <c r="F3393" t="s">
        <v>84</v>
      </c>
      <c r="G3393">
        <v>2041</v>
      </c>
      <c r="H3393">
        <v>763</v>
      </c>
      <c r="I3393" s="8">
        <v>0.37383635472807447</v>
      </c>
      <c r="J3393" s="17">
        <v>0.7</v>
      </c>
      <c r="K3393" s="12">
        <v>14.332092130518179</v>
      </c>
      <c r="L3393" s="2">
        <v>1278</v>
      </c>
      <c r="M3393" s="15">
        <v>18316.413742802233</v>
      </c>
    </row>
    <row r="3394" spans="1:13" x14ac:dyDescent="0.3">
      <c r="A3394" s="10">
        <v>46174</v>
      </c>
      <c r="B3394" s="9" t="s">
        <v>82</v>
      </c>
      <c r="C3394" t="s">
        <v>83</v>
      </c>
      <c r="D3394" s="9">
        <v>0</v>
      </c>
      <c r="E3394" s="5" t="s">
        <v>479</v>
      </c>
      <c r="F3394" t="s">
        <v>85</v>
      </c>
      <c r="G3394">
        <v>2017</v>
      </c>
      <c r="H3394">
        <v>725</v>
      </c>
      <c r="I3394" s="8">
        <v>0.3594447198810114</v>
      </c>
      <c r="J3394" s="17">
        <v>0.7</v>
      </c>
      <c r="K3394" s="12">
        <v>14.278819188191941</v>
      </c>
      <c r="L3394" s="2">
        <v>1292</v>
      </c>
      <c r="M3394" s="15">
        <v>18448.234391143986</v>
      </c>
    </row>
    <row r="3395" spans="1:13" x14ac:dyDescent="0.3">
      <c r="A3395" s="10">
        <v>46174</v>
      </c>
      <c r="B3395" s="9" t="s">
        <v>82</v>
      </c>
      <c r="C3395" t="s">
        <v>83</v>
      </c>
      <c r="D3395" s="9">
        <v>0</v>
      </c>
      <c r="E3395" s="5" t="s">
        <v>618</v>
      </c>
      <c r="F3395" t="s">
        <v>87</v>
      </c>
      <c r="G3395">
        <v>1072</v>
      </c>
      <c r="H3395">
        <v>279</v>
      </c>
      <c r="I3395" s="8">
        <v>0.26026119402985076</v>
      </c>
      <c r="J3395" s="17">
        <v>0.7</v>
      </c>
      <c r="K3395" s="12">
        <v>14.896666666666697</v>
      </c>
      <c r="L3395" s="2">
        <v>793</v>
      </c>
      <c r="M3395" s="15">
        <v>11813.056666666691</v>
      </c>
    </row>
    <row r="3396" spans="1:13" x14ac:dyDescent="0.3">
      <c r="A3396" s="10">
        <v>46174</v>
      </c>
      <c r="B3396" s="9" t="s">
        <v>82</v>
      </c>
      <c r="C3396" t="s">
        <v>83</v>
      </c>
      <c r="D3396" s="9">
        <v>0</v>
      </c>
      <c r="E3396" s="5" t="s">
        <v>642</v>
      </c>
      <c r="F3396" t="s">
        <v>86</v>
      </c>
      <c r="G3396">
        <v>819</v>
      </c>
      <c r="H3396">
        <v>211</v>
      </c>
      <c r="I3396" s="8">
        <v>0.2576312576312576</v>
      </c>
      <c r="J3396" s="17">
        <v>0.7</v>
      </c>
      <c r="K3396" s="12">
        <v>14.973949579831949</v>
      </c>
      <c r="L3396" s="2">
        <v>608</v>
      </c>
      <c r="M3396" s="15">
        <v>9104.1613445378243</v>
      </c>
    </row>
    <row r="3397" spans="1:13" x14ac:dyDescent="0.3">
      <c r="A3397" s="10">
        <v>46174</v>
      </c>
      <c r="B3397" s="9" t="s">
        <v>15</v>
      </c>
      <c r="C3397" t="s">
        <v>312</v>
      </c>
      <c r="D3397" s="9">
        <v>0</v>
      </c>
      <c r="E3397" s="5" t="s">
        <v>488</v>
      </c>
      <c r="F3397" t="s">
        <v>88</v>
      </c>
      <c r="G3397">
        <v>2067</v>
      </c>
      <c r="H3397">
        <v>1527</v>
      </c>
      <c r="I3397" s="8">
        <v>0.73875181422351233</v>
      </c>
      <c r="J3397" s="17">
        <v>0.7</v>
      </c>
      <c r="K3397" s="12">
        <v>14.211980830670768</v>
      </c>
      <c r="L3397" s="2">
        <v>540</v>
      </c>
      <c r="M3397" s="15">
        <v>7674.4696485622153</v>
      </c>
    </row>
    <row r="3398" spans="1:13" x14ac:dyDescent="0.3">
      <c r="A3398" s="10">
        <v>46174</v>
      </c>
      <c r="B3398" s="9" t="s">
        <v>89</v>
      </c>
      <c r="C3398" t="s">
        <v>313</v>
      </c>
      <c r="D3398" s="9">
        <v>0</v>
      </c>
      <c r="E3398" s="5" t="s">
        <v>643</v>
      </c>
      <c r="F3398" t="s">
        <v>91</v>
      </c>
      <c r="G3398">
        <v>1831</v>
      </c>
      <c r="H3398">
        <v>677</v>
      </c>
      <c r="I3398" s="8">
        <v>0.36974330966684871</v>
      </c>
      <c r="J3398" s="17">
        <v>0.7</v>
      </c>
      <c r="K3398" s="12">
        <v>15.716276595744729</v>
      </c>
      <c r="L3398" s="2">
        <v>1154</v>
      </c>
      <c r="M3398" s="15">
        <v>18136.583191489419</v>
      </c>
    </row>
    <row r="3399" spans="1:13" x14ac:dyDescent="0.3">
      <c r="A3399" s="10">
        <v>46174</v>
      </c>
      <c r="B3399" s="9" t="s">
        <v>89</v>
      </c>
      <c r="C3399" t="s">
        <v>313</v>
      </c>
      <c r="D3399" s="9">
        <v>0</v>
      </c>
      <c r="E3399" s="5" t="s">
        <v>644</v>
      </c>
      <c r="F3399" t="s">
        <v>626</v>
      </c>
      <c r="G3399">
        <v>1637</v>
      </c>
      <c r="H3399">
        <v>675</v>
      </c>
      <c r="I3399" s="8">
        <v>0.41233964569334147</v>
      </c>
      <c r="J3399" s="17">
        <v>0.7</v>
      </c>
      <c r="K3399" s="12">
        <v>15.711917098445648</v>
      </c>
      <c r="L3399" s="2">
        <v>962</v>
      </c>
      <c r="M3399" s="15">
        <v>15114.864248704713</v>
      </c>
    </row>
    <row r="3400" spans="1:13" x14ac:dyDescent="0.3">
      <c r="A3400" s="10">
        <v>46174</v>
      </c>
      <c r="B3400" s="9" t="s">
        <v>89</v>
      </c>
      <c r="C3400" t="s">
        <v>313</v>
      </c>
      <c r="D3400" s="9">
        <v>0</v>
      </c>
      <c r="E3400" s="5" t="s">
        <v>645</v>
      </c>
      <c r="F3400" t="s">
        <v>94</v>
      </c>
      <c r="G3400">
        <v>1761</v>
      </c>
      <c r="H3400">
        <v>866</v>
      </c>
      <c r="I3400" s="8">
        <v>0.49176604202157864</v>
      </c>
      <c r="J3400" s="17">
        <v>0.7</v>
      </c>
      <c r="K3400" s="12">
        <v>14.726217228464474</v>
      </c>
      <c r="L3400" s="2">
        <v>895</v>
      </c>
      <c r="M3400" s="15">
        <v>13179.964419475704</v>
      </c>
    </row>
    <row r="3401" spans="1:13" x14ac:dyDescent="0.3">
      <c r="A3401" s="10">
        <v>46174</v>
      </c>
      <c r="B3401" s="9" t="s">
        <v>89</v>
      </c>
      <c r="C3401" t="s">
        <v>313</v>
      </c>
      <c r="D3401" s="9">
        <v>0</v>
      </c>
      <c r="E3401" s="5" t="s">
        <v>646</v>
      </c>
      <c r="F3401" t="s">
        <v>95</v>
      </c>
      <c r="G3401">
        <v>2288</v>
      </c>
      <c r="H3401">
        <v>1302</v>
      </c>
      <c r="I3401" s="8">
        <v>0.56905594405594406</v>
      </c>
      <c r="J3401" s="17">
        <v>0.7</v>
      </c>
      <c r="K3401" s="12">
        <v>13.648366013071863</v>
      </c>
      <c r="L3401" s="2">
        <v>986</v>
      </c>
      <c r="M3401" s="15">
        <v>13457.288888888857</v>
      </c>
    </row>
    <row r="3402" spans="1:13" x14ac:dyDescent="0.3">
      <c r="A3402" s="10">
        <v>46174</v>
      </c>
      <c r="B3402" s="9" t="s">
        <v>82</v>
      </c>
      <c r="C3402" t="s">
        <v>314</v>
      </c>
      <c r="D3402" s="9">
        <v>0</v>
      </c>
      <c r="E3402" s="5" t="s">
        <v>613</v>
      </c>
      <c r="F3402" t="s">
        <v>96</v>
      </c>
      <c r="G3402">
        <v>1165</v>
      </c>
      <c r="H3402">
        <v>598</v>
      </c>
      <c r="I3402" s="8">
        <v>0.51330472103004288</v>
      </c>
      <c r="J3402" s="17">
        <v>0.7</v>
      </c>
      <c r="K3402" s="12">
        <v>13.727878787878739</v>
      </c>
      <c r="L3402" s="2">
        <v>567</v>
      </c>
      <c r="M3402" s="15">
        <v>7783.7072727272453</v>
      </c>
    </row>
    <row r="3403" spans="1:13" x14ac:dyDescent="0.3">
      <c r="A3403" s="10">
        <v>46174</v>
      </c>
      <c r="B3403" s="9" t="s">
        <v>74</v>
      </c>
      <c r="C3403" t="s">
        <v>97</v>
      </c>
      <c r="D3403" s="9">
        <v>0</v>
      </c>
      <c r="E3403" s="5" t="s">
        <v>522</v>
      </c>
      <c r="F3403" t="s">
        <v>98</v>
      </c>
      <c r="G3403">
        <v>2462</v>
      </c>
      <c r="H3403">
        <v>1139</v>
      </c>
      <c r="I3403" s="8">
        <v>0.4626320064987815</v>
      </c>
      <c r="J3403" s="17">
        <v>0.7</v>
      </c>
      <c r="K3403" s="12">
        <v>15.468478964401315</v>
      </c>
      <c r="L3403" s="2">
        <v>1323</v>
      </c>
      <c r="M3403" s="15">
        <v>20464.797669902939</v>
      </c>
    </row>
    <row r="3404" spans="1:13" x14ac:dyDescent="0.3">
      <c r="A3404" s="10">
        <v>46174</v>
      </c>
      <c r="B3404" s="9" t="s">
        <v>7</v>
      </c>
      <c r="C3404" t="s">
        <v>99</v>
      </c>
      <c r="D3404" s="9">
        <v>0</v>
      </c>
      <c r="E3404" s="5" t="s">
        <v>415</v>
      </c>
      <c r="F3404" t="s">
        <v>100</v>
      </c>
      <c r="G3404">
        <v>2415</v>
      </c>
      <c r="H3404">
        <v>1059</v>
      </c>
      <c r="I3404" s="8">
        <v>0.43850931677018634</v>
      </c>
      <c r="J3404" s="17">
        <v>0.7</v>
      </c>
      <c r="K3404" s="12">
        <v>15.782547486033392</v>
      </c>
      <c r="L3404" s="2">
        <v>1356</v>
      </c>
      <c r="M3404" s="15">
        <v>21401.134391061281</v>
      </c>
    </row>
    <row r="3405" spans="1:13" x14ac:dyDescent="0.3">
      <c r="A3405" s="10">
        <v>46174</v>
      </c>
      <c r="B3405" s="9" t="s">
        <v>7</v>
      </c>
      <c r="C3405" t="s">
        <v>99</v>
      </c>
      <c r="D3405" s="9">
        <v>0</v>
      </c>
      <c r="E3405" s="5" t="s">
        <v>484</v>
      </c>
      <c r="F3405" t="s">
        <v>101</v>
      </c>
      <c r="G3405">
        <v>2788</v>
      </c>
      <c r="H3405">
        <v>1021</v>
      </c>
      <c r="I3405" s="8">
        <v>0.36621233859397417</v>
      </c>
      <c r="J3405" s="17">
        <v>0.7</v>
      </c>
      <c r="K3405" s="12">
        <v>16.135716272600714</v>
      </c>
      <c r="L3405" s="2">
        <v>1767</v>
      </c>
      <c r="M3405" s="15">
        <v>28511.810653685461</v>
      </c>
    </row>
    <row r="3406" spans="1:13" x14ac:dyDescent="0.3">
      <c r="A3406" s="10">
        <v>46174</v>
      </c>
      <c r="B3406" s="9" t="s">
        <v>46</v>
      </c>
      <c r="C3406" t="s">
        <v>102</v>
      </c>
      <c r="D3406" s="9">
        <v>0</v>
      </c>
      <c r="E3406" s="5" t="s">
        <v>543</v>
      </c>
      <c r="F3406" t="s">
        <v>103</v>
      </c>
      <c r="G3406">
        <v>2205</v>
      </c>
      <c r="H3406">
        <v>822</v>
      </c>
      <c r="I3406" s="8">
        <v>0.3727891156462585</v>
      </c>
      <c r="J3406" s="17">
        <v>0.7</v>
      </c>
      <c r="K3406" s="12">
        <v>15.444312393887779</v>
      </c>
      <c r="L3406" s="2">
        <v>1383</v>
      </c>
      <c r="M3406" s="15">
        <v>21359.4840407468</v>
      </c>
    </row>
    <row r="3407" spans="1:13" x14ac:dyDescent="0.3">
      <c r="A3407" s="10">
        <v>46174</v>
      </c>
      <c r="B3407" s="9" t="s">
        <v>59</v>
      </c>
      <c r="C3407" t="s">
        <v>104</v>
      </c>
      <c r="D3407" s="9">
        <v>0</v>
      </c>
      <c r="E3407" s="5" t="s">
        <v>572</v>
      </c>
      <c r="F3407" t="s">
        <v>105</v>
      </c>
      <c r="G3407">
        <v>1812</v>
      </c>
      <c r="H3407">
        <v>810</v>
      </c>
      <c r="I3407" s="8">
        <v>0.44701986754966888</v>
      </c>
      <c r="J3407" s="17">
        <v>0.7</v>
      </c>
      <c r="K3407" s="12">
        <v>14.352710084033586</v>
      </c>
      <c r="L3407" s="2">
        <v>1002</v>
      </c>
      <c r="M3407" s="15">
        <v>14381.415504201652</v>
      </c>
    </row>
    <row r="3408" spans="1:13" x14ac:dyDescent="0.3">
      <c r="A3408" s="10">
        <v>46174</v>
      </c>
      <c r="B3408" s="9" t="s">
        <v>82</v>
      </c>
      <c r="C3408" t="s">
        <v>106</v>
      </c>
      <c r="D3408" s="9">
        <v>0</v>
      </c>
      <c r="E3408" s="5" t="s">
        <v>531</v>
      </c>
      <c r="F3408" t="s">
        <v>107</v>
      </c>
      <c r="G3408">
        <v>745</v>
      </c>
      <c r="H3408">
        <v>213</v>
      </c>
      <c r="I3408" s="8">
        <v>0.2859060402684564</v>
      </c>
      <c r="J3408" s="17">
        <v>0.7</v>
      </c>
      <c r="K3408" s="12">
        <v>13.92222222222224</v>
      </c>
      <c r="L3408" s="2">
        <v>532</v>
      </c>
      <c r="M3408" s="15">
        <v>7406.6222222222323</v>
      </c>
    </row>
    <row r="3409" spans="1:13" x14ac:dyDescent="0.3">
      <c r="A3409" s="10">
        <v>46174</v>
      </c>
      <c r="B3409" s="9" t="s">
        <v>3</v>
      </c>
      <c r="C3409" t="s">
        <v>108</v>
      </c>
      <c r="D3409" s="9">
        <v>0</v>
      </c>
      <c r="E3409" s="5" t="s">
        <v>594</v>
      </c>
      <c r="F3409" t="s">
        <v>109</v>
      </c>
      <c r="G3409">
        <v>1468</v>
      </c>
      <c r="H3409">
        <v>553</v>
      </c>
      <c r="I3409" s="8">
        <v>0.37670299727520434</v>
      </c>
      <c r="J3409" s="17">
        <v>0.7</v>
      </c>
      <c r="K3409" s="12">
        <v>15.933470588235332</v>
      </c>
      <c r="L3409" s="2">
        <v>915</v>
      </c>
      <c r="M3409" s="15">
        <v>14579.125588235329</v>
      </c>
    </row>
    <row r="3410" spans="1:13" x14ac:dyDescent="0.3">
      <c r="A3410" s="10">
        <v>46174</v>
      </c>
      <c r="B3410" s="9" t="s">
        <v>3</v>
      </c>
      <c r="C3410" t="s">
        <v>110</v>
      </c>
      <c r="D3410" s="9">
        <v>0</v>
      </c>
      <c r="E3410" s="5" t="s">
        <v>577</v>
      </c>
      <c r="F3410" t="s">
        <v>111</v>
      </c>
      <c r="G3410">
        <v>1431</v>
      </c>
      <c r="H3410">
        <v>438</v>
      </c>
      <c r="I3410" s="8">
        <v>0.30607966457023061</v>
      </c>
      <c r="J3410" s="17">
        <v>0.7</v>
      </c>
      <c r="K3410" s="12">
        <v>14.78310000000004</v>
      </c>
      <c r="L3410" s="2">
        <v>993</v>
      </c>
      <c r="M3410" s="15">
        <v>14679.61830000004</v>
      </c>
    </row>
    <row r="3411" spans="1:13" x14ac:dyDescent="0.3">
      <c r="A3411" s="10">
        <v>46174</v>
      </c>
      <c r="B3411" s="9" t="s">
        <v>14</v>
      </c>
      <c r="C3411" t="s">
        <v>112</v>
      </c>
      <c r="D3411" s="9">
        <v>0</v>
      </c>
      <c r="E3411" s="5" t="s">
        <v>558</v>
      </c>
      <c r="F3411" t="s">
        <v>113</v>
      </c>
      <c r="G3411">
        <v>1627</v>
      </c>
      <c r="H3411">
        <v>645</v>
      </c>
      <c r="I3411" s="8">
        <v>0.39643515673017826</v>
      </c>
      <c r="J3411" s="17">
        <v>0.7</v>
      </c>
      <c r="K3411" s="12">
        <v>14.664705882352985</v>
      </c>
      <c r="L3411" s="2">
        <v>982</v>
      </c>
      <c r="M3411" s="15">
        <v>14400.741176470632</v>
      </c>
    </row>
    <row r="3412" spans="1:13" x14ac:dyDescent="0.3">
      <c r="A3412" s="10">
        <v>46174</v>
      </c>
      <c r="B3412" s="9" t="s">
        <v>14</v>
      </c>
      <c r="C3412" t="s">
        <v>114</v>
      </c>
      <c r="D3412" s="9">
        <v>0</v>
      </c>
      <c r="E3412" s="5" t="s">
        <v>551</v>
      </c>
      <c r="F3412" t="s">
        <v>115</v>
      </c>
      <c r="G3412">
        <v>1039</v>
      </c>
      <c r="H3412">
        <v>478</v>
      </c>
      <c r="I3412" s="8">
        <v>0.46005774783445619</v>
      </c>
      <c r="J3412" s="17">
        <v>0.7</v>
      </c>
      <c r="K3412" s="12">
        <v>13.347368421052687</v>
      </c>
      <c r="L3412" s="2">
        <v>561</v>
      </c>
      <c r="M3412" s="15">
        <v>7487.8736842105573</v>
      </c>
    </row>
    <row r="3413" spans="1:13" x14ac:dyDescent="0.3">
      <c r="A3413" s="10">
        <v>46174</v>
      </c>
      <c r="B3413" s="9" t="s">
        <v>74</v>
      </c>
      <c r="C3413" t="s">
        <v>315</v>
      </c>
      <c r="D3413" s="9">
        <v>0</v>
      </c>
      <c r="E3413" s="5" t="s">
        <v>399</v>
      </c>
      <c r="F3413" t="s">
        <v>116</v>
      </c>
      <c r="G3413">
        <v>1503</v>
      </c>
      <c r="H3413">
        <v>573</v>
      </c>
      <c r="I3413" s="8">
        <v>0.38123752495009983</v>
      </c>
      <c r="J3413" s="17">
        <v>0.7</v>
      </c>
      <c r="K3413" s="12">
        <v>14.521660649819552</v>
      </c>
      <c r="L3413" s="2">
        <v>930</v>
      </c>
      <c r="M3413" s="15">
        <v>13505.144404332183</v>
      </c>
    </row>
    <row r="3414" spans="1:13" x14ac:dyDescent="0.3">
      <c r="A3414" s="10">
        <v>46174</v>
      </c>
      <c r="B3414" s="9" t="s">
        <v>61</v>
      </c>
      <c r="C3414" t="s">
        <v>328</v>
      </c>
      <c r="D3414" s="9">
        <v>0</v>
      </c>
      <c r="E3414" s="5" t="s">
        <v>604</v>
      </c>
      <c r="F3414" t="s">
        <v>77</v>
      </c>
      <c r="G3414">
        <v>2075</v>
      </c>
      <c r="H3414">
        <v>1013</v>
      </c>
      <c r="I3414" s="8">
        <v>0.48819277108433734</v>
      </c>
      <c r="J3414" s="17">
        <v>0.7</v>
      </c>
      <c r="K3414" s="12">
        <v>14.302484472049734</v>
      </c>
      <c r="L3414" s="2">
        <v>1062</v>
      </c>
      <c r="M3414" s="15">
        <v>15189.238509316818</v>
      </c>
    </row>
    <row r="3415" spans="1:13" x14ac:dyDescent="0.3">
      <c r="A3415" s="10">
        <v>46174</v>
      </c>
      <c r="B3415" s="9" t="s">
        <v>14</v>
      </c>
      <c r="C3415" t="s">
        <v>316</v>
      </c>
      <c r="D3415" s="9">
        <v>0</v>
      </c>
      <c r="E3415" s="5" t="s">
        <v>560</v>
      </c>
      <c r="F3415" t="s">
        <v>117</v>
      </c>
      <c r="G3415">
        <v>2579</v>
      </c>
      <c r="H3415">
        <v>840</v>
      </c>
      <c r="I3415" s="8">
        <v>0.32570763861961999</v>
      </c>
      <c r="J3415" s="17">
        <v>0.7</v>
      </c>
      <c r="K3415" s="12">
        <v>14.227570093457903</v>
      </c>
      <c r="L3415" s="2">
        <v>1739</v>
      </c>
      <c r="M3415" s="15">
        <v>24741.744392523295</v>
      </c>
    </row>
    <row r="3416" spans="1:13" x14ac:dyDescent="0.3">
      <c r="A3416" s="10">
        <v>46174</v>
      </c>
      <c r="B3416" s="9" t="s">
        <v>71</v>
      </c>
      <c r="C3416" t="s">
        <v>308</v>
      </c>
      <c r="D3416" s="9">
        <v>0</v>
      </c>
      <c r="E3416" s="5" t="s">
        <v>614</v>
      </c>
      <c r="F3416" t="s">
        <v>309</v>
      </c>
      <c r="G3416">
        <v>770</v>
      </c>
      <c r="H3416">
        <v>317</v>
      </c>
      <c r="I3416" s="8">
        <v>0.41168831168831171</v>
      </c>
      <c r="J3416" s="17">
        <v>0.7</v>
      </c>
      <c r="K3416" s="12">
        <v>14.396590909090905</v>
      </c>
      <c r="L3416" s="2">
        <v>453</v>
      </c>
      <c r="M3416" s="15">
        <v>6521.6556818181798</v>
      </c>
    </row>
    <row r="3417" spans="1:13" x14ac:dyDescent="0.3">
      <c r="A3417" s="10">
        <v>46174</v>
      </c>
      <c r="B3417" s="9" t="s">
        <v>21</v>
      </c>
      <c r="C3417" t="s">
        <v>317</v>
      </c>
      <c r="D3417" s="9">
        <v>0</v>
      </c>
      <c r="E3417" s="5" t="s">
        <v>466</v>
      </c>
      <c r="F3417" t="s">
        <v>118</v>
      </c>
      <c r="G3417">
        <v>3701</v>
      </c>
      <c r="H3417">
        <v>1949</v>
      </c>
      <c r="I3417" s="8">
        <v>0.52661442853282892</v>
      </c>
      <c r="J3417" s="17">
        <v>0.7</v>
      </c>
      <c r="K3417" s="12">
        <v>15.406202290076239</v>
      </c>
      <c r="L3417" s="2">
        <v>1752</v>
      </c>
      <c r="M3417" s="15">
        <v>26991.66641221357</v>
      </c>
    </row>
    <row r="3418" spans="1:13" x14ac:dyDescent="0.3">
      <c r="A3418" s="10">
        <v>46174</v>
      </c>
      <c r="B3418" s="9" t="s">
        <v>82</v>
      </c>
      <c r="C3418" t="s">
        <v>119</v>
      </c>
      <c r="D3418" s="9">
        <v>0</v>
      </c>
      <c r="E3418" s="5" t="s">
        <v>403</v>
      </c>
      <c r="F3418" t="s">
        <v>120</v>
      </c>
      <c r="G3418">
        <v>2150</v>
      </c>
      <c r="H3418">
        <v>640</v>
      </c>
      <c r="I3418" s="8">
        <v>0.29767441860465116</v>
      </c>
      <c r="J3418" s="17">
        <v>0.7</v>
      </c>
      <c r="K3418" s="12">
        <v>14.055128205128195</v>
      </c>
      <c r="L3418" s="2">
        <v>1510</v>
      </c>
      <c r="M3418" s="15">
        <v>21223.243589743575</v>
      </c>
    </row>
    <row r="3419" spans="1:13" x14ac:dyDescent="0.3">
      <c r="A3419" s="10">
        <v>46174</v>
      </c>
      <c r="B3419" s="9" t="s">
        <v>123</v>
      </c>
      <c r="C3419" t="s">
        <v>124</v>
      </c>
      <c r="D3419" s="9">
        <v>0</v>
      </c>
      <c r="E3419" s="5" t="s">
        <v>546</v>
      </c>
      <c r="F3419" t="s">
        <v>125</v>
      </c>
      <c r="G3419">
        <v>1035</v>
      </c>
      <c r="H3419">
        <v>683</v>
      </c>
      <c r="I3419" s="8">
        <v>0.65990338164251205</v>
      </c>
      <c r="J3419" s="17">
        <v>0.7</v>
      </c>
      <c r="K3419" s="12">
        <v>13.630923076923056</v>
      </c>
      <c r="L3419" s="2">
        <v>352</v>
      </c>
      <c r="M3419" s="15">
        <v>4798.0849230769154</v>
      </c>
    </row>
    <row r="3420" spans="1:13" x14ac:dyDescent="0.3">
      <c r="A3420" s="10">
        <v>46174</v>
      </c>
      <c r="B3420" s="9" t="s">
        <v>126</v>
      </c>
      <c r="C3420" t="s">
        <v>127</v>
      </c>
      <c r="D3420" s="9">
        <v>0</v>
      </c>
      <c r="E3420" s="5" t="s">
        <v>410</v>
      </c>
      <c r="F3420" t="s">
        <v>128</v>
      </c>
      <c r="G3420">
        <v>1443</v>
      </c>
      <c r="H3420">
        <v>646</v>
      </c>
      <c r="I3420" s="8">
        <v>0.44767844767844767</v>
      </c>
      <c r="J3420" s="17">
        <v>0.7</v>
      </c>
      <c r="K3420" s="12">
        <v>13.161333333333385</v>
      </c>
      <c r="L3420" s="2">
        <v>797</v>
      </c>
      <c r="M3420" s="15">
        <v>10489.582666666707</v>
      </c>
    </row>
    <row r="3421" spans="1:13" x14ac:dyDescent="0.3">
      <c r="A3421" s="10">
        <v>46174</v>
      </c>
      <c r="B3421" s="9" t="s">
        <v>129</v>
      </c>
      <c r="C3421" t="s">
        <v>130</v>
      </c>
      <c r="D3421" s="9">
        <v>0</v>
      </c>
      <c r="E3421" s="5" t="s">
        <v>467</v>
      </c>
      <c r="F3421" t="s">
        <v>131</v>
      </c>
      <c r="G3421">
        <v>1206</v>
      </c>
      <c r="H3421">
        <v>510</v>
      </c>
      <c r="I3421" s="8">
        <v>0.4228855721393035</v>
      </c>
      <c r="J3421" s="17">
        <v>0.7</v>
      </c>
      <c r="K3421" s="12">
        <v>15.681680000000037</v>
      </c>
      <c r="L3421" s="2">
        <v>696</v>
      </c>
      <c r="M3421" s="15">
        <v>10914.449280000026</v>
      </c>
    </row>
    <row r="3422" spans="1:13" x14ac:dyDescent="0.3">
      <c r="A3422" s="10">
        <v>46174</v>
      </c>
      <c r="B3422" s="9" t="s">
        <v>129</v>
      </c>
      <c r="C3422" t="s">
        <v>130</v>
      </c>
      <c r="D3422" s="9">
        <v>0</v>
      </c>
      <c r="E3422" s="5" t="s">
        <v>468</v>
      </c>
      <c r="F3422" t="s">
        <v>132</v>
      </c>
      <c r="G3422">
        <v>1397</v>
      </c>
      <c r="H3422">
        <v>626</v>
      </c>
      <c r="I3422" s="8">
        <v>0.44810307802433785</v>
      </c>
      <c r="J3422" s="17">
        <v>0.7</v>
      </c>
      <c r="K3422" s="12">
        <v>15.219141914191439</v>
      </c>
      <c r="L3422" s="2">
        <v>771</v>
      </c>
      <c r="M3422" s="15">
        <v>11733.9584158416</v>
      </c>
    </row>
    <row r="3423" spans="1:13" x14ac:dyDescent="0.3">
      <c r="A3423" s="10">
        <v>46174</v>
      </c>
      <c r="B3423" s="9" t="s">
        <v>129</v>
      </c>
      <c r="C3423" t="s">
        <v>130</v>
      </c>
      <c r="D3423" s="9">
        <v>0</v>
      </c>
      <c r="E3423" s="5" t="s">
        <v>469</v>
      </c>
      <c r="F3423" t="s">
        <v>133</v>
      </c>
      <c r="G3423">
        <v>1079</v>
      </c>
      <c r="H3423">
        <v>482</v>
      </c>
      <c r="I3423" s="8">
        <v>0.44670991658943465</v>
      </c>
      <c r="J3423" s="17">
        <v>0.7</v>
      </c>
      <c r="K3423" s="12">
        <v>15.426666666666671</v>
      </c>
      <c r="L3423" s="2">
        <v>597</v>
      </c>
      <c r="M3423" s="15">
        <v>9209.720000000003</v>
      </c>
    </row>
    <row r="3424" spans="1:13" x14ac:dyDescent="0.3">
      <c r="A3424" s="10">
        <v>46174</v>
      </c>
      <c r="B3424" s="9" t="s">
        <v>129</v>
      </c>
      <c r="C3424" t="s">
        <v>130</v>
      </c>
      <c r="D3424" s="9">
        <v>0</v>
      </c>
      <c r="E3424" s="5" t="s">
        <v>470</v>
      </c>
      <c r="F3424" t="s">
        <v>134</v>
      </c>
      <c r="G3424">
        <v>1045</v>
      </c>
      <c r="H3424">
        <v>518</v>
      </c>
      <c r="I3424" s="8">
        <v>0.49569377990430624</v>
      </c>
      <c r="J3424" s="17">
        <v>0.7</v>
      </c>
      <c r="K3424" s="12">
        <v>14.347076923076974</v>
      </c>
      <c r="L3424" s="2">
        <v>527</v>
      </c>
      <c r="M3424" s="15">
        <v>7560.9095384615657</v>
      </c>
    </row>
    <row r="3425" spans="1:13" x14ac:dyDescent="0.3">
      <c r="A3425" s="10">
        <v>46174</v>
      </c>
      <c r="B3425" s="9" t="s">
        <v>82</v>
      </c>
      <c r="C3425" t="s">
        <v>135</v>
      </c>
      <c r="D3425" s="9">
        <v>0</v>
      </c>
      <c r="E3425" s="5" t="s">
        <v>477</v>
      </c>
      <c r="F3425" t="s">
        <v>136</v>
      </c>
      <c r="G3425">
        <v>1445</v>
      </c>
      <c r="H3425">
        <v>503</v>
      </c>
      <c r="I3425" s="8">
        <v>0.34809688581314879</v>
      </c>
      <c r="J3425" s="17">
        <v>0.7</v>
      </c>
      <c r="K3425" s="12">
        <v>14.05000000000005</v>
      </c>
      <c r="L3425" s="2">
        <v>942</v>
      </c>
      <c r="M3425" s="15">
        <v>13235.100000000048</v>
      </c>
    </row>
    <row r="3426" spans="1:13" x14ac:dyDescent="0.3">
      <c r="A3426" s="10">
        <v>46174</v>
      </c>
      <c r="B3426" s="9" t="s">
        <v>14</v>
      </c>
      <c r="C3426" t="s">
        <v>137</v>
      </c>
      <c r="D3426" s="9">
        <v>0</v>
      </c>
      <c r="E3426" s="5" t="s">
        <v>516</v>
      </c>
      <c r="F3426" t="s">
        <v>139</v>
      </c>
      <c r="G3426">
        <v>2492</v>
      </c>
      <c r="H3426">
        <v>1198</v>
      </c>
      <c r="I3426" s="8">
        <v>0.48073836276083465</v>
      </c>
      <c r="J3426" s="17">
        <v>0.7</v>
      </c>
      <c r="K3426" s="12">
        <v>14.425754716981045</v>
      </c>
      <c r="L3426" s="2">
        <v>1294</v>
      </c>
      <c r="M3426" s="15">
        <v>18666.926603773471</v>
      </c>
    </row>
    <row r="3427" spans="1:13" x14ac:dyDescent="0.3">
      <c r="A3427" s="10">
        <v>46174</v>
      </c>
      <c r="B3427" s="9" t="s">
        <v>14</v>
      </c>
      <c r="C3427" t="s">
        <v>137</v>
      </c>
      <c r="D3427" s="9">
        <v>0</v>
      </c>
      <c r="E3427" s="5" t="s">
        <v>515</v>
      </c>
      <c r="F3427" t="s">
        <v>138</v>
      </c>
      <c r="G3427">
        <v>1251</v>
      </c>
      <c r="H3427">
        <v>557</v>
      </c>
      <c r="I3427" s="8">
        <v>0.44524380495603516</v>
      </c>
      <c r="J3427" s="17">
        <v>0.7</v>
      </c>
      <c r="K3427" s="12">
        <v>14.42409090909096</v>
      </c>
      <c r="L3427" s="2">
        <v>694</v>
      </c>
      <c r="M3427" s="15">
        <v>10010.319090909126</v>
      </c>
    </row>
    <row r="3428" spans="1:13" x14ac:dyDescent="0.3">
      <c r="A3428" s="10">
        <v>46174</v>
      </c>
      <c r="B3428" s="9" t="s">
        <v>140</v>
      </c>
      <c r="C3428" t="s">
        <v>141</v>
      </c>
      <c r="D3428" s="9">
        <v>0</v>
      </c>
      <c r="E3428" s="5" t="s">
        <v>545</v>
      </c>
      <c r="F3428" t="s">
        <v>142</v>
      </c>
      <c r="G3428">
        <v>1947</v>
      </c>
      <c r="H3428">
        <v>1069</v>
      </c>
      <c r="I3428" s="8">
        <v>0.54904982023626092</v>
      </c>
      <c r="J3428" s="17">
        <v>0.7</v>
      </c>
      <c r="K3428" s="12">
        <v>13.251656050955464</v>
      </c>
      <c r="L3428" s="2">
        <v>878</v>
      </c>
      <c r="M3428" s="15">
        <v>11634.954012738897</v>
      </c>
    </row>
    <row r="3429" spans="1:13" x14ac:dyDescent="0.3">
      <c r="A3429" s="10">
        <v>46174</v>
      </c>
      <c r="B3429" s="9" t="s">
        <v>15</v>
      </c>
      <c r="C3429" t="s">
        <v>143</v>
      </c>
      <c r="D3429" s="9">
        <v>0</v>
      </c>
      <c r="E3429" s="5" t="s">
        <v>400</v>
      </c>
      <c r="F3429" t="s">
        <v>144</v>
      </c>
      <c r="G3429">
        <v>1864</v>
      </c>
      <c r="H3429">
        <v>529</v>
      </c>
      <c r="I3429" s="8">
        <v>0.28379828326180256</v>
      </c>
      <c r="J3429" s="17">
        <v>0.7</v>
      </c>
      <c r="K3429" s="12">
        <v>14.128215767634909</v>
      </c>
      <c r="L3429" s="2">
        <v>1335</v>
      </c>
      <c r="M3429" s="15">
        <v>18861.168049792603</v>
      </c>
    </row>
    <row r="3430" spans="1:13" x14ac:dyDescent="0.3">
      <c r="A3430" s="10">
        <v>46174</v>
      </c>
      <c r="B3430" s="9" t="s">
        <v>15</v>
      </c>
      <c r="C3430" t="s">
        <v>145</v>
      </c>
      <c r="D3430" s="9">
        <v>0</v>
      </c>
      <c r="E3430" s="5" t="s">
        <v>574</v>
      </c>
      <c r="F3430" t="s">
        <v>147</v>
      </c>
      <c r="G3430">
        <v>2868</v>
      </c>
      <c r="H3430">
        <v>907</v>
      </c>
      <c r="I3430" s="8">
        <v>0.31624825662482564</v>
      </c>
      <c r="J3430" s="17">
        <v>0.7</v>
      </c>
      <c r="K3430" s="12">
        <v>15.676430379746767</v>
      </c>
      <c r="L3430" s="2">
        <v>1961</v>
      </c>
      <c r="M3430" s="15">
        <v>30741.479974683411</v>
      </c>
    </row>
    <row r="3431" spans="1:13" x14ac:dyDescent="0.3">
      <c r="A3431" s="10">
        <v>46174</v>
      </c>
      <c r="B3431" s="9" t="s">
        <v>15</v>
      </c>
      <c r="C3431" t="s">
        <v>145</v>
      </c>
      <c r="D3431" s="9">
        <v>0</v>
      </c>
      <c r="E3431" s="5" t="s">
        <v>575</v>
      </c>
      <c r="F3431" t="s">
        <v>148</v>
      </c>
      <c r="G3431">
        <v>3588</v>
      </c>
      <c r="H3431">
        <v>1277</v>
      </c>
      <c r="I3431" s="8">
        <v>0.35590858416945376</v>
      </c>
      <c r="J3431" s="17">
        <v>0.7</v>
      </c>
      <c r="K3431" s="12">
        <v>15.264176776429668</v>
      </c>
      <c r="L3431" s="2">
        <v>2311</v>
      </c>
      <c r="M3431" s="15">
        <v>35275.512530328961</v>
      </c>
    </row>
    <row r="3432" spans="1:13" x14ac:dyDescent="0.3">
      <c r="A3432" s="10">
        <v>46174</v>
      </c>
      <c r="B3432" s="9" t="s">
        <v>15</v>
      </c>
      <c r="C3432" t="s">
        <v>145</v>
      </c>
      <c r="D3432" s="9">
        <v>0</v>
      </c>
      <c r="E3432" s="5" t="s">
        <v>548</v>
      </c>
      <c r="F3432" t="s">
        <v>146</v>
      </c>
      <c r="G3432">
        <v>3116</v>
      </c>
      <c r="H3432">
        <v>1270</v>
      </c>
      <c r="I3432" s="8">
        <v>0.40757381258023107</v>
      </c>
      <c r="J3432" s="17">
        <v>0.7</v>
      </c>
      <c r="K3432" s="12">
        <v>14.873333333333223</v>
      </c>
      <c r="L3432" s="2">
        <v>1846</v>
      </c>
      <c r="M3432" s="15">
        <v>27456.173333333129</v>
      </c>
    </row>
    <row r="3433" spans="1:13" x14ac:dyDescent="0.3">
      <c r="A3433" s="10">
        <v>46174</v>
      </c>
      <c r="B3433" s="9" t="s">
        <v>15</v>
      </c>
      <c r="C3433" t="s">
        <v>149</v>
      </c>
      <c r="D3433" s="9">
        <v>0</v>
      </c>
      <c r="E3433" s="5" t="s">
        <v>537</v>
      </c>
      <c r="F3433" t="s">
        <v>150</v>
      </c>
      <c r="G3433">
        <v>2477</v>
      </c>
      <c r="H3433">
        <v>1525</v>
      </c>
      <c r="I3433" s="8">
        <v>0.61566410981025432</v>
      </c>
      <c r="J3433" s="17">
        <v>0.7</v>
      </c>
      <c r="K3433" s="12">
        <v>13.592551210428224</v>
      </c>
      <c r="L3433" s="2">
        <v>952</v>
      </c>
      <c r="M3433" s="15">
        <v>12940.108752327669</v>
      </c>
    </row>
    <row r="3434" spans="1:13" x14ac:dyDescent="0.3">
      <c r="A3434" s="10">
        <v>46174</v>
      </c>
      <c r="B3434" s="9" t="s">
        <v>15</v>
      </c>
      <c r="C3434" t="s">
        <v>151</v>
      </c>
      <c r="D3434" s="9">
        <v>0</v>
      </c>
      <c r="E3434" s="5" t="s">
        <v>385</v>
      </c>
      <c r="F3434" t="s">
        <v>153</v>
      </c>
      <c r="G3434">
        <v>2282</v>
      </c>
      <c r="H3434">
        <v>861</v>
      </c>
      <c r="I3434" s="8">
        <v>0.3773006134969325</v>
      </c>
      <c r="J3434" s="17">
        <v>0.7</v>
      </c>
      <c r="K3434" s="12">
        <v>14.046253298153038</v>
      </c>
      <c r="L3434" s="2">
        <v>1421</v>
      </c>
      <c r="M3434" s="15">
        <v>19959.725936675466</v>
      </c>
    </row>
    <row r="3435" spans="1:13" x14ac:dyDescent="0.3">
      <c r="A3435" s="10">
        <v>46174</v>
      </c>
      <c r="B3435" s="9" t="s">
        <v>15</v>
      </c>
      <c r="C3435" t="s">
        <v>151</v>
      </c>
      <c r="D3435" s="9">
        <v>0</v>
      </c>
      <c r="E3435" s="5" t="s">
        <v>607</v>
      </c>
      <c r="F3435" t="s">
        <v>152</v>
      </c>
      <c r="G3435">
        <v>2613</v>
      </c>
      <c r="H3435">
        <v>1174</v>
      </c>
      <c r="I3435" s="8">
        <v>0.44929200153080751</v>
      </c>
      <c r="J3435" s="17">
        <v>0.7</v>
      </c>
      <c r="K3435" s="12">
        <v>16.198133874239236</v>
      </c>
      <c r="L3435" s="2">
        <v>1439</v>
      </c>
      <c r="M3435" s="15">
        <v>23309.114645030262</v>
      </c>
    </row>
    <row r="3436" spans="1:13" x14ac:dyDescent="0.3">
      <c r="A3436" s="10">
        <v>46174</v>
      </c>
      <c r="B3436" s="9" t="s">
        <v>3</v>
      </c>
      <c r="C3436" t="s">
        <v>318</v>
      </c>
      <c r="D3436" s="9">
        <v>0</v>
      </c>
      <c r="E3436" s="5" t="s">
        <v>587</v>
      </c>
      <c r="F3436" t="s">
        <v>154</v>
      </c>
      <c r="G3436">
        <v>1664</v>
      </c>
      <c r="H3436">
        <v>665</v>
      </c>
      <c r="I3436" s="8">
        <v>0.39963942307692307</v>
      </c>
      <c r="J3436" s="17">
        <v>0.7</v>
      </c>
      <c r="K3436" s="12">
        <v>15.507327188940144</v>
      </c>
      <c r="L3436" s="2">
        <v>999</v>
      </c>
      <c r="M3436" s="15">
        <v>15491.819861751204</v>
      </c>
    </row>
    <row r="3437" spans="1:13" x14ac:dyDescent="0.3">
      <c r="A3437" s="10">
        <v>46174</v>
      </c>
      <c r="B3437" s="9" t="s">
        <v>6</v>
      </c>
      <c r="C3437" t="s">
        <v>158</v>
      </c>
      <c r="D3437" s="9">
        <v>0</v>
      </c>
      <c r="E3437" s="5" t="s">
        <v>519</v>
      </c>
      <c r="F3437" t="s">
        <v>159</v>
      </c>
      <c r="G3437">
        <v>2450</v>
      </c>
      <c r="H3437">
        <v>1331</v>
      </c>
      <c r="I3437" s="8">
        <v>0.54326530612244894</v>
      </c>
      <c r="J3437" s="17">
        <v>0.7</v>
      </c>
      <c r="K3437" s="12">
        <v>15.139839786381684</v>
      </c>
      <c r="L3437" s="2">
        <v>1119</v>
      </c>
      <c r="M3437" s="15">
        <v>16941.480720961103</v>
      </c>
    </row>
    <row r="3438" spans="1:13" x14ac:dyDescent="0.3">
      <c r="A3438" s="10">
        <v>46174</v>
      </c>
      <c r="B3438" s="9" t="s">
        <v>160</v>
      </c>
      <c r="C3438" t="s">
        <v>161</v>
      </c>
      <c r="D3438" s="9">
        <v>0</v>
      </c>
      <c r="E3438" s="5" t="s">
        <v>559</v>
      </c>
      <c r="F3438" t="s">
        <v>162</v>
      </c>
      <c r="G3438">
        <v>880</v>
      </c>
      <c r="H3438">
        <v>552</v>
      </c>
      <c r="I3438" s="8">
        <v>0.62727272727272732</v>
      </c>
      <c r="J3438" s="17">
        <v>0.7</v>
      </c>
      <c r="K3438" s="12">
        <v>13.71188118811884</v>
      </c>
      <c r="L3438" s="2">
        <v>328</v>
      </c>
      <c r="M3438" s="15">
        <v>4497.4970297029795</v>
      </c>
    </row>
    <row r="3439" spans="1:13" x14ac:dyDescent="0.3">
      <c r="A3439" s="10">
        <v>46174</v>
      </c>
      <c r="B3439" s="9" t="s">
        <v>71</v>
      </c>
      <c r="C3439" t="s">
        <v>163</v>
      </c>
      <c r="D3439" s="9">
        <v>0</v>
      </c>
      <c r="E3439" s="5" t="s">
        <v>538</v>
      </c>
      <c r="F3439" t="s">
        <v>164</v>
      </c>
      <c r="G3439">
        <v>719</v>
      </c>
      <c r="H3439">
        <v>197</v>
      </c>
      <c r="I3439" s="8">
        <v>0.27399165507649514</v>
      </c>
      <c r="J3439" s="17">
        <v>0.7</v>
      </c>
      <c r="K3439" s="12">
        <v>14.747058823529409</v>
      </c>
      <c r="L3439" s="2">
        <v>522</v>
      </c>
      <c r="M3439" s="15">
        <v>7697.9647058823512</v>
      </c>
    </row>
    <row r="3440" spans="1:13" x14ac:dyDescent="0.3">
      <c r="A3440" s="10">
        <v>46174</v>
      </c>
      <c r="B3440" s="9" t="s">
        <v>3</v>
      </c>
      <c r="C3440" t="s">
        <v>165</v>
      </c>
      <c r="D3440" s="9">
        <v>0</v>
      </c>
      <c r="E3440" s="5" t="s">
        <v>505</v>
      </c>
      <c r="F3440" t="s">
        <v>166</v>
      </c>
      <c r="G3440">
        <v>1397</v>
      </c>
      <c r="H3440">
        <v>517</v>
      </c>
      <c r="I3440" s="8">
        <v>0.37007874015748032</v>
      </c>
      <c r="J3440" s="17">
        <v>0.7</v>
      </c>
      <c r="K3440" s="12">
        <v>14.390094339622683</v>
      </c>
      <c r="L3440" s="2">
        <v>880</v>
      </c>
      <c r="M3440" s="15">
        <v>12663.283018867962</v>
      </c>
    </row>
    <row r="3441" spans="1:13" x14ac:dyDescent="0.3">
      <c r="A3441" s="10">
        <v>46174</v>
      </c>
      <c r="B3441" s="9" t="s">
        <v>3</v>
      </c>
      <c r="C3441" t="s">
        <v>167</v>
      </c>
      <c r="D3441" s="9">
        <v>0</v>
      </c>
      <c r="E3441" s="5" t="s">
        <v>382</v>
      </c>
      <c r="F3441" t="s">
        <v>168</v>
      </c>
      <c r="G3441">
        <v>1951</v>
      </c>
      <c r="H3441">
        <v>630</v>
      </c>
      <c r="I3441" s="8">
        <v>0.32291132752434648</v>
      </c>
      <c r="J3441" s="17">
        <v>0.7</v>
      </c>
      <c r="K3441" s="12">
        <v>15.374630681818159</v>
      </c>
      <c r="L3441" s="2">
        <v>1321</v>
      </c>
      <c r="M3441" s="15">
        <v>20309.887130681789</v>
      </c>
    </row>
    <row r="3442" spans="1:13" x14ac:dyDescent="0.3">
      <c r="A3442" s="10">
        <v>46174</v>
      </c>
      <c r="B3442" s="9" t="s">
        <v>74</v>
      </c>
      <c r="C3442" t="s">
        <v>169</v>
      </c>
      <c r="D3442" s="9">
        <v>0</v>
      </c>
      <c r="E3442" s="5" t="s">
        <v>388</v>
      </c>
      <c r="F3442" t="s">
        <v>170</v>
      </c>
      <c r="G3442">
        <v>1811</v>
      </c>
      <c r="H3442">
        <v>762</v>
      </c>
      <c r="I3442" s="8">
        <v>0.42076200993926005</v>
      </c>
      <c r="J3442" s="17">
        <v>0.7</v>
      </c>
      <c r="K3442" s="12">
        <v>13.571464646464651</v>
      </c>
      <c r="L3442" s="2">
        <v>1049</v>
      </c>
      <c r="M3442" s="15">
        <v>14236.46641414142</v>
      </c>
    </row>
    <row r="3443" spans="1:13" x14ac:dyDescent="0.3">
      <c r="A3443" s="10">
        <v>46174</v>
      </c>
      <c r="B3443" s="9" t="s">
        <v>15</v>
      </c>
      <c r="C3443" t="s">
        <v>171</v>
      </c>
      <c r="D3443" s="9">
        <v>0</v>
      </c>
      <c r="E3443" s="5" t="s">
        <v>605</v>
      </c>
      <c r="F3443" t="s">
        <v>172</v>
      </c>
      <c r="G3443">
        <v>1177</v>
      </c>
      <c r="H3443">
        <v>549</v>
      </c>
      <c r="I3443" s="8">
        <v>0.46644010195412067</v>
      </c>
      <c r="J3443" s="17">
        <v>0.7</v>
      </c>
      <c r="K3443" s="12">
        <v>15.021107266436031</v>
      </c>
      <c r="L3443" s="2">
        <v>628</v>
      </c>
      <c r="M3443" s="15">
        <v>9433.2553633218267</v>
      </c>
    </row>
    <row r="3444" spans="1:13" x14ac:dyDescent="0.3">
      <c r="A3444" s="10">
        <v>46174</v>
      </c>
      <c r="B3444" s="9" t="s">
        <v>82</v>
      </c>
      <c r="C3444" t="s">
        <v>173</v>
      </c>
      <c r="D3444" s="9">
        <v>0</v>
      </c>
      <c r="E3444" s="5" t="s">
        <v>525</v>
      </c>
      <c r="F3444" t="s">
        <v>174</v>
      </c>
      <c r="G3444">
        <v>964</v>
      </c>
      <c r="H3444">
        <v>377</v>
      </c>
      <c r="I3444" s="8">
        <v>0.39107883817427386</v>
      </c>
      <c r="J3444" s="17">
        <v>0.7</v>
      </c>
      <c r="K3444" s="12">
        <v>13.784076433121042</v>
      </c>
      <c r="L3444" s="2">
        <v>587</v>
      </c>
      <c r="M3444" s="15">
        <v>8091.2528662420518</v>
      </c>
    </row>
    <row r="3445" spans="1:13" x14ac:dyDescent="0.3">
      <c r="A3445" s="10">
        <v>46174</v>
      </c>
      <c r="B3445" s="9" t="s">
        <v>71</v>
      </c>
      <c r="C3445" t="s">
        <v>175</v>
      </c>
      <c r="D3445" s="9">
        <v>0</v>
      </c>
      <c r="E3445" s="5" t="s">
        <v>370</v>
      </c>
      <c r="F3445" t="s">
        <v>176</v>
      </c>
      <c r="G3445">
        <v>4487</v>
      </c>
      <c r="H3445">
        <v>1706</v>
      </c>
      <c r="I3445" s="8">
        <v>0.38020949409404947</v>
      </c>
      <c r="J3445" s="17">
        <v>0.7</v>
      </c>
      <c r="K3445" s="12">
        <v>15.055989085948031</v>
      </c>
      <c r="L3445" s="2">
        <v>2781</v>
      </c>
      <c r="M3445" s="15">
        <v>41870.705648021474</v>
      </c>
    </row>
    <row r="3446" spans="1:13" x14ac:dyDescent="0.3">
      <c r="A3446" s="10">
        <v>46174</v>
      </c>
      <c r="B3446" s="9" t="s">
        <v>71</v>
      </c>
      <c r="C3446" t="s">
        <v>175</v>
      </c>
      <c r="D3446" s="9">
        <v>0</v>
      </c>
      <c r="E3446" s="5" t="s">
        <v>495</v>
      </c>
      <c r="F3446" t="s">
        <v>177</v>
      </c>
      <c r="G3446">
        <v>4400</v>
      </c>
      <c r="H3446">
        <v>1305</v>
      </c>
      <c r="I3446" s="8">
        <v>0.29659090909090907</v>
      </c>
      <c r="J3446" s="17">
        <v>0.7</v>
      </c>
      <c r="K3446" s="12">
        <v>14.969407114624428</v>
      </c>
      <c r="L3446" s="2">
        <v>3095</v>
      </c>
      <c r="M3446" s="15">
        <v>46330.315019762602</v>
      </c>
    </row>
    <row r="3447" spans="1:13" x14ac:dyDescent="0.3">
      <c r="A3447" s="10">
        <v>46174</v>
      </c>
      <c r="B3447" s="9" t="s">
        <v>71</v>
      </c>
      <c r="C3447" t="s">
        <v>175</v>
      </c>
      <c r="D3447" s="9">
        <v>0</v>
      </c>
      <c r="E3447" s="5" t="s">
        <v>498</v>
      </c>
      <c r="F3447" t="s">
        <v>178</v>
      </c>
      <c r="G3447">
        <v>3299</v>
      </c>
      <c r="H3447">
        <v>992</v>
      </c>
      <c r="I3447" s="8">
        <v>0.30069718096392845</v>
      </c>
      <c r="J3447" s="17">
        <v>0.7</v>
      </c>
      <c r="K3447" s="12">
        <v>15.176042216358811</v>
      </c>
      <c r="L3447" s="2">
        <v>2307</v>
      </c>
      <c r="M3447" s="15">
        <v>35011.129393139774</v>
      </c>
    </row>
    <row r="3448" spans="1:13" x14ac:dyDescent="0.3">
      <c r="A3448" s="10">
        <v>46174</v>
      </c>
      <c r="B3448" s="9" t="s">
        <v>71</v>
      </c>
      <c r="C3448" t="s">
        <v>175</v>
      </c>
      <c r="D3448" s="9">
        <v>0</v>
      </c>
      <c r="E3448" s="5" t="s">
        <v>504</v>
      </c>
      <c r="F3448" t="s">
        <v>179</v>
      </c>
      <c r="G3448">
        <v>3660</v>
      </c>
      <c r="H3448">
        <v>1275</v>
      </c>
      <c r="I3448" s="8">
        <v>0.34836065573770492</v>
      </c>
      <c r="J3448" s="17">
        <v>0.7</v>
      </c>
      <c r="K3448" s="12">
        <v>15.893938618925777</v>
      </c>
      <c r="L3448" s="2">
        <v>2385</v>
      </c>
      <c r="M3448" s="15">
        <v>37907.043606137981</v>
      </c>
    </row>
    <row r="3449" spans="1:13" x14ac:dyDescent="0.3">
      <c r="A3449" s="10">
        <v>46174</v>
      </c>
      <c r="B3449" s="9" t="s">
        <v>71</v>
      </c>
      <c r="C3449" t="s">
        <v>175</v>
      </c>
      <c r="D3449" s="9">
        <v>0</v>
      </c>
      <c r="E3449" s="5" t="s">
        <v>550</v>
      </c>
      <c r="F3449" t="s">
        <v>180</v>
      </c>
      <c r="G3449">
        <v>3009</v>
      </c>
      <c r="H3449">
        <v>965</v>
      </c>
      <c r="I3449" s="8">
        <v>0.32070455300764372</v>
      </c>
      <c r="J3449" s="17">
        <v>0.7</v>
      </c>
      <c r="K3449" s="12">
        <v>15.145853658536629</v>
      </c>
      <c r="L3449" s="2">
        <v>2044</v>
      </c>
      <c r="M3449" s="15">
        <v>30958.124878048868</v>
      </c>
    </row>
    <row r="3450" spans="1:13" x14ac:dyDescent="0.3">
      <c r="A3450" s="10">
        <v>46174</v>
      </c>
      <c r="B3450" s="9" t="s">
        <v>21</v>
      </c>
      <c r="C3450" t="s">
        <v>181</v>
      </c>
      <c r="D3450" s="9">
        <v>0</v>
      </c>
      <c r="E3450" s="5" t="s">
        <v>489</v>
      </c>
      <c r="F3450" t="s">
        <v>182</v>
      </c>
      <c r="G3450">
        <v>1093</v>
      </c>
      <c r="H3450">
        <v>553</v>
      </c>
      <c r="I3450" s="8">
        <v>0.50594693504117105</v>
      </c>
      <c r="J3450" s="17">
        <v>0.7</v>
      </c>
      <c r="K3450" s="12">
        <v>14.051428571428616</v>
      </c>
      <c r="L3450" s="2">
        <v>540</v>
      </c>
      <c r="M3450" s="15">
        <v>7587.7714285714528</v>
      </c>
    </row>
    <row r="3451" spans="1:13" x14ac:dyDescent="0.3">
      <c r="A3451" s="10">
        <v>46174</v>
      </c>
      <c r="B3451" s="9" t="s">
        <v>183</v>
      </c>
      <c r="C3451" t="s">
        <v>184</v>
      </c>
      <c r="D3451" s="9">
        <v>0</v>
      </c>
      <c r="E3451" s="5" t="s">
        <v>404</v>
      </c>
      <c r="F3451" t="s">
        <v>185</v>
      </c>
      <c r="G3451">
        <v>899</v>
      </c>
      <c r="H3451">
        <v>489</v>
      </c>
      <c r="I3451" s="8">
        <v>0.54393770856507229</v>
      </c>
      <c r="J3451" s="17">
        <v>0.7</v>
      </c>
      <c r="K3451" s="12">
        <v>14.203370786516901</v>
      </c>
      <c r="L3451" s="2">
        <v>410</v>
      </c>
      <c r="M3451" s="15">
        <v>5823.3820224719293</v>
      </c>
    </row>
    <row r="3452" spans="1:13" x14ac:dyDescent="0.3">
      <c r="A3452" s="10">
        <v>46174</v>
      </c>
      <c r="B3452" s="9" t="s">
        <v>14</v>
      </c>
      <c r="C3452" t="s">
        <v>334</v>
      </c>
      <c r="D3452" s="9">
        <v>0</v>
      </c>
      <c r="E3452" s="5" t="s">
        <v>623</v>
      </c>
      <c r="F3452" t="s">
        <v>335</v>
      </c>
      <c r="G3452">
        <v>1592</v>
      </c>
      <c r="H3452">
        <v>633</v>
      </c>
      <c r="I3452" s="8">
        <v>0.39761306532663315</v>
      </c>
      <c r="J3452" s="17">
        <v>0.7</v>
      </c>
      <c r="K3452" s="12">
        <v>14.621052631578987</v>
      </c>
      <c r="L3452" s="2">
        <v>959</v>
      </c>
      <c r="M3452" s="15">
        <v>14021.589473684249</v>
      </c>
    </row>
    <row r="3453" spans="1:13" x14ac:dyDescent="0.3">
      <c r="A3453" s="10">
        <v>46174</v>
      </c>
      <c r="B3453" s="9" t="s">
        <v>74</v>
      </c>
      <c r="C3453" t="s">
        <v>186</v>
      </c>
      <c r="D3453" s="9">
        <v>0</v>
      </c>
      <c r="E3453" s="5" t="s">
        <v>397</v>
      </c>
      <c r="F3453" t="s">
        <v>189</v>
      </c>
      <c r="G3453">
        <v>2574</v>
      </c>
      <c r="H3453">
        <v>858</v>
      </c>
      <c r="I3453" s="8">
        <v>0.33333333333333331</v>
      </c>
      <c r="J3453" s="17">
        <v>0.7</v>
      </c>
      <c r="K3453" s="12">
        <v>14.773034825870624</v>
      </c>
      <c r="L3453" s="2">
        <v>1716</v>
      </c>
      <c r="M3453" s="15">
        <v>25350.527761193993</v>
      </c>
    </row>
    <row r="3454" spans="1:13" x14ac:dyDescent="0.3">
      <c r="A3454" s="10">
        <v>46174</v>
      </c>
      <c r="B3454" s="9" t="s">
        <v>74</v>
      </c>
      <c r="C3454" t="s">
        <v>186</v>
      </c>
      <c r="D3454" s="9">
        <v>0</v>
      </c>
      <c r="E3454" s="5" t="s">
        <v>396</v>
      </c>
      <c r="F3454" t="s">
        <v>188</v>
      </c>
      <c r="G3454">
        <v>2378</v>
      </c>
      <c r="H3454">
        <v>853</v>
      </c>
      <c r="I3454" s="8">
        <v>0.35870479394449117</v>
      </c>
      <c r="J3454" s="17">
        <v>0.7</v>
      </c>
      <c r="K3454" s="12">
        <v>14.307637969094886</v>
      </c>
      <c r="L3454" s="2">
        <v>1525</v>
      </c>
      <c r="M3454" s="15">
        <v>21819.147902869699</v>
      </c>
    </row>
    <row r="3455" spans="1:13" x14ac:dyDescent="0.3">
      <c r="A3455" s="10">
        <v>46174</v>
      </c>
      <c r="B3455" s="9" t="s">
        <v>74</v>
      </c>
      <c r="C3455" t="s">
        <v>186</v>
      </c>
      <c r="D3455" s="9">
        <v>0</v>
      </c>
      <c r="E3455" s="5" t="s">
        <v>395</v>
      </c>
      <c r="F3455" t="s">
        <v>187</v>
      </c>
      <c r="G3455">
        <v>3059</v>
      </c>
      <c r="H3455">
        <v>1269</v>
      </c>
      <c r="I3455" s="8">
        <v>0.41484145145472379</v>
      </c>
      <c r="J3455" s="17">
        <v>0.7</v>
      </c>
      <c r="K3455" s="12">
        <v>14.821598694942752</v>
      </c>
      <c r="L3455" s="2">
        <v>1790</v>
      </c>
      <c r="M3455" s="15">
        <v>26530.661663947525</v>
      </c>
    </row>
    <row r="3456" spans="1:13" x14ac:dyDescent="0.3">
      <c r="A3456" s="10">
        <v>46174</v>
      </c>
      <c r="B3456" s="9" t="s">
        <v>74</v>
      </c>
      <c r="C3456" t="s">
        <v>186</v>
      </c>
      <c r="D3456" s="9">
        <v>0</v>
      </c>
      <c r="E3456" s="5" t="s">
        <v>398</v>
      </c>
      <c r="F3456" t="s">
        <v>190</v>
      </c>
      <c r="G3456">
        <v>1994</v>
      </c>
      <c r="H3456">
        <v>664</v>
      </c>
      <c r="I3456" s="8">
        <v>0.33299899699097291</v>
      </c>
      <c r="J3456" s="17">
        <v>0.7</v>
      </c>
      <c r="K3456" s="12">
        <v>14.289324009323984</v>
      </c>
      <c r="L3456" s="2">
        <v>1330</v>
      </c>
      <c r="M3456" s="15">
        <v>19004.8009324009</v>
      </c>
    </row>
    <row r="3457" spans="1:13" x14ac:dyDescent="0.3">
      <c r="A3457" s="10">
        <v>46174</v>
      </c>
      <c r="B3457" s="9" t="s">
        <v>15</v>
      </c>
      <c r="C3457" t="s">
        <v>191</v>
      </c>
      <c r="D3457" s="9">
        <v>0</v>
      </c>
      <c r="E3457" s="5" t="s">
        <v>394</v>
      </c>
      <c r="F3457" t="s">
        <v>192</v>
      </c>
      <c r="G3457">
        <v>2189</v>
      </c>
      <c r="H3457">
        <v>791</v>
      </c>
      <c r="I3457" s="8">
        <v>0.36135221562357239</v>
      </c>
      <c r="J3457" s="17">
        <v>0.7</v>
      </c>
      <c r="K3457" s="12">
        <v>14.925072886297411</v>
      </c>
      <c r="L3457" s="2">
        <v>1398</v>
      </c>
      <c r="M3457" s="15">
        <v>20865.251895043781</v>
      </c>
    </row>
    <row r="3458" spans="1:13" x14ac:dyDescent="0.3">
      <c r="A3458" s="10">
        <v>46174</v>
      </c>
      <c r="B3458" s="9" t="s">
        <v>3</v>
      </c>
      <c r="C3458" t="s">
        <v>193</v>
      </c>
      <c r="D3458" s="9">
        <v>0</v>
      </c>
      <c r="E3458" s="5" t="s">
        <v>601</v>
      </c>
      <c r="F3458" t="s">
        <v>194</v>
      </c>
      <c r="G3458">
        <v>1046</v>
      </c>
      <c r="H3458">
        <v>313</v>
      </c>
      <c r="I3458" s="8">
        <v>0.29923518164435947</v>
      </c>
      <c r="J3458" s="17">
        <v>0.7</v>
      </c>
      <c r="K3458" s="12">
        <v>14.648322147651037</v>
      </c>
      <c r="L3458" s="2">
        <v>733</v>
      </c>
      <c r="M3458" s="15">
        <v>10737.22013422821</v>
      </c>
    </row>
    <row r="3459" spans="1:13" x14ac:dyDescent="0.3">
      <c r="A3459" s="10">
        <v>46174</v>
      </c>
      <c r="B3459" s="9" t="s">
        <v>195</v>
      </c>
      <c r="C3459" t="s">
        <v>196</v>
      </c>
      <c r="D3459" s="9">
        <v>0</v>
      </c>
      <c r="E3459" s="5" t="s">
        <v>486</v>
      </c>
      <c r="F3459" t="s">
        <v>197</v>
      </c>
      <c r="G3459">
        <v>1284</v>
      </c>
      <c r="H3459">
        <v>720</v>
      </c>
      <c r="I3459" s="8">
        <v>0.56074766355140182</v>
      </c>
      <c r="J3459" s="17">
        <v>0.7</v>
      </c>
      <c r="K3459" s="12">
        <v>14.406789667896739</v>
      </c>
      <c r="L3459" s="2">
        <v>564</v>
      </c>
      <c r="M3459" s="15">
        <v>8125.4293726937603</v>
      </c>
    </row>
    <row r="3460" spans="1:13" x14ac:dyDescent="0.3">
      <c r="A3460" s="10">
        <v>46174</v>
      </c>
      <c r="B3460" s="9" t="s">
        <v>15</v>
      </c>
      <c r="C3460" t="s">
        <v>319</v>
      </c>
      <c r="D3460" s="9">
        <v>0</v>
      </c>
      <c r="E3460" s="5" t="s">
        <v>454</v>
      </c>
      <c r="F3460" t="s">
        <v>218</v>
      </c>
      <c r="G3460">
        <v>2739</v>
      </c>
      <c r="H3460">
        <v>1022</v>
      </c>
      <c r="I3460" s="8">
        <v>0.37312887915297555</v>
      </c>
      <c r="J3460" s="17">
        <v>0.7</v>
      </c>
      <c r="K3460" s="12">
        <v>14.543253493013959</v>
      </c>
      <c r="L3460" s="2">
        <v>1717</v>
      </c>
      <c r="M3460" s="15">
        <v>24970.766247504966</v>
      </c>
    </row>
    <row r="3461" spans="1:13" x14ac:dyDescent="0.3">
      <c r="A3461" s="10">
        <v>46174</v>
      </c>
      <c r="B3461" s="9" t="s">
        <v>15</v>
      </c>
      <c r="C3461" t="s">
        <v>319</v>
      </c>
      <c r="D3461" s="9">
        <v>0</v>
      </c>
      <c r="E3461" s="5" t="s">
        <v>416</v>
      </c>
      <c r="F3461" t="s">
        <v>204</v>
      </c>
      <c r="G3461">
        <v>2265</v>
      </c>
      <c r="H3461">
        <v>799</v>
      </c>
      <c r="I3461" s="8">
        <v>0.35275938189845474</v>
      </c>
      <c r="J3461" s="17">
        <v>0.7</v>
      </c>
      <c r="K3461" s="12">
        <v>15.465400000000034</v>
      </c>
      <c r="L3461" s="2">
        <v>1466</v>
      </c>
      <c r="M3461" s="15">
        <v>22672.27640000005</v>
      </c>
    </row>
    <row r="3462" spans="1:13" x14ac:dyDescent="0.3">
      <c r="A3462" s="10">
        <v>46174</v>
      </c>
      <c r="B3462" s="9" t="s">
        <v>15</v>
      </c>
      <c r="C3462" t="s">
        <v>319</v>
      </c>
      <c r="D3462" s="9">
        <v>0</v>
      </c>
      <c r="E3462" s="5" t="s">
        <v>457</v>
      </c>
      <c r="F3462" t="s">
        <v>220</v>
      </c>
      <c r="G3462">
        <v>2538</v>
      </c>
      <c r="H3462">
        <v>850</v>
      </c>
      <c r="I3462" s="8">
        <v>0.33490937746256894</v>
      </c>
      <c r="J3462" s="17">
        <v>0.7</v>
      </c>
      <c r="K3462" s="12">
        <v>16.381587301587349</v>
      </c>
      <c r="L3462" s="2">
        <v>1688</v>
      </c>
      <c r="M3462" s="15">
        <v>27652.119365079445</v>
      </c>
    </row>
    <row r="3463" spans="1:13" x14ac:dyDescent="0.3">
      <c r="A3463" s="10">
        <v>46174</v>
      </c>
      <c r="B3463" s="9" t="s">
        <v>15</v>
      </c>
      <c r="C3463" t="s">
        <v>319</v>
      </c>
      <c r="D3463" s="9">
        <v>0</v>
      </c>
      <c r="E3463" s="5" t="s">
        <v>420</v>
      </c>
      <c r="F3463" t="s">
        <v>208</v>
      </c>
      <c r="G3463">
        <v>3131</v>
      </c>
      <c r="H3463">
        <v>1089</v>
      </c>
      <c r="I3463" s="8">
        <v>0.3478122005748962</v>
      </c>
      <c r="J3463" s="17">
        <v>0.7</v>
      </c>
      <c r="K3463" s="12">
        <v>15.636691542288531</v>
      </c>
      <c r="L3463" s="2">
        <v>2042</v>
      </c>
      <c r="M3463" s="15">
        <v>31930.124129353182</v>
      </c>
    </row>
    <row r="3464" spans="1:13" x14ac:dyDescent="0.3">
      <c r="A3464" s="10">
        <v>46174</v>
      </c>
      <c r="B3464" s="9" t="s">
        <v>15</v>
      </c>
      <c r="C3464" t="s">
        <v>319</v>
      </c>
      <c r="D3464" s="9">
        <v>0</v>
      </c>
      <c r="E3464" s="5" t="s">
        <v>444</v>
      </c>
      <c r="F3464" t="s">
        <v>212</v>
      </c>
      <c r="G3464">
        <v>2619</v>
      </c>
      <c r="H3464">
        <v>1120</v>
      </c>
      <c r="I3464" s="8">
        <v>0.42764413898434517</v>
      </c>
      <c r="J3464" s="17">
        <v>0.7</v>
      </c>
      <c r="K3464" s="12">
        <v>14.696789473684074</v>
      </c>
      <c r="L3464" s="2">
        <v>1499</v>
      </c>
      <c r="M3464" s="15">
        <v>22030.487421052429</v>
      </c>
    </row>
    <row r="3465" spans="1:13" x14ac:dyDescent="0.3">
      <c r="A3465" s="10">
        <v>46174</v>
      </c>
      <c r="B3465" s="9" t="s">
        <v>15</v>
      </c>
      <c r="C3465" t="s">
        <v>319</v>
      </c>
      <c r="D3465" s="9">
        <v>0</v>
      </c>
      <c r="E3465" s="5" t="s">
        <v>448</v>
      </c>
      <c r="F3465" t="s">
        <v>215</v>
      </c>
      <c r="G3465">
        <v>2389</v>
      </c>
      <c r="H3465">
        <v>815</v>
      </c>
      <c r="I3465" s="8">
        <v>0.34114692339891167</v>
      </c>
      <c r="J3465" s="17">
        <v>0.7</v>
      </c>
      <c r="K3465" s="12">
        <v>15.481761363636355</v>
      </c>
      <c r="L3465" s="2">
        <v>1574</v>
      </c>
      <c r="M3465" s="15">
        <v>24368.292386363624</v>
      </c>
    </row>
    <row r="3466" spans="1:13" x14ac:dyDescent="0.3">
      <c r="A3466" s="10">
        <v>46174</v>
      </c>
      <c r="B3466" s="9" t="s">
        <v>15</v>
      </c>
      <c r="C3466" t="s">
        <v>319</v>
      </c>
      <c r="D3466" s="9">
        <v>0</v>
      </c>
      <c r="E3466" s="5" t="s">
        <v>455</v>
      </c>
      <c r="F3466" t="s">
        <v>219</v>
      </c>
      <c r="G3466">
        <v>2733</v>
      </c>
      <c r="H3466">
        <v>968</v>
      </c>
      <c r="I3466" s="8">
        <v>0.35418953530918407</v>
      </c>
      <c r="J3466" s="17">
        <v>0.7</v>
      </c>
      <c r="K3466" s="12">
        <v>15.308698010849902</v>
      </c>
      <c r="L3466" s="2">
        <v>1765</v>
      </c>
      <c r="M3466" s="15">
        <v>27019.851989150076</v>
      </c>
    </row>
    <row r="3467" spans="1:13" x14ac:dyDescent="0.3">
      <c r="A3467" s="10">
        <v>46174</v>
      </c>
      <c r="B3467" s="9" t="s">
        <v>15</v>
      </c>
      <c r="C3467" t="s">
        <v>319</v>
      </c>
      <c r="D3467" s="9">
        <v>0</v>
      </c>
      <c r="E3467" s="5" t="s">
        <v>430</v>
      </c>
      <c r="F3467" t="s">
        <v>211</v>
      </c>
      <c r="G3467">
        <v>2166</v>
      </c>
      <c r="H3467">
        <v>810</v>
      </c>
      <c r="I3467" s="8">
        <v>0.37396121883656508</v>
      </c>
      <c r="J3467" s="17">
        <v>0.7</v>
      </c>
      <c r="K3467" s="12">
        <v>15.643956043956004</v>
      </c>
      <c r="L3467" s="2">
        <v>1356</v>
      </c>
      <c r="M3467" s="15">
        <v>21213.204395604342</v>
      </c>
    </row>
    <row r="3468" spans="1:13" x14ac:dyDescent="0.3">
      <c r="A3468" s="10">
        <v>46174</v>
      </c>
      <c r="B3468" s="9" t="s">
        <v>15</v>
      </c>
      <c r="C3468" t="s">
        <v>319</v>
      </c>
      <c r="D3468" s="9">
        <v>0</v>
      </c>
      <c r="E3468" s="5" t="s">
        <v>510</v>
      </c>
      <c r="F3468" t="s">
        <v>221</v>
      </c>
      <c r="G3468">
        <v>2742</v>
      </c>
      <c r="H3468">
        <v>886</v>
      </c>
      <c r="I3468" s="8">
        <v>0.32312180889861414</v>
      </c>
      <c r="J3468" s="17">
        <v>0.7</v>
      </c>
      <c r="K3468" s="12">
        <v>16.003163017031593</v>
      </c>
      <c r="L3468" s="2">
        <v>1856</v>
      </c>
      <c r="M3468" s="15">
        <v>29701.870559610637</v>
      </c>
    </row>
    <row r="3469" spans="1:13" x14ac:dyDescent="0.3">
      <c r="A3469" s="10">
        <v>46174</v>
      </c>
      <c r="B3469" s="9" t="s">
        <v>15</v>
      </c>
      <c r="C3469" t="s">
        <v>319</v>
      </c>
      <c r="D3469" s="9">
        <v>0</v>
      </c>
      <c r="E3469" s="5" t="s">
        <v>417</v>
      </c>
      <c r="F3469" t="s">
        <v>205</v>
      </c>
      <c r="G3469">
        <v>3012</v>
      </c>
      <c r="H3469">
        <v>1004</v>
      </c>
      <c r="I3469" s="8">
        <v>0.33333333333333331</v>
      </c>
      <c r="J3469" s="17">
        <v>0.7</v>
      </c>
      <c r="K3469" s="12">
        <v>15.405211864406718</v>
      </c>
      <c r="L3469" s="2">
        <v>2008</v>
      </c>
      <c r="M3469" s="15">
        <v>30933.665423728689</v>
      </c>
    </row>
    <row r="3470" spans="1:13" x14ac:dyDescent="0.3">
      <c r="A3470" s="10">
        <v>46174</v>
      </c>
      <c r="B3470" s="9" t="s">
        <v>15</v>
      </c>
      <c r="C3470" t="s">
        <v>319</v>
      </c>
      <c r="D3470" s="9">
        <v>0</v>
      </c>
      <c r="E3470" s="5" t="s">
        <v>419</v>
      </c>
      <c r="F3470" t="s">
        <v>207</v>
      </c>
      <c r="G3470">
        <v>4148</v>
      </c>
      <c r="H3470">
        <v>1547</v>
      </c>
      <c r="I3470" s="8">
        <v>0.37295081967213117</v>
      </c>
      <c r="J3470" s="17">
        <v>0.7</v>
      </c>
      <c r="K3470" s="12">
        <v>14.067459283387425</v>
      </c>
      <c r="L3470" s="2">
        <v>2601</v>
      </c>
      <c r="M3470" s="15">
        <v>36589.461596090696</v>
      </c>
    </row>
    <row r="3471" spans="1:13" x14ac:dyDescent="0.3">
      <c r="A3471" s="10">
        <v>46174</v>
      </c>
      <c r="B3471" s="9" t="s">
        <v>15</v>
      </c>
      <c r="C3471" t="s">
        <v>319</v>
      </c>
      <c r="D3471" s="9">
        <v>0</v>
      </c>
      <c r="E3471" s="5" t="s">
        <v>418</v>
      </c>
      <c r="F3471" t="s">
        <v>206</v>
      </c>
      <c r="G3471">
        <v>5689</v>
      </c>
      <c r="H3471">
        <v>2124</v>
      </c>
      <c r="I3471" s="8">
        <v>0.37335208296712957</v>
      </c>
      <c r="J3471" s="17">
        <v>0.7</v>
      </c>
      <c r="K3471" s="12">
        <v>13.85253136531353</v>
      </c>
      <c r="L3471" s="2">
        <v>3565</v>
      </c>
      <c r="M3471" s="15">
        <v>49384.27431734273</v>
      </c>
    </row>
    <row r="3472" spans="1:13" x14ac:dyDescent="0.3">
      <c r="A3472" s="10">
        <v>46174</v>
      </c>
      <c r="B3472" s="9" t="s">
        <v>15</v>
      </c>
      <c r="C3472" t="s">
        <v>319</v>
      </c>
      <c r="D3472" s="9">
        <v>0</v>
      </c>
      <c r="E3472" s="5" t="s">
        <v>371</v>
      </c>
      <c r="F3472" t="s">
        <v>199</v>
      </c>
      <c r="G3472">
        <v>3375</v>
      </c>
      <c r="H3472">
        <v>1624</v>
      </c>
      <c r="I3472" s="8">
        <v>0.48118518518518516</v>
      </c>
      <c r="J3472" s="17">
        <v>0.7</v>
      </c>
      <c r="K3472" s="12">
        <v>14.790260416666545</v>
      </c>
      <c r="L3472" s="2">
        <v>1751</v>
      </c>
      <c r="M3472" s="15">
        <v>25897.74598958312</v>
      </c>
    </row>
    <row r="3473" spans="1:13" x14ac:dyDescent="0.3">
      <c r="A3473" s="10">
        <v>46174</v>
      </c>
      <c r="B3473" s="9" t="s">
        <v>15</v>
      </c>
      <c r="C3473" t="s">
        <v>319</v>
      </c>
      <c r="D3473" s="9">
        <v>0</v>
      </c>
      <c r="E3473" s="5" t="s">
        <v>447</v>
      </c>
      <c r="F3473" t="s">
        <v>214</v>
      </c>
      <c r="G3473">
        <v>1798</v>
      </c>
      <c r="H3473">
        <v>639</v>
      </c>
      <c r="I3473" s="8">
        <v>0.3553948832035595</v>
      </c>
      <c r="J3473" s="17">
        <v>0.7</v>
      </c>
      <c r="K3473" s="12">
        <v>15.787349397590379</v>
      </c>
      <c r="L3473" s="2">
        <v>1159</v>
      </c>
      <c r="M3473" s="15">
        <v>18297.537951807248</v>
      </c>
    </row>
    <row r="3474" spans="1:13" x14ac:dyDescent="0.3">
      <c r="A3474" s="10">
        <v>46174</v>
      </c>
      <c r="B3474" s="9" t="s">
        <v>15</v>
      </c>
      <c r="C3474" t="s">
        <v>319</v>
      </c>
      <c r="D3474" s="9">
        <v>0</v>
      </c>
      <c r="E3474" s="5" t="s">
        <v>517</v>
      </c>
      <c r="F3474" t="s">
        <v>223</v>
      </c>
      <c r="G3474">
        <v>2528</v>
      </c>
      <c r="H3474">
        <v>788</v>
      </c>
      <c r="I3474" s="8">
        <v>0.31170886075949367</v>
      </c>
      <c r="J3474" s="17">
        <v>0.7</v>
      </c>
      <c r="K3474" s="12">
        <v>16.183324396782794</v>
      </c>
      <c r="L3474" s="2">
        <v>1740</v>
      </c>
      <c r="M3474" s="15">
        <v>28158.984450402062</v>
      </c>
    </row>
    <row r="3475" spans="1:13" x14ac:dyDescent="0.3">
      <c r="A3475" s="10">
        <v>46174</v>
      </c>
      <c r="B3475" s="9" t="s">
        <v>15</v>
      </c>
      <c r="C3475" t="s">
        <v>319</v>
      </c>
      <c r="D3475" s="9">
        <v>0</v>
      </c>
      <c r="E3475" s="5" t="s">
        <v>528</v>
      </c>
      <c r="F3475" t="s">
        <v>226</v>
      </c>
      <c r="G3475">
        <v>5095</v>
      </c>
      <c r="H3475">
        <v>1528</v>
      </c>
      <c r="I3475" s="8">
        <v>0.29990186457311091</v>
      </c>
      <c r="J3475" s="17">
        <v>0.7</v>
      </c>
      <c r="K3475" s="12">
        <v>16.782815884476424</v>
      </c>
      <c r="L3475" s="2">
        <v>3567</v>
      </c>
      <c r="M3475" s="15">
        <v>59864.304259927405</v>
      </c>
    </row>
    <row r="3476" spans="1:13" x14ac:dyDescent="0.3">
      <c r="A3476" s="10">
        <v>46174</v>
      </c>
      <c r="B3476" s="9" t="s">
        <v>15</v>
      </c>
      <c r="C3476" t="s">
        <v>319</v>
      </c>
      <c r="D3476" s="9">
        <v>0</v>
      </c>
      <c r="E3476" s="5" t="s">
        <v>379</v>
      </c>
      <c r="F3476" t="s">
        <v>200</v>
      </c>
      <c r="G3476">
        <v>2365</v>
      </c>
      <c r="H3476">
        <v>791</v>
      </c>
      <c r="I3476" s="8">
        <v>0.33446088794926004</v>
      </c>
      <c r="J3476" s="17">
        <v>0.7</v>
      </c>
      <c r="K3476" s="12">
        <v>16.060814249363798</v>
      </c>
      <c r="L3476" s="2">
        <v>1574</v>
      </c>
      <c r="M3476" s="15">
        <v>25279.721628498617</v>
      </c>
    </row>
    <row r="3477" spans="1:13" x14ac:dyDescent="0.3">
      <c r="A3477" s="10">
        <v>46174</v>
      </c>
      <c r="B3477" s="9" t="s">
        <v>15</v>
      </c>
      <c r="C3477" t="s">
        <v>319</v>
      </c>
      <c r="D3477" s="9">
        <v>0</v>
      </c>
      <c r="E3477" s="5" t="s">
        <v>511</v>
      </c>
      <c r="F3477" t="s">
        <v>222</v>
      </c>
      <c r="G3477">
        <v>395</v>
      </c>
      <c r="H3477">
        <v>156</v>
      </c>
      <c r="I3477" s="8">
        <v>0.39493670886075949</v>
      </c>
      <c r="J3477" s="17">
        <v>0.7</v>
      </c>
      <c r="K3477" s="12">
        <v>14.679220779220767</v>
      </c>
      <c r="L3477" s="2">
        <v>239</v>
      </c>
      <c r="M3477" s="15">
        <v>3508.3337662337635</v>
      </c>
    </row>
    <row r="3478" spans="1:13" x14ac:dyDescent="0.3">
      <c r="A3478" s="10">
        <v>46174</v>
      </c>
      <c r="B3478" s="9" t="s">
        <v>15</v>
      </c>
      <c r="C3478" t="s">
        <v>319</v>
      </c>
      <c r="D3478" s="9">
        <v>0</v>
      </c>
      <c r="E3478" s="5" t="s">
        <v>535</v>
      </c>
      <c r="F3478" t="s">
        <v>227</v>
      </c>
      <c r="G3478">
        <v>1679</v>
      </c>
      <c r="H3478">
        <v>720</v>
      </c>
      <c r="I3478" s="8">
        <v>0.42882668254913642</v>
      </c>
      <c r="J3478" s="17">
        <v>0.7</v>
      </c>
      <c r="K3478" s="12">
        <v>14.987878787878833</v>
      </c>
      <c r="L3478" s="2">
        <v>959</v>
      </c>
      <c r="M3478" s="15">
        <v>14373.375757575801</v>
      </c>
    </row>
    <row r="3479" spans="1:13" x14ac:dyDescent="0.3">
      <c r="A3479" s="10">
        <v>46174</v>
      </c>
      <c r="B3479" s="9" t="s">
        <v>15</v>
      </c>
      <c r="C3479" t="s">
        <v>319</v>
      </c>
      <c r="D3479" s="9">
        <v>0</v>
      </c>
      <c r="E3479" s="5" t="s">
        <v>386</v>
      </c>
      <c r="F3479" t="s">
        <v>202</v>
      </c>
      <c r="G3479">
        <v>2562</v>
      </c>
      <c r="H3479">
        <v>958</v>
      </c>
      <c r="I3479" s="8">
        <v>0.3739266198282592</v>
      </c>
      <c r="J3479" s="17">
        <v>0.7</v>
      </c>
      <c r="K3479" s="12">
        <v>15.510310880828966</v>
      </c>
      <c r="L3479" s="2">
        <v>1604</v>
      </c>
      <c r="M3479" s="15">
        <v>24878.53865284966</v>
      </c>
    </row>
    <row r="3480" spans="1:13" x14ac:dyDescent="0.3">
      <c r="A3480" s="10">
        <v>46174</v>
      </c>
      <c r="B3480" s="9" t="s">
        <v>15</v>
      </c>
      <c r="C3480" t="s">
        <v>319</v>
      </c>
      <c r="D3480" s="9">
        <v>0</v>
      </c>
      <c r="E3480" s="5" t="s">
        <v>452</v>
      </c>
      <c r="F3480" t="s">
        <v>216</v>
      </c>
      <c r="G3480">
        <v>1859</v>
      </c>
      <c r="H3480">
        <v>877</v>
      </c>
      <c r="I3480" s="8">
        <v>0.47175901022054867</v>
      </c>
      <c r="J3480" s="17">
        <v>0.7</v>
      </c>
      <c r="K3480" s="12">
        <v>15.234789272030707</v>
      </c>
      <c r="L3480" s="2">
        <v>982</v>
      </c>
      <c r="M3480" s="15">
        <v>14960.563065134154</v>
      </c>
    </row>
    <row r="3481" spans="1:13" x14ac:dyDescent="0.3">
      <c r="A3481" s="10">
        <v>46174</v>
      </c>
      <c r="B3481" s="9" t="s">
        <v>15</v>
      </c>
      <c r="C3481" t="s">
        <v>319</v>
      </c>
      <c r="D3481" s="9">
        <v>0</v>
      </c>
      <c r="E3481" s="5" t="s">
        <v>527</v>
      </c>
      <c r="F3481" t="s">
        <v>225</v>
      </c>
      <c r="G3481">
        <v>4484</v>
      </c>
      <c r="H3481">
        <v>1252</v>
      </c>
      <c r="I3481" s="8">
        <v>0.27921498661909011</v>
      </c>
      <c r="J3481" s="17">
        <v>0.7</v>
      </c>
      <c r="K3481" s="12">
        <v>16.141056105610382</v>
      </c>
      <c r="L3481" s="2">
        <v>3232</v>
      </c>
      <c r="M3481" s="15">
        <v>52167.893333332751</v>
      </c>
    </row>
    <row r="3482" spans="1:13" x14ac:dyDescent="0.3">
      <c r="A3482" s="10">
        <v>46174</v>
      </c>
      <c r="B3482" s="9" t="s">
        <v>15</v>
      </c>
      <c r="C3482" t="s">
        <v>319</v>
      </c>
      <c r="D3482" s="9">
        <v>0</v>
      </c>
      <c r="E3482" s="5" t="s">
        <v>453</v>
      </c>
      <c r="F3482" t="s">
        <v>217</v>
      </c>
      <c r="G3482">
        <v>1746</v>
      </c>
      <c r="H3482">
        <v>615</v>
      </c>
      <c r="I3482" s="8">
        <v>0.35223367697594504</v>
      </c>
      <c r="J3482" s="17">
        <v>0.7</v>
      </c>
      <c r="K3482" s="12">
        <v>16.172474226804173</v>
      </c>
      <c r="L3482" s="2">
        <v>1131</v>
      </c>
      <c r="M3482" s="15">
        <v>18291.068350515521</v>
      </c>
    </row>
    <row r="3483" spans="1:13" x14ac:dyDescent="0.3">
      <c r="A3483" s="10">
        <v>46174</v>
      </c>
      <c r="B3483" s="9" t="s">
        <v>15</v>
      </c>
      <c r="C3483" t="s">
        <v>319</v>
      </c>
      <c r="D3483" s="9">
        <v>0</v>
      </c>
      <c r="E3483" s="5" t="s">
        <v>359</v>
      </c>
      <c r="F3483" t="s">
        <v>198</v>
      </c>
      <c r="G3483">
        <v>1276</v>
      </c>
      <c r="H3483">
        <v>500</v>
      </c>
      <c r="I3483" s="8">
        <v>0.39184952978056425</v>
      </c>
      <c r="J3483" s="17">
        <v>0.7</v>
      </c>
      <c r="K3483" s="12">
        <v>16.301675977653673</v>
      </c>
      <c r="L3483" s="2">
        <v>776</v>
      </c>
      <c r="M3483" s="15">
        <v>12650.100558659251</v>
      </c>
    </row>
    <row r="3484" spans="1:13" x14ac:dyDescent="0.3">
      <c r="A3484" s="10">
        <v>46174</v>
      </c>
      <c r="B3484" s="9" t="s">
        <v>15</v>
      </c>
      <c r="C3484" t="s">
        <v>319</v>
      </c>
      <c r="D3484" s="9">
        <v>0</v>
      </c>
      <c r="E3484" s="5" t="s">
        <v>421</v>
      </c>
      <c r="F3484" t="s">
        <v>209</v>
      </c>
      <c r="G3484">
        <v>2634</v>
      </c>
      <c r="H3484">
        <v>858</v>
      </c>
      <c r="I3484" s="8">
        <v>0.32574031890660593</v>
      </c>
      <c r="J3484" s="17">
        <v>0.7</v>
      </c>
      <c r="K3484" s="12">
        <v>15.047360774818385</v>
      </c>
      <c r="L3484" s="2">
        <v>1776</v>
      </c>
      <c r="M3484" s="15">
        <v>26724.112736077452</v>
      </c>
    </row>
    <row r="3485" spans="1:13" x14ac:dyDescent="0.3">
      <c r="A3485" s="10">
        <v>46174</v>
      </c>
      <c r="B3485" s="9" t="s">
        <v>15</v>
      </c>
      <c r="C3485" t="s">
        <v>319</v>
      </c>
      <c r="D3485" s="9">
        <v>0</v>
      </c>
      <c r="E3485" s="5" t="s">
        <v>380</v>
      </c>
      <c r="F3485" t="s">
        <v>201</v>
      </c>
      <c r="G3485">
        <v>1484</v>
      </c>
      <c r="H3485">
        <v>637</v>
      </c>
      <c r="I3485" s="8">
        <v>0.42924528301886794</v>
      </c>
      <c r="J3485" s="17">
        <v>0.7</v>
      </c>
      <c r="K3485" s="12">
        <v>15.857032258064555</v>
      </c>
      <c r="L3485" s="2">
        <v>847</v>
      </c>
      <c r="M3485" s="15">
        <v>13430.906322580679</v>
      </c>
    </row>
    <row r="3486" spans="1:13" x14ac:dyDescent="0.3">
      <c r="A3486" s="10">
        <v>46174</v>
      </c>
      <c r="B3486" s="9" t="s">
        <v>15</v>
      </c>
      <c r="C3486" t="s">
        <v>319</v>
      </c>
      <c r="D3486" s="9">
        <v>0</v>
      </c>
      <c r="E3486" s="5" t="s">
        <v>428</v>
      </c>
      <c r="F3486" t="s">
        <v>210</v>
      </c>
      <c r="G3486">
        <v>2307</v>
      </c>
      <c r="H3486">
        <v>861</v>
      </c>
      <c r="I3486" s="8">
        <v>0.37321196358907671</v>
      </c>
      <c r="J3486" s="17">
        <v>0.7</v>
      </c>
      <c r="K3486" s="12">
        <v>15.328198433420349</v>
      </c>
      <c r="L3486" s="2">
        <v>1446</v>
      </c>
      <c r="M3486" s="15">
        <v>22164.574934725824</v>
      </c>
    </row>
    <row r="3487" spans="1:13" x14ac:dyDescent="0.3">
      <c r="A3487" s="10">
        <v>46174</v>
      </c>
      <c r="B3487" s="9" t="s">
        <v>15</v>
      </c>
      <c r="C3487" t="s">
        <v>319</v>
      </c>
      <c r="D3487" s="9">
        <v>0</v>
      </c>
      <c r="E3487" s="5" t="s">
        <v>446</v>
      </c>
      <c r="F3487" t="s">
        <v>213</v>
      </c>
      <c r="G3487">
        <v>2318</v>
      </c>
      <c r="H3487">
        <v>761</v>
      </c>
      <c r="I3487" s="8">
        <v>0.32830025884383091</v>
      </c>
      <c r="J3487" s="17">
        <v>0.7</v>
      </c>
      <c r="K3487" s="12">
        <v>15.777759197324427</v>
      </c>
      <c r="L3487" s="2">
        <v>1557</v>
      </c>
      <c r="M3487" s="15">
        <v>24565.971070234133</v>
      </c>
    </row>
    <row r="3488" spans="1:13" x14ac:dyDescent="0.3">
      <c r="A3488" s="10">
        <v>46174</v>
      </c>
      <c r="B3488" s="9" t="s">
        <v>21</v>
      </c>
      <c r="C3488" t="s">
        <v>228</v>
      </c>
      <c r="D3488" s="9">
        <v>0</v>
      </c>
      <c r="E3488" s="5" t="s">
        <v>596</v>
      </c>
      <c r="F3488" t="s">
        <v>231</v>
      </c>
      <c r="G3488">
        <v>2425</v>
      </c>
      <c r="H3488">
        <v>1040</v>
      </c>
      <c r="I3488" s="8">
        <v>0.42886597938144327</v>
      </c>
      <c r="J3488" s="17">
        <v>0.7</v>
      </c>
      <c r="K3488" s="12">
        <v>16.17358490566038</v>
      </c>
      <c r="L3488" s="2">
        <v>1385</v>
      </c>
      <c r="M3488" s="15">
        <v>22400.415094339627</v>
      </c>
    </row>
    <row r="3489" spans="1:13" x14ac:dyDescent="0.3">
      <c r="A3489" s="10">
        <v>46174</v>
      </c>
      <c r="B3489" s="9" t="s">
        <v>21</v>
      </c>
      <c r="C3489" t="s">
        <v>228</v>
      </c>
      <c r="D3489" s="9">
        <v>0</v>
      </c>
      <c r="E3489" s="5" t="s">
        <v>465</v>
      </c>
      <c r="F3489" t="s">
        <v>229</v>
      </c>
      <c r="G3489">
        <v>2391</v>
      </c>
      <c r="H3489">
        <v>805</v>
      </c>
      <c r="I3489" s="8">
        <v>0.3366792137181096</v>
      </c>
      <c r="J3489" s="17">
        <v>0.7</v>
      </c>
      <c r="K3489" s="12">
        <v>16.465031446540927</v>
      </c>
      <c r="L3489" s="2">
        <v>1586</v>
      </c>
      <c r="M3489" s="15">
        <v>26113.539874213911</v>
      </c>
    </row>
    <row r="3490" spans="1:13" x14ac:dyDescent="0.3">
      <c r="A3490" s="10">
        <v>46174</v>
      </c>
      <c r="B3490" s="9" t="s">
        <v>21</v>
      </c>
      <c r="C3490" t="s">
        <v>228</v>
      </c>
      <c r="D3490" s="9">
        <v>0</v>
      </c>
      <c r="E3490" s="5" t="s">
        <v>576</v>
      </c>
      <c r="F3490" t="s">
        <v>235</v>
      </c>
      <c r="G3490">
        <v>1611</v>
      </c>
      <c r="H3490">
        <v>645</v>
      </c>
      <c r="I3490" s="8">
        <v>0.40037243947858475</v>
      </c>
      <c r="J3490" s="17">
        <v>0.7</v>
      </c>
      <c r="K3490" s="12">
        <v>16.530219780219827</v>
      </c>
      <c r="L3490" s="2">
        <v>966</v>
      </c>
      <c r="M3490" s="15">
        <v>15968.192307692352</v>
      </c>
    </row>
    <row r="3491" spans="1:13" x14ac:dyDescent="0.3">
      <c r="A3491" s="10">
        <v>46174</v>
      </c>
      <c r="B3491" s="9" t="s">
        <v>21</v>
      </c>
      <c r="C3491" t="s">
        <v>228</v>
      </c>
      <c r="D3491" s="9">
        <v>0</v>
      </c>
      <c r="E3491" s="5" t="s">
        <v>497</v>
      </c>
      <c r="F3491" t="s">
        <v>232</v>
      </c>
      <c r="G3491">
        <v>2582</v>
      </c>
      <c r="H3491">
        <v>1205</v>
      </c>
      <c r="I3491" s="8">
        <v>0.46669248644461658</v>
      </c>
      <c r="J3491" s="17">
        <v>0.7</v>
      </c>
      <c r="K3491" s="12">
        <v>15.079745222929795</v>
      </c>
      <c r="L3491" s="2">
        <v>1377</v>
      </c>
      <c r="M3491" s="15">
        <v>20764.809171974328</v>
      </c>
    </row>
    <row r="3492" spans="1:13" x14ac:dyDescent="0.3">
      <c r="A3492" s="10">
        <v>46174</v>
      </c>
      <c r="B3492" s="9" t="s">
        <v>21</v>
      </c>
      <c r="C3492" t="s">
        <v>228</v>
      </c>
      <c r="D3492" s="9">
        <v>0</v>
      </c>
      <c r="E3492" s="5" t="s">
        <v>541</v>
      </c>
      <c r="F3492" t="s">
        <v>233</v>
      </c>
      <c r="G3492">
        <v>1775</v>
      </c>
      <c r="H3492">
        <v>820</v>
      </c>
      <c r="I3492" s="8">
        <v>0.46197183098591549</v>
      </c>
      <c r="J3492" s="17">
        <v>0.7</v>
      </c>
      <c r="K3492" s="12">
        <v>15.535719844358036</v>
      </c>
      <c r="L3492" s="2">
        <v>955</v>
      </c>
      <c r="M3492" s="15">
        <v>14836.612451361925</v>
      </c>
    </row>
    <row r="3493" spans="1:13" x14ac:dyDescent="0.3">
      <c r="A3493" s="10">
        <v>46174</v>
      </c>
      <c r="B3493" s="9" t="s">
        <v>6</v>
      </c>
      <c r="C3493" t="s">
        <v>236</v>
      </c>
      <c r="D3493" s="9">
        <v>0</v>
      </c>
      <c r="E3493" s="5" t="s">
        <v>602</v>
      </c>
      <c r="F3493" t="s">
        <v>237</v>
      </c>
      <c r="G3493">
        <v>1916</v>
      </c>
      <c r="H3493">
        <v>1058</v>
      </c>
      <c r="I3493" s="8">
        <v>0.55219206680584554</v>
      </c>
      <c r="J3493" s="17">
        <v>0.7</v>
      </c>
      <c r="K3493" s="12">
        <v>14.856357142857204</v>
      </c>
      <c r="L3493" s="2">
        <v>858</v>
      </c>
      <c r="M3493" s="15">
        <v>12746.754428571481</v>
      </c>
    </row>
    <row r="3494" spans="1:13" x14ac:dyDescent="0.3">
      <c r="A3494" s="10">
        <v>46174</v>
      </c>
      <c r="B3494" s="9" t="s">
        <v>3</v>
      </c>
      <c r="C3494" t="s">
        <v>239</v>
      </c>
      <c r="D3494" s="9">
        <v>0</v>
      </c>
      <c r="E3494" s="5" t="s">
        <v>586</v>
      </c>
      <c r="F3494" t="s">
        <v>240</v>
      </c>
      <c r="G3494">
        <v>2044</v>
      </c>
      <c r="H3494">
        <v>663</v>
      </c>
      <c r="I3494" s="8">
        <v>0.32436399217221135</v>
      </c>
      <c r="J3494" s="17">
        <v>0.7</v>
      </c>
      <c r="K3494" s="12">
        <v>16.031308411215001</v>
      </c>
      <c r="L3494" s="2">
        <v>1381</v>
      </c>
      <c r="M3494" s="15">
        <v>22139.236915887916</v>
      </c>
    </row>
    <row r="3495" spans="1:13" x14ac:dyDescent="0.3">
      <c r="A3495" s="10">
        <v>46174</v>
      </c>
      <c r="B3495" s="9" t="s">
        <v>3</v>
      </c>
      <c r="C3495" t="s">
        <v>321</v>
      </c>
      <c r="D3495" s="9">
        <v>0</v>
      </c>
      <c r="E3495" s="5" t="s">
        <v>591</v>
      </c>
      <c r="F3495" t="s">
        <v>242</v>
      </c>
      <c r="G3495">
        <v>1292</v>
      </c>
      <c r="H3495">
        <v>373</v>
      </c>
      <c r="I3495" s="8">
        <v>0.28869969040247678</v>
      </c>
      <c r="J3495" s="17">
        <v>0.7</v>
      </c>
      <c r="K3495" s="12">
        <v>15.879333333333358</v>
      </c>
      <c r="L3495" s="2">
        <v>919</v>
      </c>
      <c r="M3495" s="15">
        <v>14593.107333333357</v>
      </c>
    </row>
    <row r="3496" spans="1:13" x14ac:dyDescent="0.3">
      <c r="A3496" s="10">
        <v>46174</v>
      </c>
      <c r="B3496" s="9" t="s">
        <v>3</v>
      </c>
      <c r="C3496" t="s">
        <v>321</v>
      </c>
      <c r="D3496" s="9">
        <v>0</v>
      </c>
      <c r="E3496" s="5" t="s">
        <v>583</v>
      </c>
      <c r="F3496" t="s">
        <v>241</v>
      </c>
      <c r="G3496">
        <v>1227</v>
      </c>
      <c r="H3496">
        <v>359</v>
      </c>
      <c r="I3496" s="8">
        <v>0.2925835370823146</v>
      </c>
      <c r="J3496" s="17">
        <v>0.7</v>
      </c>
      <c r="K3496" s="12">
        <v>15.841754385964922</v>
      </c>
      <c r="L3496" s="2">
        <v>868</v>
      </c>
      <c r="M3496" s="15">
        <v>13750.642807017552</v>
      </c>
    </row>
    <row r="3497" spans="1:13" x14ac:dyDescent="0.3">
      <c r="A3497" s="10">
        <v>46174</v>
      </c>
      <c r="B3497" s="9" t="s">
        <v>3</v>
      </c>
      <c r="C3497" t="s">
        <v>322</v>
      </c>
      <c r="D3497" s="9">
        <v>0</v>
      </c>
      <c r="E3497" s="5" t="s">
        <v>589</v>
      </c>
      <c r="F3497" t="s">
        <v>243</v>
      </c>
      <c r="G3497">
        <v>1299</v>
      </c>
      <c r="H3497">
        <v>343</v>
      </c>
      <c r="I3497" s="8">
        <v>0.26404926866820633</v>
      </c>
      <c r="J3497" s="17">
        <v>0.7</v>
      </c>
      <c r="K3497" s="12">
        <v>15.947704918032803</v>
      </c>
      <c r="L3497" s="2">
        <v>956</v>
      </c>
      <c r="M3497" s="15">
        <v>15246.005901639361</v>
      </c>
    </row>
    <row r="3498" spans="1:13" x14ac:dyDescent="0.3">
      <c r="A3498" s="10">
        <v>46174</v>
      </c>
      <c r="B3498" s="9" t="s">
        <v>244</v>
      </c>
      <c r="C3498" t="s">
        <v>245</v>
      </c>
      <c r="D3498" s="9">
        <v>0</v>
      </c>
      <c r="E3498" s="5" t="s">
        <v>553</v>
      </c>
      <c r="F3498" t="s">
        <v>247</v>
      </c>
      <c r="G3498">
        <v>1797</v>
      </c>
      <c r="H3498">
        <v>850</v>
      </c>
      <c r="I3498" s="8">
        <v>0.4730105731775181</v>
      </c>
      <c r="J3498" s="17">
        <v>0.7</v>
      </c>
      <c r="K3498" s="12">
        <v>14.75381263616552</v>
      </c>
      <c r="L3498" s="2">
        <v>947</v>
      </c>
      <c r="M3498" s="15">
        <v>13971.860566448748</v>
      </c>
    </row>
    <row r="3499" spans="1:13" x14ac:dyDescent="0.3">
      <c r="A3499" s="10">
        <v>46174</v>
      </c>
      <c r="B3499" s="9" t="s">
        <v>244</v>
      </c>
      <c r="C3499" t="s">
        <v>245</v>
      </c>
      <c r="D3499" s="9">
        <v>0</v>
      </c>
      <c r="E3499" s="5" t="s">
        <v>552</v>
      </c>
      <c r="F3499" t="s">
        <v>246</v>
      </c>
      <c r="G3499">
        <v>3385</v>
      </c>
      <c r="H3499">
        <v>1454</v>
      </c>
      <c r="I3499" s="8">
        <v>0.42954209748892169</v>
      </c>
      <c r="J3499" s="17">
        <v>0.7</v>
      </c>
      <c r="K3499" s="12">
        <v>14.377522012578453</v>
      </c>
      <c r="L3499" s="2">
        <v>1931</v>
      </c>
      <c r="M3499" s="15">
        <v>27762.995006288991</v>
      </c>
    </row>
    <row r="3500" spans="1:13" x14ac:dyDescent="0.3">
      <c r="A3500" s="10">
        <v>46174</v>
      </c>
      <c r="B3500" s="9" t="s">
        <v>3</v>
      </c>
      <c r="C3500" t="s">
        <v>248</v>
      </c>
      <c r="D3500" s="9">
        <v>0</v>
      </c>
      <c r="E3500" s="5" t="s">
        <v>381</v>
      </c>
      <c r="F3500" t="s">
        <v>249</v>
      </c>
      <c r="G3500">
        <v>4081</v>
      </c>
      <c r="H3500">
        <v>1466</v>
      </c>
      <c r="I3500" s="8">
        <v>0.35922567998039695</v>
      </c>
      <c r="J3500" s="17">
        <v>0.7</v>
      </c>
      <c r="K3500" s="12">
        <v>15.275492021276465</v>
      </c>
      <c r="L3500" s="2">
        <v>2615</v>
      </c>
      <c r="M3500" s="15">
        <v>39945.411635637953</v>
      </c>
    </row>
    <row r="3501" spans="1:13" x14ac:dyDescent="0.3">
      <c r="A3501" s="10">
        <v>46174</v>
      </c>
      <c r="B3501" s="9" t="s">
        <v>3</v>
      </c>
      <c r="C3501" t="s">
        <v>248</v>
      </c>
      <c r="D3501" s="9">
        <v>0</v>
      </c>
      <c r="E3501" s="5" t="s">
        <v>409</v>
      </c>
      <c r="F3501" t="s">
        <v>254</v>
      </c>
      <c r="G3501">
        <v>1605</v>
      </c>
      <c r="H3501">
        <v>504</v>
      </c>
      <c r="I3501" s="8">
        <v>0.31401869158878504</v>
      </c>
      <c r="J3501" s="17">
        <v>0.7</v>
      </c>
      <c r="K3501" s="12">
        <v>14.638068181818216</v>
      </c>
      <c r="L3501" s="2">
        <v>1101</v>
      </c>
      <c r="M3501" s="15">
        <v>16116.513068181855</v>
      </c>
    </row>
    <row r="3502" spans="1:13" x14ac:dyDescent="0.3">
      <c r="A3502" s="10">
        <v>46174</v>
      </c>
      <c r="B3502" s="9" t="s">
        <v>3</v>
      </c>
      <c r="C3502" t="s">
        <v>248</v>
      </c>
      <c r="D3502" s="9">
        <v>0</v>
      </c>
      <c r="E3502" s="5" t="s">
        <v>406</v>
      </c>
      <c r="F3502" t="s">
        <v>251</v>
      </c>
      <c r="G3502">
        <v>2154</v>
      </c>
      <c r="H3502">
        <v>785</v>
      </c>
      <c r="I3502" s="8">
        <v>0.36443825441039923</v>
      </c>
      <c r="J3502" s="17">
        <v>0.7</v>
      </c>
      <c r="K3502" s="12">
        <v>14.971589403973553</v>
      </c>
      <c r="L3502" s="2">
        <v>1369</v>
      </c>
      <c r="M3502" s="15">
        <v>20496.105894039792</v>
      </c>
    </row>
    <row r="3503" spans="1:13" x14ac:dyDescent="0.3">
      <c r="A3503" s="10">
        <v>46174</v>
      </c>
      <c r="B3503" s="9" t="s">
        <v>3</v>
      </c>
      <c r="C3503" t="s">
        <v>248</v>
      </c>
      <c r="D3503" s="9">
        <v>0</v>
      </c>
      <c r="E3503" s="5" t="s">
        <v>588</v>
      </c>
      <c r="F3503" t="s">
        <v>261</v>
      </c>
      <c r="G3503">
        <v>1156</v>
      </c>
      <c r="H3503">
        <v>538</v>
      </c>
      <c r="I3503" s="8">
        <v>0.46539792387543255</v>
      </c>
      <c r="J3503" s="17">
        <v>0.7</v>
      </c>
      <c r="K3503" s="12">
        <v>15.909180327868878</v>
      </c>
      <c r="L3503" s="2">
        <v>618</v>
      </c>
      <c r="M3503" s="15">
        <v>9831.8734426229657</v>
      </c>
    </row>
    <row r="3504" spans="1:13" x14ac:dyDescent="0.3">
      <c r="A3504" s="10">
        <v>46174</v>
      </c>
      <c r="B3504" s="9" t="s">
        <v>3</v>
      </c>
      <c r="C3504" t="s">
        <v>248</v>
      </c>
      <c r="D3504" s="9">
        <v>0</v>
      </c>
      <c r="E3504" s="5" t="s">
        <v>579</v>
      </c>
      <c r="F3504" t="s">
        <v>264</v>
      </c>
      <c r="G3504">
        <v>1407</v>
      </c>
      <c r="H3504">
        <v>516</v>
      </c>
      <c r="I3504" s="8">
        <v>0.36673773987206826</v>
      </c>
      <c r="J3504" s="17">
        <v>0.7</v>
      </c>
      <c r="K3504" s="12">
        <v>14.115238095238139</v>
      </c>
      <c r="L3504" s="2">
        <v>891</v>
      </c>
      <c r="M3504" s="15">
        <v>12576.677142857181</v>
      </c>
    </row>
    <row r="3505" spans="1:13" x14ac:dyDescent="0.3">
      <c r="A3505" s="10">
        <v>46174</v>
      </c>
      <c r="B3505" s="9" t="s">
        <v>3</v>
      </c>
      <c r="C3505" t="s">
        <v>248</v>
      </c>
      <c r="D3505" s="9">
        <v>0</v>
      </c>
      <c r="E3505" s="5" t="s">
        <v>461</v>
      </c>
      <c r="F3505" t="s">
        <v>262</v>
      </c>
      <c r="G3505">
        <v>1494</v>
      </c>
      <c r="H3505">
        <v>663</v>
      </c>
      <c r="I3505" s="8">
        <v>0.44377510040160645</v>
      </c>
      <c r="J3505" s="17">
        <v>0.7</v>
      </c>
      <c r="K3505" s="12">
        <v>13.403815261044143</v>
      </c>
      <c r="L3505" s="2">
        <v>831</v>
      </c>
      <c r="M3505" s="15">
        <v>11138.570481927682</v>
      </c>
    </row>
    <row r="3506" spans="1:13" x14ac:dyDescent="0.3">
      <c r="A3506" s="10">
        <v>46174</v>
      </c>
      <c r="B3506" s="9" t="s">
        <v>3</v>
      </c>
      <c r="C3506" t="s">
        <v>248</v>
      </c>
      <c r="D3506" s="9">
        <v>0</v>
      </c>
      <c r="E3506" s="5" t="s">
        <v>580</v>
      </c>
      <c r="F3506" t="s">
        <v>263</v>
      </c>
      <c r="G3506">
        <v>1142</v>
      </c>
      <c r="H3506">
        <v>397</v>
      </c>
      <c r="I3506" s="8">
        <v>0.3476357267950963</v>
      </c>
      <c r="J3506" s="17">
        <v>0.7</v>
      </c>
      <c r="K3506" s="12">
        <v>15.444274809160339</v>
      </c>
      <c r="L3506" s="2">
        <v>745</v>
      </c>
      <c r="M3506" s="15">
        <v>11505.984732824452</v>
      </c>
    </row>
    <row r="3507" spans="1:13" x14ac:dyDescent="0.3">
      <c r="A3507" s="10">
        <v>46174</v>
      </c>
      <c r="B3507" s="9" t="s">
        <v>3</v>
      </c>
      <c r="C3507" t="s">
        <v>248</v>
      </c>
      <c r="D3507" s="9">
        <v>0</v>
      </c>
      <c r="E3507" s="5" t="s">
        <v>383</v>
      </c>
      <c r="F3507" t="s">
        <v>250</v>
      </c>
      <c r="G3507">
        <v>3028</v>
      </c>
      <c r="H3507">
        <v>945</v>
      </c>
      <c r="I3507" s="8">
        <v>0.31208718626155879</v>
      </c>
      <c r="J3507" s="17">
        <v>0.7</v>
      </c>
      <c r="K3507" s="12">
        <v>15.947438692098071</v>
      </c>
      <c r="L3507" s="2">
        <v>2083</v>
      </c>
      <c r="M3507" s="15">
        <v>33218.51479564028</v>
      </c>
    </row>
    <row r="3508" spans="1:13" x14ac:dyDescent="0.3">
      <c r="A3508" s="10">
        <v>46174</v>
      </c>
      <c r="B3508" s="9" t="s">
        <v>3</v>
      </c>
      <c r="C3508" t="s">
        <v>248</v>
      </c>
      <c r="D3508" s="9">
        <v>0</v>
      </c>
      <c r="E3508" s="5" t="s">
        <v>590</v>
      </c>
      <c r="F3508" t="s">
        <v>255</v>
      </c>
      <c r="G3508">
        <v>1165</v>
      </c>
      <c r="H3508">
        <v>383</v>
      </c>
      <c r="I3508" s="8">
        <v>0.32875536480686696</v>
      </c>
      <c r="J3508" s="17">
        <v>0.7</v>
      </c>
      <c r="K3508" s="12">
        <v>16.403396226415119</v>
      </c>
      <c r="L3508" s="2">
        <v>782</v>
      </c>
      <c r="M3508" s="15">
        <v>12827.455849056623</v>
      </c>
    </row>
    <row r="3509" spans="1:13" x14ac:dyDescent="0.3">
      <c r="A3509" s="10">
        <v>46174</v>
      </c>
      <c r="B3509" s="9" t="s">
        <v>3</v>
      </c>
      <c r="C3509" t="s">
        <v>248</v>
      </c>
      <c r="D3509" s="9">
        <v>0</v>
      </c>
      <c r="E3509" s="5" t="s">
        <v>408</v>
      </c>
      <c r="F3509" t="s">
        <v>253</v>
      </c>
      <c r="G3509">
        <v>1901</v>
      </c>
      <c r="H3509">
        <v>665</v>
      </c>
      <c r="I3509" s="8">
        <v>0.3498158863755918</v>
      </c>
      <c r="J3509" s="17">
        <v>0.7</v>
      </c>
      <c r="K3509" s="12">
        <v>15.303529411764742</v>
      </c>
      <c r="L3509" s="2">
        <v>1236</v>
      </c>
      <c r="M3509" s="15">
        <v>18915.162352941221</v>
      </c>
    </row>
    <row r="3510" spans="1:13" x14ac:dyDescent="0.3">
      <c r="A3510" s="10">
        <v>46174</v>
      </c>
      <c r="B3510" s="9" t="s">
        <v>3</v>
      </c>
      <c r="C3510" t="s">
        <v>248</v>
      </c>
      <c r="D3510" s="9">
        <v>0</v>
      </c>
      <c r="E3510" s="5" t="s">
        <v>567</v>
      </c>
      <c r="F3510" t="s">
        <v>269</v>
      </c>
      <c r="G3510">
        <v>1443</v>
      </c>
      <c r="H3510">
        <v>526</v>
      </c>
      <c r="I3510" s="8">
        <v>0.3645183645183645</v>
      </c>
      <c r="J3510" s="17">
        <v>0.7</v>
      </c>
      <c r="K3510" s="12">
        <v>14.600000000000037</v>
      </c>
      <c r="L3510" s="2">
        <v>917</v>
      </c>
      <c r="M3510" s="15">
        <v>13388.200000000033</v>
      </c>
    </row>
    <row r="3511" spans="1:13" x14ac:dyDescent="0.3">
      <c r="A3511" s="10">
        <v>46174</v>
      </c>
      <c r="B3511" s="9" t="s">
        <v>3</v>
      </c>
      <c r="C3511" t="s">
        <v>248</v>
      </c>
      <c r="D3511" s="9">
        <v>0</v>
      </c>
      <c r="E3511" s="5" t="s">
        <v>609</v>
      </c>
      <c r="F3511" t="s">
        <v>256</v>
      </c>
      <c r="G3511">
        <v>1495</v>
      </c>
      <c r="H3511">
        <v>510</v>
      </c>
      <c r="I3511" s="8">
        <v>0.34113712374581939</v>
      </c>
      <c r="J3511" s="17">
        <v>0.7</v>
      </c>
      <c r="K3511" s="12">
        <v>15.293681318681354</v>
      </c>
      <c r="L3511" s="2">
        <v>985</v>
      </c>
      <c r="M3511" s="15">
        <v>15064.276098901135</v>
      </c>
    </row>
    <row r="3512" spans="1:13" x14ac:dyDescent="0.3">
      <c r="A3512" s="10">
        <v>46174</v>
      </c>
      <c r="B3512" s="9" t="s">
        <v>3</v>
      </c>
      <c r="C3512" t="s">
        <v>248</v>
      </c>
      <c r="D3512" s="9">
        <v>0</v>
      </c>
      <c r="E3512" s="5" t="s">
        <v>608</v>
      </c>
      <c r="F3512" t="s">
        <v>257</v>
      </c>
      <c r="G3512">
        <v>1182</v>
      </c>
      <c r="H3512">
        <v>405</v>
      </c>
      <c r="I3512" s="8">
        <v>0.34263959390862941</v>
      </c>
      <c r="J3512" s="17">
        <v>0.7</v>
      </c>
      <c r="K3512" s="12">
        <v>15.132000000000025</v>
      </c>
      <c r="L3512" s="2">
        <v>777</v>
      </c>
      <c r="M3512" s="15">
        <v>11757.564000000018</v>
      </c>
    </row>
    <row r="3513" spans="1:13" x14ac:dyDescent="0.3">
      <c r="A3513" s="10">
        <v>46174</v>
      </c>
      <c r="B3513" s="9" t="s">
        <v>3</v>
      </c>
      <c r="C3513" t="s">
        <v>248</v>
      </c>
      <c r="D3513" s="9">
        <v>0</v>
      </c>
      <c r="E3513" s="5" t="s">
        <v>578</v>
      </c>
      <c r="F3513" t="s">
        <v>258</v>
      </c>
      <c r="G3513">
        <v>1377</v>
      </c>
      <c r="H3513">
        <v>385</v>
      </c>
      <c r="I3513" s="8">
        <v>0.27959331880900506</v>
      </c>
      <c r="J3513" s="17">
        <v>0.7</v>
      </c>
      <c r="K3513" s="12">
        <v>16.817314285714314</v>
      </c>
      <c r="L3513" s="2">
        <v>992</v>
      </c>
      <c r="M3513" s="15">
        <v>16682.775771428598</v>
      </c>
    </row>
    <row r="3514" spans="1:13" x14ac:dyDescent="0.3">
      <c r="A3514" s="10">
        <v>46174</v>
      </c>
      <c r="B3514" s="9" t="s">
        <v>3</v>
      </c>
      <c r="C3514" t="s">
        <v>248</v>
      </c>
      <c r="D3514" s="9">
        <v>0</v>
      </c>
      <c r="E3514" s="5" t="s">
        <v>566</v>
      </c>
      <c r="F3514" t="s">
        <v>268</v>
      </c>
      <c r="G3514">
        <v>2621</v>
      </c>
      <c r="H3514">
        <v>780</v>
      </c>
      <c r="I3514" s="8">
        <v>0.29759633727584889</v>
      </c>
      <c r="J3514" s="17">
        <v>0.7</v>
      </c>
      <c r="K3514" s="12">
        <v>15.143471810089038</v>
      </c>
      <c r="L3514" s="2">
        <v>1841</v>
      </c>
      <c r="M3514" s="15">
        <v>27879.131602373916</v>
      </c>
    </row>
    <row r="3515" spans="1:13" x14ac:dyDescent="0.3">
      <c r="A3515" s="10">
        <v>46174</v>
      </c>
      <c r="B3515" s="9" t="s">
        <v>3</v>
      </c>
      <c r="C3515" t="s">
        <v>248</v>
      </c>
      <c r="D3515" s="9">
        <v>0</v>
      </c>
      <c r="E3515" s="5" t="s">
        <v>568</v>
      </c>
      <c r="F3515" t="s">
        <v>270</v>
      </c>
      <c r="G3515">
        <v>1366</v>
      </c>
      <c r="H3515">
        <v>469</v>
      </c>
      <c r="I3515" s="8">
        <v>0.34333821376281115</v>
      </c>
      <c r="J3515" s="17">
        <v>0.7</v>
      </c>
      <c r="K3515" s="12">
        <v>15.014039215686308</v>
      </c>
      <c r="L3515" s="2">
        <v>897</v>
      </c>
      <c r="M3515" s="15">
        <v>13467.593176470618</v>
      </c>
    </row>
    <row r="3516" spans="1:13" x14ac:dyDescent="0.3">
      <c r="A3516" s="10">
        <v>46174</v>
      </c>
      <c r="B3516" s="9" t="s">
        <v>3</v>
      </c>
      <c r="C3516" t="s">
        <v>248</v>
      </c>
      <c r="D3516" s="9">
        <v>0</v>
      </c>
      <c r="E3516" s="5" t="s">
        <v>647</v>
      </c>
      <c r="F3516" t="s">
        <v>267</v>
      </c>
      <c r="G3516">
        <v>1153</v>
      </c>
      <c r="H3516">
        <v>386</v>
      </c>
      <c r="I3516" s="8">
        <v>0.33477883781439721</v>
      </c>
      <c r="J3516" s="17">
        <v>0.7</v>
      </c>
      <c r="K3516" s="12">
        <v>15.246956521739174</v>
      </c>
      <c r="L3516" s="2">
        <v>767</v>
      </c>
      <c r="M3516" s="15">
        <v>11694.415652173946</v>
      </c>
    </row>
    <row r="3517" spans="1:13" x14ac:dyDescent="0.3">
      <c r="A3517" s="10">
        <v>46174</v>
      </c>
      <c r="B3517" s="9" t="s">
        <v>3</v>
      </c>
      <c r="C3517" t="s">
        <v>248</v>
      </c>
      <c r="D3517" s="9">
        <v>0</v>
      </c>
      <c r="E3517" s="5" t="s">
        <v>529</v>
      </c>
      <c r="F3517" t="s">
        <v>266</v>
      </c>
      <c r="G3517">
        <v>1472</v>
      </c>
      <c r="H3517">
        <v>463</v>
      </c>
      <c r="I3517" s="8">
        <v>0.31453804347826086</v>
      </c>
      <c r="J3517" s="17">
        <v>0.7</v>
      </c>
      <c r="K3517" s="12">
        <v>13.656550000000031</v>
      </c>
      <c r="L3517" s="2">
        <v>1009</v>
      </c>
      <c r="M3517" s="15">
        <v>13779.458950000031</v>
      </c>
    </row>
    <row r="3518" spans="1:13" x14ac:dyDescent="0.3">
      <c r="A3518" s="10">
        <v>46174</v>
      </c>
      <c r="B3518" s="9" t="s">
        <v>3</v>
      </c>
      <c r="C3518" t="s">
        <v>248</v>
      </c>
      <c r="D3518" s="9">
        <v>0</v>
      </c>
      <c r="E3518" s="5" t="s">
        <v>585</v>
      </c>
      <c r="F3518" t="s">
        <v>259</v>
      </c>
      <c r="G3518">
        <v>968</v>
      </c>
      <c r="H3518">
        <v>323</v>
      </c>
      <c r="I3518" s="8">
        <v>0.33367768595041325</v>
      </c>
      <c r="J3518" s="17">
        <v>0.7</v>
      </c>
      <c r="K3518" s="12">
        <v>16.933944954128442</v>
      </c>
      <c r="L3518" s="2">
        <v>645</v>
      </c>
      <c r="M3518" s="15">
        <v>10922.394495412846</v>
      </c>
    </row>
    <row r="3519" spans="1:13" x14ac:dyDescent="0.3">
      <c r="A3519" s="10">
        <v>46174</v>
      </c>
      <c r="B3519" s="9" t="s">
        <v>3</v>
      </c>
      <c r="C3519" t="s">
        <v>248</v>
      </c>
      <c r="D3519" s="9">
        <v>0</v>
      </c>
      <c r="E3519" s="5" t="s">
        <v>612</v>
      </c>
      <c r="F3519" t="s">
        <v>260</v>
      </c>
      <c r="G3519">
        <v>1321</v>
      </c>
      <c r="H3519">
        <v>586</v>
      </c>
      <c r="I3519" s="8">
        <v>0.44360333080999242</v>
      </c>
      <c r="J3519" s="17">
        <v>0.7</v>
      </c>
      <c r="K3519" s="12">
        <v>14.877982708933759</v>
      </c>
      <c r="L3519" s="2">
        <v>735</v>
      </c>
      <c r="M3519" s="15">
        <v>10935.317291066312</v>
      </c>
    </row>
    <row r="3520" spans="1:13" x14ac:dyDescent="0.3">
      <c r="A3520" s="10">
        <v>46174</v>
      </c>
      <c r="B3520" s="9" t="s">
        <v>59</v>
      </c>
      <c r="C3520" t="s">
        <v>271</v>
      </c>
      <c r="D3520" s="9">
        <v>0</v>
      </c>
      <c r="E3520" s="5" t="s">
        <v>598</v>
      </c>
      <c r="F3520" t="s">
        <v>272</v>
      </c>
      <c r="G3520">
        <v>1499</v>
      </c>
      <c r="H3520">
        <v>557</v>
      </c>
      <c r="I3520" s="8">
        <v>0.37158105403602404</v>
      </c>
      <c r="J3520" s="17">
        <v>0.7</v>
      </c>
      <c r="K3520" s="12">
        <v>15.560714285714344</v>
      </c>
      <c r="L3520" s="2">
        <v>942</v>
      </c>
      <c r="M3520" s="15">
        <v>14658.192857142913</v>
      </c>
    </row>
    <row r="3521" spans="1:13" x14ac:dyDescent="0.3">
      <c r="A3521" s="10">
        <v>46174</v>
      </c>
      <c r="B3521" s="9" t="s">
        <v>78</v>
      </c>
      <c r="C3521" t="s">
        <v>323</v>
      </c>
      <c r="D3521" s="9">
        <v>0</v>
      </c>
      <c r="E3521" s="5" t="s">
        <v>615</v>
      </c>
      <c r="F3521" t="s">
        <v>627</v>
      </c>
      <c r="G3521">
        <v>1283</v>
      </c>
      <c r="H3521">
        <v>616</v>
      </c>
      <c r="I3521" s="8">
        <v>0.48012470771628996</v>
      </c>
      <c r="J3521" s="17">
        <v>0.7</v>
      </c>
      <c r="K3521" s="12">
        <v>14.882840236686432</v>
      </c>
      <c r="L3521" s="2">
        <v>667</v>
      </c>
      <c r="M3521" s="15">
        <v>9926.8544378698498</v>
      </c>
    </row>
    <row r="3522" spans="1:13" x14ac:dyDescent="0.3">
      <c r="A3522" s="10">
        <v>46174</v>
      </c>
      <c r="B3522" s="9" t="s">
        <v>160</v>
      </c>
      <c r="C3522" t="s">
        <v>279</v>
      </c>
      <c r="D3522" s="9">
        <v>0</v>
      </c>
      <c r="E3522" s="5" t="s">
        <v>378</v>
      </c>
      <c r="F3522" t="s">
        <v>280</v>
      </c>
      <c r="G3522">
        <v>1689</v>
      </c>
      <c r="H3522">
        <v>757</v>
      </c>
      <c r="I3522" s="8">
        <v>0.44819419775014802</v>
      </c>
      <c r="J3522" s="17">
        <v>0.7</v>
      </c>
      <c r="K3522" s="12">
        <v>13.763730569948203</v>
      </c>
      <c r="L3522" s="2">
        <v>932</v>
      </c>
      <c r="M3522" s="15">
        <v>12827.796891191725</v>
      </c>
    </row>
    <row r="3523" spans="1:13" x14ac:dyDescent="0.3">
      <c r="A3523" s="10">
        <v>46174</v>
      </c>
      <c r="B3523" s="9" t="s">
        <v>15</v>
      </c>
      <c r="C3523" t="s">
        <v>281</v>
      </c>
      <c r="D3523" s="9">
        <v>0</v>
      </c>
      <c r="E3523" s="5" t="s">
        <v>405</v>
      </c>
      <c r="F3523" t="s">
        <v>282</v>
      </c>
      <c r="G3523">
        <v>2371</v>
      </c>
      <c r="H3523">
        <v>901</v>
      </c>
      <c r="I3523" s="8">
        <v>0.38000843525938421</v>
      </c>
      <c r="J3523" s="17">
        <v>0.7</v>
      </c>
      <c r="K3523" s="12">
        <v>14.517543581616319</v>
      </c>
      <c r="L3523" s="2">
        <v>1470</v>
      </c>
      <c r="M3523" s="15">
        <v>21340.78906497599</v>
      </c>
    </row>
    <row r="3524" spans="1:13" x14ac:dyDescent="0.3">
      <c r="A3524" s="10">
        <v>46174</v>
      </c>
      <c r="B3524" s="9" t="s">
        <v>14</v>
      </c>
      <c r="C3524" t="s">
        <v>283</v>
      </c>
      <c r="D3524" s="9">
        <v>0</v>
      </c>
      <c r="E3524" s="5" t="s">
        <v>610</v>
      </c>
      <c r="F3524" t="s">
        <v>284</v>
      </c>
      <c r="G3524">
        <v>1836</v>
      </c>
      <c r="H3524">
        <v>798</v>
      </c>
      <c r="I3524" s="8">
        <v>0.434640522875817</v>
      </c>
      <c r="J3524" s="17">
        <v>0.7</v>
      </c>
      <c r="K3524" s="12">
        <v>15.373894736842143</v>
      </c>
      <c r="L3524" s="2">
        <v>1038</v>
      </c>
      <c r="M3524" s="15">
        <v>15958.102736842144</v>
      </c>
    </row>
    <row r="3525" spans="1:13" x14ac:dyDescent="0.3">
      <c r="A3525" s="10">
        <v>46174</v>
      </c>
      <c r="B3525" s="9" t="s">
        <v>14</v>
      </c>
      <c r="C3525" t="s">
        <v>285</v>
      </c>
      <c r="D3525" s="9">
        <v>0</v>
      </c>
      <c r="E3525" s="5" t="s">
        <v>374</v>
      </c>
      <c r="F3525" t="s">
        <v>286</v>
      </c>
      <c r="G3525">
        <v>2805</v>
      </c>
      <c r="H3525">
        <v>856</v>
      </c>
      <c r="I3525" s="8">
        <v>0.30516934046345812</v>
      </c>
      <c r="J3525" s="17">
        <v>0.7</v>
      </c>
      <c r="K3525" s="12">
        <v>15.278208232445483</v>
      </c>
      <c r="L3525" s="2">
        <v>1949</v>
      </c>
      <c r="M3525" s="15">
        <v>29777.227845036246</v>
      </c>
    </row>
    <row r="3526" spans="1:13" x14ac:dyDescent="0.3">
      <c r="A3526" s="10">
        <v>46174</v>
      </c>
      <c r="B3526" s="9" t="s">
        <v>14</v>
      </c>
      <c r="C3526" t="s">
        <v>285</v>
      </c>
      <c r="D3526" s="9">
        <v>0</v>
      </c>
      <c r="E3526" s="5" t="s">
        <v>456</v>
      </c>
      <c r="F3526" t="s">
        <v>331</v>
      </c>
      <c r="G3526">
        <v>1186</v>
      </c>
      <c r="H3526">
        <v>421</v>
      </c>
      <c r="I3526" s="8">
        <v>0.35497470489038785</v>
      </c>
      <c r="J3526" s="17">
        <v>0.7</v>
      </c>
      <c r="K3526" s="12">
        <v>14.987878787878838</v>
      </c>
      <c r="L3526" s="2">
        <v>765</v>
      </c>
      <c r="M3526" s="15">
        <v>11465.72727272731</v>
      </c>
    </row>
    <row r="3527" spans="1:13" x14ac:dyDescent="0.3">
      <c r="A3527" s="10">
        <v>46174</v>
      </c>
      <c r="B3527" s="9" t="s">
        <v>14</v>
      </c>
      <c r="C3527" t="s">
        <v>287</v>
      </c>
      <c r="D3527" s="9">
        <v>0</v>
      </c>
      <c r="E3527" s="5" t="s">
        <v>513</v>
      </c>
      <c r="F3527" t="s">
        <v>288</v>
      </c>
      <c r="G3527">
        <v>953</v>
      </c>
      <c r="H3527">
        <v>388</v>
      </c>
      <c r="I3527" s="8">
        <v>0.40713536201469047</v>
      </c>
      <c r="J3527" s="17">
        <v>0.7</v>
      </c>
      <c r="K3527" s="12">
        <v>15.651936872309884</v>
      </c>
      <c r="L3527" s="2">
        <v>565</v>
      </c>
      <c r="M3527" s="15">
        <v>8843.3443328550838</v>
      </c>
    </row>
    <row r="3528" spans="1:13" x14ac:dyDescent="0.3">
      <c r="A3528" s="10">
        <v>46174</v>
      </c>
      <c r="B3528" s="9" t="s">
        <v>59</v>
      </c>
      <c r="C3528" t="s">
        <v>289</v>
      </c>
      <c r="D3528" s="9">
        <v>0</v>
      </c>
      <c r="E3528" s="5" t="s">
        <v>616</v>
      </c>
      <c r="F3528" t="s">
        <v>290</v>
      </c>
      <c r="G3528">
        <v>2265</v>
      </c>
      <c r="H3528">
        <v>770</v>
      </c>
      <c r="I3528" s="8">
        <v>0.33995584988962474</v>
      </c>
      <c r="J3528" s="17">
        <v>0.7</v>
      </c>
      <c r="K3528" s="12">
        <v>15.56218749999999</v>
      </c>
      <c r="L3528" s="2">
        <v>1495</v>
      </c>
      <c r="M3528" s="15">
        <v>23265.470312499983</v>
      </c>
    </row>
    <row r="3529" spans="1:13" x14ac:dyDescent="0.3">
      <c r="A3529" s="10">
        <v>46174</v>
      </c>
      <c r="B3529" s="9" t="s">
        <v>59</v>
      </c>
      <c r="C3529" t="s">
        <v>289</v>
      </c>
      <c r="D3529" s="9">
        <v>0</v>
      </c>
      <c r="E3529" s="5" t="s">
        <v>648</v>
      </c>
      <c r="F3529" t="s">
        <v>291</v>
      </c>
      <c r="G3529">
        <v>2438</v>
      </c>
      <c r="H3529">
        <v>813</v>
      </c>
      <c r="I3529" s="8">
        <v>0.33347005742411812</v>
      </c>
      <c r="J3529" s="17">
        <v>0.7</v>
      </c>
      <c r="K3529" s="12">
        <v>15.416756756756751</v>
      </c>
      <c r="L3529" s="2">
        <v>1625</v>
      </c>
      <c r="M3529" s="15">
        <v>25052.229729729719</v>
      </c>
    </row>
    <row r="3530" spans="1:13" x14ac:dyDescent="0.3">
      <c r="A3530" s="10">
        <v>46174</v>
      </c>
      <c r="B3530" s="9" t="s">
        <v>59</v>
      </c>
      <c r="C3530" t="s">
        <v>292</v>
      </c>
      <c r="D3530" s="9">
        <v>0</v>
      </c>
      <c r="E3530" s="5" t="s">
        <v>599</v>
      </c>
      <c r="F3530" t="s">
        <v>293</v>
      </c>
      <c r="G3530">
        <v>2108</v>
      </c>
      <c r="H3530">
        <v>591</v>
      </c>
      <c r="I3530" s="8">
        <v>0.28036053130929789</v>
      </c>
      <c r="J3530" s="17">
        <v>0.7</v>
      </c>
      <c r="K3530" s="12">
        <v>14.88352760736201</v>
      </c>
      <c r="L3530" s="2">
        <v>1517</v>
      </c>
      <c r="M3530" s="15">
        <v>22578.31138036817</v>
      </c>
    </row>
    <row r="3531" spans="1:13" x14ac:dyDescent="0.3">
      <c r="A3531" s="10">
        <v>46174</v>
      </c>
      <c r="B3531" s="9" t="s">
        <v>59</v>
      </c>
      <c r="C3531" t="s">
        <v>292</v>
      </c>
      <c r="D3531" s="9">
        <v>0</v>
      </c>
      <c r="E3531" s="5" t="s">
        <v>600</v>
      </c>
      <c r="F3531" t="s">
        <v>294</v>
      </c>
      <c r="G3531">
        <v>1428</v>
      </c>
      <c r="H3531">
        <v>470</v>
      </c>
      <c r="I3531" s="8">
        <v>0.32913165266106442</v>
      </c>
      <c r="J3531" s="17">
        <v>0.7</v>
      </c>
      <c r="K3531" s="12">
        <v>15.721585903083721</v>
      </c>
      <c r="L3531" s="2">
        <v>958</v>
      </c>
      <c r="M3531" s="15">
        <v>15061.279295154205</v>
      </c>
    </row>
    <row r="3532" spans="1:13" x14ac:dyDescent="0.3">
      <c r="A3532" s="10">
        <v>46174</v>
      </c>
      <c r="B3532" s="9" t="s">
        <v>21</v>
      </c>
      <c r="C3532" t="s">
        <v>324</v>
      </c>
      <c r="D3532" s="9">
        <v>0</v>
      </c>
      <c r="E3532" s="5" t="s">
        <v>464</v>
      </c>
      <c r="F3532" t="s">
        <v>295</v>
      </c>
      <c r="G3532">
        <v>3283</v>
      </c>
      <c r="H3532">
        <v>1309</v>
      </c>
      <c r="I3532" s="8">
        <v>0.39872068230277186</v>
      </c>
      <c r="J3532" s="17">
        <v>0.7</v>
      </c>
      <c r="K3532" s="12">
        <v>15.269933481152917</v>
      </c>
      <c r="L3532" s="2">
        <v>1974</v>
      </c>
      <c r="M3532" s="15">
        <v>30142.848691795858</v>
      </c>
    </row>
    <row r="3533" spans="1:13" x14ac:dyDescent="0.3">
      <c r="A3533" s="10">
        <v>46174</v>
      </c>
      <c r="B3533" s="9" t="s">
        <v>15</v>
      </c>
      <c r="C3533" t="s">
        <v>296</v>
      </c>
      <c r="D3533" s="9">
        <v>0</v>
      </c>
      <c r="E3533" s="5" t="s">
        <v>376</v>
      </c>
      <c r="F3533" t="s">
        <v>297</v>
      </c>
      <c r="G3533">
        <v>2033</v>
      </c>
      <c r="H3533">
        <v>871</v>
      </c>
      <c r="I3533" s="8">
        <v>0.42843089030988685</v>
      </c>
      <c r="J3533" s="17">
        <v>0.7</v>
      </c>
      <c r="K3533" s="12">
        <v>15.697215189873379</v>
      </c>
      <c r="L3533" s="2">
        <v>1162</v>
      </c>
      <c r="M3533" s="15">
        <v>18240.164050632866</v>
      </c>
    </row>
    <row r="3534" spans="1:13" x14ac:dyDescent="0.3">
      <c r="A3534" s="10">
        <v>46174</v>
      </c>
      <c r="B3534" s="9" t="s">
        <v>89</v>
      </c>
      <c r="C3534" t="s">
        <v>313</v>
      </c>
      <c r="D3534" s="9">
        <v>0</v>
      </c>
      <c r="E3534" s="5" t="s">
        <v>649</v>
      </c>
      <c r="F3534" t="s">
        <v>628</v>
      </c>
      <c r="G3534">
        <v>2005</v>
      </c>
      <c r="H3534">
        <v>1782</v>
      </c>
      <c r="I3534" s="8">
        <v>0.88877805486284289</v>
      </c>
      <c r="J3534" s="17">
        <v>0.7</v>
      </c>
      <c r="K3534" s="12">
        <v>12.162545676004697</v>
      </c>
      <c r="L3534" s="2">
        <v>223</v>
      </c>
      <c r="M3534" s="15">
        <v>2712.2476857490474</v>
      </c>
    </row>
    <row r="3535" spans="1:13" x14ac:dyDescent="0.3">
      <c r="A3535" s="10">
        <v>46174</v>
      </c>
      <c r="B3535" s="9" t="s">
        <v>14</v>
      </c>
      <c r="C3535" t="s">
        <v>316</v>
      </c>
      <c r="D3535" s="9">
        <v>0</v>
      </c>
      <c r="E3535" s="5" t="s">
        <v>650</v>
      </c>
      <c r="F3535" t="s">
        <v>629</v>
      </c>
      <c r="G3535">
        <v>1062</v>
      </c>
      <c r="H3535">
        <v>492</v>
      </c>
      <c r="I3535" s="8">
        <v>0.4632768361581921</v>
      </c>
      <c r="J3535" s="17">
        <v>0.7</v>
      </c>
      <c r="K3535" s="12">
        <v>14.40280898876409</v>
      </c>
      <c r="L3535" s="2">
        <v>570</v>
      </c>
      <c r="M3535" s="15">
        <v>8209.6011235955302</v>
      </c>
    </row>
    <row r="3536" spans="1:13" x14ac:dyDescent="0.3">
      <c r="A3536" s="10">
        <v>46174</v>
      </c>
      <c r="B3536" s="9" t="s">
        <v>6</v>
      </c>
      <c r="C3536" t="s">
        <v>236</v>
      </c>
      <c r="D3536" s="9">
        <v>0</v>
      </c>
      <c r="E3536" s="5" t="s">
        <v>651</v>
      </c>
      <c r="F3536" t="s">
        <v>630</v>
      </c>
      <c r="G3536">
        <v>1374</v>
      </c>
      <c r="H3536">
        <v>1205</v>
      </c>
      <c r="I3536" s="8">
        <v>0.87700145560407572</v>
      </c>
      <c r="J3536" s="17">
        <v>0.7</v>
      </c>
      <c r="K3536" s="12">
        <v>14.057575757575783</v>
      </c>
      <c r="L3536" s="2">
        <v>169</v>
      </c>
      <c r="M3536" s="15">
        <v>2375.7303030303074</v>
      </c>
    </row>
    <row r="3537" spans="1:13" x14ac:dyDescent="0.3">
      <c r="A3537" s="10">
        <v>46174</v>
      </c>
      <c r="B3537" s="9" t="s">
        <v>74</v>
      </c>
      <c r="C3537" t="s">
        <v>186</v>
      </c>
      <c r="D3537" s="9">
        <v>0</v>
      </c>
      <c r="E3537" s="5" t="s">
        <v>652</v>
      </c>
      <c r="F3537" t="s">
        <v>631</v>
      </c>
      <c r="G3537">
        <v>6376</v>
      </c>
      <c r="H3537">
        <v>5438</v>
      </c>
      <c r="I3537" s="8">
        <v>0.85288582183186956</v>
      </c>
      <c r="J3537" s="17">
        <v>0.7</v>
      </c>
      <c r="K3537" s="12">
        <v>11.600874463519306</v>
      </c>
      <c r="L3537" s="2">
        <v>938</v>
      </c>
      <c r="M3537" s="15">
        <v>10881.620246781109</v>
      </c>
    </row>
    <row r="3538" spans="1:13" x14ac:dyDescent="0.3">
      <c r="A3538" s="10">
        <v>46174</v>
      </c>
      <c r="B3538" s="9" t="s">
        <v>15</v>
      </c>
      <c r="C3538" t="s">
        <v>319</v>
      </c>
      <c r="D3538" s="9">
        <v>0</v>
      </c>
      <c r="E3538" s="5" t="s">
        <v>653</v>
      </c>
      <c r="F3538" t="s">
        <v>632</v>
      </c>
      <c r="G3538">
        <v>5539</v>
      </c>
      <c r="H3538">
        <v>3979</v>
      </c>
      <c r="I3538" s="8">
        <v>0.71836071493049292</v>
      </c>
      <c r="J3538" s="17">
        <v>0.7</v>
      </c>
      <c r="K3538" s="12">
        <v>8.2208026208027452</v>
      </c>
      <c r="L3538" s="2">
        <v>1560</v>
      </c>
      <c r="M3538" s="15">
        <v>12824.452088452283</v>
      </c>
    </row>
    <row r="3539" spans="1:13" x14ac:dyDescent="0.3">
      <c r="A3539" s="10">
        <v>46174</v>
      </c>
      <c r="B3539" s="9" t="s">
        <v>633</v>
      </c>
      <c r="C3539" t="s">
        <v>634</v>
      </c>
      <c r="D3539" s="9">
        <v>0</v>
      </c>
      <c r="E3539" s="5" t="s">
        <v>654</v>
      </c>
      <c r="F3539" t="s">
        <v>635</v>
      </c>
      <c r="G3539">
        <v>1572</v>
      </c>
      <c r="H3539">
        <v>621</v>
      </c>
      <c r="I3539" s="8">
        <v>0.39503816793893132</v>
      </c>
      <c r="J3539" s="17">
        <v>0.7</v>
      </c>
      <c r="K3539" s="12">
        <v>13.541745283018846</v>
      </c>
      <c r="L3539" s="2">
        <v>951</v>
      </c>
      <c r="M3539" s="15">
        <v>12878.199764150922</v>
      </c>
    </row>
    <row r="3540" spans="1:13" x14ac:dyDescent="0.3">
      <c r="A3540" s="10">
        <v>46174</v>
      </c>
      <c r="B3540" s="9" t="s">
        <v>633</v>
      </c>
      <c r="C3540" t="s">
        <v>636</v>
      </c>
      <c r="D3540" s="9">
        <v>0</v>
      </c>
      <c r="E3540" s="5" t="s">
        <v>655</v>
      </c>
      <c r="F3540" t="s">
        <v>637</v>
      </c>
      <c r="G3540">
        <v>2071</v>
      </c>
      <c r="H3540">
        <v>538</v>
      </c>
      <c r="I3540" s="8">
        <v>0.25977788507967164</v>
      </c>
      <c r="J3540" s="17">
        <v>0.7</v>
      </c>
      <c r="K3540" s="12">
        <v>14.592101105845126</v>
      </c>
      <c r="L3540" s="2">
        <v>1533</v>
      </c>
      <c r="M3540" s="15">
        <v>22369.690995260578</v>
      </c>
    </row>
    <row r="3541" spans="1:13" x14ac:dyDescent="0.3">
      <c r="A3541" s="10">
        <v>46174</v>
      </c>
      <c r="B3541" s="9" t="s">
        <v>633</v>
      </c>
      <c r="C3541" t="s">
        <v>638</v>
      </c>
      <c r="D3541" s="9">
        <v>0</v>
      </c>
      <c r="E3541" s="5" t="s">
        <v>656</v>
      </c>
      <c r="F3541" t="s">
        <v>638</v>
      </c>
      <c r="G3541">
        <v>1872</v>
      </c>
      <c r="H3541">
        <v>703</v>
      </c>
      <c r="I3541" s="8">
        <v>0.37553418803418803</v>
      </c>
      <c r="J3541" s="17">
        <v>0.7</v>
      </c>
      <c r="K3541" s="12">
        <v>13.611397058823487</v>
      </c>
      <c r="L3541" s="2">
        <v>1169</v>
      </c>
      <c r="M3541" s="15">
        <v>15911.723161764656</v>
      </c>
    </row>
    <row r="3542" spans="1:13" x14ac:dyDescent="0.3">
      <c r="A3542" s="10">
        <v>46174</v>
      </c>
      <c r="B3542" s="9" t="s">
        <v>3</v>
      </c>
      <c r="C3542" t="s">
        <v>110</v>
      </c>
      <c r="D3542" s="9">
        <v>0</v>
      </c>
      <c r="E3542" s="5" t="s">
        <v>657</v>
      </c>
      <c r="F3542" t="s">
        <v>639</v>
      </c>
      <c r="G3542">
        <v>3223</v>
      </c>
      <c r="H3542">
        <v>2152</v>
      </c>
      <c r="I3542" s="8">
        <v>0.667700899782811</v>
      </c>
      <c r="J3542" s="17">
        <v>0.7</v>
      </c>
      <c r="K3542" s="12">
        <v>14.367280769230813</v>
      </c>
      <c r="L3542" s="2">
        <v>1071</v>
      </c>
      <c r="M3542" s="15">
        <v>15387.357703846201</v>
      </c>
    </row>
    <row r="3543" spans="1:13" x14ac:dyDescent="0.3">
      <c r="A3543" s="10">
        <v>46174</v>
      </c>
      <c r="B3543" s="9" t="s">
        <v>3</v>
      </c>
      <c r="C3543" t="s">
        <v>248</v>
      </c>
      <c r="D3543" s="9">
        <v>0</v>
      </c>
      <c r="E3543" s="5" t="s">
        <v>658</v>
      </c>
      <c r="F3543" t="s">
        <v>640</v>
      </c>
      <c r="G3543">
        <v>871</v>
      </c>
      <c r="H3543">
        <v>562</v>
      </c>
      <c r="I3543" s="8">
        <v>0.64523536165327211</v>
      </c>
      <c r="J3543" s="17">
        <v>0.7</v>
      </c>
      <c r="K3543" s="12">
        <v>10.988976377952694</v>
      </c>
      <c r="L3543" s="2">
        <v>309</v>
      </c>
      <c r="M3543" s="15">
        <v>3395.5937007873827</v>
      </c>
    </row>
    <row r="3544" spans="1:13" x14ac:dyDescent="0.3">
      <c r="A3544" s="10">
        <v>46174</v>
      </c>
      <c r="B3544" s="9" t="s">
        <v>89</v>
      </c>
      <c r="C3544" t="s">
        <v>313</v>
      </c>
      <c r="D3544" s="9">
        <v>0</v>
      </c>
      <c r="E3544" s="5" t="s">
        <v>659</v>
      </c>
      <c r="F3544" t="s">
        <v>93</v>
      </c>
      <c r="G3544">
        <v>1790</v>
      </c>
      <c r="H3544">
        <v>730</v>
      </c>
      <c r="I3544" s="8">
        <v>0.43180160466812545</v>
      </c>
      <c r="J3544" s="17">
        <v>0.7</v>
      </c>
      <c r="K3544" s="12">
        <v>14.866492146596906</v>
      </c>
      <c r="L3544" s="2">
        <f>G3544-H3544</f>
        <v>1060</v>
      </c>
      <c r="M3544" s="15">
        <f>L3544*K3544</f>
        <v>15758.481675392721</v>
      </c>
    </row>
  </sheetData>
  <sortState xmlns:xlrd2="http://schemas.microsoft.com/office/spreadsheetml/2017/richdata2" ref="A2:M3161">
    <sortCondition ref="A2:A3161"/>
    <sortCondition ref="E2:E3161"/>
  </sortState>
  <conditionalFormatting sqref="E2563:E2677 E2679:E2761">
    <cfRule type="duplicateValues" dxfId="3" priority="3"/>
  </conditionalFormatting>
  <conditionalFormatting sqref="E2762:E2959">
    <cfRule type="duplicateValues" dxfId="2" priority="2"/>
  </conditionalFormatting>
  <conditionalFormatting sqref="E599:E3544">
    <cfRule type="duplicateValues" dxfId="1" priority="5"/>
  </conditionalFormatting>
  <conditionalFormatting sqref="E2960:E3544">
    <cfRule type="duplicateValues" dxfId="0" priority="6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2026-07-25T23:30:02Z</dcterms:modified>
</cp:coreProperties>
</file>